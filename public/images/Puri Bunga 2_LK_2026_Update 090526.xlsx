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kemenkeu-my.sharepoint.com/personal/adrianto_budiaji_kemenkeu_go_id/Documents/Lain-Lain/Puri Bunga II/Lapkeu/"/>
    </mc:Choice>
  </mc:AlternateContent>
  <xr:revisionPtr revIDLastSave="305" documentId="13_ncr:1_{09E3B907-3C4D-4825-BC16-8AFD6DDAAC09}" xr6:coauthVersionLast="47" xr6:coauthVersionMax="47" xr10:uidLastSave="{67C0CC4E-1011-4F4A-BD52-9B113D99A095}"/>
  <bookViews>
    <workbookView xWindow="-110" yWindow="-110" windowWidth="19420" windowHeight="10300" xr2:uid="{00000000-000D-0000-FFFF-FFFF00000000}"/>
  </bookViews>
  <sheets>
    <sheet name="RAB" sheetId="1" r:id="rId1"/>
    <sheet name="IURAN WARGA" sheetId="10" r:id="rId2"/>
    <sheet name="PVT IURAN" sheetId="11" r:id="rId3"/>
    <sheet name="Serah Terima" sheetId="12" r:id="rId4"/>
    <sheet name="JURNAL_25" sheetId="13" r:id="rId5"/>
    <sheet name="KAS KECIL" sheetId="14" r:id="rId6"/>
    <sheet name="JURNAL_26" sheetId="4" r:id="rId7"/>
    <sheet name="COA" sheetId="3" r:id="rId8"/>
    <sheet name="LR BLN" sheetId="5" r:id="rId9"/>
    <sheet name="LR YTD" sheetId="6" r:id="rId10"/>
    <sheet name="LAP KAS BLN" sheetId="7" r:id="rId11"/>
    <sheet name="LAP KAS YTD" sheetId="8" r:id="rId12"/>
    <sheet name="NRC YTD" sheetId="9" r:id="rId13"/>
  </sheets>
  <definedNames>
    <definedName name="_xlnm._FilterDatabase" localSheetId="1" hidden="1">'IURAN WARGA'!$A$4:$BH$99</definedName>
    <definedName name="_xlnm._FilterDatabase" localSheetId="4" hidden="1">JURNAL_25!$A$7:$O$1740</definedName>
    <definedName name="_xlnm._FilterDatabase" localSheetId="6" hidden="1">JURNAL_26!$A$7:$O$1766</definedName>
    <definedName name="_xlnm._FilterDatabase" localSheetId="5" hidden="1">'KAS KECIL'!$A$7:$O$1740</definedName>
    <definedName name="_xlnm._FilterDatabase" localSheetId="3" hidden="1">'Serah Terima'!$A$29:$I$64</definedName>
    <definedName name="_xlnm.Print_Area" localSheetId="12">'NRC YTD'!$A$1:$AU$37</definedName>
  </definedNames>
  <calcPr calcId="191029"/>
  <pivotCaches>
    <pivotCache cacheId="0" r:id="rId14"/>
  </pivotCaches>
</workbook>
</file>

<file path=xl/calcChain.xml><?xml version="1.0" encoding="utf-8"?>
<calcChain xmlns="http://schemas.openxmlformats.org/spreadsheetml/2006/main">
  <c r="L8" i="4" l="1"/>
  <c r="Q38" i="8"/>
  <c r="G10" i="14"/>
  <c r="C10" i="14"/>
  <c r="AS98" i="10"/>
  <c r="G397" i="4"/>
  <c r="C397" i="4"/>
  <c r="G396" i="4"/>
  <c r="C396" i="4"/>
  <c r="G383" i="4"/>
  <c r="G382" i="4"/>
  <c r="G381" i="4"/>
  <c r="G380" i="4"/>
  <c r="C383" i="4"/>
  <c r="C382" i="4"/>
  <c r="C381" i="4"/>
  <c r="C380" i="4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G407" i="4"/>
  <c r="G9" i="14"/>
  <c r="F10" i="9"/>
  <c r="F9" i="9"/>
  <c r="AL5" i="9"/>
  <c r="K1739" i="14"/>
  <c r="J1739" i="14"/>
  <c r="G1738" i="14"/>
  <c r="C1738" i="14"/>
  <c r="G1737" i="14"/>
  <c r="C1737" i="14"/>
  <c r="G1736" i="14"/>
  <c r="C1736" i="14"/>
  <c r="G1735" i="14"/>
  <c r="C1735" i="14"/>
  <c r="G1734" i="14"/>
  <c r="C1734" i="14"/>
  <c r="G1733" i="14"/>
  <c r="C1733" i="14"/>
  <c r="G1732" i="14"/>
  <c r="C1732" i="14"/>
  <c r="G1731" i="14"/>
  <c r="C1731" i="14"/>
  <c r="G1730" i="14"/>
  <c r="C1730" i="14"/>
  <c r="G1729" i="14"/>
  <c r="C1729" i="14"/>
  <c r="G1728" i="14"/>
  <c r="C1728" i="14"/>
  <c r="G1727" i="14"/>
  <c r="C1727" i="14"/>
  <c r="G1726" i="14"/>
  <c r="C1726" i="14"/>
  <c r="G1725" i="14"/>
  <c r="C1725" i="14"/>
  <c r="G1724" i="14"/>
  <c r="C1724" i="14"/>
  <c r="G1723" i="14"/>
  <c r="C1723" i="14"/>
  <c r="G1722" i="14"/>
  <c r="C1722" i="14"/>
  <c r="G1721" i="14"/>
  <c r="C1721" i="14"/>
  <c r="G1720" i="14"/>
  <c r="C1720" i="14"/>
  <c r="G1719" i="14"/>
  <c r="C1719" i="14"/>
  <c r="G1718" i="14"/>
  <c r="C1718" i="14"/>
  <c r="G1717" i="14"/>
  <c r="C1717" i="14"/>
  <c r="G1716" i="14"/>
  <c r="C1716" i="14"/>
  <c r="G1715" i="14"/>
  <c r="C1715" i="14"/>
  <c r="G1714" i="14"/>
  <c r="C1714" i="14"/>
  <c r="G1713" i="14"/>
  <c r="C1713" i="14"/>
  <c r="G1712" i="14"/>
  <c r="C1712" i="14"/>
  <c r="G1711" i="14"/>
  <c r="C1711" i="14"/>
  <c r="G1710" i="14"/>
  <c r="C1710" i="14"/>
  <c r="G1709" i="14"/>
  <c r="C1709" i="14"/>
  <c r="G1708" i="14"/>
  <c r="C1708" i="14"/>
  <c r="G1707" i="14"/>
  <c r="C1707" i="14"/>
  <c r="G1706" i="14"/>
  <c r="C1706" i="14"/>
  <c r="G1705" i="14"/>
  <c r="C1705" i="14"/>
  <c r="G1704" i="14"/>
  <c r="C1704" i="14"/>
  <c r="G1703" i="14"/>
  <c r="C1703" i="14"/>
  <c r="G1702" i="14"/>
  <c r="C1702" i="14"/>
  <c r="G1701" i="14"/>
  <c r="C1701" i="14"/>
  <c r="G1700" i="14"/>
  <c r="C1700" i="14"/>
  <c r="G1699" i="14"/>
  <c r="C1699" i="14"/>
  <c r="G1698" i="14"/>
  <c r="C1698" i="14"/>
  <c r="G1697" i="14"/>
  <c r="C1697" i="14"/>
  <c r="G1696" i="14"/>
  <c r="C1696" i="14"/>
  <c r="G1695" i="14"/>
  <c r="C1695" i="14"/>
  <c r="G1694" i="14"/>
  <c r="C1694" i="14"/>
  <c r="G1693" i="14"/>
  <c r="C1693" i="14"/>
  <c r="G1692" i="14"/>
  <c r="C1692" i="14"/>
  <c r="G1691" i="14"/>
  <c r="C1691" i="14"/>
  <c r="G1690" i="14"/>
  <c r="C1690" i="14"/>
  <c r="G1689" i="14"/>
  <c r="C1689" i="14"/>
  <c r="G1688" i="14"/>
  <c r="C1688" i="14"/>
  <c r="G1687" i="14"/>
  <c r="C1687" i="14"/>
  <c r="G1686" i="14"/>
  <c r="C1686" i="14"/>
  <c r="G1685" i="14"/>
  <c r="C1685" i="14"/>
  <c r="G1684" i="14"/>
  <c r="C1684" i="14"/>
  <c r="G1683" i="14"/>
  <c r="C1683" i="14"/>
  <c r="G1682" i="14"/>
  <c r="C1682" i="14"/>
  <c r="G1681" i="14"/>
  <c r="C1681" i="14"/>
  <c r="G1680" i="14"/>
  <c r="C1680" i="14"/>
  <c r="G1679" i="14"/>
  <c r="C1679" i="14"/>
  <c r="G1678" i="14"/>
  <c r="C1678" i="14"/>
  <c r="G1677" i="14"/>
  <c r="C1677" i="14"/>
  <c r="G1676" i="14"/>
  <c r="C1676" i="14"/>
  <c r="G1675" i="14"/>
  <c r="C1675" i="14"/>
  <c r="G1674" i="14"/>
  <c r="C1674" i="14"/>
  <c r="G1673" i="14"/>
  <c r="C1673" i="14"/>
  <c r="G1672" i="14"/>
  <c r="C1672" i="14"/>
  <c r="G1671" i="14"/>
  <c r="C1671" i="14"/>
  <c r="G1670" i="14"/>
  <c r="C1670" i="14"/>
  <c r="G1669" i="14"/>
  <c r="C1669" i="14"/>
  <c r="G1668" i="14"/>
  <c r="C1668" i="14"/>
  <c r="G1667" i="14"/>
  <c r="C1667" i="14"/>
  <c r="G1666" i="14"/>
  <c r="C1666" i="14"/>
  <c r="G1665" i="14"/>
  <c r="C1665" i="14"/>
  <c r="G1664" i="14"/>
  <c r="C1664" i="14"/>
  <c r="G1663" i="14"/>
  <c r="C1663" i="14"/>
  <c r="G1662" i="14"/>
  <c r="C1662" i="14"/>
  <c r="G1661" i="14"/>
  <c r="C1661" i="14"/>
  <c r="G1660" i="14"/>
  <c r="C1660" i="14"/>
  <c r="G1659" i="14"/>
  <c r="C1659" i="14"/>
  <c r="G1658" i="14"/>
  <c r="C1658" i="14"/>
  <c r="G1657" i="14"/>
  <c r="C1657" i="14"/>
  <c r="G1656" i="14"/>
  <c r="C1656" i="14"/>
  <c r="G1655" i="14"/>
  <c r="C1655" i="14"/>
  <c r="G1654" i="14"/>
  <c r="C1654" i="14"/>
  <c r="G1653" i="14"/>
  <c r="C1653" i="14"/>
  <c r="G1652" i="14"/>
  <c r="C1652" i="14"/>
  <c r="G1651" i="14"/>
  <c r="C1651" i="14"/>
  <c r="G1650" i="14"/>
  <c r="C1650" i="14"/>
  <c r="G1649" i="14"/>
  <c r="C1649" i="14"/>
  <c r="G1648" i="14"/>
  <c r="C1648" i="14"/>
  <c r="G1647" i="14"/>
  <c r="C1647" i="14"/>
  <c r="G1646" i="14"/>
  <c r="C1646" i="14"/>
  <c r="G1645" i="14"/>
  <c r="C1645" i="14"/>
  <c r="G1644" i="14"/>
  <c r="C1644" i="14"/>
  <c r="G1643" i="14"/>
  <c r="C1643" i="14"/>
  <c r="G1642" i="14"/>
  <c r="C1642" i="14"/>
  <c r="G1641" i="14"/>
  <c r="C1641" i="14"/>
  <c r="G1640" i="14"/>
  <c r="C1640" i="14"/>
  <c r="G1639" i="14"/>
  <c r="C1639" i="14"/>
  <c r="G1638" i="14"/>
  <c r="C1638" i="14"/>
  <c r="G1637" i="14"/>
  <c r="C1637" i="14"/>
  <c r="G1636" i="14"/>
  <c r="C1636" i="14"/>
  <c r="G1635" i="14"/>
  <c r="C1635" i="14"/>
  <c r="G1634" i="14"/>
  <c r="C1634" i="14"/>
  <c r="G1633" i="14"/>
  <c r="C1633" i="14"/>
  <c r="G1632" i="14"/>
  <c r="C1632" i="14"/>
  <c r="G1631" i="14"/>
  <c r="C1631" i="14"/>
  <c r="G1630" i="14"/>
  <c r="C1630" i="14"/>
  <c r="G1629" i="14"/>
  <c r="C1629" i="14"/>
  <c r="G1628" i="14"/>
  <c r="C1628" i="14"/>
  <c r="G1627" i="14"/>
  <c r="C1627" i="14"/>
  <c r="G1626" i="14"/>
  <c r="C1626" i="14"/>
  <c r="G1625" i="14"/>
  <c r="C1625" i="14"/>
  <c r="G1624" i="14"/>
  <c r="C1624" i="14"/>
  <c r="G1623" i="14"/>
  <c r="C1623" i="14"/>
  <c r="G1622" i="14"/>
  <c r="C1622" i="14"/>
  <c r="G1621" i="14"/>
  <c r="C1621" i="14"/>
  <c r="G1620" i="14"/>
  <c r="C1620" i="14"/>
  <c r="G1619" i="14"/>
  <c r="C1619" i="14"/>
  <c r="G1618" i="14"/>
  <c r="C1618" i="14"/>
  <c r="G1617" i="14"/>
  <c r="C1617" i="14"/>
  <c r="G1616" i="14"/>
  <c r="C1616" i="14"/>
  <c r="G1615" i="14"/>
  <c r="C1615" i="14"/>
  <c r="G1614" i="14"/>
  <c r="C1614" i="14"/>
  <c r="G1613" i="14"/>
  <c r="C1613" i="14"/>
  <c r="G1612" i="14"/>
  <c r="C1612" i="14"/>
  <c r="G1611" i="14"/>
  <c r="C1611" i="14"/>
  <c r="G1610" i="14"/>
  <c r="C1610" i="14"/>
  <c r="G1609" i="14"/>
  <c r="C1609" i="14"/>
  <c r="G1608" i="14"/>
  <c r="C1608" i="14"/>
  <c r="G1607" i="14"/>
  <c r="C1607" i="14"/>
  <c r="G1606" i="14"/>
  <c r="C1606" i="14"/>
  <c r="G1605" i="14"/>
  <c r="C1605" i="14"/>
  <c r="G1604" i="14"/>
  <c r="C1604" i="14"/>
  <c r="G1603" i="14"/>
  <c r="C1603" i="14"/>
  <c r="G1602" i="14"/>
  <c r="C1602" i="14"/>
  <c r="G1601" i="14"/>
  <c r="C1601" i="14"/>
  <c r="G1600" i="14"/>
  <c r="C1600" i="14"/>
  <c r="G1599" i="14"/>
  <c r="C1599" i="14"/>
  <c r="G1598" i="14"/>
  <c r="C1598" i="14"/>
  <c r="G1597" i="14"/>
  <c r="C1597" i="14"/>
  <c r="G1596" i="14"/>
  <c r="C1596" i="14"/>
  <c r="G1595" i="14"/>
  <c r="C1595" i="14"/>
  <c r="G1594" i="14"/>
  <c r="C1594" i="14"/>
  <c r="G1593" i="14"/>
  <c r="C1593" i="14"/>
  <c r="G1592" i="14"/>
  <c r="C1592" i="14"/>
  <c r="G1591" i="14"/>
  <c r="C1591" i="14"/>
  <c r="G1590" i="14"/>
  <c r="C1590" i="14"/>
  <c r="G1589" i="14"/>
  <c r="C1589" i="14"/>
  <c r="G1588" i="14"/>
  <c r="C1588" i="14"/>
  <c r="G1587" i="14"/>
  <c r="C1587" i="14"/>
  <c r="G1586" i="14"/>
  <c r="C1586" i="14"/>
  <c r="G1585" i="14"/>
  <c r="C1585" i="14"/>
  <c r="G1584" i="14"/>
  <c r="C1584" i="14"/>
  <c r="G1583" i="14"/>
  <c r="C1583" i="14"/>
  <c r="G1582" i="14"/>
  <c r="C1582" i="14"/>
  <c r="G1581" i="14"/>
  <c r="C1581" i="14"/>
  <c r="G1580" i="14"/>
  <c r="C1580" i="14"/>
  <c r="G1579" i="14"/>
  <c r="C1579" i="14"/>
  <c r="G1578" i="14"/>
  <c r="C1578" i="14"/>
  <c r="G1577" i="14"/>
  <c r="C1577" i="14"/>
  <c r="G1576" i="14"/>
  <c r="C1576" i="14"/>
  <c r="G1575" i="14"/>
  <c r="C1575" i="14"/>
  <c r="G1574" i="14"/>
  <c r="C1574" i="14"/>
  <c r="G1573" i="14"/>
  <c r="C1573" i="14"/>
  <c r="G1572" i="14"/>
  <c r="C1572" i="14"/>
  <c r="G1571" i="14"/>
  <c r="C1571" i="14"/>
  <c r="G1570" i="14"/>
  <c r="C1570" i="14"/>
  <c r="G1569" i="14"/>
  <c r="C1569" i="14"/>
  <c r="G1568" i="14"/>
  <c r="C1568" i="14"/>
  <c r="G1567" i="14"/>
  <c r="C1567" i="14"/>
  <c r="G1566" i="14"/>
  <c r="C1566" i="14"/>
  <c r="G1565" i="14"/>
  <c r="C1565" i="14"/>
  <c r="G1564" i="14"/>
  <c r="C1564" i="14"/>
  <c r="G1563" i="14"/>
  <c r="C1563" i="14"/>
  <c r="G1562" i="14"/>
  <c r="C1562" i="14"/>
  <c r="G1561" i="14"/>
  <c r="C1561" i="14"/>
  <c r="G1560" i="14"/>
  <c r="C1560" i="14"/>
  <c r="G1559" i="14"/>
  <c r="C1559" i="14"/>
  <c r="G1558" i="14"/>
  <c r="C1558" i="14"/>
  <c r="G1557" i="14"/>
  <c r="C1557" i="14"/>
  <c r="G1556" i="14"/>
  <c r="C1556" i="14"/>
  <c r="G1555" i="14"/>
  <c r="C1555" i="14"/>
  <c r="G1554" i="14"/>
  <c r="C1554" i="14"/>
  <c r="G1553" i="14"/>
  <c r="C1553" i="14"/>
  <c r="G1552" i="14"/>
  <c r="C1552" i="14"/>
  <c r="G1551" i="14"/>
  <c r="C1551" i="14"/>
  <c r="G1550" i="14"/>
  <c r="C1550" i="14"/>
  <c r="G1549" i="14"/>
  <c r="C1549" i="14"/>
  <c r="G1548" i="14"/>
  <c r="C1548" i="14"/>
  <c r="G1547" i="14"/>
  <c r="C1547" i="14"/>
  <c r="G1546" i="14"/>
  <c r="C1546" i="14"/>
  <c r="G1545" i="14"/>
  <c r="C1545" i="14"/>
  <c r="G1544" i="14"/>
  <c r="C1544" i="14"/>
  <c r="G1543" i="14"/>
  <c r="C1543" i="14"/>
  <c r="G1542" i="14"/>
  <c r="C1542" i="14"/>
  <c r="G1541" i="14"/>
  <c r="C1541" i="14"/>
  <c r="G1540" i="14"/>
  <c r="C1540" i="14"/>
  <c r="G1539" i="14"/>
  <c r="C1539" i="14"/>
  <c r="G1538" i="14"/>
  <c r="C1538" i="14"/>
  <c r="G1537" i="14"/>
  <c r="C1537" i="14"/>
  <c r="G1536" i="14"/>
  <c r="C1536" i="14"/>
  <c r="G1535" i="14"/>
  <c r="C1535" i="14"/>
  <c r="G1534" i="14"/>
  <c r="C1534" i="14"/>
  <c r="G1533" i="14"/>
  <c r="C1533" i="14"/>
  <c r="G1532" i="14"/>
  <c r="C1532" i="14"/>
  <c r="G1531" i="14"/>
  <c r="C1531" i="14"/>
  <c r="G1530" i="14"/>
  <c r="C1530" i="14"/>
  <c r="G1529" i="14"/>
  <c r="C1529" i="14"/>
  <c r="G1528" i="14"/>
  <c r="C1528" i="14"/>
  <c r="G1527" i="14"/>
  <c r="C1527" i="14"/>
  <c r="G1526" i="14"/>
  <c r="C1526" i="14"/>
  <c r="G1525" i="14"/>
  <c r="C1525" i="14"/>
  <c r="G1524" i="14"/>
  <c r="C1524" i="14"/>
  <c r="G1523" i="14"/>
  <c r="C1523" i="14"/>
  <c r="G1522" i="14"/>
  <c r="C1522" i="14"/>
  <c r="G1521" i="14"/>
  <c r="C1521" i="14"/>
  <c r="G1520" i="14"/>
  <c r="C1520" i="14"/>
  <c r="G1519" i="14"/>
  <c r="C1519" i="14"/>
  <c r="G1518" i="14"/>
  <c r="C1518" i="14"/>
  <c r="G1517" i="14"/>
  <c r="C1517" i="14"/>
  <c r="G1516" i="14"/>
  <c r="C1516" i="14"/>
  <c r="G1515" i="14"/>
  <c r="C1515" i="14"/>
  <c r="G1514" i="14"/>
  <c r="C1514" i="14"/>
  <c r="G1513" i="14"/>
  <c r="C1513" i="14"/>
  <c r="G1512" i="14"/>
  <c r="C1512" i="14"/>
  <c r="G1511" i="14"/>
  <c r="C1511" i="14"/>
  <c r="G1510" i="14"/>
  <c r="C1510" i="14"/>
  <c r="G1509" i="14"/>
  <c r="C1509" i="14"/>
  <c r="G1508" i="14"/>
  <c r="C1508" i="14"/>
  <c r="G1507" i="14"/>
  <c r="C1507" i="14"/>
  <c r="G1506" i="14"/>
  <c r="C1506" i="14"/>
  <c r="G1505" i="14"/>
  <c r="C1505" i="14"/>
  <c r="G1504" i="14"/>
  <c r="C1504" i="14"/>
  <c r="G1503" i="14"/>
  <c r="C1503" i="14"/>
  <c r="G1502" i="14"/>
  <c r="C1502" i="14"/>
  <c r="G1501" i="14"/>
  <c r="C1501" i="14"/>
  <c r="G1500" i="14"/>
  <c r="C1500" i="14"/>
  <c r="G1499" i="14"/>
  <c r="C1499" i="14"/>
  <c r="G1498" i="14"/>
  <c r="C1498" i="14"/>
  <c r="G1497" i="14"/>
  <c r="C1497" i="14"/>
  <c r="G1496" i="14"/>
  <c r="C1496" i="14"/>
  <c r="G1495" i="14"/>
  <c r="C1495" i="14"/>
  <c r="G1494" i="14"/>
  <c r="C1494" i="14"/>
  <c r="G1493" i="14"/>
  <c r="C1493" i="14"/>
  <c r="G1492" i="14"/>
  <c r="C1492" i="14"/>
  <c r="G1491" i="14"/>
  <c r="C1491" i="14"/>
  <c r="G1490" i="14"/>
  <c r="C1490" i="14"/>
  <c r="G1489" i="14"/>
  <c r="C1489" i="14"/>
  <c r="G1488" i="14"/>
  <c r="C1488" i="14"/>
  <c r="G1487" i="14"/>
  <c r="C1487" i="14"/>
  <c r="G1486" i="14"/>
  <c r="C1486" i="14"/>
  <c r="G1485" i="14"/>
  <c r="C1485" i="14"/>
  <c r="G1484" i="14"/>
  <c r="C1484" i="14"/>
  <c r="G1483" i="14"/>
  <c r="C1483" i="14"/>
  <c r="G1482" i="14"/>
  <c r="C1482" i="14"/>
  <c r="G1481" i="14"/>
  <c r="C1481" i="14"/>
  <c r="G1480" i="14"/>
  <c r="C1480" i="14"/>
  <c r="G1479" i="14"/>
  <c r="C1479" i="14"/>
  <c r="G1478" i="14"/>
  <c r="C1478" i="14"/>
  <c r="G1477" i="14"/>
  <c r="C1477" i="14"/>
  <c r="G1476" i="14"/>
  <c r="C1476" i="14"/>
  <c r="G1475" i="14"/>
  <c r="C1475" i="14"/>
  <c r="G1474" i="14"/>
  <c r="C1474" i="14"/>
  <c r="G1473" i="14"/>
  <c r="C1473" i="14"/>
  <c r="G1472" i="14"/>
  <c r="C1472" i="14"/>
  <c r="G1471" i="14"/>
  <c r="C1471" i="14"/>
  <c r="G1470" i="14"/>
  <c r="C1470" i="14"/>
  <c r="G1469" i="14"/>
  <c r="C1469" i="14"/>
  <c r="G1468" i="14"/>
  <c r="C1468" i="14"/>
  <c r="G1467" i="14"/>
  <c r="C1467" i="14"/>
  <c r="G1466" i="14"/>
  <c r="C1466" i="14"/>
  <c r="G1465" i="14"/>
  <c r="C1465" i="14"/>
  <c r="G1464" i="14"/>
  <c r="C1464" i="14"/>
  <c r="G1463" i="14"/>
  <c r="C1463" i="14"/>
  <c r="G1462" i="14"/>
  <c r="C1462" i="14"/>
  <c r="G1461" i="14"/>
  <c r="C1461" i="14"/>
  <c r="G1460" i="14"/>
  <c r="C1460" i="14"/>
  <c r="G1459" i="14"/>
  <c r="C1459" i="14"/>
  <c r="G1458" i="14"/>
  <c r="C1458" i="14"/>
  <c r="G1457" i="14"/>
  <c r="C1457" i="14"/>
  <c r="G1456" i="14"/>
  <c r="C1456" i="14"/>
  <c r="G1455" i="14"/>
  <c r="C1455" i="14"/>
  <c r="G1454" i="14"/>
  <c r="C1454" i="14"/>
  <c r="G1453" i="14"/>
  <c r="C1453" i="14"/>
  <c r="G1452" i="14"/>
  <c r="C1452" i="14"/>
  <c r="G1451" i="14"/>
  <c r="C1451" i="14"/>
  <c r="G1450" i="14"/>
  <c r="C1450" i="14"/>
  <c r="G1449" i="14"/>
  <c r="C1449" i="14"/>
  <c r="G1448" i="14"/>
  <c r="C1448" i="14"/>
  <c r="G1447" i="14"/>
  <c r="C1447" i="14"/>
  <c r="G1446" i="14"/>
  <c r="C1446" i="14"/>
  <c r="G1445" i="14"/>
  <c r="C1445" i="14"/>
  <c r="G1444" i="14"/>
  <c r="C1444" i="14"/>
  <c r="G1443" i="14"/>
  <c r="C1443" i="14"/>
  <c r="G1442" i="14"/>
  <c r="C1442" i="14"/>
  <c r="G1441" i="14"/>
  <c r="C1441" i="14"/>
  <c r="G1440" i="14"/>
  <c r="C1440" i="14"/>
  <c r="G1439" i="14"/>
  <c r="C1439" i="14"/>
  <c r="G1438" i="14"/>
  <c r="C1438" i="14"/>
  <c r="G1437" i="14"/>
  <c r="C1437" i="14"/>
  <c r="G1436" i="14"/>
  <c r="C1436" i="14"/>
  <c r="G1435" i="14"/>
  <c r="C1435" i="14"/>
  <c r="G1434" i="14"/>
  <c r="C1434" i="14"/>
  <c r="G1433" i="14"/>
  <c r="C1433" i="14"/>
  <c r="G1432" i="14"/>
  <c r="C1432" i="14"/>
  <c r="G1431" i="14"/>
  <c r="C1431" i="14"/>
  <c r="G1430" i="14"/>
  <c r="C1430" i="14"/>
  <c r="G1429" i="14"/>
  <c r="C1429" i="14"/>
  <c r="G1428" i="14"/>
  <c r="C1428" i="14"/>
  <c r="G1427" i="14"/>
  <c r="C1427" i="14"/>
  <c r="G1426" i="14"/>
  <c r="C1426" i="14"/>
  <c r="G1425" i="14"/>
  <c r="C1425" i="14"/>
  <c r="G1424" i="14"/>
  <c r="C1424" i="14"/>
  <c r="G1423" i="14"/>
  <c r="C1423" i="14"/>
  <c r="G1422" i="14"/>
  <c r="C1422" i="14"/>
  <c r="G1421" i="14"/>
  <c r="C1421" i="14"/>
  <c r="G1420" i="14"/>
  <c r="C1420" i="14"/>
  <c r="G1419" i="14"/>
  <c r="C1419" i="14"/>
  <c r="G1418" i="14"/>
  <c r="C1418" i="14"/>
  <c r="G1417" i="14"/>
  <c r="C1417" i="14"/>
  <c r="G1416" i="14"/>
  <c r="C1416" i="14"/>
  <c r="G1415" i="14"/>
  <c r="C1415" i="14"/>
  <c r="G1414" i="14"/>
  <c r="C1414" i="14"/>
  <c r="G1413" i="14"/>
  <c r="C1413" i="14"/>
  <c r="G1412" i="14"/>
  <c r="C1412" i="14"/>
  <c r="G1411" i="14"/>
  <c r="C1411" i="14"/>
  <c r="G1410" i="14"/>
  <c r="C1410" i="14"/>
  <c r="G1409" i="14"/>
  <c r="C1409" i="14"/>
  <c r="G1408" i="14"/>
  <c r="C1408" i="14"/>
  <c r="G1407" i="14"/>
  <c r="C1407" i="14"/>
  <c r="G1406" i="14"/>
  <c r="C1406" i="14"/>
  <c r="G1405" i="14"/>
  <c r="C1405" i="14"/>
  <c r="G1404" i="14"/>
  <c r="C1404" i="14"/>
  <c r="G1403" i="14"/>
  <c r="C1403" i="14"/>
  <c r="G1402" i="14"/>
  <c r="C1402" i="14"/>
  <c r="G1401" i="14"/>
  <c r="C1401" i="14"/>
  <c r="G1400" i="14"/>
  <c r="C1400" i="14"/>
  <c r="G1399" i="14"/>
  <c r="C1399" i="14"/>
  <c r="G1398" i="14"/>
  <c r="C1398" i="14"/>
  <c r="G1397" i="14"/>
  <c r="C1397" i="14"/>
  <c r="G1396" i="14"/>
  <c r="C1396" i="14"/>
  <c r="G1395" i="14"/>
  <c r="C1395" i="14"/>
  <c r="G1394" i="14"/>
  <c r="C1394" i="14"/>
  <c r="G1393" i="14"/>
  <c r="C1393" i="14"/>
  <c r="G1392" i="14"/>
  <c r="C1392" i="14"/>
  <c r="G1391" i="14"/>
  <c r="C1391" i="14"/>
  <c r="G1390" i="14"/>
  <c r="C1390" i="14"/>
  <c r="G1389" i="14"/>
  <c r="C1389" i="14"/>
  <c r="G1388" i="14"/>
  <c r="C1388" i="14"/>
  <c r="G1387" i="14"/>
  <c r="C1387" i="14"/>
  <c r="G1386" i="14"/>
  <c r="C1386" i="14"/>
  <c r="G1385" i="14"/>
  <c r="C1385" i="14"/>
  <c r="G1384" i="14"/>
  <c r="C1384" i="14"/>
  <c r="G1383" i="14"/>
  <c r="C1383" i="14"/>
  <c r="G1382" i="14"/>
  <c r="C1382" i="14"/>
  <c r="G1381" i="14"/>
  <c r="C1381" i="14"/>
  <c r="G1380" i="14"/>
  <c r="C1380" i="14"/>
  <c r="G1379" i="14"/>
  <c r="C1379" i="14"/>
  <c r="G1378" i="14"/>
  <c r="C1378" i="14"/>
  <c r="G1377" i="14"/>
  <c r="C1377" i="14"/>
  <c r="G1376" i="14"/>
  <c r="C1376" i="14"/>
  <c r="G1375" i="14"/>
  <c r="C1375" i="14"/>
  <c r="G1374" i="14"/>
  <c r="C1374" i="14"/>
  <c r="G1373" i="14"/>
  <c r="C1373" i="14"/>
  <c r="G1372" i="14"/>
  <c r="C1372" i="14"/>
  <c r="G1371" i="14"/>
  <c r="C1371" i="14"/>
  <c r="G1370" i="14"/>
  <c r="C1370" i="14"/>
  <c r="G1369" i="14"/>
  <c r="C1369" i="14"/>
  <c r="G1368" i="14"/>
  <c r="C1368" i="14"/>
  <c r="G1367" i="14"/>
  <c r="C1367" i="14"/>
  <c r="G1366" i="14"/>
  <c r="C1366" i="14"/>
  <c r="G1365" i="14"/>
  <c r="C1365" i="14"/>
  <c r="G1364" i="14"/>
  <c r="C1364" i="14"/>
  <c r="G1363" i="14"/>
  <c r="C1363" i="14"/>
  <c r="G1362" i="14"/>
  <c r="C1362" i="14"/>
  <c r="G1361" i="14"/>
  <c r="C1361" i="14"/>
  <c r="G1360" i="14"/>
  <c r="C1360" i="14"/>
  <c r="G1359" i="14"/>
  <c r="C1359" i="14"/>
  <c r="G1358" i="14"/>
  <c r="C1358" i="14"/>
  <c r="G1357" i="14"/>
  <c r="C1357" i="14"/>
  <c r="G1356" i="14"/>
  <c r="C1356" i="14"/>
  <c r="G1355" i="14"/>
  <c r="C1355" i="14"/>
  <c r="G1354" i="14"/>
  <c r="C1354" i="14"/>
  <c r="G1353" i="14"/>
  <c r="C1353" i="14"/>
  <c r="G1352" i="14"/>
  <c r="C1352" i="14"/>
  <c r="G1351" i="14"/>
  <c r="C1351" i="14"/>
  <c r="G1350" i="14"/>
  <c r="C1350" i="14"/>
  <c r="G1349" i="14"/>
  <c r="C1349" i="14"/>
  <c r="G1348" i="14"/>
  <c r="C1348" i="14"/>
  <c r="G1347" i="14"/>
  <c r="C1347" i="14"/>
  <c r="G1346" i="14"/>
  <c r="C1346" i="14"/>
  <c r="G1345" i="14"/>
  <c r="C1345" i="14"/>
  <c r="G1344" i="14"/>
  <c r="C1344" i="14"/>
  <c r="G1343" i="14"/>
  <c r="C1343" i="14"/>
  <c r="G1342" i="14"/>
  <c r="C1342" i="14"/>
  <c r="G1341" i="14"/>
  <c r="C1341" i="14"/>
  <c r="G1340" i="14"/>
  <c r="C1340" i="14"/>
  <c r="G1339" i="14"/>
  <c r="C1339" i="14"/>
  <c r="G1338" i="14"/>
  <c r="C1338" i="14"/>
  <c r="G1337" i="14"/>
  <c r="C1337" i="14"/>
  <c r="G1336" i="14"/>
  <c r="C1336" i="14"/>
  <c r="G1335" i="14"/>
  <c r="C1335" i="14"/>
  <c r="G1334" i="14"/>
  <c r="C1334" i="14"/>
  <c r="G1333" i="14"/>
  <c r="C1333" i="14"/>
  <c r="G1332" i="14"/>
  <c r="C1332" i="14"/>
  <c r="G1331" i="14"/>
  <c r="C1331" i="14"/>
  <c r="G1330" i="14"/>
  <c r="C1330" i="14"/>
  <c r="G1329" i="14"/>
  <c r="C1329" i="14"/>
  <c r="G1328" i="14"/>
  <c r="C1328" i="14"/>
  <c r="G1327" i="14"/>
  <c r="C1327" i="14"/>
  <c r="G1326" i="14"/>
  <c r="C1326" i="14"/>
  <c r="G1325" i="14"/>
  <c r="C1325" i="14"/>
  <c r="G1324" i="14"/>
  <c r="C1324" i="14"/>
  <c r="G1323" i="14"/>
  <c r="C1323" i="14"/>
  <c r="G1322" i="14"/>
  <c r="C1322" i="14"/>
  <c r="G1321" i="14"/>
  <c r="C1321" i="14"/>
  <c r="G1320" i="14"/>
  <c r="C1320" i="14"/>
  <c r="G1319" i="14"/>
  <c r="C1319" i="14"/>
  <c r="G1318" i="14"/>
  <c r="C1318" i="14"/>
  <c r="G1317" i="14"/>
  <c r="C1317" i="14"/>
  <c r="G1316" i="14"/>
  <c r="C1316" i="14"/>
  <c r="G1315" i="14"/>
  <c r="C1315" i="14"/>
  <c r="G1314" i="14"/>
  <c r="C1314" i="14"/>
  <c r="G1313" i="14"/>
  <c r="C1313" i="14"/>
  <c r="G1312" i="14"/>
  <c r="C1312" i="14"/>
  <c r="G1311" i="14"/>
  <c r="C1311" i="14"/>
  <c r="G1310" i="14"/>
  <c r="C1310" i="14"/>
  <c r="G1309" i="14"/>
  <c r="C1309" i="14"/>
  <c r="G1308" i="14"/>
  <c r="C1308" i="14"/>
  <c r="G1307" i="14"/>
  <c r="C1307" i="14"/>
  <c r="G1306" i="14"/>
  <c r="C1306" i="14"/>
  <c r="G1305" i="14"/>
  <c r="C1305" i="14"/>
  <c r="G1304" i="14"/>
  <c r="C1304" i="14"/>
  <c r="G1303" i="14"/>
  <c r="C1303" i="14"/>
  <c r="G1302" i="14"/>
  <c r="C1302" i="14"/>
  <c r="G1301" i="14"/>
  <c r="C1301" i="14"/>
  <c r="G1300" i="14"/>
  <c r="C1300" i="14"/>
  <c r="G1299" i="14"/>
  <c r="C1299" i="14"/>
  <c r="G1298" i="14"/>
  <c r="C1298" i="14"/>
  <c r="G1297" i="14"/>
  <c r="C1297" i="14"/>
  <c r="G1296" i="14"/>
  <c r="C1296" i="14"/>
  <c r="G1295" i="14"/>
  <c r="C1295" i="14"/>
  <c r="G1294" i="14"/>
  <c r="C1294" i="14"/>
  <c r="G1293" i="14"/>
  <c r="C1293" i="14"/>
  <c r="G1292" i="14"/>
  <c r="C1292" i="14"/>
  <c r="G1291" i="14"/>
  <c r="C1291" i="14"/>
  <c r="G1290" i="14"/>
  <c r="C1290" i="14"/>
  <c r="G1289" i="14"/>
  <c r="C1289" i="14"/>
  <c r="G1288" i="14"/>
  <c r="C1288" i="14"/>
  <c r="G1287" i="14"/>
  <c r="C1287" i="14"/>
  <c r="G1286" i="14"/>
  <c r="C1286" i="14"/>
  <c r="G1285" i="14"/>
  <c r="C1285" i="14"/>
  <c r="G1284" i="14"/>
  <c r="C1284" i="14"/>
  <c r="G1283" i="14"/>
  <c r="C1283" i="14"/>
  <c r="G1282" i="14"/>
  <c r="C1282" i="14"/>
  <c r="G1281" i="14"/>
  <c r="C1281" i="14"/>
  <c r="G1280" i="14"/>
  <c r="C1280" i="14"/>
  <c r="G1279" i="14"/>
  <c r="C1279" i="14"/>
  <c r="G1278" i="14"/>
  <c r="C1278" i="14"/>
  <c r="G1277" i="14"/>
  <c r="C1277" i="14"/>
  <c r="G1276" i="14"/>
  <c r="C1276" i="14"/>
  <c r="G1275" i="14"/>
  <c r="C1275" i="14"/>
  <c r="G1274" i="14"/>
  <c r="C1274" i="14"/>
  <c r="G1273" i="14"/>
  <c r="C1273" i="14"/>
  <c r="G1272" i="14"/>
  <c r="C1272" i="14"/>
  <c r="G1271" i="14"/>
  <c r="C1271" i="14"/>
  <c r="G1270" i="14"/>
  <c r="C1270" i="14"/>
  <c r="G1269" i="14"/>
  <c r="C1269" i="14"/>
  <c r="G1268" i="14"/>
  <c r="C1268" i="14"/>
  <c r="G1267" i="14"/>
  <c r="C1267" i="14"/>
  <c r="G1266" i="14"/>
  <c r="C1266" i="14"/>
  <c r="G1265" i="14"/>
  <c r="C1265" i="14"/>
  <c r="G1264" i="14"/>
  <c r="C1264" i="14"/>
  <c r="G1263" i="14"/>
  <c r="C1263" i="14"/>
  <c r="G1262" i="14"/>
  <c r="C1262" i="14"/>
  <c r="G1261" i="14"/>
  <c r="C1261" i="14"/>
  <c r="G1260" i="14"/>
  <c r="C1260" i="14"/>
  <c r="G1259" i="14"/>
  <c r="C1259" i="14"/>
  <c r="G1258" i="14"/>
  <c r="C1258" i="14"/>
  <c r="G1257" i="14"/>
  <c r="C1257" i="14"/>
  <c r="G1256" i="14"/>
  <c r="C1256" i="14"/>
  <c r="G1255" i="14"/>
  <c r="C1255" i="14"/>
  <c r="G1254" i="14"/>
  <c r="C1254" i="14"/>
  <c r="G1253" i="14"/>
  <c r="C1253" i="14"/>
  <c r="G1252" i="14"/>
  <c r="C1252" i="14"/>
  <c r="G1251" i="14"/>
  <c r="C1251" i="14"/>
  <c r="G1250" i="14"/>
  <c r="C1250" i="14"/>
  <c r="G1249" i="14"/>
  <c r="C1249" i="14"/>
  <c r="G1248" i="14"/>
  <c r="C1248" i="14"/>
  <c r="G1247" i="14"/>
  <c r="C1247" i="14"/>
  <c r="G1246" i="14"/>
  <c r="C1246" i="14"/>
  <c r="G1245" i="14"/>
  <c r="C1245" i="14"/>
  <c r="G1244" i="14"/>
  <c r="C1244" i="14"/>
  <c r="G1243" i="14"/>
  <c r="C1243" i="14"/>
  <c r="G1242" i="14"/>
  <c r="C1242" i="14"/>
  <c r="G1241" i="14"/>
  <c r="C1241" i="14"/>
  <c r="G1240" i="14"/>
  <c r="C1240" i="14"/>
  <c r="G1239" i="14"/>
  <c r="C1239" i="14"/>
  <c r="G1238" i="14"/>
  <c r="C1238" i="14"/>
  <c r="G1237" i="14"/>
  <c r="C1237" i="14"/>
  <c r="G1236" i="14"/>
  <c r="C1236" i="14"/>
  <c r="G1235" i="14"/>
  <c r="C1235" i="14"/>
  <c r="G1234" i="14"/>
  <c r="C1234" i="14"/>
  <c r="G1233" i="14"/>
  <c r="C1233" i="14"/>
  <c r="G1232" i="14"/>
  <c r="C1232" i="14"/>
  <c r="G1231" i="14"/>
  <c r="C1231" i="14"/>
  <c r="G1230" i="14"/>
  <c r="C1230" i="14"/>
  <c r="G1229" i="14"/>
  <c r="C1229" i="14"/>
  <c r="G1228" i="14"/>
  <c r="C1228" i="14"/>
  <c r="G1227" i="14"/>
  <c r="C1227" i="14"/>
  <c r="G1226" i="14"/>
  <c r="C1226" i="14"/>
  <c r="G1225" i="14"/>
  <c r="C1225" i="14"/>
  <c r="G1224" i="14"/>
  <c r="C1224" i="14"/>
  <c r="G1223" i="14"/>
  <c r="C1223" i="14"/>
  <c r="G1222" i="14"/>
  <c r="C1222" i="14"/>
  <c r="G1221" i="14"/>
  <c r="C1221" i="14"/>
  <c r="G1220" i="14"/>
  <c r="C1220" i="14"/>
  <c r="G1219" i="14"/>
  <c r="C1219" i="14"/>
  <c r="G1218" i="14"/>
  <c r="C1218" i="14"/>
  <c r="G1217" i="14"/>
  <c r="C1217" i="14"/>
  <c r="G1216" i="14"/>
  <c r="C1216" i="14"/>
  <c r="G1215" i="14"/>
  <c r="C1215" i="14"/>
  <c r="G1214" i="14"/>
  <c r="C1214" i="14"/>
  <c r="G1213" i="14"/>
  <c r="C1213" i="14"/>
  <c r="G1212" i="14"/>
  <c r="C1212" i="14"/>
  <c r="G1211" i="14"/>
  <c r="C1211" i="14"/>
  <c r="G1210" i="14"/>
  <c r="C1210" i="14"/>
  <c r="G1209" i="14"/>
  <c r="C1209" i="14"/>
  <c r="G1208" i="14"/>
  <c r="C1208" i="14"/>
  <c r="G1207" i="14"/>
  <c r="C1207" i="14"/>
  <c r="G1206" i="14"/>
  <c r="C1206" i="14"/>
  <c r="G1205" i="14"/>
  <c r="C1205" i="14"/>
  <c r="G1204" i="14"/>
  <c r="C1204" i="14"/>
  <c r="G1203" i="14"/>
  <c r="C1203" i="14"/>
  <c r="G1202" i="14"/>
  <c r="C1202" i="14"/>
  <c r="G1201" i="14"/>
  <c r="C1201" i="14"/>
  <c r="G1200" i="14"/>
  <c r="C1200" i="14"/>
  <c r="G1199" i="14"/>
  <c r="C1199" i="14"/>
  <c r="G1198" i="14"/>
  <c r="C1198" i="14"/>
  <c r="G1197" i="14"/>
  <c r="C1197" i="14"/>
  <c r="G1196" i="14"/>
  <c r="C1196" i="14"/>
  <c r="G1195" i="14"/>
  <c r="C1195" i="14"/>
  <c r="G1194" i="14"/>
  <c r="C1194" i="14"/>
  <c r="G1193" i="14"/>
  <c r="C1193" i="14"/>
  <c r="G1192" i="14"/>
  <c r="C1192" i="14"/>
  <c r="G1191" i="14"/>
  <c r="C1191" i="14"/>
  <c r="G1190" i="14"/>
  <c r="C1190" i="14"/>
  <c r="G1189" i="14"/>
  <c r="C1189" i="14"/>
  <c r="G1188" i="14"/>
  <c r="C1188" i="14"/>
  <c r="G1187" i="14"/>
  <c r="C1187" i="14"/>
  <c r="G1186" i="14"/>
  <c r="C1186" i="14"/>
  <c r="G1185" i="14"/>
  <c r="C1185" i="14"/>
  <c r="G1184" i="14"/>
  <c r="C1184" i="14"/>
  <c r="G1183" i="14"/>
  <c r="C1183" i="14"/>
  <c r="G1182" i="14"/>
  <c r="C1182" i="14"/>
  <c r="G1181" i="14"/>
  <c r="C1181" i="14"/>
  <c r="G1180" i="14"/>
  <c r="C1180" i="14"/>
  <c r="G1179" i="14"/>
  <c r="C1179" i="14"/>
  <c r="G1178" i="14"/>
  <c r="C1178" i="14"/>
  <c r="G1177" i="14"/>
  <c r="C1177" i="14"/>
  <c r="G1176" i="14"/>
  <c r="C1176" i="14"/>
  <c r="G1175" i="14"/>
  <c r="C1175" i="14"/>
  <c r="G1174" i="14"/>
  <c r="C1174" i="14"/>
  <c r="G1173" i="14"/>
  <c r="C1173" i="14"/>
  <c r="G1172" i="14"/>
  <c r="C1172" i="14"/>
  <c r="G1171" i="14"/>
  <c r="C1171" i="14"/>
  <c r="G1170" i="14"/>
  <c r="C1170" i="14"/>
  <c r="G1169" i="14"/>
  <c r="C1169" i="14"/>
  <c r="G1168" i="14"/>
  <c r="C1168" i="14"/>
  <c r="G1167" i="14"/>
  <c r="C1167" i="14"/>
  <c r="G1166" i="14"/>
  <c r="C1166" i="14"/>
  <c r="G1165" i="14"/>
  <c r="C1165" i="14"/>
  <c r="G1164" i="14"/>
  <c r="C1164" i="14"/>
  <c r="G1163" i="14"/>
  <c r="C1163" i="14"/>
  <c r="G1162" i="14"/>
  <c r="C1162" i="14"/>
  <c r="G1161" i="14"/>
  <c r="C1161" i="14"/>
  <c r="G1160" i="14"/>
  <c r="C1160" i="14"/>
  <c r="G1159" i="14"/>
  <c r="C1159" i="14"/>
  <c r="G1158" i="14"/>
  <c r="C1158" i="14"/>
  <c r="G1157" i="14"/>
  <c r="C1157" i="14"/>
  <c r="G1156" i="14"/>
  <c r="C1156" i="14"/>
  <c r="G1155" i="14"/>
  <c r="C1155" i="14"/>
  <c r="G1154" i="14"/>
  <c r="C1154" i="14"/>
  <c r="G1153" i="14"/>
  <c r="C1153" i="14"/>
  <c r="G1152" i="14"/>
  <c r="C1152" i="14"/>
  <c r="G1151" i="14"/>
  <c r="C1151" i="14"/>
  <c r="G1150" i="14"/>
  <c r="C1150" i="14"/>
  <c r="G1149" i="14"/>
  <c r="C1149" i="14"/>
  <c r="G1148" i="14"/>
  <c r="C1148" i="14"/>
  <c r="G1147" i="14"/>
  <c r="C1147" i="14"/>
  <c r="G1146" i="14"/>
  <c r="C1146" i="14"/>
  <c r="G1145" i="14"/>
  <c r="C1145" i="14"/>
  <c r="G1144" i="14"/>
  <c r="C1144" i="14"/>
  <c r="G1143" i="14"/>
  <c r="C1143" i="14"/>
  <c r="G1142" i="14"/>
  <c r="C1142" i="14"/>
  <c r="G1141" i="14"/>
  <c r="C1141" i="14"/>
  <c r="G1140" i="14"/>
  <c r="C1140" i="14"/>
  <c r="G1139" i="14"/>
  <c r="C1139" i="14"/>
  <c r="G1138" i="14"/>
  <c r="C1138" i="14"/>
  <c r="G1137" i="14"/>
  <c r="C1137" i="14"/>
  <c r="G1136" i="14"/>
  <c r="C1136" i="14"/>
  <c r="G1135" i="14"/>
  <c r="C1135" i="14"/>
  <c r="G1134" i="14"/>
  <c r="C1134" i="14"/>
  <c r="G1133" i="14"/>
  <c r="C1133" i="14"/>
  <c r="G1132" i="14"/>
  <c r="C1132" i="14"/>
  <c r="G1131" i="14"/>
  <c r="C1131" i="14"/>
  <c r="G1130" i="14"/>
  <c r="C1130" i="14"/>
  <c r="G1129" i="14"/>
  <c r="C1129" i="14"/>
  <c r="G1128" i="14"/>
  <c r="C1128" i="14"/>
  <c r="G1127" i="14"/>
  <c r="C1127" i="14"/>
  <c r="G1126" i="14"/>
  <c r="C1126" i="14"/>
  <c r="G1125" i="14"/>
  <c r="C1125" i="14"/>
  <c r="G1124" i="14"/>
  <c r="C1124" i="14"/>
  <c r="G1123" i="14"/>
  <c r="C1123" i="14"/>
  <c r="G1122" i="14"/>
  <c r="C1122" i="14"/>
  <c r="G1121" i="14"/>
  <c r="C1121" i="14"/>
  <c r="G1120" i="14"/>
  <c r="C1120" i="14"/>
  <c r="G1119" i="14"/>
  <c r="C1119" i="14"/>
  <c r="G1118" i="14"/>
  <c r="C1118" i="14"/>
  <c r="G1117" i="14"/>
  <c r="C1117" i="14"/>
  <c r="G1116" i="14"/>
  <c r="C1116" i="14"/>
  <c r="G1115" i="14"/>
  <c r="C1115" i="14"/>
  <c r="G1114" i="14"/>
  <c r="C1114" i="14"/>
  <c r="G1113" i="14"/>
  <c r="C1113" i="14"/>
  <c r="G1112" i="14"/>
  <c r="C1112" i="14"/>
  <c r="G1111" i="14"/>
  <c r="C1111" i="14"/>
  <c r="G1110" i="14"/>
  <c r="C1110" i="14"/>
  <c r="G1109" i="14"/>
  <c r="C1109" i="14"/>
  <c r="G1108" i="14"/>
  <c r="C1108" i="14"/>
  <c r="G1107" i="14"/>
  <c r="C1107" i="14"/>
  <c r="G1106" i="14"/>
  <c r="C1106" i="14"/>
  <c r="G1105" i="14"/>
  <c r="C1105" i="14"/>
  <c r="G1104" i="14"/>
  <c r="C1104" i="14"/>
  <c r="G1103" i="14"/>
  <c r="C1103" i="14"/>
  <c r="G1102" i="14"/>
  <c r="C1102" i="14"/>
  <c r="G1101" i="14"/>
  <c r="C1101" i="14"/>
  <c r="G1100" i="14"/>
  <c r="C1100" i="14"/>
  <c r="G1099" i="14"/>
  <c r="C1099" i="14"/>
  <c r="G1098" i="14"/>
  <c r="C1098" i="14"/>
  <c r="G1097" i="14"/>
  <c r="C1097" i="14"/>
  <c r="G1096" i="14"/>
  <c r="C1096" i="14"/>
  <c r="G1095" i="14"/>
  <c r="C1095" i="14"/>
  <c r="G1094" i="14"/>
  <c r="C1094" i="14"/>
  <c r="G1093" i="14"/>
  <c r="C1093" i="14"/>
  <c r="G1092" i="14"/>
  <c r="C1092" i="14"/>
  <c r="G1091" i="14"/>
  <c r="C1091" i="14"/>
  <c r="G1090" i="14"/>
  <c r="C1090" i="14"/>
  <c r="G1089" i="14"/>
  <c r="C1089" i="14"/>
  <c r="G1088" i="14"/>
  <c r="C1088" i="14"/>
  <c r="G1087" i="14"/>
  <c r="C1087" i="14"/>
  <c r="G1086" i="14"/>
  <c r="C1086" i="14"/>
  <c r="G1085" i="14"/>
  <c r="C1085" i="14"/>
  <c r="G1084" i="14"/>
  <c r="C1084" i="14"/>
  <c r="G1083" i="14"/>
  <c r="C1083" i="14"/>
  <c r="G1082" i="14"/>
  <c r="C1082" i="14"/>
  <c r="G1081" i="14"/>
  <c r="C1081" i="14"/>
  <c r="G1080" i="14"/>
  <c r="C1080" i="14"/>
  <c r="G1079" i="14"/>
  <c r="C1079" i="14"/>
  <c r="G1078" i="14"/>
  <c r="C1078" i="14"/>
  <c r="G1077" i="14"/>
  <c r="C1077" i="14"/>
  <c r="G1076" i="14"/>
  <c r="C1076" i="14"/>
  <c r="G1075" i="14"/>
  <c r="C1075" i="14"/>
  <c r="G1074" i="14"/>
  <c r="C1074" i="14"/>
  <c r="G1073" i="14"/>
  <c r="C1073" i="14"/>
  <c r="G1072" i="14"/>
  <c r="C1072" i="14"/>
  <c r="G1071" i="14"/>
  <c r="C1071" i="14"/>
  <c r="G1070" i="14"/>
  <c r="C1070" i="14"/>
  <c r="G1069" i="14"/>
  <c r="C1069" i="14"/>
  <c r="G1068" i="14"/>
  <c r="C1068" i="14"/>
  <c r="G1067" i="14"/>
  <c r="C1067" i="14"/>
  <c r="G1066" i="14"/>
  <c r="C1066" i="14"/>
  <c r="G1065" i="14"/>
  <c r="C1065" i="14"/>
  <c r="G1064" i="14"/>
  <c r="C1064" i="14"/>
  <c r="G1063" i="14"/>
  <c r="C1063" i="14"/>
  <c r="G1062" i="14"/>
  <c r="C1062" i="14"/>
  <c r="G1061" i="14"/>
  <c r="C1061" i="14"/>
  <c r="G1060" i="14"/>
  <c r="C1060" i="14"/>
  <c r="G1059" i="14"/>
  <c r="C1059" i="14"/>
  <c r="G1058" i="14"/>
  <c r="C1058" i="14"/>
  <c r="G1057" i="14"/>
  <c r="C1057" i="14"/>
  <c r="G1056" i="14"/>
  <c r="C1056" i="14"/>
  <c r="G1055" i="14"/>
  <c r="C1055" i="14"/>
  <c r="G1054" i="14"/>
  <c r="C1054" i="14"/>
  <c r="G1053" i="14"/>
  <c r="C1053" i="14"/>
  <c r="G1052" i="14"/>
  <c r="C1052" i="14"/>
  <c r="G1051" i="14"/>
  <c r="C1051" i="14"/>
  <c r="G1050" i="14"/>
  <c r="C1050" i="14"/>
  <c r="G1049" i="14"/>
  <c r="C1049" i="14"/>
  <c r="G1048" i="14"/>
  <c r="C1048" i="14"/>
  <c r="G1047" i="14"/>
  <c r="C1047" i="14"/>
  <c r="G1046" i="14"/>
  <c r="C1046" i="14"/>
  <c r="G1045" i="14"/>
  <c r="C1045" i="14"/>
  <c r="G1044" i="14"/>
  <c r="C1044" i="14"/>
  <c r="G1043" i="14"/>
  <c r="C1043" i="14"/>
  <c r="G1042" i="14"/>
  <c r="C1042" i="14"/>
  <c r="G1041" i="14"/>
  <c r="C1041" i="14"/>
  <c r="G1040" i="14"/>
  <c r="C1040" i="14"/>
  <c r="G1039" i="14"/>
  <c r="C1039" i="14"/>
  <c r="G1038" i="14"/>
  <c r="C1038" i="14"/>
  <c r="G1037" i="14"/>
  <c r="C1037" i="14"/>
  <c r="G1036" i="14"/>
  <c r="C1036" i="14"/>
  <c r="G1035" i="14"/>
  <c r="C1035" i="14"/>
  <c r="G1034" i="14"/>
  <c r="C1034" i="14"/>
  <c r="G1033" i="14"/>
  <c r="C1033" i="14"/>
  <c r="G1032" i="14"/>
  <c r="C1032" i="14"/>
  <c r="G1031" i="14"/>
  <c r="C1031" i="14"/>
  <c r="G1030" i="14"/>
  <c r="C1030" i="14"/>
  <c r="G1029" i="14"/>
  <c r="C1029" i="14"/>
  <c r="G1028" i="14"/>
  <c r="C1028" i="14"/>
  <c r="G1027" i="14"/>
  <c r="C1027" i="14"/>
  <c r="G1026" i="14"/>
  <c r="C1026" i="14"/>
  <c r="G1025" i="14"/>
  <c r="C1025" i="14"/>
  <c r="G1024" i="14"/>
  <c r="C1024" i="14"/>
  <c r="G1023" i="14"/>
  <c r="C1023" i="14"/>
  <c r="G1022" i="14"/>
  <c r="C1022" i="14"/>
  <c r="G1021" i="14"/>
  <c r="C1021" i="14"/>
  <c r="G1020" i="14"/>
  <c r="C1020" i="14"/>
  <c r="G1019" i="14"/>
  <c r="C1019" i="14"/>
  <c r="G1018" i="14"/>
  <c r="C1018" i="14"/>
  <c r="G1017" i="14"/>
  <c r="C1017" i="14"/>
  <c r="G1016" i="14"/>
  <c r="C1016" i="14"/>
  <c r="G1015" i="14"/>
  <c r="C1015" i="14"/>
  <c r="G1014" i="14"/>
  <c r="C1014" i="14"/>
  <c r="G1013" i="14"/>
  <c r="C1013" i="14"/>
  <c r="G1012" i="14"/>
  <c r="C1012" i="14"/>
  <c r="G1011" i="14"/>
  <c r="C1011" i="14"/>
  <c r="G1010" i="14"/>
  <c r="C1010" i="14"/>
  <c r="G1009" i="14"/>
  <c r="C1009" i="14"/>
  <c r="G1008" i="14"/>
  <c r="C1008" i="14"/>
  <c r="G1007" i="14"/>
  <c r="C1007" i="14"/>
  <c r="G1006" i="14"/>
  <c r="C1006" i="14"/>
  <c r="G1005" i="14"/>
  <c r="C1005" i="14"/>
  <c r="G1004" i="14"/>
  <c r="C1004" i="14"/>
  <c r="G1003" i="14"/>
  <c r="C1003" i="14"/>
  <c r="G1002" i="14"/>
  <c r="C1002" i="14"/>
  <c r="G1001" i="14"/>
  <c r="C1001" i="14"/>
  <c r="G1000" i="14"/>
  <c r="C1000" i="14"/>
  <c r="G999" i="14"/>
  <c r="C999" i="14"/>
  <c r="G998" i="14"/>
  <c r="C998" i="14"/>
  <c r="G997" i="14"/>
  <c r="C997" i="14"/>
  <c r="G996" i="14"/>
  <c r="C996" i="14"/>
  <c r="G995" i="14"/>
  <c r="C995" i="14"/>
  <c r="G994" i="14"/>
  <c r="C994" i="14"/>
  <c r="G993" i="14"/>
  <c r="C993" i="14"/>
  <c r="G992" i="14"/>
  <c r="C992" i="14"/>
  <c r="G991" i="14"/>
  <c r="C991" i="14"/>
  <c r="G990" i="14"/>
  <c r="C990" i="14"/>
  <c r="G989" i="14"/>
  <c r="C989" i="14"/>
  <c r="G988" i="14"/>
  <c r="C988" i="14"/>
  <c r="G987" i="14"/>
  <c r="C987" i="14"/>
  <c r="G986" i="14"/>
  <c r="C986" i="14"/>
  <c r="G985" i="14"/>
  <c r="C985" i="14"/>
  <c r="G984" i="14"/>
  <c r="C984" i="14"/>
  <c r="G983" i="14"/>
  <c r="C983" i="14"/>
  <c r="G982" i="14"/>
  <c r="C982" i="14"/>
  <c r="G981" i="14"/>
  <c r="C981" i="14"/>
  <c r="G980" i="14"/>
  <c r="C980" i="14"/>
  <c r="G979" i="14"/>
  <c r="C979" i="14"/>
  <c r="G978" i="14"/>
  <c r="C978" i="14"/>
  <c r="G977" i="14"/>
  <c r="C977" i="14"/>
  <c r="G976" i="14"/>
  <c r="C976" i="14"/>
  <c r="G975" i="14"/>
  <c r="C975" i="14"/>
  <c r="G974" i="14"/>
  <c r="C974" i="14"/>
  <c r="G973" i="14"/>
  <c r="C973" i="14"/>
  <c r="G972" i="14"/>
  <c r="C972" i="14"/>
  <c r="G971" i="14"/>
  <c r="C971" i="14"/>
  <c r="G970" i="14"/>
  <c r="C970" i="14"/>
  <c r="G969" i="14"/>
  <c r="C969" i="14"/>
  <c r="G968" i="14"/>
  <c r="C968" i="14"/>
  <c r="G967" i="14"/>
  <c r="C967" i="14"/>
  <c r="G966" i="14"/>
  <c r="C966" i="14"/>
  <c r="G965" i="14"/>
  <c r="C965" i="14"/>
  <c r="G964" i="14"/>
  <c r="C964" i="14"/>
  <c r="G963" i="14"/>
  <c r="C963" i="14"/>
  <c r="G962" i="14"/>
  <c r="C962" i="14"/>
  <c r="G961" i="14"/>
  <c r="C961" i="14"/>
  <c r="G960" i="14"/>
  <c r="C960" i="14"/>
  <c r="G959" i="14"/>
  <c r="C959" i="14"/>
  <c r="G958" i="14"/>
  <c r="C958" i="14"/>
  <c r="G957" i="14"/>
  <c r="C957" i="14"/>
  <c r="G956" i="14"/>
  <c r="C956" i="14"/>
  <c r="G955" i="14"/>
  <c r="C955" i="14"/>
  <c r="G954" i="14"/>
  <c r="C954" i="14"/>
  <c r="G953" i="14"/>
  <c r="C953" i="14"/>
  <c r="G952" i="14"/>
  <c r="C952" i="14"/>
  <c r="G951" i="14"/>
  <c r="C951" i="14"/>
  <c r="G950" i="14"/>
  <c r="C950" i="14"/>
  <c r="G949" i="14"/>
  <c r="C949" i="14"/>
  <c r="G948" i="14"/>
  <c r="C948" i="14"/>
  <c r="G947" i="14"/>
  <c r="C947" i="14"/>
  <c r="G946" i="14"/>
  <c r="C946" i="14"/>
  <c r="G945" i="14"/>
  <c r="C945" i="14"/>
  <c r="G944" i="14"/>
  <c r="C944" i="14"/>
  <c r="G943" i="14"/>
  <c r="C943" i="14"/>
  <c r="G942" i="14"/>
  <c r="C942" i="14"/>
  <c r="G941" i="14"/>
  <c r="C941" i="14"/>
  <c r="G940" i="14"/>
  <c r="C940" i="14"/>
  <c r="G939" i="14"/>
  <c r="C939" i="14"/>
  <c r="G938" i="14"/>
  <c r="C938" i="14"/>
  <c r="G937" i="14"/>
  <c r="C937" i="14"/>
  <c r="G936" i="14"/>
  <c r="C936" i="14"/>
  <c r="G935" i="14"/>
  <c r="C935" i="14"/>
  <c r="G934" i="14"/>
  <c r="C934" i="14"/>
  <c r="G933" i="14"/>
  <c r="C933" i="14"/>
  <c r="G932" i="14"/>
  <c r="C932" i="14"/>
  <c r="G931" i="14"/>
  <c r="C931" i="14"/>
  <c r="G930" i="14"/>
  <c r="C930" i="14"/>
  <c r="G929" i="14"/>
  <c r="C929" i="14"/>
  <c r="G928" i="14"/>
  <c r="C928" i="14"/>
  <c r="G927" i="14"/>
  <c r="C927" i="14"/>
  <c r="G926" i="14"/>
  <c r="C926" i="14"/>
  <c r="G925" i="14"/>
  <c r="C925" i="14"/>
  <c r="G924" i="14"/>
  <c r="C924" i="14"/>
  <c r="G923" i="14"/>
  <c r="C923" i="14"/>
  <c r="G922" i="14"/>
  <c r="C922" i="14"/>
  <c r="G921" i="14"/>
  <c r="C921" i="14"/>
  <c r="G920" i="14"/>
  <c r="C920" i="14"/>
  <c r="G919" i="14"/>
  <c r="C919" i="14"/>
  <c r="G918" i="14"/>
  <c r="C918" i="14"/>
  <c r="G917" i="14"/>
  <c r="C917" i="14"/>
  <c r="G916" i="14"/>
  <c r="C916" i="14"/>
  <c r="G915" i="14"/>
  <c r="C915" i="14"/>
  <c r="G914" i="14"/>
  <c r="C914" i="14"/>
  <c r="G913" i="14"/>
  <c r="C913" i="14"/>
  <c r="G912" i="14"/>
  <c r="C912" i="14"/>
  <c r="G911" i="14"/>
  <c r="C911" i="14"/>
  <c r="G910" i="14"/>
  <c r="C910" i="14"/>
  <c r="G909" i="14"/>
  <c r="C909" i="14"/>
  <c r="G908" i="14"/>
  <c r="C908" i="14"/>
  <c r="G907" i="14"/>
  <c r="C907" i="14"/>
  <c r="G906" i="14"/>
  <c r="C906" i="14"/>
  <c r="G905" i="14"/>
  <c r="C905" i="14"/>
  <c r="G904" i="14"/>
  <c r="C904" i="14"/>
  <c r="G903" i="14"/>
  <c r="C903" i="14"/>
  <c r="G902" i="14"/>
  <c r="C902" i="14"/>
  <c r="G901" i="14"/>
  <c r="C901" i="14"/>
  <c r="G900" i="14"/>
  <c r="C900" i="14"/>
  <c r="G899" i="14"/>
  <c r="C899" i="14"/>
  <c r="G898" i="14"/>
  <c r="C898" i="14"/>
  <c r="G897" i="14"/>
  <c r="C897" i="14"/>
  <c r="G896" i="14"/>
  <c r="C896" i="14"/>
  <c r="G895" i="14"/>
  <c r="C895" i="14"/>
  <c r="G894" i="14"/>
  <c r="C894" i="14"/>
  <c r="G893" i="14"/>
  <c r="C893" i="14"/>
  <c r="G892" i="14"/>
  <c r="C892" i="14"/>
  <c r="G891" i="14"/>
  <c r="C891" i="14"/>
  <c r="G890" i="14"/>
  <c r="C890" i="14"/>
  <c r="G889" i="14"/>
  <c r="C889" i="14"/>
  <c r="G888" i="14"/>
  <c r="C888" i="14"/>
  <c r="G887" i="14"/>
  <c r="C887" i="14"/>
  <c r="G886" i="14"/>
  <c r="C886" i="14"/>
  <c r="G885" i="14"/>
  <c r="C885" i="14"/>
  <c r="G884" i="14"/>
  <c r="C884" i="14"/>
  <c r="G883" i="14"/>
  <c r="C883" i="14"/>
  <c r="G882" i="14"/>
  <c r="C882" i="14"/>
  <c r="G881" i="14"/>
  <c r="C881" i="14"/>
  <c r="G880" i="14"/>
  <c r="C880" i="14"/>
  <c r="G879" i="14"/>
  <c r="C879" i="14"/>
  <c r="G878" i="14"/>
  <c r="C878" i="14"/>
  <c r="G877" i="14"/>
  <c r="C877" i="14"/>
  <c r="G876" i="14"/>
  <c r="C876" i="14"/>
  <c r="G875" i="14"/>
  <c r="C875" i="14"/>
  <c r="G874" i="14"/>
  <c r="C874" i="14"/>
  <c r="G873" i="14"/>
  <c r="C873" i="14"/>
  <c r="G872" i="14"/>
  <c r="C872" i="14"/>
  <c r="G871" i="14"/>
  <c r="C871" i="14"/>
  <c r="G870" i="14"/>
  <c r="C870" i="14"/>
  <c r="G869" i="14"/>
  <c r="C869" i="14"/>
  <c r="G868" i="14"/>
  <c r="C868" i="14"/>
  <c r="G867" i="14"/>
  <c r="C867" i="14"/>
  <c r="G866" i="14"/>
  <c r="C866" i="14"/>
  <c r="G865" i="14"/>
  <c r="C865" i="14"/>
  <c r="G864" i="14"/>
  <c r="C864" i="14"/>
  <c r="G863" i="14"/>
  <c r="C863" i="14"/>
  <c r="G862" i="14"/>
  <c r="C862" i="14"/>
  <c r="G861" i="14"/>
  <c r="C861" i="14"/>
  <c r="G860" i="14"/>
  <c r="C860" i="14"/>
  <c r="G859" i="14"/>
  <c r="C859" i="14"/>
  <c r="G858" i="14"/>
  <c r="C858" i="14"/>
  <c r="G857" i="14"/>
  <c r="C857" i="14"/>
  <c r="G856" i="14"/>
  <c r="C856" i="14"/>
  <c r="G855" i="14"/>
  <c r="C855" i="14"/>
  <c r="G854" i="14"/>
  <c r="C854" i="14"/>
  <c r="G853" i="14"/>
  <c r="C853" i="14"/>
  <c r="G852" i="14"/>
  <c r="C852" i="14"/>
  <c r="G851" i="14"/>
  <c r="C851" i="14"/>
  <c r="G850" i="14"/>
  <c r="C850" i="14"/>
  <c r="G849" i="14"/>
  <c r="C849" i="14"/>
  <c r="G848" i="14"/>
  <c r="C848" i="14"/>
  <c r="G847" i="14"/>
  <c r="C847" i="14"/>
  <c r="G846" i="14"/>
  <c r="C846" i="14"/>
  <c r="G845" i="14"/>
  <c r="C845" i="14"/>
  <c r="G844" i="14"/>
  <c r="C844" i="14"/>
  <c r="G843" i="14"/>
  <c r="C843" i="14"/>
  <c r="G842" i="14"/>
  <c r="C842" i="14"/>
  <c r="G841" i="14"/>
  <c r="C841" i="14"/>
  <c r="G840" i="14"/>
  <c r="C840" i="14"/>
  <c r="G839" i="14"/>
  <c r="C839" i="14"/>
  <c r="G838" i="14"/>
  <c r="C838" i="14"/>
  <c r="G837" i="14"/>
  <c r="C837" i="14"/>
  <c r="G836" i="14"/>
  <c r="C836" i="14"/>
  <c r="G835" i="14"/>
  <c r="C835" i="14"/>
  <c r="G834" i="14"/>
  <c r="C834" i="14"/>
  <c r="G833" i="14"/>
  <c r="C833" i="14"/>
  <c r="G832" i="14"/>
  <c r="C832" i="14"/>
  <c r="G831" i="14"/>
  <c r="C831" i="14"/>
  <c r="G830" i="14"/>
  <c r="C830" i="14"/>
  <c r="G829" i="14"/>
  <c r="C829" i="14"/>
  <c r="G828" i="14"/>
  <c r="C828" i="14"/>
  <c r="G827" i="14"/>
  <c r="C827" i="14"/>
  <c r="G826" i="14"/>
  <c r="C826" i="14"/>
  <c r="G825" i="14"/>
  <c r="C825" i="14"/>
  <c r="G824" i="14"/>
  <c r="C824" i="14"/>
  <c r="G823" i="14"/>
  <c r="C823" i="14"/>
  <c r="G822" i="14"/>
  <c r="C822" i="14"/>
  <c r="G821" i="14"/>
  <c r="C821" i="14"/>
  <c r="G820" i="14"/>
  <c r="C820" i="14"/>
  <c r="G819" i="14"/>
  <c r="C819" i="14"/>
  <c r="G818" i="14"/>
  <c r="C818" i="14"/>
  <c r="G817" i="14"/>
  <c r="C817" i="14"/>
  <c r="G816" i="14"/>
  <c r="C816" i="14"/>
  <c r="G815" i="14"/>
  <c r="C815" i="14"/>
  <c r="G814" i="14"/>
  <c r="C814" i="14"/>
  <c r="G813" i="14"/>
  <c r="C813" i="14"/>
  <c r="G812" i="14"/>
  <c r="C812" i="14"/>
  <c r="G811" i="14"/>
  <c r="C811" i="14"/>
  <c r="G810" i="14"/>
  <c r="C810" i="14"/>
  <c r="G809" i="14"/>
  <c r="C809" i="14"/>
  <c r="G808" i="14"/>
  <c r="C808" i="14"/>
  <c r="G807" i="14"/>
  <c r="C807" i="14"/>
  <c r="G806" i="14"/>
  <c r="C806" i="14"/>
  <c r="G805" i="14"/>
  <c r="C805" i="14"/>
  <c r="G804" i="14"/>
  <c r="C804" i="14"/>
  <c r="G803" i="14"/>
  <c r="C803" i="14"/>
  <c r="G802" i="14"/>
  <c r="C802" i="14"/>
  <c r="G801" i="14"/>
  <c r="C801" i="14"/>
  <c r="G800" i="14"/>
  <c r="C800" i="14"/>
  <c r="G799" i="14"/>
  <c r="C799" i="14"/>
  <c r="G798" i="14"/>
  <c r="C798" i="14"/>
  <c r="G797" i="14"/>
  <c r="C797" i="14"/>
  <c r="G796" i="14"/>
  <c r="C796" i="14"/>
  <c r="G795" i="14"/>
  <c r="C795" i="14"/>
  <c r="G794" i="14"/>
  <c r="C794" i="14"/>
  <c r="G793" i="14"/>
  <c r="C793" i="14"/>
  <c r="G792" i="14"/>
  <c r="C792" i="14"/>
  <c r="G791" i="14"/>
  <c r="C791" i="14"/>
  <c r="G790" i="14"/>
  <c r="C790" i="14"/>
  <c r="G789" i="14"/>
  <c r="C789" i="14"/>
  <c r="G788" i="14"/>
  <c r="C788" i="14"/>
  <c r="G787" i="14"/>
  <c r="C787" i="14"/>
  <c r="G786" i="14"/>
  <c r="C786" i="14"/>
  <c r="G785" i="14"/>
  <c r="C785" i="14"/>
  <c r="G784" i="14"/>
  <c r="C784" i="14"/>
  <c r="G783" i="14"/>
  <c r="C783" i="14"/>
  <c r="G782" i="14"/>
  <c r="C782" i="14"/>
  <c r="G781" i="14"/>
  <c r="C781" i="14"/>
  <c r="G780" i="14"/>
  <c r="C780" i="14"/>
  <c r="G779" i="14"/>
  <c r="C779" i="14"/>
  <c r="G778" i="14"/>
  <c r="C778" i="14"/>
  <c r="G777" i="14"/>
  <c r="C777" i="14"/>
  <c r="G776" i="14"/>
  <c r="C776" i="14"/>
  <c r="G775" i="14"/>
  <c r="C775" i="14"/>
  <c r="G774" i="14"/>
  <c r="C774" i="14"/>
  <c r="G773" i="14"/>
  <c r="C773" i="14"/>
  <c r="G772" i="14"/>
  <c r="C772" i="14"/>
  <c r="G771" i="14"/>
  <c r="C771" i="14"/>
  <c r="G770" i="14"/>
  <c r="C770" i="14"/>
  <c r="G769" i="14"/>
  <c r="C769" i="14"/>
  <c r="G768" i="14"/>
  <c r="C768" i="14"/>
  <c r="G767" i="14"/>
  <c r="C767" i="14"/>
  <c r="G766" i="14"/>
  <c r="C766" i="14"/>
  <c r="G765" i="14"/>
  <c r="C765" i="14"/>
  <c r="G764" i="14"/>
  <c r="C764" i="14"/>
  <c r="G763" i="14"/>
  <c r="C763" i="14"/>
  <c r="G762" i="14"/>
  <c r="C762" i="14"/>
  <c r="G761" i="14"/>
  <c r="C761" i="14"/>
  <c r="G760" i="14"/>
  <c r="C760" i="14"/>
  <c r="G759" i="14"/>
  <c r="C759" i="14"/>
  <c r="G758" i="14"/>
  <c r="C758" i="14"/>
  <c r="G757" i="14"/>
  <c r="C757" i="14"/>
  <c r="G756" i="14"/>
  <c r="C756" i="14"/>
  <c r="G755" i="14"/>
  <c r="C755" i="14"/>
  <c r="G754" i="14"/>
  <c r="C754" i="14"/>
  <c r="G753" i="14"/>
  <c r="C753" i="14"/>
  <c r="G752" i="14"/>
  <c r="C752" i="14"/>
  <c r="G751" i="14"/>
  <c r="C751" i="14"/>
  <c r="G750" i="14"/>
  <c r="C750" i="14"/>
  <c r="G749" i="14"/>
  <c r="C749" i="14"/>
  <c r="G748" i="14"/>
  <c r="C748" i="14"/>
  <c r="G747" i="14"/>
  <c r="C747" i="14"/>
  <c r="G746" i="14"/>
  <c r="C746" i="14"/>
  <c r="G745" i="14"/>
  <c r="C745" i="14"/>
  <c r="G744" i="14"/>
  <c r="C744" i="14"/>
  <c r="G743" i="14"/>
  <c r="C743" i="14"/>
  <c r="G742" i="14"/>
  <c r="C742" i="14"/>
  <c r="G741" i="14"/>
  <c r="C741" i="14"/>
  <c r="G740" i="14"/>
  <c r="C740" i="14"/>
  <c r="G739" i="14"/>
  <c r="C739" i="14"/>
  <c r="G738" i="14"/>
  <c r="C738" i="14"/>
  <c r="G737" i="14"/>
  <c r="C737" i="14"/>
  <c r="G736" i="14"/>
  <c r="C736" i="14"/>
  <c r="G735" i="14"/>
  <c r="C735" i="14"/>
  <c r="G734" i="14"/>
  <c r="C734" i="14"/>
  <c r="G733" i="14"/>
  <c r="C733" i="14"/>
  <c r="G732" i="14"/>
  <c r="C732" i="14"/>
  <c r="G731" i="14"/>
  <c r="C731" i="14"/>
  <c r="G730" i="14"/>
  <c r="C730" i="14"/>
  <c r="G729" i="14"/>
  <c r="C729" i="14"/>
  <c r="G728" i="14"/>
  <c r="C728" i="14"/>
  <c r="G727" i="14"/>
  <c r="C727" i="14"/>
  <c r="G726" i="14"/>
  <c r="C726" i="14"/>
  <c r="G725" i="14"/>
  <c r="C725" i="14"/>
  <c r="G724" i="14"/>
  <c r="C724" i="14"/>
  <c r="G723" i="14"/>
  <c r="C723" i="14"/>
  <c r="G722" i="14"/>
  <c r="C722" i="14"/>
  <c r="G721" i="14"/>
  <c r="C721" i="14"/>
  <c r="G720" i="14"/>
  <c r="C720" i="14"/>
  <c r="G719" i="14"/>
  <c r="C719" i="14"/>
  <c r="G718" i="14"/>
  <c r="C718" i="14"/>
  <c r="G717" i="14"/>
  <c r="C717" i="14"/>
  <c r="G716" i="14"/>
  <c r="C716" i="14"/>
  <c r="G715" i="14"/>
  <c r="C715" i="14"/>
  <c r="G714" i="14"/>
  <c r="C714" i="14"/>
  <c r="G713" i="14"/>
  <c r="C713" i="14"/>
  <c r="G712" i="14"/>
  <c r="C712" i="14"/>
  <c r="G711" i="14"/>
  <c r="C711" i="14"/>
  <c r="G710" i="14"/>
  <c r="C710" i="14"/>
  <c r="G709" i="14"/>
  <c r="C709" i="14"/>
  <c r="G708" i="14"/>
  <c r="C708" i="14"/>
  <c r="G707" i="14"/>
  <c r="C707" i="14"/>
  <c r="G706" i="14"/>
  <c r="C706" i="14"/>
  <c r="G705" i="14"/>
  <c r="C705" i="14"/>
  <c r="G704" i="14"/>
  <c r="C704" i="14"/>
  <c r="G703" i="14"/>
  <c r="C703" i="14"/>
  <c r="G702" i="14"/>
  <c r="C702" i="14"/>
  <c r="G701" i="14"/>
  <c r="C701" i="14"/>
  <c r="G700" i="14"/>
  <c r="C700" i="14"/>
  <c r="G699" i="14"/>
  <c r="C699" i="14"/>
  <c r="G698" i="14"/>
  <c r="C698" i="14"/>
  <c r="G697" i="14"/>
  <c r="C697" i="14"/>
  <c r="G696" i="14"/>
  <c r="C696" i="14"/>
  <c r="G695" i="14"/>
  <c r="C695" i="14"/>
  <c r="G694" i="14"/>
  <c r="C694" i="14"/>
  <c r="G693" i="14"/>
  <c r="C693" i="14"/>
  <c r="G692" i="14"/>
  <c r="C692" i="14"/>
  <c r="G691" i="14"/>
  <c r="C691" i="14"/>
  <c r="G690" i="14"/>
  <c r="C690" i="14"/>
  <c r="G689" i="14"/>
  <c r="C689" i="14"/>
  <c r="G688" i="14"/>
  <c r="C688" i="14"/>
  <c r="G687" i="14"/>
  <c r="C687" i="14"/>
  <c r="G686" i="14"/>
  <c r="C686" i="14"/>
  <c r="G685" i="14"/>
  <c r="C685" i="14"/>
  <c r="G684" i="14"/>
  <c r="C684" i="14"/>
  <c r="G683" i="14"/>
  <c r="C683" i="14"/>
  <c r="G682" i="14"/>
  <c r="C682" i="14"/>
  <c r="G681" i="14"/>
  <c r="C681" i="14"/>
  <c r="G680" i="14"/>
  <c r="C680" i="14"/>
  <c r="G679" i="14"/>
  <c r="C679" i="14"/>
  <c r="G678" i="14"/>
  <c r="C678" i="14"/>
  <c r="G677" i="14"/>
  <c r="C677" i="14"/>
  <c r="G676" i="14"/>
  <c r="C676" i="14"/>
  <c r="G675" i="14"/>
  <c r="C675" i="14"/>
  <c r="G674" i="14"/>
  <c r="C674" i="14"/>
  <c r="G673" i="14"/>
  <c r="C673" i="14"/>
  <c r="G672" i="14"/>
  <c r="C672" i="14"/>
  <c r="G671" i="14"/>
  <c r="C671" i="14"/>
  <c r="G670" i="14"/>
  <c r="C670" i="14"/>
  <c r="G669" i="14"/>
  <c r="C669" i="14"/>
  <c r="G668" i="14"/>
  <c r="C668" i="14"/>
  <c r="G667" i="14"/>
  <c r="C667" i="14"/>
  <c r="G666" i="14"/>
  <c r="C666" i="14"/>
  <c r="G665" i="14"/>
  <c r="C665" i="14"/>
  <c r="G664" i="14"/>
  <c r="C664" i="14"/>
  <c r="G663" i="14"/>
  <c r="C663" i="14"/>
  <c r="G662" i="14"/>
  <c r="C662" i="14"/>
  <c r="G661" i="14"/>
  <c r="C661" i="14"/>
  <c r="G660" i="14"/>
  <c r="C660" i="14"/>
  <c r="G659" i="14"/>
  <c r="C659" i="14"/>
  <c r="G658" i="14"/>
  <c r="C658" i="14"/>
  <c r="G657" i="14"/>
  <c r="C657" i="14"/>
  <c r="G656" i="14"/>
  <c r="C656" i="14"/>
  <c r="G655" i="14"/>
  <c r="C655" i="14"/>
  <c r="G654" i="14"/>
  <c r="C654" i="14"/>
  <c r="G653" i="14"/>
  <c r="C653" i="14"/>
  <c r="G652" i="14"/>
  <c r="C652" i="14"/>
  <c r="G651" i="14"/>
  <c r="C651" i="14"/>
  <c r="G650" i="14"/>
  <c r="C650" i="14"/>
  <c r="G649" i="14"/>
  <c r="C649" i="14"/>
  <c r="G648" i="14"/>
  <c r="C648" i="14"/>
  <c r="G647" i="14"/>
  <c r="C647" i="14"/>
  <c r="G646" i="14"/>
  <c r="C646" i="14"/>
  <c r="G645" i="14"/>
  <c r="C645" i="14"/>
  <c r="G644" i="14"/>
  <c r="C644" i="14"/>
  <c r="G643" i="14"/>
  <c r="C643" i="14"/>
  <c r="G642" i="14"/>
  <c r="C642" i="14"/>
  <c r="G641" i="14"/>
  <c r="C641" i="14"/>
  <c r="G640" i="14"/>
  <c r="C640" i="14"/>
  <c r="G639" i="14"/>
  <c r="C639" i="14"/>
  <c r="G638" i="14"/>
  <c r="C638" i="14"/>
  <c r="G637" i="14"/>
  <c r="C637" i="14"/>
  <c r="G636" i="14"/>
  <c r="C636" i="14"/>
  <c r="G635" i="14"/>
  <c r="C635" i="14"/>
  <c r="G634" i="14"/>
  <c r="C634" i="14"/>
  <c r="G633" i="14"/>
  <c r="C633" i="14"/>
  <c r="G632" i="14"/>
  <c r="C632" i="14"/>
  <c r="G631" i="14"/>
  <c r="C631" i="14"/>
  <c r="G630" i="14"/>
  <c r="C630" i="14"/>
  <c r="G629" i="14"/>
  <c r="C629" i="14"/>
  <c r="G628" i="14"/>
  <c r="C628" i="14"/>
  <c r="G627" i="14"/>
  <c r="C627" i="14"/>
  <c r="G626" i="14"/>
  <c r="C626" i="14"/>
  <c r="G625" i="14"/>
  <c r="C625" i="14"/>
  <c r="G624" i="14"/>
  <c r="C624" i="14"/>
  <c r="G623" i="14"/>
  <c r="C623" i="14"/>
  <c r="G622" i="14"/>
  <c r="C622" i="14"/>
  <c r="G621" i="14"/>
  <c r="C621" i="14"/>
  <c r="G620" i="14"/>
  <c r="C620" i="14"/>
  <c r="G619" i="14"/>
  <c r="C619" i="14"/>
  <c r="G618" i="14"/>
  <c r="C618" i="14"/>
  <c r="G617" i="14"/>
  <c r="C617" i="14"/>
  <c r="G616" i="14"/>
  <c r="C616" i="14"/>
  <c r="G615" i="14"/>
  <c r="C615" i="14"/>
  <c r="G614" i="14"/>
  <c r="C614" i="14"/>
  <c r="G613" i="14"/>
  <c r="C613" i="14"/>
  <c r="G612" i="14"/>
  <c r="C612" i="14"/>
  <c r="G611" i="14"/>
  <c r="C611" i="14"/>
  <c r="G610" i="14"/>
  <c r="C610" i="14"/>
  <c r="G609" i="14"/>
  <c r="C609" i="14"/>
  <c r="G608" i="14"/>
  <c r="C608" i="14"/>
  <c r="G607" i="14"/>
  <c r="C607" i="14"/>
  <c r="G606" i="14"/>
  <c r="C606" i="14"/>
  <c r="G605" i="14"/>
  <c r="C605" i="14"/>
  <c r="G604" i="14"/>
  <c r="C604" i="14"/>
  <c r="G603" i="14"/>
  <c r="C603" i="14"/>
  <c r="G602" i="14"/>
  <c r="C602" i="14"/>
  <c r="G601" i="14"/>
  <c r="C601" i="14"/>
  <c r="G600" i="14"/>
  <c r="C600" i="14"/>
  <c r="G599" i="14"/>
  <c r="C599" i="14"/>
  <c r="G598" i="14"/>
  <c r="C598" i="14"/>
  <c r="G597" i="14"/>
  <c r="C597" i="14"/>
  <c r="G596" i="14"/>
  <c r="C596" i="14"/>
  <c r="G595" i="14"/>
  <c r="C595" i="14"/>
  <c r="G594" i="14"/>
  <c r="C594" i="14"/>
  <c r="G593" i="14"/>
  <c r="C593" i="14"/>
  <c r="G592" i="14"/>
  <c r="C592" i="14"/>
  <c r="G591" i="14"/>
  <c r="C591" i="14"/>
  <c r="G590" i="14"/>
  <c r="C590" i="14"/>
  <c r="G589" i="14"/>
  <c r="C589" i="14"/>
  <c r="G588" i="14"/>
  <c r="C588" i="14"/>
  <c r="G587" i="14"/>
  <c r="C587" i="14"/>
  <c r="G586" i="14"/>
  <c r="C586" i="14"/>
  <c r="G585" i="14"/>
  <c r="C585" i="14"/>
  <c r="G584" i="14"/>
  <c r="C584" i="14"/>
  <c r="G583" i="14"/>
  <c r="C583" i="14"/>
  <c r="G582" i="14"/>
  <c r="C582" i="14"/>
  <c r="G581" i="14"/>
  <c r="C581" i="14"/>
  <c r="G580" i="14"/>
  <c r="C580" i="14"/>
  <c r="G579" i="14"/>
  <c r="C579" i="14"/>
  <c r="G578" i="14"/>
  <c r="C578" i="14"/>
  <c r="G577" i="14"/>
  <c r="C577" i="14"/>
  <c r="G576" i="14"/>
  <c r="C576" i="14"/>
  <c r="G575" i="14"/>
  <c r="C575" i="14"/>
  <c r="G574" i="14"/>
  <c r="C574" i="14"/>
  <c r="G573" i="14"/>
  <c r="C573" i="14"/>
  <c r="G572" i="14"/>
  <c r="C572" i="14"/>
  <c r="G571" i="14"/>
  <c r="C571" i="14"/>
  <c r="G570" i="14"/>
  <c r="C570" i="14"/>
  <c r="G569" i="14"/>
  <c r="C569" i="14"/>
  <c r="G568" i="14"/>
  <c r="C568" i="14"/>
  <c r="G567" i="14"/>
  <c r="C567" i="14"/>
  <c r="G566" i="14"/>
  <c r="C566" i="14"/>
  <c r="G565" i="14"/>
  <c r="C565" i="14"/>
  <c r="G564" i="14"/>
  <c r="C564" i="14"/>
  <c r="G563" i="14"/>
  <c r="C563" i="14"/>
  <c r="G562" i="14"/>
  <c r="C562" i="14"/>
  <c r="G561" i="14"/>
  <c r="C561" i="14"/>
  <c r="G560" i="14"/>
  <c r="C560" i="14"/>
  <c r="G559" i="14"/>
  <c r="C559" i="14"/>
  <c r="G558" i="14"/>
  <c r="C558" i="14"/>
  <c r="G557" i="14"/>
  <c r="C557" i="14"/>
  <c r="G556" i="14"/>
  <c r="C556" i="14"/>
  <c r="G555" i="14"/>
  <c r="C555" i="14"/>
  <c r="G554" i="14"/>
  <c r="C554" i="14"/>
  <c r="G553" i="14"/>
  <c r="C553" i="14"/>
  <c r="G552" i="14"/>
  <c r="C552" i="14"/>
  <c r="G551" i="14"/>
  <c r="C551" i="14"/>
  <c r="G550" i="14"/>
  <c r="C550" i="14"/>
  <c r="G549" i="14"/>
  <c r="C549" i="14"/>
  <c r="G548" i="14"/>
  <c r="C548" i="14"/>
  <c r="G547" i="14"/>
  <c r="C547" i="14"/>
  <c r="G546" i="14"/>
  <c r="C546" i="14"/>
  <c r="G545" i="14"/>
  <c r="C545" i="14"/>
  <c r="G544" i="14"/>
  <c r="C544" i="14"/>
  <c r="G543" i="14"/>
  <c r="C543" i="14"/>
  <c r="G542" i="14"/>
  <c r="C542" i="14"/>
  <c r="G541" i="14"/>
  <c r="C541" i="14"/>
  <c r="G540" i="14"/>
  <c r="C540" i="14"/>
  <c r="G539" i="14"/>
  <c r="C539" i="14"/>
  <c r="G538" i="14"/>
  <c r="C538" i="14"/>
  <c r="G537" i="14"/>
  <c r="C537" i="14"/>
  <c r="G536" i="14"/>
  <c r="C536" i="14"/>
  <c r="G535" i="14"/>
  <c r="C535" i="14"/>
  <c r="G534" i="14"/>
  <c r="C534" i="14"/>
  <c r="G533" i="14"/>
  <c r="C533" i="14"/>
  <c r="G532" i="14"/>
  <c r="C532" i="14"/>
  <c r="G531" i="14"/>
  <c r="C531" i="14"/>
  <c r="G530" i="14"/>
  <c r="C530" i="14"/>
  <c r="G529" i="14"/>
  <c r="C529" i="14"/>
  <c r="G528" i="14"/>
  <c r="C528" i="14"/>
  <c r="G527" i="14"/>
  <c r="C527" i="14"/>
  <c r="G526" i="14"/>
  <c r="C526" i="14"/>
  <c r="G525" i="14"/>
  <c r="C525" i="14"/>
  <c r="G524" i="14"/>
  <c r="C524" i="14"/>
  <c r="G523" i="14"/>
  <c r="C523" i="14"/>
  <c r="G522" i="14"/>
  <c r="C522" i="14"/>
  <c r="G521" i="14"/>
  <c r="C521" i="14"/>
  <c r="G520" i="14"/>
  <c r="C520" i="14"/>
  <c r="G519" i="14"/>
  <c r="C519" i="14"/>
  <c r="G518" i="14"/>
  <c r="C518" i="14"/>
  <c r="G517" i="14"/>
  <c r="C517" i="14"/>
  <c r="G516" i="14"/>
  <c r="C516" i="14"/>
  <c r="G515" i="14"/>
  <c r="C515" i="14"/>
  <c r="G514" i="14"/>
  <c r="C514" i="14"/>
  <c r="G513" i="14"/>
  <c r="C513" i="14"/>
  <c r="G512" i="14"/>
  <c r="C512" i="14"/>
  <c r="G511" i="14"/>
  <c r="C511" i="14"/>
  <c r="G510" i="14"/>
  <c r="C510" i="14"/>
  <c r="G509" i="14"/>
  <c r="C509" i="14"/>
  <c r="G508" i="14"/>
  <c r="C508" i="14"/>
  <c r="G507" i="14"/>
  <c r="C507" i="14"/>
  <c r="G506" i="14"/>
  <c r="C506" i="14"/>
  <c r="G505" i="14"/>
  <c r="C505" i="14"/>
  <c r="G504" i="14"/>
  <c r="C504" i="14"/>
  <c r="G503" i="14"/>
  <c r="C503" i="14"/>
  <c r="G502" i="14"/>
  <c r="C502" i="14"/>
  <c r="G501" i="14"/>
  <c r="C501" i="14"/>
  <c r="G500" i="14"/>
  <c r="C500" i="14"/>
  <c r="G499" i="14"/>
  <c r="C499" i="14"/>
  <c r="G498" i="14"/>
  <c r="C498" i="14"/>
  <c r="G497" i="14"/>
  <c r="C497" i="14"/>
  <c r="G496" i="14"/>
  <c r="C496" i="14"/>
  <c r="G495" i="14"/>
  <c r="C495" i="14"/>
  <c r="G494" i="14"/>
  <c r="C494" i="14"/>
  <c r="G493" i="14"/>
  <c r="C493" i="14"/>
  <c r="G492" i="14"/>
  <c r="C492" i="14"/>
  <c r="G491" i="14"/>
  <c r="C491" i="14"/>
  <c r="G490" i="14"/>
  <c r="C490" i="14"/>
  <c r="G489" i="14"/>
  <c r="C489" i="14"/>
  <c r="G488" i="14"/>
  <c r="C488" i="14"/>
  <c r="G487" i="14"/>
  <c r="C487" i="14"/>
  <c r="G486" i="14"/>
  <c r="C486" i="14"/>
  <c r="G485" i="14"/>
  <c r="C485" i="14"/>
  <c r="G484" i="14"/>
  <c r="C484" i="14"/>
  <c r="G483" i="14"/>
  <c r="C483" i="14"/>
  <c r="G482" i="14"/>
  <c r="C482" i="14"/>
  <c r="G481" i="14"/>
  <c r="C481" i="14"/>
  <c r="G480" i="14"/>
  <c r="C480" i="14"/>
  <c r="G479" i="14"/>
  <c r="C479" i="14"/>
  <c r="G478" i="14"/>
  <c r="C478" i="14"/>
  <c r="G477" i="14"/>
  <c r="C477" i="14"/>
  <c r="G476" i="14"/>
  <c r="C476" i="14"/>
  <c r="G475" i="14"/>
  <c r="C475" i="14"/>
  <c r="G474" i="14"/>
  <c r="C474" i="14"/>
  <c r="G473" i="14"/>
  <c r="C473" i="14"/>
  <c r="G472" i="14"/>
  <c r="C472" i="14"/>
  <c r="G471" i="14"/>
  <c r="C471" i="14"/>
  <c r="G470" i="14"/>
  <c r="C470" i="14"/>
  <c r="G469" i="14"/>
  <c r="C469" i="14"/>
  <c r="G468" i="14"/>
  <c r="C468" i="14"/>
  <c r="G467" i="14"/>
  <c r="C467" i="14"/>
  <c r="G466" i="14"/>
  <c r="C466" i="14"/>
  <c r="G465" i="14"/>
  <c r="C465" i="14"/>
  <c r="G464" i="14"/>
  <c r="C464" i="14"/>
  <c r="G463" i="14"/>
  <c r="C463" i="14"/>
  <c r="G462" i="14"/>
  <c r="C462" i="14"/>
  <c r="G461" i="14"/>
  <c r="C461" i="14"/>
  <c r="G460" i="14"/>
  <c r="C460" i="14"/>
  <c r="G459" i="14"/>
  <c r="C459" i="14"/>
  <c r="G458" i="14"/>
  <c r="C458" i="14"/>
  <c r="G457" i="14"/>
  <c r="C457" i="14"/>
  <c r="G456" i="14"/>
  <c r="C456" i="14"/>
  <c r="G455" i="14"/>
  <c r="C455" i="14"/>
  <c r="G454" i="14"/>
  <c r="C454" i="14"/>
  <c r="G453" i="14"/>
  <c r="C453" i="14"/>
  <c r="G452" i="14"/>
  <c r="C452" i="14"/>
  <c r="G451" i="14"/>
  <c r="C451" i="14"/>
  <c r="G450" i="14"/>
  <c r="C450" i="14"/>
  <c r="G449" i="14"/>
  <c r="C449" i="14"/>
  <c r="G448" i="14"/>
  <c r="C448" i="14"/>
  <c r="G447" i="14"/>
  <c r="C447" i="14"/>
  <c r="G446" i="14"/>
  <c r="C446" i="14"/>
  <c r="G445" i="14"/>
  <c r="C445" i="14"/>
  <c r="G444" i="14"/>
  <c r="C444" i="14"/>
  <c r="G443" i="14"/>
  <c r="C443" i="14"/>
  <c r="G442" i="14"/>
  <c r="C442" i="14"/>
  <c r="G441" i="14"/>
  <c r="C441" i="14"/>
  <c r="G440" i="14"/>
  <c r="C440" i="14"/>
  <c r="G439" i="14"/>
  <c r="C439" i="14"/>
  <c r="G438" i="14"/>
  <c r="C438" i="14"/>
  <c r="G437" i="14"/>
  <c r="C437" i="14"/>
  <c r="G436" i="14"/>
  <c r="C436" i="14"/>
  <c r="G435" i="14"/>
  <c r="C435" i="14"/>
  <c r="G434" i="14"/>
  <c r="C434" i="14"/>
  <c r="G433" i="14"/>
  <c r="C433" i="14"/>
  <c r="G432" i="14"/>
  <c r="C432" i="14"/>
  <c r="G431" i="14"/>
  <c r="C431" i="14"/>
  <c r="G430" i="14"/>
  <c r="C430" i="14"/>
  <c r="G429" i="14"/>
  <c r="C429" i="14"/>
  <c r="G428" i="14"/>
  <c r="C428" i="14"/>
  <c r="G427" i="14"/>
  <c r="C427" i="14"/>
  <c r="G426" i="14"/>
  <c r="C426" i="14"/>
  <c r="G425" i="14"/>
  <c r="C425" i="14"/>
  <c r="G424" i="14"/>
  <c r="C424" i="14"/>
  <c r="G423" i="14"/>
  <c r="C423" i="14"/>
  <c r="G422" i="14"/>
  <c r="C422" i="14"/>
  <c r="G421" i="14"/>
  <c r="C421" i="14"/>
  <c r="G420" i="14"/>
  <c r="C420" i="14"/>
  <c r="G419" i="14"/>
  <c r="C419" i="14"/>
  <c r="G418" i="14"/>
  <c r="C418" i="14"/>
  <c r="G417" i="14"/>
  <c r="C417" i="14"/>
  <c r="G416" i="14"/>
  <c r="C416" i="14"/>
  <c r="G415" i="14"/>
  <c r="C415" i="14"/>
  <c r="G414" i="14"/>
  <c r="C414" i="14"/>
  <c r="G413" i="14"/>
  <c r="C413" i="14"/>
  <c r="G412" i="14"/>
  <c r="C412" i="14"/>
  <c r="G411" i="14"/>
  <c r="C411" i="14"/>
  <c r="G410" i="14"/>
  <c r="C410" i="14"/>
  <c r="G409" i="14"/>
  <c r="C409" i="14"/>
  <c r="G408" i="14"/>
  <c r="C408" i="14"/>
  <c r="G407" i="14"/>
  <c r="C407" i="14"/>
  <c r="G406" i="14"/>
  <c r="C406" i="14"/>
  <c r="G405" i="14"/>
  <c r="C405" i="14"/>
  <c r="G404" i="14"/>
  <c r="C404" i="14"/>
  <c r="G403" i="14"/>
  <c r="C403" i="14"/>
  <c r="G402" i="14"/>
  <c r="C402" i="14"/>
  <c r="G401" i="14"/>
  <c r="C401" i="14"/>
  <c r="G400" i="14"/>
  <c r="C400" i="14"/>
  <c r="G399" i="14"/>
  <c r="C399" i="14"/>
  <c r="G398" i="14"/>
  <c r="C398" i="14"/>
  <c r="G397" i="14"/>
  <c r="C397" i="14"/>
  <c r="G396" i="14"/>
  <c r="C396" i="14"/>
  <c r="G395" i="14"/>
  <c r="C395" i="14"/>
  <c r="G394" i="14"/>
  <c r="C394" i="14"/>
  <c r="G393" i="14"/>
  <c r="C393" i="14"/>
  <c r="G392" i="14"/>
  <c r="C392" i="14"/>
  <c r="G391" i="14"/>
  <c r="C391" i="14"/>
  <c r="G390" i="14"/>
  <c r="C390" i="14"/>
  <c r="G389" i="14"/>
  <c r="C389" i="14"/>
  <c r="G388" i="14"/>
  <c r="C388" i="14"/>
  <c r="G387" i="14"/>
  <c r="C387" i="14"/>
  <c r="G386" i="14"/>
  <c r="C386" i="14"/>
  <c r="G385" i="14"/>
  <c r="C385" i="14"/>
  <c r="G384" i="14"/>
  <c r="C384" i="14"/>
  <c r="G383" i="14"/>
  <c r="C383" i="14"/>
  <c r="G382" i="14"/>
  <c r="C382" i="14"/>
  <c r="G381" i="14"/>
  <c r="C381" i="14"/>
  <c r="G380" i="14"/>
  <c r="C380" i="14"/>
  <c r="G379" i="14"/>
  <c r="C379" i="14"/>
  <c r="G378" i="14"/>
  <c r="C378" i="14"/>
  <c r="G377" i="14"/>
  <c r="C377" i="14"/>
  <c r="G376" i="14"/>
  <c r="C376" i="14"/>
  <c r="G375" i="14"/>
  <c r="C375" i="14"/>
  <c r="G374" i="14"/>
  <c r="C374" i="14"/>
  <c r="G373" i="14"/>
  <c r="C373" i="14"/>
  <c r="G372" i="14"/>
  <c r="C372" i="14"/>
  <c r="G371" i="14"/>
  <c r="C371" i="14"/>
  <c r="G370" i="14"/>
  <c r="C370" i="14"/>
  <c r="G369" i="14"/>
  <c r="C369" i="14"/>
  <c r="G368" i="14"/>
  <c r="C368" i="14"/>
  <c r="G367" i="14"/>
  <c r="C367" i="14"/>
  <c r="G366" i="14"/>
  <c r="C366" i="14"/>
  <c r="G365" i="14"/>
  <c r="C365" i="14"/>
  <c r="G364" i="14"/>
  <c r="C364" i="14"/>
  <c r="G363" i="14"/>
  <c r="C363" i="14"/>
  <c r="G362" i="14"/>
  <c r="C362" i="14"/>
  <c r="G361" i="14"/>
  <c r="C361" i="14"/>
  <c r="G360" i="14"/>
  <c r="C360" i="14"/>
  <c r="G359" i="14"/>
  <c r="C359" i="14"/>
  <c r="G358" i="14"/>
  <c r="C358" i="14"/>
  <c r="G357" i="14"/>
  <c r="C357" i="14"/>
  <c r="G356" i="14"/>
  <c r="C356" i="14"/>
  <c r="G355" i="14"/>
  <c r="C355" i="14"/>
  <c r="G354" i="14"/>
  <c r="C354" i="14"/>
  <c r="G353" i="14"/>
  <c r="C353" i="14"/>
  <c r="G352" i="14"/>
  <c r="C352" i="14"/>
  <c r="G351" i="14"/>
  <c r="C351" i="14"/>
  <c r="G350" i="14"/>
  <c r="C350" i="14"/>
  <c r="G349" i="14"/>
  <c r="C349" i="14"/>
  <c r="G348" i="14"/>
  <c r="C348" i="14"/>
  <c r="G347" i="14"/>
  <c r="C347" i="14"/>
  <c r="G346" i="14"/>
  <c r="C346" i="14"/>
  <c r="G345" i="14"/>
  <c r="C345" i="14"/>
  <c r="G344" i="14"/>
  <c r="C344" i="14"/>
  <c r="G343" i="14"/>
  <c r="C343" i="14"/>
  <c r="G342" i="14"/>
  <c r="C342" i="14"/>
  <c r="G341" i="14"/>
  <c r="C341" i="14"/>
  <c r="G340" i="14"/>
  <c r="C340" i="14"/>
  <c r="G339" i="14"/>
  <c r="C339" i="14"/>
  <c r="G338" i="14"/>
  <c r="C338" i="14"/>
  <c r="G337" i="14"/>
  <c r="C337" i="14"/>
  <c r="G336" i="14"/>
  <c r="C336" i="14"/>
  <c r="G335" i="14"/>
  <c r="C335" i="14"/>
  <c r="G334" i="14"/>
  <c r="C334" i="14"/>
  <c r="G333" i="14"/>
  <c r="C333" i="14"/>
  <c r="G332" i="14"/>
  <c r="C332" i="14"/>
  <c r="G331" i="14"/>
  <c r="C331" i="14"/>
  <c r="G330" i="14"/>
  <c r="C330" i="14"/>
  <c r="G329" i="14"/>
  <c r="C329" i="14"/>
  <c r="G328" i="14"/>
  <c r="C328" i="14"/>
  <c r="G327" i="14"/>
  <c r="C327" i="14"/>
  <c r="G326" i="14"/>
  <c r="C326" i="14"/>
  <c r="G325" i="14"/>
  <c r="C325" i="14"/>
  <c r="G324" i="14"/>
  <c r="C324" i="14"/>
  <c r="G323" i="14"/>
  <c r="C323" i="14"/>
  <c r="G322" i="14"/>
  <c r="C322" i="14"/>
  <c r="G321" i="14"/>
  <c r="C321" i="14"/>
  <c r="G320" i="14"/>
  <c r="C320" i="14"/>
  <c r="G319" i="14"/>
  <c r="C319" i="14"/>
  <c r="G318" i="14"/>
  <c r="C318" i="14"/>
  <c r="G317" i="14"/>
  <c r="C317" i="14"/>
  <c r="G316" i="14"/>
  <c r="C316" i="14"/>
  <c r="G315" i="14"/>
  <c r="C315" i="14"/>
  <c r="G314" i="14"/>
  <c r="C314" i="14"/>
  <c r="G313" i="14"/>
  <c r="C313" i="14"/>
  <c r="G312" i="14"/>
  <c r="C312" i="14"/>
  <c r="G311" i="14"/>
  <c r="C311" i="14"/>
  <c r="G310" i="14"/>
  <c r="C310" i="14"/>
  <c r="G309" i="14"/>
  <c r="C309" i="14"/>
  <c r="G308" i="14"/>
  <c r="C308" i="14"/>
  <c r="G307" i="14"/>
  <c r="C307" i="14"/>
  <c r="G306" i="14"/>
  <c r="C306" i="14"/>
  <c r="G305" i="14"/>
  <c r="C305" i="14"/>
  <c r="G304" i="14"/>
  <c r="C304" i="14"/>
  <c r="G303" i="14"/>
  <c r="C303" i="14"/>
  <c r="G302" i="14"/>
  <c r="C302" i="14"/>
  <c r="G301" i="14"/>
  <c r="C301" i="14"/>
  <c r="G300" i="14"/>
  <c r="C300" i="14"/>
  <c r="G299" i="14"/>
  <c r="C299" i="14"/>
  <c r="G298" i="14"/>
  <c r="C298" i="14"/>
  <c r="G297" i="14"/>
  <c r="C297" i="14"/>
  <c r="G296" i="14"/>
  <c r="C296" i="14"/>
  <c r="G295" i="14"/>
  <c r="C295" i="14"/>
  <c r="G294" i="14"/>
  <c r="C294" i="14"/>
  <c r="G293" i="14"/>
  <c r="C293" i="14"/>
  <c r="G292" i="14"/>
  <c r="C292" i="14"/>
  <c r="G291" i="14"/>
  <c r="C291" i="14"/>
  <c r="G290" i="14"/>
  <c r="C290" i="14"/>
  <c r="G289" i="14"/>
  <c r="C289" i="14"/>
  <c r="G288" i="14"/>
  <c r="C288" i="14"/>
  <c r="G287" i="14"/>
  <c r="C287" i="14"/>
  <c r="G286" i="14"/>
  <c r="C286" i="14"/>
  <c r="G285" i="14"/>
  <c r="C285" i="14"/>
  <c r="G284" i="14"/>
  <c r="C284" i="14"/>
  <c r="G283" i="14"/>
  <c r="C283" i="14"/>
  <c r="G282" i="14"/>
  <c r="C282" i="14"/>
  <c r="G281" i="14"/>
  <c r="C281" i="14"/>
  <c r="G280" i="14"/>
  <c r="C280" i="14"/>
  <c r="G279" i="14"/>
  <c r="C279" i="14"/>
  <c r="G278" i="14"/>
  <c r="C278" i="14"/>
  <c r="G277" i="14"/>
  <c r="C277" i="14"/>
  <c r="G276" i="14"/>
  <c r="C276" i="14"/>
  <c r="G275" i="14"/>
  <c r="C275" i="14"/>
  <c r="G274" i="14"/>
  <c r="C274" i="14"/>
  <c r="G273" i="14"/>
  <c r="C273" i="14"/>
  <c r="G272" i="14"/>
  <c r="C272" i="14"/>
  <c r="G271" i="14"/>
  <c r="C271" i="14"/>
  <c r="G270" i="14"/>
  <c r="C270" i="14"/>
  <c r="G269" i="14"/>
  <c r="C269" i="14"/>
  <c r="G268" i="14"/>
  <c r="C268" i="14"/>
  <c r="G267" i="14"/>
  <c r="C267" i="14"/>
  <c r="G266" i="14"/>
  <c r="C266" i="14"/>
  <c r="G265" i="14"/>
  <c r="C265" i="14"/>
  <c r="G264" i="14"/>
  <c r="C264" i="14"/>
  <c r="G263" i="14"/>
  <c r="C263" i="14"/>
  <c r="G262" i="14"/>
  <c r="C262" i="14"/>
  <c r="G261" i="14"/>
  <c r="C261" i="14"/>
  <c r="G260" i="14"/>
  <c r="C260" i="14"/>
  <c r="G259" i="14"/>
  <c r="C259" i="14"/>
  <c r="G258" i="14"/>
  <c r="C258" i="14"/>
  <c r="G257" i="14"/>
  <c r="C257" i="14"/>
  <c r="G256" i="14"/>
  <c r="C256" i="14"/>
  <c r="G255" i="14"/>
  <c r="C255" i="14"/>
  <c r="G254" i="14"/>
  <c r="C254" i="14"/>
  <c r="G253" i="14"/>
  <c r="C253" i="14"/>
  <c r="G252" i="14"/>
  <c r="C252" i="14"/>
  <c r="G251" i="14"/>
  <c r="C251" i="14"/>
  <c r="G250" i="14"/>
  <c r="C250" i="14"/>
  <c r="G249" i="14"/>
  <c r="C249" i="14"/>
  <c r="G248" i="14"/>
  <c r="C248" i="14"/>
  <c r="G247" i="14"/>
  <c r="C247" i="14"/>
  <c r="G246" i="14"/>
  <c r="C246" i="14"/>
  <c r="G245" i="14"/>
  <c r="C245" i="14"/>
  <c r="G244" i="14"/>
  <c r="C244" i="14"/>
  <c r="G243" i="14"/>
  <c r="C243" i="14"/>
  <c r="G242" i="14"/>
  <c r="C242" i="14"/>
  <c r="G241" i="14"/>
  <c r="C241" i="14"/>
  <c r="G240" i="14"/>
  <c r="C240" i="14"/>
  <c r="G239" i="14"/>
  <c r="C239" i="14"/>
  <c r="G238" i="14"/>
  <c r="C238" i="14"/>
  <c r="G237" i="14"/>
  <c r="C237" i="14"/>
  <c r="G236" i="14"/>
  <c r="C236" i="14"/>
  <c r="G235" i="14"/>
  <c r="C235" i="14"/>
  <c r="G234" i="14"/>
  <c r="C234" i="14"/>
  <c r="G233" i="14"/>
  <c r="C233" i="14"/>
  <c r="G232" i="14"/>
  <c r="C232" i="14"/>
  <c r="G231" i="14"/>
  <c r="C231" i="14"/>
  <c r="G230" i="14"/>
  <c r="C230" i="14"/>
  <c r="G229" i="14"/>
  <c r="C229" i="14"/>
  <c r="G228" i="14"/>
  <c r="C228" i="14"/>
  <c r="G227" i="14"/>
  <c r="C227" i="14"/>
  <c r="G226" i="14"/>
  <c r="C226" i="14"/>
  <c r="G225" i="14"/>
  <c r="C225" i="14"/>
  <c r="G224" i="14"/>
  <c r="C224" i="14"/>
  <c r="G223" i="14"/>
  <c r="C223" i="14"/>
  <c r="G222" i="14"/>
  <c r="C222" i="14"/>
  <c r="G221" i="14"/>
  <c r="C221" i="14"/>
  <c r="G220" i="14"/>
  <c r="C220" i="14"/>
  <c r="G219" i="14"/>
  <c r="C219" i="14"/>
  <c r="G218" i="14"/>
  <c r="C218" i="14"/>
  <c r="G217" i="14"/>
  <c r="C217" i="14"/>
  <c r="G216" i="14"/>
  <c r="C216" i="14"/>
  <c r="G215" i="14"/>
  <c r="C215" i="14"/>
  <c r="G214" i="14"/>
  <c r="C214" i="14"/>
  <c r="G213" i="14"/>
  <c r="C213" i="14"/>
  <c r="G212" i="14"/>
  <c r="C212" i="14"/>
  <c r="G211" i="14"/>
  <c r="C211" i="14"/>
  <c r="G210" i="14"/>
  <c r="C210" i="14"/>
  <c r="G209" i="14"/>
  <c r="C209" i="14"/>
  <c r="G208" i="14"/>
  <c r="C208" i="14"/>
  <c r="G207" i="14"/>
  <c r="C207" i="14"/>
  <c r="G206" i="14"/>
  <c r="C206" i="14"/>
  <c r="G205" i="14"/>
  <c r="C205" i="14"/>
  <c r="G204" i="14"/>
  <c r="C204" i="14"/>
  <c r="G203" i="14"/>
  <c r="C203" i="14"/>
  <c r="G202" i="14"/>
  <c r="C202" i="14"/>
  <c r="G201" i="14"/>
  <c r="C201" i="14"/>
  <c r="G200" i="14"/>
  <c r="C200" i="14"/>
  <c r="G199" i="14"/>
  <c r="C199" i="14"/>
  <c r="G198" i="14"/>
  <c r="C198" i="14"/>
  <c r="G197" i="14"/>
  <c r="C197" i="14"/>
  <c r="G196" i="14"/>
  <c r="C196" i="14"/>
  <c r="G195" i="14"/>
  <c r="C195" i="14"/>
  <c r="G194" i="14"/>
  <c r="C194" i="14"/>
  <c r="G193" i="14"/>
  <c r="C193" i="14"/>
  <c r="G192" i="14"/>
  <c r="C192" i="14"/>
  <c r="G191" i="14"/>
  <c r="C191" i="14"/>
  <c r="G190" i="14"/>
  <c r="C190" i="14"/>
  <c r="G189" i="14"/>
  <c r="C189" i="14"/>
  <c r="G188" i="14"/>
  <c r="C188" i="14"/>
  <c r="G187" i="14"/>
  <c r="C187" i="14"/>
  <c r="G186" i="14"/>
  <c r="C186" i="14"/>
  <c r="G185" i="14"/>
  <c r="C185" i="14"/>
  <c r="G184" i="14"/>
  <c r="C184" i="14"/>
  <c r="G183" i="14"/>
  <c r="C183" i="14"/>
  <c r="G182" i="14"/>
  <c r="C182" i="14"/>
  <c r="G181" i="14"/>
  <c r="C181" i="14"/>
  <c r="G180" i="14"/>
  <c r="C180" i="14"/>
  <c r="G179" i="14"/>
  <c r="C179" i="14"/>
  <c r="G178" i="14"/>
  <c r="C178" i="14"/>
  <c r="G177" i="14"/>
  <c r="C177" i="14"/>
  <c r="G176" i="14"/>
  <c r="C176" i="14"/>
  <c r="G175" i="14"/>
  <c r="C175" i="14"/>
  <c r="G174" i="14"/>
  <c r="C174" i="14"/>
  <c r="G173" i="14"/>
  <c r="C173" i="14"/>
  <c r="G172" i="14"/>
  <c r="C172" i="14"/>
  <c r="G171" i="14"/>
  <c r="C171" i="14"/>
  <c r="G170" i="14"/>
  <c r="C170" i="14"/>
  <c r="G169" i="14"/>
  <c r="C169" i="14"/>
  <c r="G168" i="14"/>
  <c r="C168" i="14"/>
  <c r="G167" i="14"/>
  <c r="C167" i="14"/>
  <c r="G166" i="14"/>
  <c r="C166" i="14"/>
  <c r="G165" i="14"/>
  <c r="C165" i="14"/>
  <c r="G164" i="14"/>
  <c r="C164" i="14"/>
  <c r="G163" i="14"/>
  <c r="C163" i="14"/>
  <c r="G162" i="14"/>
  <c r="C162" i="14"/>
  <c r="G161" i="14"/>
  <c r="C161" i="14"/>
  <c r="G160" i="14"/>
  <c r="C160" i="14"/>
  <c r="G159" i="14"/>
  <c r="C159" i="14"/>
  <c r="G158" i="14"/>
  <c r="C158" i="14"/>
  <c r="G157" i="14"/>
  <c r="C157" i="14"/>
  <c r="G156" i="14"/>
  <c r="C156" i="14"/>
  <c r="G155" i="14"/>
  <c r="C155" i="14"/>
  <c r="G154" i="14"/>
  <c r="C154" i="14"/>
  <c r="G153" i="14"/>
  <c r="C153" i="14"/>
  <c r="G152" i="14"/>
  <c r="C152" i="14"/>
  <c r="G151" i="14"/>
  <c r="C151" i="14"/>
  <c r="G150" i="14"/>
  <c r="C150" i="14"/>
  <c r="G149" i="14"/>
  <c r="C149" i="14"/>
  <c r="G148" i="14"/>
  <c r="C148" i="14"/>
  <c r="G147" i="14"/>
  <c r="C147" i="14"/>
  <c r="G146" i="14"/>
  <c r="C146" i="14"/>
  <c r="G145" i="14"/>
  <c r="C145" i="14"/>
  <c r="G144" i="14"/>
  <c r="C144" i="14"/>
  <c r="G143" i="14"/>
  <c r="C143" i="14"/>
  <c r="G142" i="14"/>
  <c r="C142" i="14"/>
  <c r="G141" i="14"/>
  <c r="C141" i="14"/>
  <c r="G140" i="14"/>
  <c r="C140" i="14"/>
  <c r="G139" i="14"/>
  <c r="C139" i="14"/>
  <c r="G138" i="14"/>
  <c r="C138" i="14"/>
  <c r="G137" i="14"/>
  <c r="C137" i="14"/>
  <c r="G136" i="14"/>
  <c r="C136" i="14"/>
  <c r="G135" i="14"/>
  <c r="C135" i="14"/>
  <c r="G134" i="14"/>
  <c r="C134" i="14"/>
  <c r="G133" i="14"/>
  <c r="C133" i="14"/>
  <c r="G132" i="14"/>
  <c r="C132" i="14"/>
  <c r="G131" i="14"/>
  <c r="C131" i="14"/>
  <c r="G130" i="14"/>
  <c r="C130" i="14"/>
  <c r="G129" i="14"/>
  <c r="C129" i="14"/>
  <c r="G128" i="14"/>
  <c r="C128" i="14"/>
  <c r="G127" i="14"/>
  <c r="C127" i="14"/>
  <c r="G126" i="14"/>
  <c r="C126" i="14"/>
  <c r="G125" i="14"/>
  <c r="C125" i="14"/>
  <c r="G124" i="14"/>
  <c r="C124" i="14"/>
  <c r="G123" i="14"/>
  <c r="C123" i="14"/>
  <c r="G122" i="14"/>
  <c r="C122" i="14"/>
  <c r="G121" i="14"/>
  <c r="C121" i="14"/>
  <c r="G120" i="14"/>
  <c r="C120" i="14"/>
  <c r="G119" i="14"/>
  <c r="C119" i="14"/>
  <c r="G118" i="14"/>
  <c r="C118" i="14"/>
  <c r="G117" i="14"/>
  <c r="C117" i="14"/>
  <c r="G116" i="14"/>
  <c r="C116" i="14"/>
  <c r="G115" i="14"/>
  <c r="C115" i="14"/>
  <c r="G114" i="14"/>
  <c r="C114" i="14"/>
  <c r="G113" i="14"/>
  <c r="C113" i="14"/>
  <c r="G112" i="14"/>
  <c r="C112" i="14"/>
  <c r="G111" i="14"/>
  <c r="C111" i="14"/>
  <c r="G110" i="14"/>
  <c r="C110" i="14"/>
  <c r="G109" i="14"/>
  <c r="C109" i="14"/>
  <c r="G108" i="14"/>
  <c r="C108" i="14"/>
  <c r="G107" i="14"/>
  <c r="C107" i="14"/>
  <c r="G106" i="14"/>
  <c r="C106" i="14"/>
  <c r="G105" i="14"/>
  <c r="C105" i="14"/>
  <c r="G104" i="14"/>
  <c r="C104" i="14"/>
  <c r="G103" i="14"/>
  <c r="C103" i="14"/>
  <c r="G102" i="14"/>
  <c r="C102" i="14"/>
  <c r="G101" i="14"/>
  <c r="C101" i="14"/>
  <c r="G100" i="14"/>
  <c r="C100" i="14"/>
  <c r="G99" i="14"/>
  <c r="C99" i="14"/>
  <c r="G98" i="14"/>
  <c r="C98" i="14"/>
  <c r="G97" i="14"/>
  <c r="C97" i="14"/>
  <c r="G96" i="14"/>
  <c r="C96" i="14"/>
  <c r="G95" i="14"/>
  <c r="C95" i="14"/>
  <c r="G94" i="14"/>
  <c r="C94" i="14"/>
  <c r="G93" i="14"/>
  <c r="C93" i="14"/>
  <c r="G92" i="14"/>
  <c r="C92" i="14"/>
  <c r="G91" i="14"/>
  <c r="C91" i="14"/>
  <c r="G90" i="14"/>
  <c r="C90" i="14"/>
  <c r="G89" i="14"/>
  <c r="C89" i="14"/>
  <c r="G88" i="14"/>
  <c r="C88" i="14"/>
  <c r="G87" i="14"/>
  <c r="C87" i="14"/>
  <c r="G86" i="14"/>
  <c r="C86" i="14"/>
  <c r="G85" i="14"/>
  <c r="C85" i="14"/>
  <c r="G84" i="14"/>
  <c r="C84" i="14"/>
  <c r="G83" i="14"/>
  <c r="C83" i="14"/>
  <c r="G82" i="14"/>
  <c r="C82" i="14"/>
  <c r="G81" i="14"/>
  <c r="C81" i="14"/>
  <c r="G80" i="14"/>
  <c r="C80" i="14"/>
  <c r="G79" i="14"/>
  <c r="C79" i="14"/>
  <c r="G78" i="14"/>
  <c r="C78" i="14"/>
  <c r="G77" i="14"/>
  <c r="C77" i="14"/>
  <c r="G76" i="14"/>
  <c r="C76" i="14"/>
  <c r="G75" i="14"/>
  <c r="C75" i="14"/>
  <c r="G74" i="14"/>
  <c r="C74" i="14"/>
  <c r="G73" i="14"/>
  <c r="C73" i="14"/>
  <c r="G72" i="14"/>
  <c r="C72" i="14"/>
  <c r="G71" i="14"/>
  <c r="C71" i="14"/>
  <c r="G70" i="14"/>
  <c r="C70" i="14"/>
  <c r="G69" i="14"/>
  <c r="C69" i="14"/>
  <c r="G68" i="14"/>
  <c r="C68" i="14"/>
  <c r="G67" i="14"/>
  <c r="C67" i="14"/>
  <c r="G66" i="14"/>
  <c r="C66" i="14"/>
  <c r="G65" i="14"/>
  <c r="C65" i="14"/>
  <c r="G64" i="14"/>
  <c r="C64" i="14"/>
  <c r="G63" i="14"/>
  <c r="C63" i="14"/>
  <c r="G62" i="14"/>
  <c r="C62" i="14"/>
  <c r="G61" i="14"/>
  <c r="C61" i="14"/>
  <c r="G60" i="14"/>
  <c r="C60" i="14"/>
  <c r="G59" i="14"/>
  <c r="C59" i="14"/>
  <c r="G58" i="14"/>
  <c r="C58" i="14"/>
  <c r="G57" i="14"/>
  <c r="C57" i="14"/>
  <c r="G56" i="14"/>
  <c r="C56" i="14"/>
  <c r="G55" i="14"/>
  <c r="C55" i="14"/>
  <c r="G54" i="14"/>
  <c r="C54" i="14"/>
  <c r="G53" i="14"/>
  <c r="C53" i="14"/>
  <c r="G52" i="14"/>
  <c r="C52" i="14"/>
  <c r="G51" i="14"/>
  <c r="C51" i="14"/>
  <c r="G50" i="14"/>
  <c r="C50" i="14"/>
  <c r="G49" i="14"/>
  <c r="C49" i="14"/>
  <c r="G48" i="14"/>
  <c r="C48" i="14"/>
  <c r="G47" i="14"/>
  <c r="C47" i="14"/>
  <c r="G46" i="14"/>
  <c r="C46" i="14"/>
  <c r="G45" i="14"/>
  <c r="C45" i="14"/>
  <c r="G44" i="14"/>
  <c r="C44" i="14"/>
  <c r="G43" i="14"/>
  <c r="C43" i="14"/>
  <c r="G42" i="14"/>
  <c r="C42" i="14"/>
  <c r="G41" i="14"/>
  <c r="C41" i="14"/>
  <c r="G40" i="14"/>
  <c r="C40" i="14"/>
  <c r="G39" i="14"/>
  <c r="C39" i="14"/>
  <c r="G38" i="14"/>
  <c r="C38" i="14"/>
  <c r="G37" i="14"/>
  <c r="C37" i="14"/>
  <c r="G36" i="14"/>
  <c r="C36" i="14"/>
  <c r="G35" i="14"/>
  <c r="C35" i="14"/>
  <c r="G34" i="14"/>
  <c r="C34" i="14"/>
  <c r="G33" i="14"/>
  <c r="C33" i="14"/>
  <c r="G32" i="14"/>
  <c r="C32" i="14"/>
  <c r="G31" i="14"/>
  <c r="C31" i="14"/>
  <c r="G30" i="14"/>
  <c r="C30" i="14"/>
  <c r="G29" i="14"/>
  <c r="C29" i="14"/>
  <c r="G28" i="14"/>
  <c r="C28" i="14"/>
  <c r="G27" i="14"/>
  <c r="C27" i="14"/>
  <c r="G26" i="14"/>
  <c r="C26" i="14"/>
  <c r="G25" i="14"/>
  <c r="C25" i="14"/>
  <c r="G24" i="14"/>
  <c r="C24" i="14"/>
  <c r="G23" i="14"/>
  <c r="C23" i="14"/>
  <c r="G22" i="14"/>
  <c r="C22" i="14"/>
  <c r="G21" i="14"/>
  <c r="C21" i="14"/>
  <c r="G20" i="14"/>
  <c r="C20" i="14"/>
  <c r="G19" i="14"/>
  <c r="C19" i="14"/>
  <c r="G18" i="14"/>
  <c r="C18" i="14"/>
  <c r="G17" i="14"/>
  <c r="C17" i="14"/>
  <c r="G16" i="14"/>
  <c r="C16" i="14"/>
  <c r="G15" i="14"/>
  <c r="C15" i="14"/>
  <c r="G14" i="14"/>
  <c r="C14" i="14"/>
  <c r="G13" i="14"/>
  <c r="C13" i="14"/>
  <c r="G12" i="14"/>
  <c r="C12" i="14"/>
  <c r="G11" i="14"/>
  <c r="C11" i="14"/>
  <c r="A10" i="14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A1040" i="14" s="1"/>
  <c r="A1041" i="14" s="1"/>
  <c r="A1042" i="14" s="1"/>
  <c r="A1043" i="14" s="1"/>
  <c r="A1044" i="14" s="1"/>
  <c r="A1045" i="14" s="1"/>
  <c r="A1046" i="14" s="1"/>
  <c r="A1047" i="14" s="1"/>
  <c r="A1048" i="14" s="1"/>
  <c r="A1049" i="14" s="1"/>
  <c r="A1050" i="14" s="1"/>
  <c r="A1051" i="14" s="1"/>
  <c r="A1052" i="14" s="1"/>
  <c r="A1053" i="14" s="1"/>
  <c r="A1054" i="14" s="1"/>
  <c r="A1055" i="14" s="1"/>
  <c r="A1056" i="14" s="1"/>
  <c r="A1057" i="14" s="1"/>
  <c r="A1058" i="14" s="1"/>
  <c r="A1059" i="14" s="1"/>
  <c r="A1060" i="14" s="1"/>
  <c r="A1061" i="14" s="1"/>
  <c r="A1062" i="14" s="1"/>
  <c r="A1063" i="14" s="1"/>
  <c r="A1064" i="14" s="1"/>
  <c r="A1065" i="14" s="1"/>
  <c r="A1066" i="14" s="1"/>
  <c r="A1067" i="14" s="1"/>
  <c r="A1068" i="14" s="1"/>
  <c r="A1069" i="14" s="1"/>
  <c r="A1070" i="14" s="1"/>
  <c r="A1071" i="14" s="1"/>
  <c r="A1072" i="14" s="1"/>
  <c r="A1073" i="14" s="1"/>
  <c r="A1074" i="14" s="1"/>
  <c r="A1075" i="14" s="1"/>
  <c r="A1076" i="14" s="1"/>
  <c r="A1077" i="14" s="1"/>
  <c r="A1078" i="14" s="1"/>
  <c r="A1079" i="14" s="1"/>
  <c r="A1080" i="14" s="1"/>
  <c r="A1081" i="14" s="1"/>
  <c r="A1082" i="14" s="1"/>
  <c r="A1083" i="14" s="1"/>
  <c r="A1084" i="14" s="1"/>
  <c r="A1085" i="14" s="1"/>
  <c r="A1086" i="14" s="1"/>
  <c r="A1087" i="14" s="1"/>
  <c r="A1088" i="14" s="1"/>
  <c r="A1089" i="14" s="1"/>
  <c r="A1090" i="14" s="1"/>
  <c r="A1091" i="14" s="1"/>
  <c r="A1092" i="14" s="1"/>
  <c r="A1093" i="14" s="1"/>
  <c r="A1094" i="14" s="1"/>
  <c r="A1095" i="14" s="1"/>
  <c r="A1096" i="14" s="1"/>
  <c r="A1097" i="14" s="1"/>
  <c r="A1098" i="14" s="1"/>
  <c r="A1099" i="14" s="1"/>
  <c r="A1100" i="14" s="1"/>
  <c r="A1101" i="14" s="1"/>
  <c r="A1102" i="14" s="1"/>
  <c r="A1103" i="14" s="1"/>
  <c r="A1104" i="14" s="1"/>
  <c r="A1105" i="14" s="1"/>
  <c r="A1106" i="14" s="1"/>
  <c r="A1107" i="14" s="1"/>
  <c r="A1108" i="14" s="1"/>
  <c r="A1109" i="14" s="1"/>
  <c r="A1110" i="14" s="1"/>
  <c r="A1111" i="14" s="1"/>
  <c r="A1112" i="14" s="1"/>
  <c r="A1113" i="14" s="1"/>
  <c r="A1114" i="14" s="1"/>
  <c r="A1115" i="14" s="1"/>
  <c r="A1116" i="14" s="1"/>
  <c r="A1117" i="14" s="1"/>
  <c r="A1118" i="14" s="1"/>
  <c r="A1119" i="14" s="1"/>
  <c r="A1120" i="14" s="1"/>
  <c r="A1121" i="14" s="1"/>
  <c r="A1122" i="14" s="1"/>
  <c r="A1123" i="14" s="1"/>
  <c r="A1124" i="14" s="1"/>
  <c r="A1125" i="14" s="1"/>
  <c r="A1126" i="14" s="1"/>
  <c r="A1127" i="14" s="1"/>
  <c r="A1128" i="14" s="1"/>
  <c r="A1129" i="14" s="1"/>
  <c r="A1130" i="14" s="1"/>
  <c r="A1131" i="14" s="1"/>
  <c r="A1132" i="14" s="1"/>
  <c r="A1133" i="14" s="1"/>
  <c r="A1134" i="14" s="1"/>
  <c r="A1135" i="14" s="1"/>
  <c r="A1136" i="14" s="1"/>
  <c r="A1137" i="14" s="1"/>
  <c r="A1138" i="14" s="1"/>
  <c r="A1139" i="14" s="1"/>
  <c r="A1140" i="14" s="1"/>
  <c r="A1141" i="14" s="1"/>
  <c r="A1142" i="14" s="1"/>
  <c r="A1143" i="14" s="1"/>
  <c r="A1144" i="14" s="1"/>
  <c r="A1145" i="14" s="1"/>
  <c r="A1146" i="14" s="1"/>
  <c r="A1147" i="14" s="1"/>
  <c r="A1148" i="14" s="1"/>
  <c r="A1149" i="14" s="1"/>
  <c r="A1150" i="14" s="1"/>
  <c r="A1151" i="14" s="1"/>
  <c r="A1152" i="14" s="1"/>
  <c r="A1153" i="14" s="1"/>
  <c r="A1154" i="14" s="1"/>
  <c r="A1155" i="14" s="1"/>
  <c r="A1156" i="14" s="1"/>
  <c r="A1157" i="14" s="1"/>
  <c r="A1158" i="14" s="1"/>
  <c r="A1159" i="14" s="1"/>
  <c r="A1160" i="14" s="1"/>
  <c r="A1161" i="14" s="1"/>
  <c r="A1162" i="14" s="1"/>
  <c r="A1163" i="14" s="1"/>
  <c r="A1164" i="14" s="1"/>
  <c r="A1165" i="14" s="1"/>
  <c r="A1166" i="14" s="1"/>
  <c r="A1167" i="14" s="1"/>
  <c r="A1168" i="14" s="1"/>
  <c r="A1169" i="14" s="1"/>
  <c r="A1170" i="14" s="1"/>
  <c r="A1171" i="14" s="1"/>
  <c r="A1172" i="14" s="1"/>
  <c r="A1173" i="14" s="1"/>
  <c r="A1174" i="14" s="1"/>
  <c r="A1175" i="14" s="1"/>
  <c r="A1176" i="14" s="1"/>
  <c r="A1177" i="14" s="1"/>
  <c r="A1178" i="14" s="1"/>
  <c r="A1179" i="14" s="1"/>
  <c r="A1180" i="14" s="1"/>
  <c r="A1181" i="14" s="1"/>
  <c r="A1182" i="14" s="1"/>
  <c r="A1183" i="14" s="1"/>
  <c r="A1184" i="14" s="1"/>
  <c r="A1185" i="14" s="1"/>
  <c r="A1186" i="14" s="1"/>
  <c r="A1187" i="14" s="1"/>
  <c r="A1188" i="14" s="1"/>
  <c r="A1189" i="14" s="1"/>
  <c r="A1190" i="14" s="1"/>
  <c r="A1191" i="14" s="1"/>
  <c r="A1192" i="14" s="1"/>
  <c r="A1193" i="14" s="1"/>
  <c r="A1194" i="14" s="1"/>
  <c r="A1195" i="14" s="1"/>
  <c r="A1196" i="14" s="1"/>
  <c r="A1197" i="14" s="1"/>
  <c r="A1198" i="14" s="1"/>
  <c r="A1199" i="14" s="1"/>
  <c r="A1200" i="14" s="1"/>
  <c r="A1201" i="14" s="1"/>
  <c r="A1202" i="14" s="1"/>
  <c r="A1203" i="14" s="1"/>
  <c r="A1204" i="14" s="1"/>
  <c r="A1205" i="14" s="1"/>
  <c r="A1206" i="14" s="1"/>
  <c r="A1207" i="14" s="1"/>
  <c r="A1208" i="14" s="1"/>
  <c r="A1209" i="14" s="1"/>
  <c r="A1210" i="14" s="1"/>
  <c r="A1211" i="14" s="1"/>
  <c r="A1212" i="14" s="1"/>
  <c r="A1213" i="14" s="1"/>
  <c r="A1214" i="14" s="1"/>
  <c r="A1215" i="14" s="1"/>
  <c r="A1216" i="14" s="1"/>
  <c r="A1217" i="14" s="1"/>
  <c r="A1218" i="14" s="1"/>
  <c r="A1219" i="14" s="1"/>
  <c r="A1220" i="14" s="1"/>
  <c r="A1221" i="14" s="1"/>
  <c r="A1222" i="14" s="1"/>
  <c r="A1223" i="14" s="1"/>
  <c r="A1224" i="14" s="1"/>
  <c r="A1225" i="14" s="1"/>
  <c r="A1226" i="14" s="1"/>
  <c r="A1227" i="14" s="1"/>
  <c r="A1228" i="14" s="1"/>
  <c r="A1229" i="14" s="1"/>
  <c r="A1230" i="14" s="1"/>
  <c r="A1231" i="14" s="1"/>
  <c r="A1232" i="14" s="1"/>
  <c r="A1233" i="14" s="1"/>
  <c r="A1234" i="14" s="1"/>
  <c r="A1235" i="14" s="1"/>
  <c r="A1236" i="14" s="1"/>
  <c r="A1237" i="14" s="1"/>
  <c r="A1238" i="14" s="1"/>
  <c r="A1239" i="14" s="1"/>
  <c r="A1240" i="14" s="1"/>
  <c r="A1241" i="14" s="1"/>
  <c r="A1242" i="14" s="1"/>
  <c r="A1243" i="14" s="1"/>
  <c r="A1244" i="14" s="1"/>
  <c r="A1245" i="14" s="1"/>
  <c r="A1246" i="14" s="1"/>
  <c r="A1247" i="14" s="1"/>
  <c r="A1248" i="14" s="1"/>
  <c r="A1249" i="14" s="1"/>
  <c r="A1250" i="14" s="1"/>
  <c r="A1251" i="14" s="1"/>
  <c r="A1252" i="14" s="1"/>
  <c r="A1253" i="14" s="1"/>
  <c r="A1254" i="14" s="1"/>
  <c r="A1255" i="14" s="1"/>
  <c r="A1256" i="14" s="1"/>
  <c r="A1257" i="14" s="1"/>
  <c r="A1258" i="14" s="1"/>
  <c r="A1259" i="14" s="1"/>
  <c r="A1260" i="14" s="1"/>
  <c r="A1261" i="14" s="1"/>
  <c r="A1262" i="14" s="1"/>
  <c r="A1263" i="14" s="1"/>
  <c r="A1264" i="14" s="1"/>
  <c r="A1265" i="14" s="1"/>
  <c r="A1266" i="14" s="1"/>
  <c r="A1267" i="14" s="1"/>
  <c r="A1268" i="14" s="1"/>
  <c r="A1269" i="14" s="1"/>
  <c r="A1270" i="14" s="1"/>
  <c r="A1271" i="14" s="1"/>
  <c r="A1272" i="14" s="1"/>
  <c r="A1273" i="14" s="1"/>
  <c r="A1274" i="14" s="1"/>
  <c r="A1275" i="14" s="1"/>
  <c r="A1276" i="14" s="1"/>
  <c r="A1277" i="14" s="1"/>
  <c r="A1278" i="14" s="1"/>
  <c r="A1279" i="14" s="1"/>
  <c r="A1280" i="14" s="1"/>
  <c r="A1281" i="14" s="1"/>
  <c r="A1282" i="14" s="1"/>
  <c r="A1283" i="14" s="1"/>
  <c r="A1284" i="14" s="1"/>
  <c r="A1285" i="14" s="1"/>
  <c r="A1286" i="14" s="1"/>
  <c r="A1287" i="14" s="1"/>
  <c r="A1288" i="14" s="1"/>
  <c r="A1289" i="14" s="1"/>
  <c r="A1290" i="14" s="1"/>
  <c r="A1291" i="14" s="1"/>
  <c r="A1292" i="14" s="1"/>
  <c r="A1293" i="14" s="1"/>
  <c r="A1294" i="14" s="1"/>
  <c r="A1295" i="14" s="1"/>
  <c r="A1296" i="14" s="1"/>
  <c r="A1297" i="14" s="1"/>
  <c r="A1298" i="14" s="1"/>
  <c r="A1299" i="14" s="1"/>
  <c r="A1300" i="14" s="1"/>
  <c r="A1301" i="14" s="1"/>
  <c r="A1302" i="14" s="1"/>
  <c r="A1303" i="14" s="1"/>
  <c r="A1304" i="14" s="1"/>
  <c r="A1305" i="14" s="1"/>
  <c r="A1306" i="14" s="1"/>
  <c r="A1307" i="14" s="1"/>
  <c r="A1308" i="14" s="1"/>
  <c r="A1309" i="14" s="1"/>
  <c r="A1310" i="14" s="1"/>
  <c r="A1311" i="14" s="1"/>
  <c r="A1312" i="14" s="1"/>
  <c r="A1313" i="14" s="1"/>
  <c r="A1314" i="14" s="1"/>
  <c r="A1315" i="14" s="1"/>
  <c r="A1316" i="14" s="1"/>
  <c r="A1317" i="14" s="1"/>
  <c r="A1318" i="14" s="1"/>
  <c r="A1319" i="14" s="1"/>
  <c r="A1320" i="14" s="1"/>
  <c r="A1321" i="14" s="1"/>
  <c r="A1322" i="14" s="1"/>
  <c r="A1323" i="14" s="1"/>
  <c r="A1324" i="14" s="1"/>
  <c r="A1325" i="14" s="1"/>
  <c r="A1326" i="14" s="1"/>
  <c r="A1327" i="14" s="1"/>
  <c r="A1328" i="14" s="1"/>
  <c r="A1329" i="14" s="1"/>
  <c r="A1330" i="14" s="1"/>
  <c r="A1331" i="14" s="1"/>
  <c r="A1332" i="14" s="1"/>
  <c r="A1333" i="14" s="1"/>
  <c r="A1334" i="14" s="1"/>
  <c r="A1335" i="14" s="1"/>
  <c r="A1336" i="14" s="1"/>
  <c r="A1337" i="14" s="1"/>
  <c r="A1338" i="14" s="1"/>
  <c r="A1339" i="14" s="1"/>
  <c r="A1340" i="14" s="1"/>
  <c r="A1341" i="14" s="1"/>
  <c r="A1342" i="14" s="1"/>
  <c r="A1343" i="14" s="1"/>
  <c r="A1344" i="14" s="1"/>
  <c r="A1345" i="14" s="1"/>
  <c r="A1346" i="14" s="1"/>
  <c r="A1347" i="14" s="1"/>
  <c r="A1348" i="14" s="1"/>
  <c r="A1349" i="14" s="1"/>
  <c r="A1350" i="14" s="1"/>
  <c r="A1351" i="14" s="1"/>
  <c r="A1352" i="14" s="1"/>
  <c r="A1353" i="14" s="1"/>
  <c r="A1354" i="14" s="1"/>
  <c r="A1355" i="14" s="1"/>
  <c r="A1356" i="14" s="1"/>
  <c r="A1357" i="14" s="1"/>
  <c r="A1358" i="14" s="1"/>
  <c r="A1359" i="14" s="1"/>
  <c r="A1360" i="14" s="1"/>
  <c r="A1361" i="14" s="1"/>
  <c r="A1362" i="14" s="1"/>
  <c r="A1363" i="14" s="1"/>
  <c r="A1364" i="14" s="1"/>
  <c r="A1365" i="14" s="1"/>
  <c r="A1366" i="14" s="1"/>
  <c r="A1367" i="14" s="1"/>
  <c r="A1368" i="14" s="1"/>
  <c r="A1369" i="14" s="1"/>
  <c r="A1370" i="14" s="1"/>
  <c r="A1371" i="14" s="1"/>
  <c r="A1372" i="14" s="1"/>
  <c r="A1373" i="14" s="1"/>
  <c r="A1374" i="14" s="1"/>
  <c r="A1375" i="14" s="1"/>
  <c r="A1376" i="14" s="1"/>
  <c r="A1377" i="14" s="1"/>
  <c r="A1378" i="14" s="1"/>
  <c r="A1379" i="14" s="1"/>
  <c r="A1380" i="14" s="1"/>
  <c r="A1381" i="14" s="1"/>
  <c r="A1382" i="14" s="1"/>
  <c r="A1383" i="14" s="1"/>
  <c r="A1384" i="14" s="1"/>
  <c r="A1385" i="14" s="1"/>
  <c r="A1386" i="14" s="1"/>
  <c r="A1387" i="14" s="1"/>
  <c r="A1388" i="14" s="1"/>
  <c r="A1389" i="14" s="1"/>
  <c r="A1390" i="14" s="1"/>
  <c r="A1391" i="14" s="1"/>
  <c r="A1392" i="14" s="1"/>
  <c r="A1393" i="14" s="1"/>
  <c r="A1394" i="14" s="1"/>
  <c r="A1395" i="14" s="1"/>
  <c r="A1396" i="14" s="1"/>
  <c r="A1397" i="14" s="1"/>
  <c r="A1398" i="14" s="1"/>
  <c r="A1399" i="14" s="1"/>
  <c r="A1400" i="14" s="1"/>
  <c r="A1401" i="14" s="1"/>
  <c r="A1402" i="14" s="1"/>
  <c r="A1403" i="14" s="1"/>
  <c r="A1404" i="14" s="1"/>
  <c r="A1405" i="14" s="1"/>
  <c r="A1406" i="14" s="1"/>
  <c r="A1407" i="14" s="1"/>
  <c r="A1408" i="14" s="1"/>
  <c r="A1409" i="14" s="1"/>
  <c r="A1410" i="14" s="1"/>
  <c r="A1411" i="14" s="1"/>
  <c r="A1412" i="14" s="1"/>
  <c r="A1413" i="14" s="1"/>
  <c r="A1414" i="14" s="1"/>
  <c r="A1415" i="14" s="1"/>
  <c r="A1416" i="14" s="1"/>
  <c r="A1417" i="14" s="1"/>
  <c r="A1418" i="14" s="1"/>
  <c r="A1419" i="14" s="1"/>
  <c r="A1420" i="14" s="1"/>
  <c r="A1421" i="14" s="1"/>
  <c r="A1422" i="14" s="1"/>
  <c r="A1423" i="14" s="1"/>
  <c r="A1424" i="14" s="1"/>
  <c r="A1425" i="14" s="1"/>
  <c r="A1426" i="14" s="1"/>
  <c r="A1427" i="14" s="1"/>
  <c r="A1428" i="14" s="1"/>
  <c r="A1429" i="14" s="1"/>
  <c r="A1430" i="14" s="1"/>
  <c r="A1431" i="14" s="1"/>
  <c r="A1432" i="14" s="1"/>
  <c r="A1433" i="14" s="1"/>
  <c r="A1434" i="14" s="1"/>
  <c r="A1435" i="14" s="1"/>
  <c r="A1436" i="14" s="1"/>
  <c r="A1437" i="14" s="1"/>
  <c r="A1438" i="14" s="1"/>
  <c r="A1439" i="14" s="1"/>
  <c r="A1440" i="14" s="1"/>
  <c r="A1441" i="14" s="1"/>
  <c r="A1442" i="14" s="1"/>
  <c r="A1443" i="14" s="1"/>
  <c r="A1444" i="14" s="1"/>
  <c r="A1445" i="14" s="1"/>
  <c r="A1446" i="14" s="1"/>
  <c r="A1447" i="14" s="1"/>
  <c r="A1448" i="14" s="1"/>
  <c r="A1449" i="14" s="1"/>
  <c r="A1450" i="14" s="1"/>
  <c r="A1451" i="14" s="1"/>
  <c r="A1452" i="14" s="1"/>
  <c r="A1453" i="14" s="1"/>
  <c r="A1454" i="14" s="1"/>
  <c r="A1455" i="14" s="1"/>
  <c r="A1456" i="14" s="1"/>
  <c r="A1457" i="14" s="1"/>
  <c r="A1458" i="14" s="1"/>
  <c r="A1459" i="14" s="1"/>
  <c r="A1460" i="14" s="1"/>
  <c r="A1461" i="14" s="1"/>
  <c r="A1462" i="14" s="1"/>
  <c r="A1463" i="14" s="1"/>
  <c r="A1464" i="14" s="1"/>
  <c r="A1465" i="14" s="1"/>
  <c r="A1466" i="14" s="1"/>
  <c r="A1467" i="14" s="1"/>
  <c r="A1468" i="14" s="1"/>
  <c r="A1469" i="14" s="1"/>
  <c r="A1470" i="14" s="1"/>
  <c r="A1471" i="14" s="1"/>
  <c r="A1472" i="14" s="1"/>
  <c r="A1473" i="14" s="1"/>
  <c r="A1474" i="14" s="1"/>
  <c r="A1475" i="14" s="1"/>
  <c r="A1476" i="14" s="1"/>
  <c r="A1477" i="14" s="1"/>
  <c r="A1478" i="14" s="1"/>
  <c r="A1479" i="14" s="1"/>
  <c r="A1480" i="14" s="1"/>
  <c r="A1481" i="14" s="1"/>
  <c r="A1482" i="14" s="1"/>
  <c r="A1483" i="14" s="1"/>
  <c r="A1484" i="14" s="1"/>
  <c r="A1485" i="14" s="1"/>
  <c r="A1486" i="14" s="1"/>
  <c r="A1487" i="14" s="1"/>
  <c r="A1488" i="14" s="1"/>
  <c r="A1489" i="14" s="1"/>
  <c r="A1490" i="14" s="1"/>
  <c r="A1491" i="14" s="1"/>
  <c r="A1492" i="14" s="1"/>
  <c r="A1493" i="14" s="1"/>
  <c r="A1494" i="14" s="1"/>
  <c r="A1495" i="14" s="1"/>
  <c r="A1496" i="14" s="1"/>
  <c r="A1497" i="14" s="1"/>
  <c r="A1498" i="14" s="1"/>
  <c r="A1499" i="14" s="1"/>
  <c r="A1500" i="14" s="1"/>
  <c r="A1501" i="14" s="1"/>
  <c r="A1502" i="14" s="1"/>
  <c r="A1503" i="14" s="1"/>
  <c r="A1504" i="14" s="1"/>
  <c r="A1505" i="14" s="1"/>
  <c r="A1506" i="14" s="1"/>
  <c r="A1507" i="14" s="1"/>
  <c r="A1508" i="14" s="1"/>
  <c r="A1509" i="14" s="1"/>
  <c r="A1510" i="14" s="1"/>
  <c r="A1511" i="14" s="1"/>
  <c r="A1512" i="14" s="1"/>
  <c r="A1513" i="14" s="1"/>
  <c r="A1514" i="14" s="1"/>
  <c r="A1515" i="14" s="1"/>
  <c r="A1516" i="14" s="1"/>
  <c r="A1517" i="14" s="1"/>
  <c r="A1518" i="14" s="1"/>
  <c r="A1519" i="14" s="1"/>
  <c r="A1520" i="14" s="1"/>
  <c r="A1521" i="14" s="1"/>
  <c r="A1522" i="14" s="1"/>
  <c r="A1523" i="14" s="1"/>
  <c r="A1524" i="14" s="1"/>
  <c r="A1525" i="14" s="1"/>
  <c r="A1526" i="14" s="1"/>
  <c r="A1527" i="14" s="1"/>
  <c r="A1528" i="14" s="1"/>
  <c r="A1529" i="14" s="1"/>
  <c r="A1530" i="14" s="1"/>
  <c r="A1531" i="14" s="1"/>
  <c r="A1532" i="14" s="1"/>
  <c r="A1533" i="14" s="1"/>
  <c r="A1534" i="14" s="1"/>
  <c r="A1535" i="14" s="1"/>
  <c r="A1536" i="14" s="1"/>
  <c r="A1537" i="14" s="1"/>
  <c r="A1538" i="14" s="1"/>
  <c r="A1539" i="14" s="1"/>
  <c r="A1540" i="14" s="1"/>
  <c r="A1541" i="14" s="1"/>
  <c r="A1542" i="14" s="1"/>
  <c r="A1543" i="14" s="1"/>
  <c r="A1544" i="14" s="1"/>
  <c r="A1545" i="14" s="1"/>
  <c r="A1546" i="14" s="1"/>
  <c r="A1547" i="14" s="1"/>
  <c r="A1548" i="14" s="1"/>
  <c r="A1549" i="14" s="1"/>
  <c r="A1550" i="14" s="1"/>
  <c r="A1551" i="14" s="1"/>
  <c r="A1552" i="14" s="1"/>
  <c r="A1553" i="14" s="1"/>
  <c r="A1554" i="14" s="1"/>
  <c r="A1555" i="14" s="1"/>
  <c r="A1556" i="14" s="1"/>
  <c r="A1557" i="14" s="1"/>
  <c r="A1558" i="14" s="1"/>
  <c r="A1559" i="14" s="1"/>
  <c r="A1560" i="14" s="1"/>
  <c r="A1561" i="14" s="1"/>
  <c r="A1562" i="14" s="1"/>
  <c r="A1563" i="14" s="1"/>
  <c r="A1564" i="14" s="1"/>
  <c r="A1565" i="14" s="1"/>
  <c r="A1566" i="14" s="1"/>
  <c r="A1567" i="14" s="1"/>
  <c r="A1568" i="14" s="1"/>
  <c r="A1569" i="14" s="1"/>
  <c r="A1570" i="14" s="1"/>
  <c r="A1571" i="14" s="1"/>
  <c r="A1572" i="14" s="1"/>
  <c r="A1573" i="14" s="1"/>
  <c r="A1574" i="14" s="1"/>
  <c r="A1575" i="14" s="1"/>
  <c r="A1576" i="14" s="1"/>
  <c r="A1577" i="14" s="1"/>
  <c r="A1578" i="14" s="1"/>
  <c r="A1579" i="14" s="1"/>
  <c r="A1580" i="14" s="1"/>
  <c r="A1581" i="14" s="1"/>
  <c r="A1582" i="14" s="1"/>
  <c r="A1583" i="14" s="1"/>
  <c r="A1584" i="14" s="1"/>
  <c r="A1585" i="14" s="1"/>
  <c r="A1586" i="14" s="1"/>
  <c r="A1587" i="14" s="1"/>
  <c r="A1588" i="14" s="1"/>
  <c r="A1589" i="14" s="1"/>
  <c r="A1590" i="14" s="1"/>
  <c r="A1591" i="14" s="1"/>
  <c r="A1592" i="14" s="1"/>
  <c r="A1593" i="14" s="1"/>
  <c r="A1594" i="14" s="1"/>
  <c r="A1595" i="14" s="1"/>
  <c r="A1596" i="14" s="1"/>
  <c r="A1597" i="14" s="1"/>
  <c r="A1598" i="14" s="1"/>
  <c r="A1599" i="14" s="1"/>
  <c r="A1600" i="14" s="1"/>
  <c r="A1601" i="14" s="1"/>
  <c r="A1602" i="14" s="1"/>
  <c r="A1603" i="14" s="1"/>
  <c r="A1604" i="14" s="1"/>
  <c r="A1605" i="14" s="1"/>
  <c r="A1606" i="14" s="1"/>
  <c r="A1607" i="14" s="1"/>
  <c r="A1608" i="14" s="1"/>
  <c r="A1609" i="14" s="1"/>
  <c r="A1610" i="14" s="1"/>
  <c r="A1611" i="14" s="1"/>
  <c r="A1612" i="14" s="1"/>
  <c r="A1613" i="14" s="1"/>
  <c r="A1614" i="14" s="1"/>
  <c r="A1615" i="14" s="1"/>
  <c r="A1616" i="14" s="1"/>
  <c r="A1617" i="14" s="1"/>
  <c r="A1618" i="14" s="1"/>
  <c r="A1619" i="14" s="1"/>
  <c r="A1620" i="14" s="1"/>
  <c r="A1621" i="14" s="1"/>
  <c r="A1622" i="14" s="1"/>
  <c r="A1623" i="14" s="1"/>
  <c r="A1624" i="14" s="1"/>
  <c r="A1625" i="14" s="1"/>
  <c r="A1626" i="14" s="1"/>
  <c r="A1627" i="14" s="1"/>
  <c r="A1628" i="14" s="1"/>
  <c r="A1629" i="14" s="1"/>
  <c r="A1630" i="14" s="1"/>
  <c r="A1631" i="14" s="1"/>
  <c r="A1632" i="14" s="1"/>
  <c r="A1633" i="14" s="1"/>
  <c r="A1634" i="14" s="1"/>
  <c r="A1635" i="14" s="1"/>
  <c r="A1636" i="14" s="1"/>
  <c r="A1637" i="14" s="1"/>
  <c r="A1638" i="14" s="1"/>
  <c r="A1639" i="14" s="1"/>
  <c r="A1640" i="14" s="1"/>
  <c r="A1641" i="14" s="1"/>
  <c r="A1642" i="14" s="1"/>
  <c r="A1643" i="14" s="1"/>
  <c r="A1644" i="14" s="1"/>
  <c r="A1645" i="14" s="1"/>
  <c r="A1646" i="14" s="1"/>
  <c r="A1647" i="14" s="1"/>
  <c r="A1648" i="14" s="1"/>
  <c r="A1649" i="14" s="1"/>
  <c r="A1650" i="14" s="1"/>
  <c r="A1651" i="14" s="1"/>
  <c r="A1652" i="14" s="1"/>
  <c r="A1653" i="14" s="1"/>
  <c r="A1654" i="14" s="1"/>
  <c r="A1655" i="14" s="1"/>
  <c r="A1656" i="14" s="1"/>
  <c r="A1657" i="14" s="1"/>
  <c r="A1658" i="14" s="1"/>
  <c r="A1659" i="14" s="1"/>
  <c r="A1660" i="14" s="1"/>
  <c r="A1661" i="14" s="1"/>
  <c r="A1662" i="14" s="1"/>
  <c r="A1663" i="14" s="1"/>
  <c r="A1664" i="14" s="1"/>
  <c r="A1665" i="14" s="1"/>
  <c r="A1666" i="14" s="1"/>
  <c r="A1667" i="14" s="1"/>
  <c r="A1668" i="14" s="1"/>
  <c r="A1669" i="14" s="1"/>
  <c r="A1670" i="14" s="1"/>
  <c r="A1671" i="14" s="1"/>
  <c r="A1672" i="14" s="1"/>
  <c r="A1673" i="14" s="1"/>
  <c r="A1674" i="14" s="1"/>
  <c r="A1675" i="14" s="1"/>
  <c r="A1676" i="14" s="1"/>
  <c r="A1677" i="14" s="1"/>
  <c r="A1678" i="14" s="1"/>
  <c r="A1679" i="14" s="1"/>
  <c r="A1680" i="14" s="1"/>
  <c r="A1681" i="14" s="1"/>
  <c r="A1682" i="14" s="1"/>
  <c r="A1683" i="14" s="1"/>
  <c r="A1684" i="14" s="1"/>
  <c r="A1685" i="14" s="1"/>
  <c r="A1686" i="14" s="1"/>
  <c r="A1687" i="14" s="1"/>
  <c r="A1688" i="14" s="1"/>
  <c r="A1689" i="14" s="1"/>
  <c r="A1690" i="14" s="1"/>
  <c r="A1691" i="14" s="1"/>
  <c r="A1692" i="14" s="1"/>
  <c r="A1693" i="14" s="1"/>
  <c r="A1694" i="14" s="1"/>
  <c r="A1695" i="14" s="1"/>
  <c r="A1696" i="14" s="1"/>
  <c r="A1697" i="14" s="1"/>
  <c r="A1698" i="14" s="1"/>
  <c r="A1699" i="14" s="1"/>
  <c r="A1700" i="14" s="1"/>
  <c r="A1701" i="14" s="1"/>
  <c r="A1702" i="14" s="1"/>
  <c r="A1703" i="14" s="1"/>
  <c r="A1704" i="14" s="1"/>
  <c r="A1705" i="14" s="1"/>
  <c r="A1706" i="14" s="1"/>
  <c r="A1707" i="14" s="1"/>
  <c r="A1708" i="14" s="1"/>
  <c r="A1709" i="14" s="1"/>
  <c r="A1710" i="14" s="1"/>
  <c r="A1711" i="14" s="1"/>
  <c r="A1712" i="14" s="1"/>
  <c r="A1713" i="14" s="1"/>
  <c r="A1714" i="14" s="1"/>
  <c r="A1715" i="14" s="1"/>
  <c r="A1716" i="14" s="1"/>
  <c r="A1717" i="14" s="1"/>
  <c r="A1718" i="14" s="1"/>
  <c r="A1719" i="14" s="1"/>
  <c r="A1720" i="14" s="1"/>
  <c r="A1721" i="14" s="1"/>
  <c r="A1722" i="14" s="1"/>
  <c r="A1723" i="14" s="1"/>
  <c r="A1724" i="14" s="1"/>
  <c r="A1725" i="14" s="1"/>
  <c r="A1726" i="14" s="1"/>
  <c r="A1727" i="14" s="1"/>
  <c r="A1728" i="14" s="1"/>
  <c r="A1729" i="14" s="1"/>
  <c r="A1730" i="14" s="1"/>
  <c r="A1731" i="14" s="1"/>
  <c r="A1732" i="14" s="1"/>
  <c r="A1733" i="14" s="1"/>
  <c r="A1734" i="14" s="1"/>
  <c r="A1735" i="14" s="1"/>
  <c r="A1736" i="14" s="1"/>
  <c r="A1737" i="14" s="1"/>
  <c r="A1738" i="14" s="1"/>
  <c r="A1739" i="14" s="1"/>
  <c r="L9" i="14"/>
  <c r="L10" i="14" s="1"/>
  <c r="R38" i="8" s="1"/>
  <c r="C9" i="14"/>
  <c r="C8" i="14"/>
  <c r="A1" i="14"/>
  <c r="G402" i="4"/>
  <c r="G401" i="4"/>
  <c r="G400" i="4"/>
  <c r="G399" i="4"/>
  <c r="G398" i="4"/>
  <c r="G395" i="4"/>
  <c r="G394" i="4"/>
  <c r="G393" i="4"/>
  <c r="G392" i="4"/>
  <c r="G391" i="4"/>
  <c r="C8" i="4"/>
  <c r="Q1" i="7"/>
  <c r="G225" i="4"/>
  <c r="C225" i="4"/>
  <c r="G186" i="4"/>
  <c r="C186" i="4"/>
  <c r="G124" i="4"/>
  <c r="C124" i="4"/>
  <c r="G45" i="4"/>
  <c r="C45" i="4"/>
  <c r="G390" i="4"/>
  <c r="G299" i="4"/>
  <c r="C299" i="4"/>
  <c r="G298" i="4"/>
  <c r="C298" i="4"/>
  <c r="G297" i="4"/>
  <c r="C297" i="4"/>
  <c r="G296" i="4"/>
  <c r="C296" i="4"/>
  <c r="G295" i="4"/>
  <c r="C295" i="4"/>
  <c r="G294" i="4"/>
  <c r="C294" i="4"/>
  <c r="G293" i="4"/>
  <c r="C293" i="4"/>
  <c r="G292" i="4"/>
  <c r="C292" i="4"/>
  <c r="G291" i="4"/>
  <c r="C291" i="4"/>
  <c r="G290" i="4"/>
  <c r="C290" i="4"/>
  <c r="G289" i="4"/>
  <c r="C289" i="4"/>
  <c r="G288" i="4"/>
  <c r="C288" i="4"/>
  <c r="G366" i="4"/>
  <c r="C366" i="4"/>
  <c r="G365" i="4"/>
  <c r="C365" i="4"/>
  <c r="G22" i="13"/>
  <c r="G21" i="13"/>
  <c r="C62" i="4"/>
  <c r="C61" i="4"/>
  <c r="C60" i="4"/>
  <c r="G314" i="4"/>
  <c r="G313" i="4"/>
  <c r="C314" i="4"/>
  <c r="C313" i="4"/>
  <c r="G81" i="4"/>
  <c r="C81" i="4"/>
  <c r="G34" i="4"/>
  <c r="C34" i="4"/>
  <c r="AS94" i="10"/>
  <c r="AS93" i="10"/>
  <c r="AS92" i="10"/>
  <c r="AS91" i="10"/>
  <c r="AS90" i="10"/>
  <c r="AS89" i="10"/>
  <c r="AS88" i="10"/>
  <c r="AS87" i="10"/>
  <c r="AS86" i="10"/>
  <c r="AS85" i="10"/>
  <c r="AS84" i="10"/>
  <c r="AS83" i="10"/>
  <c r="AS82" i="10"/>
  <c r="AS81" i="10"/>
  <c r="AS80" i="10"/>
  <c r="AS79" i="10"/>
  <c r="AS78" i="10"/>
  <c r="AS77" i="10"/>
  <c r="AS76" i="10"/>
  <c r="AS75" i="10"/>
  <c r="AS74" i="10"/>
  <c r="AS73" i="10"/>
  <c r="AS72" i="10"/>
  <c r="AS71" i="10"/>
  <c r="AS70" i="10"/>
  <c r="AS69" i="10"/>
  <c r="AS68" i="10"/>
  <c r="AS67" i="10"/>
  <c r="AS66" i="10"/>
  <c r="AS65" i="10"/>
  <c r="AS64" i="10"/>
  <c r="AS63" i="10"/>
  <c r="AS62" i="10"/>
  <c r="AS61" i="10"/>
  <c r="AS60" i="10"/>
  <c r="AS59" i="10"/>
  <c r="AS58" i="10"/>
  <c r="AS57" i="10"/>
  <c r="AS56" i="10"/>
  <c r="AS55" i="10"/>
  <c r="AS54" i="10"/>
  <c r="AS53" i="10"/>
  <c r="AS52" i="10"/>
  <c r="AS51" i="10"/>
  <c r="AS50" i="10"/>
  <c r="AS49" i="10"/>
  <c r="AS48" i="10"/>
  <c r="AS47" i="10"/>
  <c r="AS46" i="10"/>
  <c r="AS45" i="10"/>
  <c r="AS44" i="10"/>
  <c r="AS43" i="10"/>
  <c r="AS42" i="10"/>
  <c r="AS41" i="10"/>
  <c r="AS40" i="10"/>
  <c r="AS39" i="10"/>
  <c r="AS38" i="10"/>
  <c r="AS37" i="10"/>
  <c r="AS36" i="10"/>
  <c r="AS35" i="10"/>
  <c r="AS34" i="10"/>
  <c r="AS33" i="10"/>
  <c r="AS32" i="10"/>
  <c r="AS31" i="10"/>
  <c r="AS30" i="10"/>
  <c r="AS29" i="10"/>
  <c r="AS28" i="10"/>
  <c r="AS27" i="10"/>
  <c r="AS26" i="10"/>
  <c r="AS25" i="10"/>
  <c r="AS24" i="10"/>
  <c r="AS23" i="10"/>
  <c r="AS22" i="10"/>
  <c r="AS21" i="10"/>
  <c r="AS20" i="10"/>
  <c r="AS19" i="10"/>
  <c r="AS18" i="10"/>
  <c r="AS17" i="10"/>
  <c r="AS16" i="10"/>
  <c r="AS15" i="10"/>
  <c r="AS14" i="10"/>
  <c r="AS13" i="10"/>
  <c r="AS12" i="10"/>
  <c r="AS11" i="10"/>
  <c r="AS10" i="10"/>
  <c r="AS9" i="10"/>
  <c r="AS8" i="10"/>
  <c r="AS7" i="10"/>
  <c r="AS6" i="10"/>
  <c r="AS5" i="10"/>
  <c r="AS96" i="10"/>
  <c r="J1739" i="13"/>
  <c r="G1738" i="13"/>
  <c r="C1738" i="13"/>
  <c r="G1737" i="13"/>
  <c r="C1737" i="13"/>
  <c r="G1736" i="13"/>
  <c r="C1736" i="13"/>
  <c r="G1735" i="13"/>
  <c r="C1735" i="13"/>
  <c r="G1734" i="13"/>
  <c r="C1734" i="13"/>
  <c r="G1733" i="13"/>
  <c r="C1733" i="13"/>
  <c r="G1732" i="13"/>
  <c r="C1732" i="13"/>
  <c r="G1731" i="13"/>
  <c r="C1731" i="13"/>
  <c r="G1730" i="13"/>
  <c r="C1730" i="13"/>
  <c r="G1729" i="13"/>
  <c r="C1729" i="13"/>
  <c r="G1728" i="13"/>
  <c r="C1728" i="13"/>
  <c r="G1727" i="13"/>
  <c r="C1727" i="13"/>
  <c r="G1726" i="13"/>
  <c r="C1726" i="13"/>
  <c r="G1725" i="13"/>
  <c r="C1725" i="13"/>
  <c r="G1724" i="13"/>
  <c r="C1724" i="13"/>
  <c r="G1723" i="13"/>
  <c r="C1723" i="13"/>
  <c r="G1722" i="13"/>
  <c r="C1722" i="13"/>
  <c r="G1721" i="13"/>
  <c r="C1721" i="13"/>
  <c r="G1720" i="13"/>
  <c r="C1720" i="13"/>
  <c r="G1719" i="13"/>
  <c r="C1719" i="13"/>
  <c r="G1718" i="13"/>
  <c r="C1718" i="13"/>
  <c r="G1717" i="13"/>
  <c r="C1717" i="13"/>
  <c r="G1716" i="13"/>
  <c r="C1716" i="13"/>
  <c r="G1715" i="13"/>
  <c r="C1715" i="13"/>
  <c r="G1714" i="13"/>
  <c r="C1714" i="13"/>
  <c r="G1713" i="13"/>
  <c r="C1713" i="13"/>
  <c r="G1712" i="13"/>
  <c r="C1712" i="13"/>
  <c r="G1711" i="13"/>
  <c r="C1711" i="13"/>
  <c r="G1710" i="13"/>
  <c r="C1710" i="13"/>
  <c r="G1709" i="13"/>
  <c r="C1709" i="13"/>
  <c r="G1708" i="13"/>
  <c r="C1708" i="13"/>
  <c r="G1707" i="13"/>
  <c r="C1707" i="13"/>
  <c r="G1706" i="13"/>
  <c r="C1706" i="13"/>
  <c r="G1705" i="13"/>
  <c r="C1705" i="13"/>
  <c r="G1704" i="13"/>
  <c r="C1704" i="13"/>
  <c r="G1703" i="13"/>
  <c r="C1703" i="13"/>
  <c r="G1702" i="13"/>
  <c r="C1702" i="13"/>
  <c r="G1701" i="13"/>
  <c r="C1701" i="13"/>
  <c r="G1700" i="13"/>
  <c r="C1700" i="13"/>
  <c r="G1699" i="13"/>
  <c r="C1699" i="13"/>
  <c r="G1698" i="13"/>
  <c r="C1698" i="13"/>
  <c r="G1697" i="13"/>
  <c r="C1697" i="13"/>
  <c r="G1696" i="13"/>
  <c r="C1696" i="13"/>
  <c r="G1695" i="13"/>
  <c r="C1695" i="13"/>
  <c r="G1694" i="13"/>
  <c r="C1694" i="13"/>
  <c r="G1693" i="13"/>
  <c r="C1693" i="13"/>
  <c r="G1692" i="13"/>
  <c r="C1692" i="13"/>
  <c r="G1691" i="13"/>
  <c r="C1691" i="13"/>
  <c r="G1690" i="13"/>
  <c r="C1690" i="13"/>
  <c r="G1689" i="13"/>
  <c r="C1689" i="13"/>
  <c r="G1688" i="13"/>
  <c r="C1688" i="13"/>
  <c r="G1687" i="13"/>
  <c r="C1687" i="13"/>
  <c r="G1686" i="13"/>
  <c r="C1686" i="13"/>
  <c r="G1685" i="13"/>
  <c r="C1685" i="13"/>
  <c r="G1684" i="13"/>
  <c r="C1684" i="13"/>
  <c r="G1683" i="13"/>
  <c r="C1683" i="13"/>
  <c r="G1682" i="13"/>
  <c r="C1682" i="13"/>
  <c r="G1681" i="13"/>
  <c r="C1681" i="13"/>
  <c r="G1680" i="13"/>
  <c r="C1680" i="13"/>
  <c r="G1679" i="13"/>
  <c r="C1679" i="13"/>
  <c r="G1678" i="13"/>
  <c r="C1678" i="13"/>
  <c r="G1677" i="13"/>
  <c r="C1677" i="13"/>
  <c r="G1676" i="13"/>
  <c r="C1676" i="13"/>
  <c r="G1675" i="13"/>
  <c r="C1675" i="13"/>
  <c r="G1674" i="13"/>
  <c r="C1674" i="13"/>
  <c r="G1673" i="13"/>
  <c r="C1673" i="13"/>
  <c r="G1672" i="13"/>
  <c r="C1672" i="13"/>
  <c r="G1671" i="13"/>
  <c r="C1671" i="13"/>
  <c r="G1670" i="13"/>
  <c r="C1670" i="13"/>
  <c r="G1669" i="13"/>
  <c r="C1669" i="13"/>
  <c r="G1668" i="13"/>
  <c r="C1668" i="13"/>
  <c r="G1667" i="13"/>
  <c r="C1667" i="13"/>
  <c r="G1666" i="13"/>
  <c r="C1666" i="13"/>
  <c r="G1665" i="13"/>
  <c r="C1665" i="13"/>
  <c r="G1664" i="13"/>
  <c r="C1664" i="13"/>
  <c r="G1663" i="13"/>
  <c r="C1663" i="13"/>
  <c r="G1662" i="13"/>
  <c r="C1662" i="13"/>
  <c r="G1661" i="13"/>
  <c r="C1661" i="13"/>
  <c r="G1660" i="13"/>
  <c r="C1660" i="13"/>
  <c r="G1659" i="13"/>
  <c r="C1659" i="13"/>
  <c r="G1658" i="13"/>
  <c r="C1658" i="13"/>
  <c r="G1657" i="13"/>
  <c r="C1657" i="13"/>
  <c r="G1656" i="13"/>
  <c r="C1656" i="13"/>
  <c r="G1655" i="13"/>
  <c r="C1655" i="13"/>
  <c r="G1654" i="13"/>
  <c r="C1654" i="13"/>
  <c r="G1653" i="13"/>
  <c r="C1653" i="13"/>
  <c r="G1652" i="13"/>
  <c r="C1652" i="13"/>
  <c r="G1651" i="13"/>
  <c r="C1651" i="13"/>
  <c r="G1650" i="13"/>
  <c r="C1650" i="13"/>
  <c r="G1649" i="13"/>
  <c r="C1649" i="13"/>
  <c r="G1648" i="13"/>
  <c r="C1648" i="13"/>
  <c r="G1647" i="13"/>
  <c r="C1647" i="13"/>
  <c r="G1646" i="13"/>
  <c r="C1646" i="13"/>
  <c r="G1645" i="13"/>
  <c r="C1645" i="13"/>
  <c r="G1644" i="13"/>
  <c r="C1644" i="13"/>
  <c r="G1643" i="13"/>
  <c r="C1643" i="13"/>
  <c r="G1642" i="13"/>
  <c r="C1642" i="13"/>
  <c r="G1641" i="13"/>
  <c r="C1641" i="13"/>
  <c r="G1640" i="13"/>
  <c r="C1640" i="13"/>
  <c r="G1639" i="13"/>
  <c r="C1639" i="13"/>
  <c r="G1638" i="13"/>
  <c r="C1638" i="13"/>
  <c r="G1637" i="13"/>
  <c r="C1637" i="13"/>
  <c r="G1636" i="13"/>
  <c r="C1636" i="13"/>
  <c r="G1635" i="13"/>
  <c r="C1635" i="13"/>
  <c r="G1634" i="13"/>
  <c r="C1634" i="13"/>
  <c r="G1633" i="13"/>
  <c r="C1633" i="13"/>
  <c r="G1632" i="13"/>
  <c r="C1632" i="13"/>
  <c r="G1631" i="13"/>
  <c r="C1631" i="13"/>
  <c r="G1630" i="13"/>
  <c r="C1630" i="13"/>
  <c r="G1629" i="13"/>
  <c r="C1629" i="13"/>
  <c r="G1628" i="13"/>
  <c r="C1628" i="13"/>
  <c r="G1627" i="13"/>
  <c r="C1627" i="13"/>
  <c r="G1626" i="13"/>
  <c r="C1626" i="13"/>
  <c r="G1625" i="13"/>
  <c r="C1625" i="13"/>
  <c r="G1624" i="13"/>
  <c r="C1624" i="13"/>
  <c r="G1623" i="13"/>
  <c r="C1623" i="13"/>
  <c r="G1622" i="13"/>
  <c r="C1622" i="13"/>
  <c r="G1621" i="13"/>
  <c r="C1621" i="13"/>
  <c r="G1620" i="13"/>
  <c r="C1620" i="13"/>
  <c r="G1619" i="13"/>
  <c r="C1619" i="13"/>
  <c r="G1618" i="13"/>
  <c r="C1618" i="13"/>
  <c r="G1617" i="13"/>
  <c r="C1617" i="13"/>
  <c r="G1616" i="13"/>
  <c r="C1616" i="13"/>
  <c r="G1615" i="13"/>
  <c r="C1615" i="13"/>
  <c r="G1614" i="13"/>
  <c r="C1614" i="13"/>
  <c r="G1613" i="13"/>
  <c r="C1613" i="13"/>
  <c r="G1612" i="13"/>
  <c r="C1612" i="13"/>
  <c r="G1611" i="13"/>
  <c r="C1611" i="13"/>
  <c r="G1610" i="13"/>
  <c r="C1610" i="13"/>
  <c r="G1609" i="13"/>
  <c r="C1609" i="13"/>
  <c r="G1608" i="13"/>
  <c r="C1608" i="13"/>
  <c r="G1607" i="13"/>
  <c r="C1607" i="13"/>
  <c r="G1606" i="13"/>
  <c r="C1606" i="13"/>
  <c r="G1605" i="13"/>
  <c r="C1605" i="13"/>
  <c r="G1604" i="13"/>
  <c r="C1604" i="13"/>
  <c r="G1603" i="13"/>
  <c r="C1603" i="13"/>
  <c r="G1602" i="13"/>
  <c r="C1602" i="13"/>
  <c r="G1601" i="13"/>
  <c r="C1601" i="13"/>
  <c r="G1600" i="13"/>
  <c r="C1600" i="13"/>
  <c r="G1599" i="13"/>
  <c r="C1599" i="13"/>
  <c r="G1598" i="13"/>
  <c r="C1598" i="13"/>
  <c r="G1597" i="13"/>
  <c r="C1597" i="13"/>
  <c r="G1596" i="13"/>
  <c r="C1596" i="13"/>
  <c r="G1595" i="13"/>
  <c r="C1595" i="13"/>
  <c r="G1594" i="13"/>
  <c r="C1594" i="13"/>
  <c r="G1593" i="13"/>
  <c r="C1593" i="13"/>
  <c r="G1592" i="13"/>
  <c r="C1592" i="13"/>
  <c r="G1591" i="13"/>
  <c r="C1591" i="13"/>
  <c r="G1590" i="13"/>
  <c r="C1590" i="13"/>
  <c r="G1589" i="13"/>
  <c r="C1589" i="13"/>
  <c r="G1588" i="13"/>
  <c r="C1588" i="13"/>
  <c r="G1587" i="13"/>
  <c r="C1587" i="13"/>
  <c r="G1586" i="13"/>
  <c r="C1586" i="13"/>
  <c r="G1585" i="13"/>
  <c r="C1585" i="13"/>
  <c r="G1584" i="13"/>
  <c r="C1584" i="13"/>
  <c r="G1583" i="13"/>
  <c r="C1583" i="13"/>
  <c r="G1582" i="13"/>
  <c r="C1582" i="13"/>
  <c r="G1581" i="13"/>
  <c r="C1581" i="13"/>
  <c r="G1580" i="13"/>
  <c r="C1580" i="13"/>
  <c r="G1579" i="13"/>
  <c r="C1579" i="13"/>
  <c r="G1578" i="13"/>
  <c r="C1578" i="13"/>
  <c r="G1577" i="13"/>
  <c r="C1577" i="13"/>
  <c r="G1576" i="13"/>
  <c r="C1576" i="13"/>
  <c r="G1575" i="13"/>
  <c r="C1575" i="13"/>
  <c r="G1574" i="13"/>
  <c r="C1574" i="13"/>
  <c r="G1573" i="13"/>
  <c r="C1573" i="13"/>
  <c r="G1572" i="13"/>
  <c r="C1572" i="13"/>
  <c r="G1571" i="13"/>
  <c r="C1571" i="13"/>
  <c r="G1570" i="13"/>
  <c r="C1570" i="13"/>
  <c r="G1569" i="13"/>
  <c r="C1569" i="13"/>
  <c r="G1568" i="13"/>
  <c r="C1568" i="13"/>
  <c r="G1567" i="13"/>
  <c r="C1567" i="13"/>
  <c r="G1566" i="13"/>
  <c r="C1566" i="13"/>
  <c r="G1565" i="13"/>
  <c r="C1565" i="13"/>
  <c r="G1564" i="13"/>
  <c r="C1564" i="13"/>
  <c r="G1563" i="13"/>
  <c r="C1563" i="13"/>
  <c r="G1562" i="13"/>
  <c r="C1562" i="13"/>
  <c r="G1561" i="13"/>
  <c r="C1561" i="13"/>
  <c r="G1560" i="13"/>
  <c r="C1560" i="13"/>
  <c r="G1559" i="13"/>
  <c r="C1559" i="13"/>
  <c r="G1558" i="13"/>
  <c r="C1558" i="13"/>
  <c r="G1557" i="13"/>
  <c r="C1557" i="13"/>
  <c r="G1556" i="13"/>
  <c r="C1556" i="13"/>
  <c r="G1555" i="13"/>
  <c r="C1555" i="13"/>
  <c r="G1554" i="13"/>
  <c r="C1554" i="13"/>
  <c r="G1553" i="13"/>
  <c r="C1553" i="13"/>
  <c r="G1552" i="13"/>
  <c r="C1552" i="13"/>
  <c r="G1551" i="13"/>
  <c r="C1551" i="13"/>
  <c r="G1550" i="13"/>
  <c r="C1550" i="13"/>
  <c r="G1549" i="13"/>
  <c r="C1549" i="13"/>
  <c r="G1548" i="13"/>
  <c r="C1548" i="13"/>
  <c r="G1547" i="13"/>
  <c r="C1547" i="13"/>
  <c r="G1546" i="13"/>
  <c r="C1546" i="13"/>
  <c r="G1545" i="13"/>
  <c r="C1545" i="13"/>
  <c r="G1544" i="13"/>
  <c r="C1544" i="13"/>
  <c r="G1543" i="13"/>
  <c r="C1543" i="13"/>
  <c r="G1542" i="13"/>
  <c r="C1542" i="13"/>
  <c r="G1541" i="13"/>
  <c r="C1541" i="13"/>
  <c r="G1540" i="13"/>
  <c r="C1540" i="13"/>
  <c r="G1539" i="13"/>
  <c r="C1539" i="13"/>
  <c r="G1538" i="13"/>
  <c r="C1538" i="13"/>
  <c r="G1537" i="13"/>
  <c r="C1537" i="13"/>
  <c r="G1536" i="13"/>
  <c r="C1536" i="13"/>
  <c r="G1535" i="13"/>
  <c r="C1535" i="13"/>
  <c r="G1534" i="13"/>
  <c r="C1534" i="13"/>
  <c r="G1533" i="13"/>
  <c r="C1533" i="13"/>
  <c r="G1532" i="13"/>
  <c r="C1532" i="13"/>
  <c r="G1531" i="13"/>
  <c r="C1531" i="13"/>
  <c r="G1530" i="13"/>
  <c r="C1530" i="13"/>
  <c r="G1529" i="13"/>
  <c r="C1529" i="13"/>
  <c r="G1528" i="13"/>
  <c r="C1528" i="13"/>
  <c r="G1527" i="13"/>
  <c r="C1527" i="13"/>
  <c r="G1526" i="13"/>
  <c r="C1526" i="13"/>
  <c r="G1525" i="13"/>
  <c r="C1525" i="13"/>
  <c r="G1524" i="13"/>
  <c r="C1524" i="13"/>
  <c r="G1523" i="13"/>
  <c r="C1523" i="13"/>
  <c r="G1522" i="13"/>
  <c r="C1522" i="13"/>
  <c r="G1521" i="13"/>
  <c r="C1521" i="13"/>
  <c r="G1520" i="13"/>
  <c r="C1520" i="13"/>
  <c r="G1519" i="13"/>
  <c r="C1519" i="13"/>
  <c r="G1518" i="13"/>
  <c r="C1518" i="13"/>
  <c r="G1517" i="13"/>
  <c r="C1517" i="13"/>
  <c r="G1516" i="13"/>
  <c r="C1516" i="13"/>
  <c r="G1515" i="13"/>
  <c r="C1515" i="13"/>
  <c r="G1514" i="13"/>
  <c r="C1514" i="13"/>
  <c r="G1513" i="13"/>
  <c r="C1513" i="13"/>
  <c r="G1512" i="13"/>
  <c r="C1512" i="13"/>
  <c r="G1511" i="13"/>
  <c r="C1511" i="13"/>
  <c r="G1510" i="13"/>
  <c r="C1510" i="13"/>
  <c r="G1509" i="13"/>
  <c r="C1509" i="13"/>
  <c r="G1508" i="13"/>
  <c r="C1508" i="13"/>
  <c r="G1507" i="13"/>
  <c r="C1507" i="13"/>
  <c r="G1506" i="13"/>
  <c r="C1506" i="13"/>
  <c r="G1505" i="13"/>
  <c r="C1505" i="13"/>
  <c r="G1504" i="13"/>
  <c r="C1504" i="13"/>
  <c r="G1503" i="13"/>
  <c r="C1503" i="13"/>
  <c r="G1502" i="13"/>
  <c r="C1502" i="13"/>
  <c r="G1501" i="13"/>
  <c r="C1501" i="13"/>
  <c r="G1500" i="13"/>
  <c r="C1500" i="13"/>
  <c r="G1499" i="13"/>
  <c r="C1499" i="13"/>
  <c r="G1498" i="13"/>
  <c r="C1498" i="13"/>
  <c r="G1497" i="13"/>
  <c r="C1497" i="13"/>
  <c r="G1496" i="13"/>
  <c r="C1496" i="13"/>
  <c r="G1495" i="13"/>
  <c r="C1495" i="13"/>
  <c r="G1494" i="13"/>
  <c r="C1494" i="13"/>
  <c r="G1493" i="13"/>
  <c r="C1493" i="13"/>
  <c r="G1492" i="13"/>
  <c r="C1492" i="13"/>
  <c r="G1491" i="13"/>
  <c r="C1491" i="13"/>
  <c r="G1490" i="13"/>
  <c r="C1490" i="13"/>
  <c r="G1489" i="13"/>
  <c r="C1489" i="13"/>
  <c r="G1488" i="13"/>
  <c r="C1488" i="13"/>
  <c r="G1487" i="13"/>
  <c r="C1487" i="13"/>
  <c r="G1486" i="13"/>
  <c r="C1486" i="13"/>
  <c r="G1485" i="13"/>
  <c r="C1485" i="13"/>
  <c r="G1484" i="13"/>
  <c r="C1484" i="13"/>
  <c r="G1483" i="13"/>
  <c r="C1483" i="13"/>
  <c r="G1482" i="13"/>
  <c r="C1482" i="13"/>
  <c r="G1481" i="13"/>
  <c r="C1481" i="13"/>
  <c r="G1480" i="13"/>
  <c r="C1480" i="13"/>
  <c r="G1479" i="13"/>
  <c r="C1479" i="13"/>
  <c r="G1478" i="13"/>
  <c r="C1478" i="13"/>
  <c r="G1477" i="13"/>
  <c r="C1477" i="13"/>
  <c r="G1476" i="13"/>
  <c r="C1476" i="13"/>
  <c r="G1475" i="13"/>
  <c r="C1475" i="13"/>
  <c r="G1474" i="13"/>
  <c r="C1474" i="13"/>
  <c r="G1473" i="13"/>
  <c r="C1473" i="13"/>
  <c r="G1472" i="13"/>
  <c r="C1472" i="13"/>
  <c r="G1471" i="13"/>
  <c r="C1471" i="13"/>
  <c r="G1470" i="13"/>
  <c r="C1470" i="13"/>
  <c r="G1469" i="13"/>
  <c r="C1469" i="13"/>
  <c r="G1468" i="13"/>
  <c r="C1468" i="13"/>
  <c r="G1467" i="13"/>
  <c r="C1467" i="13"/>
  <c r="G1466" i="13"/>
  <c r="C1466" i="13"/>
  <c r="G1465" i="13"/>
  <c r="C1465" i="13"/>
  <c r="G1464" i="13"/>
  <c r="C1464" i="13"/>
  <c r="G1463" i="13"/>
  <c r="C1463" i="13"/>
  <c r="G1462" i="13"/>
  <c r="C1462" i="13"/>
  <c r="G1461" i="13"/>
  <c r="C1461" i="13"/>
  <c r="G1460" i="13"/>
  <c r="C1460" i="13"/>
  <c r="G1459" i="13"/>
  <c r="C1459" i="13"/>
  <c r="G1458" i="13"/>
  <c r="C1458" i="13"/>
  <c r="G1457" i="13"/>
  <c r="C1457" i="13"/>
  <c r="G1456" i="13"/>
  <c r="C1456" i="13"/>
  <c r="G1455" i="13"/>
  <c r="C1455" i="13"/>
  <c r="G1454" i="13"/>
  <c r="C1454" i="13"/>
  <c r="G1453" i="13"/>
  <c r="C1453" i="13"/>
  <c r="G1452" i="13"/>
  <c r="C1452" i="13"/>
  <c r="G1451" i="13"/>
  <c r="C1451" i="13"/>
  <c r="G1450" i="13"/>
  <c r="C1450" i="13"/>
  <c r="G1449" i="13"/>
  <c r="C1449" i="13"/>
  <c r="G1448" i="13"/>
  <c r="C1448" i="13"/>
  <c r="G1447" i="13"/>
  <c r="C1447" i="13"/>
  <c r="G1446" i="13"/>
  <c r="C1446" i="13"/>
  <c r="G1445" i="13"/>
  <c r="C1445" i="13"/>
  <c r="G1444" i="13"/>
  <c r="C1444" i="13"/>
  <c r="G1443" i="13"/>
  <c r="C1443" i="13"/>
  <c r="G1442" i="13"/>
  <c r="C1442" i="13"/>
  <c r="G1441" i="13"/>
  <c r="C1441" i="13"/>
  <c r="G1440" i="13"/>
  <c r="C1440" i="13"/>
  <c r="G1439" i="13"/>
  <c r="C1439" i="13"/>
  <c r="G1438" i="13"/>
  <c r="C1438" i="13"/>
  <c r="G1437" i="13"/>
  <c r="C1437" i="13"/>
  <c r="G1436" i="13"/>
  <c r="C1436" i="13"/>
  <c r="G1435" i="13"/>
  <c r="C1435" i="13"/>
  <c r="G1434" i="13"/>
  <c r="C1434" i="13"/>
  <c r="G1433" i="13"/>
  <c r="C1433" i="13"/>
  <c r="G1432" i="13"/>
  <c r="C1432" i="13"/>
  <c r="G1431" i="13"/>
  <c r="C1431" i="13"/>
  <c r="G1430" i="13"/>
  <c r="C1430" i="13"/>
  <c r="G1429" i="13"/>
  <c r="C1429" i="13"/>
  <c r="G1428" i="13"/>
  <c r="C1428" i="13"/>
  <c r="G1427" i="13"/>
  <c r="C1427" i="13"/>
  <c r="G1426" i="13"/>
  <c r="C1426" i="13"/>
  <c r="G1425" i="13"/>
  <c r="C1425" i="13"/>
  <c r="G1424" i="13"/>
  <c r="C1424" i="13"/>
  <c r="G1423" i="13"/>
  <c r="C1423" i="13"/>
  <c r="G1422" i="13"/>
  <c r="C1422" i="13"/>
  <c r="G1421" i="13"/>
  <c r="C1421" i="13"/>
  <c r="G1420" i="13"/>
  <c r="C1420" i="13"/>
  <c r="G1419" i="13"/>
  <c r="C1419" i="13"/>
  <c r="G1418" i="13"/>
  <c r="C1418" i="13"/>
  <c r="G1417" i="13"/>
  <c r="C1417" i="13"/>
  <c r="G1416" i="13"/>
  <c r="C1416" i="13"/>
  <c r="G1415" i="13"/>
  <c r="C1415" i="13"/>
  <c r="G1414" i="13"/>
  <c r="C1414" i="13"/>
  <c r="G1413" i="13"/>
  <c r="C1413" i="13"/>
  <c r="G1412" i="13"/>
  <c r="C1412" i="13"/>
  <c r="G1411" i="13"/>
  <c r="C1411" i="13"/>
  <c r="G1410" i="13"/>
  <c r="C1410" i="13"/>
  <c r="G1409" i="13"/>
  <c r="C1409" i="13"/>
  <c r="G1408" i="13"/>
  <c r="C1408" i="13"/>
  <c r="G1407" i="13"/>
  <c r="C1407" i="13"/>
  <c r="G1406" i="13"/>
  <c r="C1406" i="13"/>
  <c r="G1405" i="13"/>
  <c r="C1405" i="13"/>
  <c r="G1404" i="13"/>
  <c r="C1404" i="13"/>
  <c r="G1403" i="13"/>
  <c r="C1403" i="13"/>
  <c r="G1402" i="13"/>
  <c r="C1402" i="13"/>
  <c r="G1401" i="13"/>
  <c r="C1401" i="13"/>
  <c r="G1400" i="13"/>
  <c r="C1400" i="13"/>
  <c r="G1399" i="13"/>
  <c r="C1399" i="13"/>
  <c r="G1398" i="13"/>
  <c r="C1398" i="13"/>
  <c r="G1397" i="13"/>
  <c r="C1397" i="13"/>
  <c r="G1396" i="13"/>
  <c r="C1396" i="13"/>
  <c r="G1395" i="13"/>
  <c r="C1395" i="13"/>
  <c r="G1394" i="13"/>
  <c r="C1394" i="13"/>
  <c r="G1393" i="13"/>
  <c r="C1393" i="13"/>
  <c r="G1392" i="13"/>
  <c r="C1392" i="13"/>
  <c r="G1391" i="13"/>
  <c r="C1391" i="13"/>
  <c r="G1390" i="13"/>
  <c r="C1390" i="13"/>
  <c r="G1389" i="13"/>
  <c r="C1389" i="13"/>
  <c r="G1388" i="13"/>
  <c r="C1388" i="13"/>
  <c r="G1387" i="13"/>
  <c r="C1387" i="13"/>
  <c r="G1386" i="13"/>
  <c r="C1386" i="13"/>
  <c r="G1385" i="13"/>
  <c r="C1385" i="13"/>
  <c r="G1384" i="13"/>
  <c r="C1384" i="13"/>
  <c r="G1383" i="13"/>
  <c r="C1383" i="13"/>
  <c r="G1382" i="13"/>
  <c r="C1382" i="13"/>
  <c r="G1381" i="13"/>
  <c r="C1381" i="13"/>
  <c r="G1380" i="13"/>
  <c r="C1380" i="13"/>
  <c r="G1379" i="13"/>
  <c r="C1379" i="13"/>
  <c r="G1378" i="13"/>
  <c r="C1378" i="13"/>
  <c r="G1377" i="13"/>
  <c r="C1377" i="13"/>
  <c r="G1376" i="13"/>
  <c r="C1376" i="13"/>
  <c r="G1375" i="13"/>
  <c r="C1375" i="13"/>
  <c r="G1374" i="13"/>
  <c r="C1374" i="13"/>
  <c r="G1373" i="13"/>
  <c r="C1373" i="13"/>
  <c r="G1372" i="13"/>
  <c r="C1372" i="13"/>
  <c r="G1371" i="13"/>
  <c r="C1371" i="13"/>
  <c r="G1370" i="13"/>
  <c r="C1370" i="13"/>
  <c r="G1369" i="13"/>
  <c r="C1369" i="13"/>
  <c r="G1368" i="13"/>
  <c r="C1368" i="13"/>
  <c r="G1367" i="13"/>
  <c r="C1367" i="13"/>
  <c r="G1366" i="13"/>
  <c r="C1366" i="13"/>
  <c r="G1365" i="13"/>
  <c r="C1365" i="13"/>
  <c r="G1364" i="13"/>
  <c r="C1364" i="13"/>
  <c r="G1363" i="13"/>
  <c r="C1363" i="13"/>
  <c r="G1362" i="13"/>
  <c r="C1362" i="13"/>
  <c r="G1361" i="13"/>
  <c r="C1361" i="13"/>
  <c r="G1360" i="13"/>
  <c r="C1360" i="13"/>
  <c r="G1359" i="13"/>
  <c r="C1359" i="13"/>
  <c r="G1358" i="13"/>
  <c r="C1358" i="13"/>
  <c r="G1357" i="13"/>
  <c r="C1357" i="13"/>
  <c r="G1356" i="13"/>
  <c r="C1356" i="13"/>
  <c r="G1355" i="13"/>
  <c r="C1355" i="13"/>
  <c r="G1354" i="13"/>
  <c r="C1354" i="13"/>
  <c r="G1353" i="13"/>
  <c r="C1353" i="13"/>
  <c r="G1352" i="13"/>
  <c r="C1352" i="13"/>
  <c r="G1351" i="13"/>
  <c r="C1351" i="13"/>
  <c r="G1350" i="13"/>
  <c r="C1350" i="13"/>
  <c r="G1349" i="13"/>
  <c r="C1349" i="13"/>
  <c r="G1348" i="13"/>
  <c r="C1348" i="13"/>
  <c r="G1347" i="13"/>
  <c r="C1347" i="13"/>
  <c r="G1346" i="13"/>
  <c r="C1346" i="13"/>
  <c r="G1345" i="13"/>
  <c r="C1345" i="13"/>
  <c r="G1344" i="13"/>
  <c r="C1344" i="13"/>
  <c r="G1343" i="13"/>
  <c r="C1343" i="13"/>
  <c r="G1342" i="13"/>
  <c r="C1342" i="13"/>
  <c r="G1341" i="13"/>
  <c r="C1341" i="13"/>
  <c r="G1340" i="13"/>
  <c r="C1340" i="13"/>
  <c r="G1339" i="13"/>
  <c r="C1339" i="13"/>
  <c r="G1338" i="13"/>
  <c r="C1338" i="13"/>
  <c r="G1337" i="13"/>
  <c r="C1337" i="13"/>
  <c r="G1336" i="13"/>
  <c r="C1336" i="13"/>
  <c r="G1335" i="13"/>
  <c r="C1335" i="13"/>
  <c r="G1334" i="13"/>
  <c r="C1334" i="13"/>
  <c r="G1333" i="13"/>
  <c r="C1333" i="13"/>
  <c r="G1332" i="13"/>
  <c r="C1332" i="13"/>
  <c r="G1331" i="13"/>
  <c r="C1331" i="13"/>
  <c r="G1330" i="13"/>
  <c r="C1330" i="13"/>
  <c r="G1329" i="13"/>
  <c r="C1329" i="13"/>
  <c r="G1328" i="13"/>
  <c r="C1328" i="13"/>
  <c r="G1327" i="13"/>
  <c r="C1327" i="13"/>
  <c r="G1326" i="13"/>
  <c r="C1326" i="13"/>
  <c r="G1325" i="13"/>
  <c r="C1325" i="13"/>
  <c r="G1324" i="13"/>
  <c r="C1324" i="13"/>
  <c r="G1323" i="13"/>
  <c r="C1323" i="13"/>
  <c r="G1322" i="13"/>
  <c r="C1322" i="13"/>
  <c r="G1321" i="13"/>
  <c r="C1321" i="13"/>
  <c r="G1320" i="13"/>
  <c r="C1320" i="13"/>
  <c r="G1319" i="13"/>
  <c r="C1319" i="13"/>
  <c r="G1318" i="13"/>
  <c r="C1318" i="13"/>
  <c r="G1317" i="13"/>
  <c r="C1317" i="13"/>
  <c r="G1316" i="13"/>
  <c r="C1316" i="13"/>
  <c r="G1315" i="13"/>
  <c r="C1315" i="13"/>
  <c r="G1314" i="13"/>
  <c r="C1314" i="13"/>
  <c r="G1313" i="13"/>
  <c r="C1313" i="13"/>
  <c r="G1312" i="13"/>
  <c r="C1312" i="13"/>
  <c r="G1311" i="13"/>
  <c r="C1311" i="13"/>
  <c r="G1310" i="13"/>
  <c r="C1310" i="13"/>
  <c r="G1309" i="13"/>
  <c r="C1309" i="13"/>
  <c r="G1308" i="13"/>
  <c r="C1308" i="13"/>
  <c r="G1307" i="13"/>
  <c r="C1307" i="13"/>
  <c r="G1306" i="13"/>
  <c r="C1306" i="13"/>
  <c r="G1305" i="13"/>
  <c r="C1305" i="13"/>
  <c r="G1304" i="13"/>
  <c r="C1304" i="13"/>
  <c r="G1303" i="13"/>
  <c r="C1303" i="13"/>
  <c r="G1302" i="13"/>
  <c r="C1302" i="13"/>
  <c r="G1301" i="13"/>
  <c r="C1301" i="13"/>
  <c r="G1300" i="13"/>
  <c r="C1300" i="13"/>
  <c r="G1299" i="13"/>
  <c r="C1299" i="13"/>
  <c r="G1298" i="13"/>
  <c r="C1298" i="13"/>
  <c r="G1297" i="13"/>
  <c r="C1297" i="13"/>
  <c r="G1296" i="13"/>
  <c r="C1296" i="13"/>
  <c r="G1295" i="13"/>
  <c r="C1295" i="13"/>
  <c r="G1294" i="13"/>
  <c r="C1294" i="13"/>
  <c r="G1293" i="13"/>
  <c r="C1293" i="13"/>
  <c r="G1292" i="13"/>
  <c r="C1292" i="13"/>
  <c r="G1291" i="13"/>
  <c r="C1291" i="13"/>
  <c r="G1290" i="13"/>
  <c r="C1290" i="13"/>
  <c r="G1289" i="13"/>
  <c r="C1289" i="13"/>
  <c r="G1288" i="13"/>
  <c r="C1288" i="13"/>
  <c r="G1287" i="13"/>
  <c r="C1287" i="13"/>
  <c r="G1286" i="13"/>
  <c r="C1286" i="13"/>
  <c r="G1285" i="13"/>
  <c r="C1285" i="13"/>
  <c r="G1284" i="13"/>
  <c r="C1284" i="13"/>
  <c r="G1283" i="13"/>
  <c r="C1283" i="13"/>
  <c r="G1282" i="13"/>
  <c r="C1282" i="13"/>
  <c r="G1281" i="13"/>
  <c r="C1281" i="13"/>
  <c r="G1280" i="13"/>
  <c r="C1280" i="13"/>
  <c r="G1279" i="13"/>
  <c r="C1279" i="13"/>
  <c r="G1278" i="13"/>
  <c r="C1278" i="13"/>
  <c r="G1277" i="13"/>
  <c r="C1277" i="13"/>
  <c r="G1276" i="13"/>
  <c r="C1276" i="13"/>
  <c r="G1275" i="13"/>
  <c r="C1275" i="13"/>
  <c r="G1274" i="13"/>
  <c r="C1274" i="13"/>
  <c r="G1273" i="13"/>
  <c r="C1273" i="13"/>
  <c r="G1272" i="13"/>
  <c r="C1272" i="13"/>
  <c r="G1271" i="13"/>
  <c r="C1271" i="13"/>
  <c r="G1270" i="13"/>
  <c r="C1270" i="13"/>
  <c r="G1269" i="13"/>
  <c r="C1269" i="13"/>
  <c r="G1268" i="13"/>
  <c r="C1268" i="13"/>
  <c r="G1267" i="13"/>
  <c r="C1267" i="13"/>
  <c r="G1266" i="13"/>
  <c r="C1266" i="13"/>
  <c r="G1265" i="13"/>
  <c r="C1265" i="13"/>
  <c r="G1264" i="13"/>
  <c r="C1264" i="13"/>
  <c r="G1263" i="13"/>
  <c r="C1263" i="13"/>
  <c r="G1262" i="13"/>
  <c r="C1262" i="13"/>
  <c r="G1261" i="13"/>
  <c r="C1261" i="13"/>
  <c r="G1260" i="13"/>
  <c r="C1260" i="13"/>
  <c r="G1259" i="13"/>
  <c r="C1259" i="13"/>
  <c r="G1258" i="13"/>
  <c r="C1258" i="13"/>
  <c r="G1257" i="13"/>
  <c r="C1257" i="13"/>
  <c r="G1256" i="13"/>
  <c r="C1256" i="13"/>
  <c r="G1255" i="13"/>
  <c r="C1255" i="13"/>
  <c r="G1254" i="13"/>
  <c r="C1254" i="13"/>
  <c r="G1253" i="13"/>
  <c r="C1253" i="13"/>
  <c r="G1252" i="13"/>
  <c r="C1252" i="13"/>
  <c r="G1251" i="13"/>
  <c r="C1251" i="13"/>
  <c r="G1250" i="13"/>
  <c r="C1250" i="13"/>
  <c r="G1249" i="13"/>
  <c r="C1249" i="13"/>
  <c r="G1248" i="13"/>
  <c r="C1248" i="13"/>
  <c r="G1247" i="13"/>
  <c r="C1247" i="13"/>
  <c r="G1246" i="13"/>
  <c r="C1246" i="13"/>
  <c r="G1245" i="13"/>
  <c r="C1245" i="13"/>
  <c r="G1244" i="13"/>
  <c r="C1244" i="13"/>
  <c r="G1243" i="13"/>
  <c r="C1243" i="13"/>
  <c r="G1242" i="13"/>
  <c r="C1242" i="13"/>
  <c r="G1241" i="13"/>
  <c r="C1241" i="13"/>
  <c r="G1240" i="13"/>
  <c r="C1240" i="13"/>
  <c r="G1239" i="13"/>
  <c r="C1239" i="13"/>
  <c r="G1238" i="13"/>
  <c r="C1238" i="13"/>
  <c r="G1237" i="13"/>
  <c r="C1237" i="13"/>
  <c r="G1236" i="13"/>
  <c r="C1236" i="13"/>
  <c r="G1235" i="13"/>
  <c r="C1235" i="13"/>
  <c r="G1234" i="13"/>
  <c r="C1234" i="13"/>
  <c r="G1233" i="13"/>
  <c r="C1233" i="13"/>
  <c r="G1232" i="13"/>
  <c r="C1232" i="13"/>
  <c r="G1231" i="13"/>
  <c r="C1231" i="13"/>
  <c r="G1230" i="13"/>
  <c r="C1230" i="13"/>
  <c r="G1229" i="13"/>
  <c r="C1229" i="13"/>
  <c r="G1228" i="13"/>
  <c r="C1228" i="13"/>
  <c r="G1227" i="13"/>
  <c r="C1227" i="13"/>
  <c r="G1226" i="13"/>
  <c r="C1226" i="13"/>
  <c r="G1225" i="13"/>
  <c r="C1225" i="13"/>
  <c r="G1224" i="13"/>
  <c r="C1224" i="13"/>
  <c r="G1223" i="13"/>
  <c r="C1223" i="13"/>
  <c r="G1222" i="13"/>
  <c r="C1222" i="13"/>
  <c r="G1221" i="13"/>
  <c r="C1221" i="13"/>
  <c r="G1220" i="13"/>
  <c r="C1220" i="13"/>
  <c r="G1219" i="13"/>
  <c r="C1219" i="13"/>
  <c r="G1218" i="13"/>
  <c r="C1218" i="13"/>
  <c r="G1217" i="13"/>
  <c r="C1217" i="13"/>
  <c r="G1216" i="13"/>
  <c r="C1216" i="13"/>
  <c r="G1215" i="13"/>
  <c r="C1215" i="13"/>
  <c r="G1214" i="13"/>
  <c r="C1214" i="13"/>
  <c r="G1213" i="13"/>
  <c r="C1213" i="13"/>
  <c r="G1212" i="13"/>
  <c r="C1212" i="13"/>
  <c r="G1211" i="13"/>
  <c r="C1211" i="13"/>
  <c r="G1210" i="13"/>
  <c r="C1210" i="13"/>
  <c r="G1209" i="13"/>
  <c r="C1209" i="13"/>
  <c r="G1208" i="13"/>
  <c r="C1208" i="13"/>
  <c r="G1207" i="13"/>
  <c r="C1207" i="13"/>
  <c r="G1206" i="13"/>
  <c r="C1206" i="13"/>
  <c r="G1205" i="13"/>
  <c r="C1205" i="13"/>
  <c r="G1204" i="13"/>
  <c r="C1204" i="13"/>
  <c r="G1203" i="13"/>
  <c r="C1203" i="13"/>
  <c r="G1202" i="13"/>
  <c r="C1202" i="13"/>
  <c r="G1201" i="13"/>
  <c r="C1201" i="13"/>
  <c r="G1200" i="13"/>
  <c r="C1200" i="13"/>
  <c r="G1199" i="13"/>
  <c r="C1199" i="13"/>
  <c r="G1198" i="13"/>
  <c r="C1198" i="13"/>
  <c r="G1197" i="13"/>
  <c r="C1197" i="13"/>
  <c r="G1196" i="13"/>
  <c r="C1196" i="13"/>
  <c r="G1195" i="13"/>
  <c r="C1195" i="13"/>
  <c r="G1194" i="13"/>
  <c r="C1194" i="13"/>
  <c r="G1193" i="13"/>
  <c r="C1193" i="13"/>
  <c r="G1192" i="13"/>
  <c r="C1192" i="13"/>
  <c r="G1191" i="13"/>
  <c r="C1191" i="13"/>
  <c r="G1190" i="13"/>
  <c r="C1190" i="13"/>
  <c r="G1189" i="13"/>
  <c r="C1189" i="13"/>
  <c r="G1188" i="13"/>
  <c r="C1188" i="13"/>
  <c r="G1187" i="13"/>
  <c r="C1187" i="13"/>
  <c r="G1186" i="13"/>
  <c r="C1186" i="13"/>
  <c r="G1185" i="13"/>
  <c r="C1185" i="13"/>
  <c r="G1184" i="13"/>
  <c r="C1184" i="13"/>
  <c r="G1183" i="13"/>
  <c r="C1183" i="13"/>
  <c r="G1182" i="13"/>
  <c r="C1182" i="13"/>
  <c r="G1181" i="13"/>
  <c r="C1181" i="13"/>
  <c r="G1180" i="13"/>
  <c r="C1180" i="13"/>
  <c r="G1179" i="13"/>
  <c r="C1179" i="13"/>
  <c r="G1178" i="13"/>
  <c r="C1178" i="13"/>
  <c r="G1177" i="13"/>
  <c r="C1177" i="13"/>
  <c r="G1176" i="13"/>
  <c r="C1176" i="13"/>
  <c r="G1175" i="13"/>
  <c r="C1175" i="13"/>
  <c r="G1174" i="13"/>
  <c r="C1174" i="13"/>
  <c r="G1173" i="13"/>
  <c r="C1173" i="13"/>
  <c r="G1172" i="13"/>
  <c r="C1172" i="13"/>
  <c r="G1171" i="13"/>
  <c r="C1171" i="13"/>
  <c r="G1170" i="13"/>
  <c r="C1170" i="13"/>
  <c r="G1169" i="13"/>
  <c r="C1169" i="13"/>
  <c r="G1168" i="13"/>
  <c r="C1168" i="13"/>
  <c r="G1167" i="13"/>
  <c r="C1167" i="13"/>
  <c r="G1166" i="13"/>
  <c r="C1166" i="13"/>
  <c r="G1165" i="13"/>
  <c r="C1165" i="13"/>
  <c r="G1164" i="13"/>
  <c r="C1164" i="13"/>
  <c r="G1163" i="13"/>
  <c r="C1163" i="13"/>
  <c r="G1162" i="13"/>
  <c r="C1162" i="13"/>
  <c r="G1161" i="13"/>
  <c r="C1161" i="13"/>
  <c r="G1160" i="13"/>
  <c r="C1160" i="13"/>
  <c r="G1159" i="13"/>
  <c r="C1159" i="13"/>
  <c r="G1158" i="13"/>
  <c r="C1158" i="13"/>
  <c r="G1157" i="13"/>
  <c r="C1157" i="13"/>
  <c r="G1156" i="13"/>
  <c r="C1156" i="13"/>
  <c r="G1155" i="13"/>
  <c r="C1155" i="13"/>
  <c r="G1154" i="13"/>
  <c r="C1154" i="13"/>
  <c r="G1153" i="13"/>
  <c r="C1153" i="13"/>
  <c r="G1152" i="13"/>
  <c r="C1152" i="13"/>
  <c r="G1151" i="13"/>
  <c r="C1151" i="13"/>
  <c r="G1150" i="13"/>
  <c r="C1150" i="13"/>
  <c r="G1149" i="13"/>
  <c r="C1149" i="13"/>
  <c r="G1148" i="13"/>
  <c r="C1148" i="13"/>
  <c r="G1147" i="13"/>
  <c r="C1147" i="13"/>
  <c r="G1146" i="13"/>
  <c r="C1146" i="13"/>
  <c r="G1145" i="13"/>
  <c r="C1145" i="13"/>
  <c r="G1144" i="13"/>
  <c r="C1144" i="13"/>
  <c r="G1143" i="13"/>
  <c r="C1143" i="13"/>
  <c r="G1142" i="13"/>
  <c r="C1142" i="13"/>
  <c r="G1141" i="13"/>
  <c r="C1141" i="13"/>
  <c r="G1140" i="13"/>
  <c r="C1140" i="13"/>
  <c r="G1139" i="13"/>
  <c r="C1139" i="13"/>
  <c r="G1138" i="13"/>
  <c r="C1138" i="13"/>
  <c r="G1137" i="13"/>
  <c r="C1137" i="13"/>
  <c r="G1136" i="13"/>
  <c r="C1136" i="13"/>
  <c r="G1135" i="13"/>
  <c r="C1135" i="13"/>
  <c r="G1134" i="13"/>
  <c r="C1134" i="13"/>
  <c r="G1133" i="13"/>
  <c r="C1133" i="13"/>
  <c r="G1132" i="13"/>
  <c r="C1132" i="13"/>
  <c r="G1131" i="13"/>
  <c r="C1131" i="13"/>
  <c r="G1130" i="13"/>
  <c r="C1130" i="13"/>
  <c r="G1129" i="13"/>
  <c r="C1129" i="13"/>
  <c r="G1128" i="13"/>
  <c r="C1128" i="13"/>
  <c r="G1127" i="13"/>
  <c r="C1127" i="13"/>
  <c r="G1126" i="13"/>
  <c r="C1126" i="13"/>
  <c r="G1125" i="13"/>
  <c r="C1125" i="13"/>
  <c r="G1124" i="13"/>
  <c r="C1124" i="13"/>
  <c r="G1123" i="13"/>
  <c r="C1123" i="13"/>
  <c r="G1122" i="13"/>
  <c r="C1122" i="13"/>
  <c r="G1121" i="13"/>
  <c r="C1121" i="13"/>
  <c r="G1120" i="13"/>
  <c r="C1120" i="13"/>
  <c r="G1119" i="13"/>
  <c r="C1119" i="13"/>
  <c r="G1118" i="13"/>
  <c r="C1118" i="13"/>
  <c r="G1117" i="13"/>
  <c r="C1117" i="13"/>
  <c r="G1116" i="13"/>
  <c r="C1116" i="13"/>
  <c r="G1115" i="13"/>
  <c r="C1115" i="13"/>
  <c r="G1114" i="13"/>
  <c r="C1114" i="13"/>
  <c r="G1113" i="13"/>
  <c r="C1113" i="13"/>
  <c r="G1112" i="13"/>
  <c r="C1112" i="13"/>
  <c r="G1111" i="13"/>
  <c r="C1111" i="13"/>
  <c r="G1110" i="13"/>
  <c r="C1110" i="13"/>
  <c r="G1109" i="13"/>
  <c r="C1109" i="13"/>
  <c r="G1108" i="13"/>
  <c r="C1108" i="13"/>
  <c r="G1107" i="13"/>
  <c r="C1107" i="13"/>
  <c r="G1106" i="13"/>
  <c r="C1106" i="13"/>
  <c r="G1105" i="13"/>
  <c r="C1105" i="13"/>
  <c r="G1104" i="13"/>
  <c r="C1104" i="13"/>
  <c r="G1103" i="13"/>
  <c r="C1103" i="13"/>
  <c r="G1102" i="13"/>
  <c r="C1102" i="13"/>
  <c r="G1101" i="13"/>
  <c r="C1101" i="13"/>
  <c r="G1100" i="13"/>
  <c r="C1100" i="13"/>
  <c r="G1099" i="13"/>
  <c r="C1099" i="13"/>
  <c r="G1098" i="13"/>
  <c r="C1098" i="13"/>
  <c r="G1097" i="13"/>
  <c r="C1097" i="13"/>
  <c r="G1096" i="13"/>
  <c r="C1096" i="13"/>
  <c r="G1095" i="13"/>
  <c r="C1095" i="13"/>
  <c r="G1094" i="13"/>
  <c r="C1094" i="13"/>
  <c r="G1093" i="13"/>
  <c r="C1093" i="13"/>
  <c r="G1092" i="13"/>
  <c r="C1092" i="13"/>
  <c r="G1091" i="13"/>
  <c r="C1091" i="13"/>
  <c r="G1090" i="13"/>
  <c r="C1090" i="13"/>
  <c r="G1089" i="13"/>
  <c r="C1089" i="13"/>
  <c r="G1088" i="13"/>
  <c r="C1088" i="13"/>
  <c r="G1087" i="13"/>
  <c r="C1087" i="13"/>
  <c r="G1086" i="13"/>
  <c r="C1086" i="13"/>
  <c r="G1085" i="13"/>
  <c r="C1085" i="13"/>
  <c r="G1084" i="13"/>
  <c r="C1084" i="13"/>
  <c r="G1083" i="13"/>
  <c r="C1083" i="13"/>
  <c r="G1082" i="13"/>
  <c r="C1082" i="13"/>
  <c r="G1081" i="13"/>
  <c r="C1081" i="13"/>
  <c r="G1080" i="13"/>
  <c r="C1080" i="13"/>
  <c r="G1079" i="13"/>
  <c r="C1079" i="13"/>
  <c r="G1078" i="13"/>
  <c r="C1078" i="13"/>
  <c r="G1077" i="13"/>
  <c r="C1077" i="13"/>
  <c r="G1076" i="13"/>
  <c r="C1076" i="13"/>
  <c r="G1075" i="13"/>
  <c r="C1075" i="13"/>
  <c r="G1074" i="13"/>
  <c r="C1074" i="13"/>
  <c r="G1073" i="13"/>
  <c r="C1073" i="13"/>
  <c r="G1072" i="13"/>
  <c r="C1072" i="13"/>
  <c r="G1071" i="13"/>
  <c r="C1071" i="13"/>
  <c r="G1070" i="13"/>
  <c r="C1070" i="13"/>
  <c r="G1069" i="13"/>
  <c r="C1069" i="13"/>
  <c r="G1068" i="13"/>
  <c r="C1068" i="13"/>
  <c r="G1067" i="13"/>
  <c r="C1067" i="13"/>
  <c r="G1066" i="13"/>
  <c r="C1066" i="13"/>
  <c r="G1065" i="13"/>
  <c r="C1065" i="13"/>
  <c r="G1064" i="13"/>
  <c r="C1064" i="13"/>
  <c r="G1063" i="13"/>
  <c r="C1063" i="13"/>
  <c r="G1062" i="13"/>
  <c r="C1062" i="13"/>
  <c r="G1061" i="13"/>
  <c r="C1061" i="13"/>
  <c r="G1060" i="13"/>
  <c r="C1060" i="13"/>
  <c r="G1059" i="13"/>
  <c r="C1059" i="13"/>
  <c r="G1058" i="13"/>
  <c r="C1058" i="13"/>
  <c r="G1057" i="13"/>
  <c r="C1057" i="13"/>
  <c r="G1056" i="13"/>
  <c r="C1056" i="13"/>
  <c r="G1055" i="13"/>
  <c r="C1055" i="13"/>
  <c r="G1054" i="13"/>
  <c r="C1054" i="13"/>
  <c r="G1053" i="13"/>
  <c r="C1053" i="13"/>
  <c r="G1052" i="13"/>
  <c r="C1052" i="13"/>
  <c r="G1051" i="13"/>
  <c r="C1051" i="13"/>
  <c r="G1050" i="13"/>
  <c r="C1050" i="13"/>
  <c r="G1049" i="13"/>
  <c r="C1049" i="13"/>
  <c r="G1048" i="13"/>
  <c r="C1048" i="13"/>
  <c r="G1047" i="13"/>
  <c r="C1047" i="13"/>
  <c r="G1046" i="13"/>
  <c r="C1046" i="13"/>
  <c r="G1045" i="13"/>
  <c r="C1045" i="13"/>
  <c r="G1044" i="13"/>
  <c r="C1044" i="13"/>
  <c r="G1043" i="13"/>
  <c r="C1043" i="13"/>
  <c r="G1042" i="13"/>
  <c r="C1042" i="13"/>
  <c r="G1041" i="13"/>
  <c r="C1041" i="13"/>
  <c r="G1040" i="13"/>
  <c r="C1040" i="13"/>
  <c r="G1039" i="13"/>
  <c r="C1039" i="13"/>
  <c r="G1038" i="13"/>
  <c r="C1038" i="13"/>
  <c r="G1037" i="13"/>
  <c r="C1037" i="13"/>
  <c r="G1036" i="13"/>
  <c r="C1036" i="13"/>
  <c r="G1035" i="13"/>
  <c r="C1035" i="13"/>
  <c r="G1034" i="13"/>
  <c r="C1034" i="13"/>
  <c r="G1033" i="13"/>
  <c r="C1033" i="13"/>
  <c r="G1032" i="13"/>
  <c r="C1032" i="13"/>
  <c r="G1031" i="13"/>
  <c r="C1031" i="13"/>
  <c r="G1030" i="13"/>
  <c r="C1030" i="13"/>
  <c r="G1029" i="13"/>
  <c r="C1029" i="13"/>
  <c r="G1028" i="13"/>
  <c r="C1028" i="13"/>
  <c r="G1027" i="13"/>
  <c r="C1027" i="13"/>
  <c r="G1026" i="13"/>
  <c r="C1026" i="13"/>
  <c r="G1025" i="13"/>
  <c r="C1025" i="13"/>
  <c r="G1024" i="13"/>
  <c r="C1024" i="13"/>
  <c r="G1023" i="13"/>
  <c r="C1023" i="13"/>
  <c r="G1022" i="13"/>
  <c r="C1022" i="13"/>
  <c r="G1021" i="13"/>
  <c r="C1021" i="13"/>
  <c r="G1020" i="13"/>
  <c r="C1020" i="13"/>
  <c r="G1019" i="13"/>
  <c r="C1019" i="13"/>
  <c r="G1018" i="13"/>
  <c r="C1018" i="13"/>
  <c r="G1017" i="13"/>
  <c r="C1017" i="13"/>
  <c r="G1016" i="13"/>
  <c r="C1016" i="13"/>
  <c r="G1015" i="13"/>
  <c r="C1015" i="13"/>
  <c r="G1014" i="13"/>
  <c r="C1014" i="13"/>
  <c r="G1013" i="13"/>
  <c r="C1013" i="13"/>
  <c r="G1012" i="13"/>
  <c r="C1012" i="13"/>
  <c r="G1011" i="13"/>
  <c r="C1011" i="13"/>
  <c r="G1010" i="13"/>
  <c r="C1010" i="13"/>
  <c r="G1009" i="13"/>
  <c r="C1009" i="13"/>
  <c r="G1008" i="13"/>
  <c r="C1008" i="13"/>
  <c r="G1007" i="13"/>
  <c r="C1007" i="13"/>
  <c r="G1006" i="13"/>
  <c r="C1006" i="13"/>
  <c r="G1005" i="13"/>
  <c r="C1005" i="13"/>
  <c r="G1004" i="13"/>
  <c r="C1004" i="13"/>
  <c r="G1003" i="13"/>
  <c r="C1003" i="13"/>
  <c r="G1002" i="13"/>
  <c r="C1002" i="13"/>
  <c r="G1001" i="13"/>
  <c r="C1001" i="13"/>
  <c r="G1000" i="13"/>
  <c r="C1000" i="13"/>
  <c r="G999" i="13"/>
  <c r="C999" i="13"/>
  <c r="G998" i="13"/>
  <c r="C998" i="13"/>
  <c r="G997" i="13"/>
  <c r="C997" i="13"/>
  <c r="G996" i="13"/>
  <c r="C996" i="13"/>
  <c r="G995" i="13"/>
  <c r="C995" i="13"/>
  <c r="G994" i="13"/>
  <c r="C994" i="13"/>
  <c r="G993" i="13"/>
  <c r="C993" i="13"/>
  <c r="G992" i="13"/>
  <c r="C992" i="13"/>
  <c r="G991" i="13"/>
  <c r="C991" i="13"/>
  <c r="G990" i="13"/>
  <c r="C990" i="13"/>
  <c r="G989" i="13"/>
  <c r="C989" i="13"/>
  <c r="G988" i="13"/>
  <c r="C988" i="13"/>
  <c r="G987" i="13"/>
  <c r="C987" i="13"/>
  <c r="G986" i="13"/>
  <c r="C986" i="13"/>
  <c r="G985" i="13"/>
  <c r="C985" i="13"/>
  <c r="G984" i="13"/>
  <c r="C984" i="13"/>
  <c r="G983" i="13"/>
  <c r="C983" i="13"/>
  <c r="G982" i="13"/>
  <c r="C982" i="13"/>
  <c r="G981" i="13"/>
  <c r="C981" i="13"/>
  <c r="G980" i="13"/>
  <c r="C980" i="13"/>
  <c r="G979" i="13"/>
  <c r="C979" i="13"/>
  <c r="G978" i="13"/>
  <c r="C978" i="13"/>
  <c r="G977" i="13"/>
  <c r="C977" i="13"/>
  <c r="G976" i="13"/>
  <c r="C976" i="13"/>
  <c r="G975" i="13"/>
  <c r="C975" i="13"/>
  <c r="G974" i="13"/>
  <c r="C974" i="13"/>
  <c r="G973" i="13"/>
  <c r="C973" i="13"/>
  <c r="G972" i="13"/>
  <c r="C972" i="13"/>
  <c r="G971" i="13"/>
  <c r="C971" i="13"/>
  <c r="G970" i="13"/>
  <c r="C970" i="13"/>
  <c r="G969" i="13"/>
  <c r="C969" i="13"/>
  <c r="G968" i="13"/>
  <c r="C968" i="13"/>
  <c r="G967" i="13"/>
  <c r="C967" i="13"/>
  <c r="G966" i="13"/>
  <c r="C966" i="13"/>
  <c r="G965" i="13"/>
  <c r="C965" i="13"/>
  <c r="G964" i="13"/>
  <c r="C964" i="13"/>
  <c r="G963" i="13"/>
  <c r="C963" i="13"/>
  <c r="G962" i="13"/>
  <c r="C962" i="13"/>
  <c r="G961" i="13"/>
  <c r="C961" i="13"/>
  <c r="G960" i="13"/>
  <c r="C960" i="13"/>
  <c r="G959" i="13"/>
  <c r="C959" i="13"/>
  <c r="G958" i="13"/>
  <c r="C958" i="13"/>
  <c r="G957" i="13"/>
  <c r="C957" i="13"/>
  <c r="G956" i="13"/>
  <c r="C956" i="13"/>
  <c r="G955" i="13"/>
  <c r="C955" i="13"/>
  <c r="G954" i="13"/>
  <c r="C954" i="13"/>
  <c r="G953" i="13"/>
  <c r="C953" i="13"/>
  <c r="G952" i="13"/>
  <c r="C952" i="13"/>
  <c r="G951" i="13"/>
  <c r="C951" i="13"/>
  <c r="G950" i="13"/>
  <c r="C950" i="13"/>
  <c r="G949" i="13"/>
  <c r="C949" i="13"/>
  <c r="G948" i="13"/>
  <c r="C948" i="13"/>
  <c r="G947" i="13"/>
  <c r="C947" i="13"/>
  <c r="G946" i="13"/>
  <c r="C946" i="13"/>
  <c r="G945" i="13"/>
  <c r="C945" i="13"/>
  <c r="G944" i="13"/>
  <c r="C944" i="13"/>
  <c r="G943" i="13"/>
  <c r="C943" i="13"/>
  <c r="G942" i="13"/>
  <c r="C942" i="13"/>
  <c r="G941" i="13"/>
  <c r="C941" i="13"/>
  <c r="G940" i="13"/>
  <c r="C940" i="13"/>
  <c r="G939" i="13"/>
  <c r="C939" i="13"/>
  <c r="G938" i="13"/>
  <c r="C938" i="13"/>
  <c r="G937" i="13"/>
  <c r="C937" i="13"/>
  <c r="G936" i="13"/>
  <c r="C936" i="13"/>
  <c r="G935" i="13"/>
  <c r="C935" i="13"/>
  <c r="G934" i="13"/>
  <c r="C934" i="13"/>
  <c r="G933" i="13"/>
  <c r="C933" i="13"/>
  <c r="G932" i="13"/>
  <c r="C932" i="13"/>
  <c r="G931" i="13"/>
  <c r="C931" i="13"/>
  <c r="G930" i="13"/>
  <c r="C930" i="13"/>
  <c r="G929" i="13"/>
  <c r="C929" i="13"/>
  <c r="G928" i="13"/>
  <c r="C928" i="13"/>
  <c r="G927" i="13"/>
  <c r="C927" i="13"/>
  <c r="G926" i="13"/>
  <c r="C926" i="13"/>
  <c r="G925" i="13"/>
  <c r="C925" i="13"/>
  <c r="G924" i="13"/>
  <c r="C924" i="13"/>
  <c r="G923" i="13"/>
  <c r="C923" i="13"/>
  <c r="G922" i="13"/>
  <c r="C922" i="13"/>
  <c r="G921" i="13"/>
  <c r="C921" i="13"/>
  <c r="G920" i="13"/>
  <c r="C920" i="13"/>
  <c r="G919" i="13"/>
  <c r="C919" i="13"/>
  <c r="G918" i="13"/>
  <c r="C918" i="13"/>
  <c r="G917" i="13"/>
  <c r="C917" i="13"/>
  <c r="G916" i="13"/>
  <c r="C916" i="13"/>
  <c r="G915" i="13"/>
  <c r="C915" i="13"/>
  <c r="G914" i="13"/>
  <c r="C914" i="13"/>
  <c r="G913" i="13"/>
  <c r="C913" i="13"/>
  <c r="G912" i="13"/>
  <c r="C912" i="13"/>
  <c r="G911" i="13"/>
  <c r="C911" i="13"/>
  <c r="G910" i="13"/>
  <c r="C910" i="13"/>
  <c r="G909" i="13"/>
  <c r="C909" i="13"/>
  <c r="G908" i="13"/>
  <c r="C908" i="13"/>
  <c r="G907" i="13"/>
  <c r="C907" i="13"/>
  <c r="G906" i="13"/>
  <c r="C906" i="13"/>
  <c r="G905" i="13"/>
  <c r="C905" i="13"/>
  <c r="G904" i="13"/>
  <c r="C904" i="13"/>
  <c r="G903" i="13"/>
  <c r="C903" i="13"/>
  <c r="G902" i="13"/>
  <c r="C902" i="13"/>
  <c r="G901" i="13"/>
  <c r="C901" i="13"/>
  <c r="G900" i="13"/>
  <c r="C900" i="13"/>
  <c r="G899" i="13"/>
  <c r="C899" i="13"/>
  <c r="G898" i="13"/>
  <c r="C898" i="13"/>
  <c r="G897" i="13"/>
  <c r="C897" i="13"/>
  <c r="G896" i="13"/>
  <c r="C896" i="13"/>
  <c r="G895" i="13"/>
  <c r="C895" i="13"/>
  <c r="G894" i="13"/>
  <c r="C894" i="13"/>
  <c r="G893" i="13"/>
  <c r="C893" i="13"/>
  <c r="G892" i="13"/>
  <c r="C892" i="13"/>
  <c r="G891" i="13"/>
  <c r="C891" i="13"/>
  <c r="G890" i="13"/>
  <c r="C890" i="13"/>
  <c r="G889" i="13"/>
  <c r="C889" i="13"/>
  <c r="G888" i="13"/>
  <c r="C888" i="13"/>
  <c r="G887" i="13"/>
  <c r="C887" i="13"/>
  <c r="G886" i="13"/>
  <c r="C886" i="13"/>
  <c r="G885" i="13"/>
  <c r="C885" i="13"/>
  <c r="G884" i="13"/>
  <c r="C884" i="13"/>
  <c r="G883" i="13"/>
  <c r="C883" i="13"/>
  <c r="G882" i="13"/>
  <c r="C882" i="13"/>
  <c r="G881" i="13"/>
  <c r="C881" i="13"/>
  <c r="G880" i="13"/>
  <c r="C880" i="13"/>
  <c r="G879" i="13"/>
  <c r="C879" i="13"/>
  <c r="G878" i="13"/>
  <c r="C878" i="13"/>
  <c r="G877" i="13"/>
  <c r="C877" i="13"/>
  <c r="G876" i="13"/>
  <c r="C876" i="13"/>
  <c r="G875" i="13"/>
  <c r="C875" i="13"/>
  <c r="G874" i="13"/>
  <c r="C874" i="13"/>
  <c r="G873" i="13"/>
  <c r="C873" i="13"/>
  <c r="G872" i="13"/>
  <c r="C872" i="13"/>
  <c r="G871" i="13"/>
  <c r="C871" i="13"/>
  <c r="G870" i="13"/>
  <c r="C870" i="13"/>
  <c r="G869" i="13"/>
  <c r="C869" i="13"/>
  <c r="G868" i="13"/>
  <c r="C868" i="13"/>
  <c r="G867" i="13"/>
  <c r="C867" i="13"/>
  <c r="G866" i="13"/>
  <c r="C866" i="13"/>
  <c r="G865" i="13"/>
  <c r="C865" i="13"/>
  <c r="G864" i="13"/>
  <c r="C864" i="13"/>
  <c r="G863" i="13"/>
  <c r="C863" i="13"/>
  <c r="G862" i="13"/>
  <c r="C862" i="13"/>
  <c r="G861" i="13"/>
  <c r="C861" i="13"/>
  <c r="G860" i="13"/>
  <c r="C860" i="13"/>
  <c r="G859" i="13"/>
  <c r="C859" i="13"/>
  <c r="G858" i="13"/>
  <c r="C858" i="13"/>
  <c r="G857" i="13"/>
  <c r="C857" i="13"/>
  <c r="G856" i="13"/>
  <c r="C856" i="13"/>
  <c r="G855" i="13"/>
  <c r="C855" i="13"/>
  <c r="G854" i="13"/>
  <c r="C854" i="13"/>
  <c r="G853" i="13"/>
  <c r="C853" i="13"/>
  <c r="G852" i="13"/>
  <c r="C852" i="13"/>
  <c r="G851" i="13"/>
  <c r="C851" i="13"/>
  <c r="G850" i="13"/>
  <c r="C850" i="13"/>
  <c r="G849" i="13"/>
  <c r="C849" i="13"/>
  <c r="G848" i="13"/>
  <c r="C848" i="13"/>
  <c r="G847" i="13"/>
  <c r="C847" i="13"/>
  <c r="G846" i="13"/>
  <c r="C846" i="13"/>
  <c r="G845" i="13"/>
  <c r="C845" i="13"/>
  <c r="G844" i="13"/>
  <c r="C844" i="13"/>
  <c r="G843" i="13"/>
  <c r="C843" i="13"/>
  <c r="G842" i="13"/>
  <c r="C842" i="13"/>
  <c r="G841" i="13"/>
  <c r="C841" i="13"/>
  <c r="G840" i="13"/>
  <c r="C840" i="13"/>
  <c r="G839" i="13"/>
  <c r="C839" i="13"/>
  <c r="G838" i="13"/>
  <c r="C838" i="13"/>
  <c r="G837" i="13"/>
  <c r="C837" i="13"/>
  <c r="G836" i="13"/>
  <c r="C836" i="13"/>
  <c r="G835" i="13"/>
  <c r="C835" i="13"/>
  <c r="G834" i="13"/>
  <c r="C834" i="13"/>
  <c r="G833" i="13"/>
  <c r="C833" i="13"/>
  <c r="G832" i="13"/>
  <c r="C832" i="13"/>
  <c r="G831" i="13"/>
  <c r="C831" i="13"/>
  <c r="G830" i="13"/>
  <c r="C830" i="13"/>
  <c r="G829" i="13"/>
  <c r="C829" i="13"/>
  <c r="G828" i="13"/>
  <c r="C828" i="13"/>
  <c r="G827" i="13"/>
  <c r="C827" i="13"/>
  <c r="G826" i="13"/>
  <c r="C826" i="13"/>
  <c r="G825" i="13"/>
  <c r="C825" i="13"/>
  <c r="G824" i="13"/>
  <c r="C824" i="13"/>
  <c r="G823" i="13"/>
  <c r="C823" i="13"/>
  <c r="G822" i="13"/>
  <c r="C822" i="13"/>
  <c r="G821" i="13"/>
  <c r="C821" i="13"/>
  <c r="G820" i="13"/>
  <c r="C820" i="13"/>
  <c r="G819" i="13"/>
  <c r="C819" i="13"/>
  <c r="G818" i="13"/>
  <c r="C818" i="13"/>
  <c r="G817" i="13"/>
  <c r="C817" i="13"/>
  <c r="G816" i="13"/>
  <c r="C816" i="13"/>
  <c r="G815" i="13"/>
  <c r="C815" i="13"/>
  <c r="G814" i="13"/>
  <c r="C814" i="13"/>
  <c r="G813" i="13"/>
  <c r="C813" i="13"/>
  <c r="G812" i="13"/>
  <c r="C812" i="13"/>
  <c r="G811" i="13"/>
  <c r="C811" i="13"/>
  <c r="G810" i="13"/>
  <c r="C810" i="13"/>
  <c r="G809" i="13"/>
  <c r="C809" i="13"/>
  <c r="G808" i="13"/>
  <c r="C808" i="13"/>
  <c r="G807" i="13"/>
  <c r="C807" i="13"/>
  <c r="G806" i="13"/>
  <c r="C806" i="13"/>
  <c r="G805" i="13"/>
  <c r="C805" i="13"/>
  <c r="G804" i="13"/>
  <c r="C804" i="13"/>
  <c r="G803" i="13"/>
  <c r="C803" i="13"/>
  <c r="G802" i="13"/>
  <c r="C802" i="13"/>
  <c r="G801" i="13"/>
  <c r="C801" i="13"/>
  <c r="G800" i="13"/>
  <c r="C800" i="13"/>
  <c r="G799" i="13"/>
  <c r="C799" i="13"/>
  <c r="G798" i="13"/>
  <c r="C798" i="13"/>
  <c r="G797" i="13"/>
  <c r="C797" i="13"/>
  <c r="G796" i="13"/>
  <c r="C796" i="13"/>
  <c r="G795" i="13"/>
  <c r="C795" i="13"/>
  <c r="G794" i="13"/>
  <c r="C794" i="13"/>
  <c r="G793" i="13"/>
  <c r="C793" i="13"/>
  <c r="G792" i="13"/>
  <c r="C792" i="13"/>
  <c r="G791" i="13"/>
  <c r="C791" i="13"/>
  <c r="G790" i="13"/>
  <c r="C790" i="13"/>
  <c r="G789" i="13"/>
  <c r="C789" i="13"/>
  <c r="G788" i="13"/>
  <c r="C788" i="13"/>
  <c r="G787" i="13"/>
  <c r="C787" i="13"/>
  <c r="G786" i="13"/>
  <c r="C786" i="13"/>
  <c r="G785" i="13"/>
  <c r="C785" i="13"/>
  <c r="G784" i="13"/>
  <c r="C784" i="13"/>
  <c r="G783" i="13"/>
  <c r="C783" i="13"/>
  <c r="G782" i="13"/>
  <c r="C782" i="13"/>
  <c r="G781" i="13"/>
  <c r="C781" i="13"/>
  <c r="G780" i="13"/>
  <c r="C780" i="13"/>
  <c r="G779" i="13"/>
  <c r="C779" i="13"/>
  <c r="G778" i="13"/>
  <c r="C778" i="13"/>
  <c r="G777" i="13"/>
  <c r="C777" i="13"/>
  <c r="G776" i="13"/>
  <c r="C776" i="13"/>
  <c r="G775" i="13"/>
  <c r="C775" i="13"/>
  <c r="G774" i="13"/>
  <c r="C774" i="13"/>
  <c r="G773" i="13"/>
  <c r="C773" i="13"/>
  <c r="G772" i="13"/>
  <c r="C772" i="13"/>
  <c r="G771" i="13"/>
  <c r="C771" i="13"/>
  <c r="G770" i="13"/>
  <c r="C770" i="13"/>
  <c r="G769" i="13"/>
  <c r="C769" i="13"/>
  <c r="G768" i="13"/>
  <c r="C768" i="13"/>
  <c r="G767" i="13"/>
  <c r="C767" i="13"/>
  <c r="G766" i="13"/>
  <c r="C766" i="13"/>
  <c r="G765" i="13"/>
  <c r="C765" i="13"/>
  <c r="G764" i="13"/>
  <c r="C764" i="13"/>
  <c r="G763" i="13"/>
  <c r="C763" i="13"/>
  <c r="G762" i="13"/>
  <c r="C762" i="13"/>
  <c r="G761" i="13"/>
  <c r="C761" i="13"/>
  <c r="G760" i="13"/>
  <c r="C760" i="13"/>
  <c r="G759" i="13"/>
  <c r="C759" i="13"/>
  <c r="G758" i="13"/>
  <c r="C758" i="13"/>
  <c r="G757" i="13"/>
  <c r="C757" i="13"/>
  <c r="G756" i="13"/>
  <c r="C756" i="13"/>
  <c r="G755" i="13"/>
  <c r="C755" i="13"/>
  <c r="G754" i="13"/>
  <c r="C754" i="13"/>
  <c r="G753" i="13"/>
  <c r="C753" i="13"/>
  <c r="G752" i="13"/>
  <c r="C752" i="13"/>
  <c r="G751" i="13"/>
  <c r="C751" i="13"/>
  <c r="G750" i="13"/>
  <c r="C750" i="13"/>
  <c r="G749" i="13"/>
  <c r="C749" i="13"/>
  <c r="G748" i="13"/>
  <c r="C748" i="13"/>
  <c r="G747" i="13"/>
  <c r="C747" i="13"/>
  <c r="G746" i="13"/>
  <c r="C746" i="13"/>
  <c r="G745" i="13"/>
  <c r="C745" i="13"/>
  <c r="G744" i="13"/>
  <c r="C744" i="13"/>
  <c r="G743" i="13"/>
  <c r="C743" i="13"/>
  <c r="G742" i="13"/>
  <c r="C742" i="13"/>
  <c r="G741" i="13"/>
  <c r="C741" i="13"/>
  <c r="G740" i="13"/>
  <c r="C740" i="13"/>
  <c r="G739" i="13"/>
  <c r="C739" i="13"/>
  <c r="G738" i="13"/>
  <c r="C738" i="13"/>
  <c r="G737" i="13"/>
  <c r="C737" i="13"/>
  <c r="G736" i="13"/>
  <c r="C736" i="13"/>
  <c r="G735" i="13"/>
  <c r="C735" i="13"/>
  <c r="G734" i="13"/>
  <c r="C734" i="13"/>
  <c r="G733" i="13"/>
  <c r="C733" i="13"/>
  <c r="G732" i="13"/>
  <c r="C732" i="13"/>
  <c r="G731" i="13"/>
  <c r="C731" i="13"/>
  <c r="G730" i="13"/>
  <c r="C730" i="13"/>
  <c r="G729" i="13"/>
  <c r="C729" i="13"/>
  <c r="G728" i="13"/>
  <c r="C728" i="13"/>
  <c r="G727" i="13"/>
  <c r="C727" i="13"/>
  <c r="G726" i="13"/>
  <c r="C726" i="13"/>
  <c r="G725" i="13"/>
  <c r="C725" i="13"/>
  <c r="G724" i="13"/>
  <c r="C724" i="13"/>
  <c r="G723" i="13"/>
  <c r="C723" i="13"/>
  <c r="G722" i="13"/>
  <c r="C722" i="13"/>
  <c r="G721" i="13"/>
  <c r="C721" i="13"/>
  <c r="G720" i="13"/>
  <c r="C720" i="13"/>
  <c r="G719" i="13"/>
  <c r="C719" i="13"/>
  <c r="G718" i="13"/>
  <c r="C718" i="13"/>
  <c r="G717" i="13"/>
  <c r="C717" i="13"/>
  <c r="G716" i="13"/>
  <c r="C716" i="13"/>
  <c r="G715" i="13"/>
  <c r="C715" i="13"/>
  <c r="G714" i="13"/>
  <c r="C714" i="13"/>
  <c r="G713" i="13"/>
  <c r="C713" i="13"/>
  <c r="G712" i="13"/>
  <c r="C712" i="13"/>
  <c r="G711" i="13"/>
  <c r="C711" i="13"/>
  <c r="G710" i="13"/>
  <c r="C710" i="13"/>
  <c r="G709" i="13"/>
  <c r="C709" i="13"/>
  <c r="G708" i="13"/>
  <c r="C708" i="13"/>
  <c r="G707" i="13"/>
  <c r="C707" i="13"/>
  <c r="G706" i="13"/>
  <c r="C706" i="13"/>
  <c r="G705" i="13"/>
  <c r="C705" i="13"/>
  <c r="G704" i="13"/>
  <c r="C704" i="13"/>
  <c r="G703" i="13"/>
  <c r="C703" i="13"/>
  <c r="G702" i="13"/>
  <c r="C702" i="13"/>
  <c r="G701" i="13"/>
  <c r="C701" i="13"/>
  <c r="G700" i="13"/>
  <c r="C700" i="13"/>
  <c r="G699" i="13"/>
  <c r="C699" i="13"/>
  <c r="G698" i="13"/>
  <c r="C698" i="13"/>
  <c r="G697" i="13"/>
  <c r="C697" i="13"/>
  <c r="G696" i="13"/>
  <c r="C696" i="13"/>
  <c r="G695" i="13"/>
  <c r="C695" i="13"/>
  <c r="G694" i="13"/>
  <c r="C694" i="13"/>
  <c r="G693" i="13"/>
  <c r="C693" i="13"/>
  <c r="G692" i="13"/>
  <c r="C692" i="13"/>
  <c r="G691" i="13"/>
  <c r="C691" i="13"/>
  <c r="G690" i="13"/>
  <c r="C690" i="13"/>
  <c r="G689" i="13"/>
  <c r="C689" i="13"/>
  <c r="G688" i="13"/>
  <c r="C688" i="13"/>
  <c r="G687" i="13"/>
  <c r="C687" i="13"/>
  <c r="G686" i="13"/>
  <c r="C686" i="13"/>
  <c r="G685" i="13"/>
  <c r="C685" i="13"/>
  <c r="G684" i="13"/>
  <c r="C684" i="13"/>
  <c r="G683" i="13"/>
  <c r="C683" i="13"/>
  <c r="G682" i="13"/>
  <c r="C682" i="13"/>
  <c r="G681" i="13"/>
  <c r="C681" i="13"/>
  <c r="G680" i="13"/>
  <c r="C680" i="13"/>
  <c r="G679" i="13"/>
  <c r="C679" i="13"/>
  <c r="G678" i="13"/>
  <c r="C678" i="13"/>
  <c r="G677" i="13"/>
  <c r="C677" i="13"/>
  <c r="G676" i="13"/>
  <c r="C676" i="13"/>
  <c r="G675" i="13"/>
  <c r="C675" i="13"/>
  <c r="G674" i="13"/>
  <c r="C674" i="13"/>
  <c r="G673" i="13"/>
  <c r="C673" i="13"/>
  <c r="G672" i="13"/>
  <c r="C672" i="13"/>
  <c r="G671" i="13"/>
  <c r="C671" i="13"/>
  <c r="G670" i="13"/>
  <c r="C670" i="13"/>
  <c r="G669" i="13"/>
  <c r="C669" i="13"/>
  <c r="G668" i="13"/>
  <c r="C668" i="13"/>
  <c r="G667" i="13"/>
  <c r="C667" i="13"/>
  <c r="G666" i="13"/>
  <c r="C666" i="13"/>
  <c r="G665" i="13"/>
  <c r="C665" i="13"/>
  <c r="G664" i="13"/>
  <c r="C664" i="13"/>
  <c r="G663" i="13"/>
  <c r="C663" i="13"/>
  <c r="G662" i="13"/>
  <c r="C662" i="13"/>
  <c r="G661" i="13"/>
  <c r="C661" i="13"/>
  <c r="G660" i="13"/>
  <c r="C660" i="13"/>
  <c r="G659" i="13"/>
  <c r="C659" i="13"/>
  <c r="G658" i="13"/>
  <c r="C658" i="13"/>
  <c r="G657" i="13"/>
  <c r="C657" i="13"/>
  <c r="G656" i="13"/>
  <c r="C656" i="13"/>
  <c r="G655" i="13"/>
  <c r="C655" i="13"/>
  <c r="G654" i="13"/>
  <c r="C654" i="13"/>
  <c r="G653" i="13"/>
  <c r="C653" i="13"/>
  <c r="G652" i="13"/>
  <c r="C652" i="13"/>
  <c r="G651" i="13"/>
  <c r="C651" i="13"/>
  <c r="G650" i="13"/>
  <c r="C650" i="13"/>
  <c r="G649" i="13"/>
  <c r="C649" i="13"/>
  <c r="G648" i="13"/>
  <c r="C648" i="13"/>
  <c r="G647" i="13"/>
  <c r="C647" i="13"/>
  <c r="G646" i="13"/>
  <c r="C646" i="13"/>
  <c r="G645" i="13"/>
  <c r="C645" i="13"/>
  <c r="G644" i="13"/>
  <c r="C644" i="13"/>
  <c r="G643" i="13"/>
  <c r="C643" i="13"/>
  <c r="G642" i="13"/>
  <c r="C642" i="13"/>
  <c r="G641" i="13"/>
  <c r="C641" i="13"/>
  <c r="G640" i="13"/>
  <c r="C640" i="13"/>
  <c r="G639" i="13"/>
  <c r="C639" i="13"/>
  <c r="G638" i="13"/>
  <c r="C638" i="13"/>
  <c r="G637" i="13"/>
  <c r="C637" i="13"/>
  <c r="G636" i="13"/>
  <c r="C636" i="13"/>
  <c r="G635" i="13"/>
  <c r="C635" i="13"/>
  <c r="G634" i="13"/>
  <c r="C634" i="13"/>
  <c r="G633" i="13"/>
  <c r="C633" i="13"/>
  <c r="G632" i="13"/>
  <c r="C632" i="13"/>
  <c r="G631" i="13"/>
  <c r="C631" i="13"/>
  <c r="G630" i="13"/>
  <c r="C630" i="13"/>
  <c r="G629" i="13"/>
  <c r="C629" i="13"/>
  <c r="G628" i="13"/>
  <c r="C628" i="13"/>
  <c r="G627" i="13"/>
  <c r="C627" i="13"/>
  <c r="G626" i="13"/>
  <c r="C626" i="13"/>
  <c r="G625" i="13"/>
  <c r="C625" i="13"/>
  <c r="G624" i="13"/>
  <c r="C624" i="13"/>
  <c r="G623" i="13"/>
  <c r="C623" i="13"/>
  <c r="G622" i="13"/>
  <c r="C622" i="13"/>
  <c r="G621" i="13"/>
  <c r="C621" i="13"/>
  <c r="G620" i="13"/>
  <c r="C620" i="13"/>
  <c r="G619" i="13"/>
  <c r="C619" i="13"/>
  <c r="G618" i="13"/>
  <c r="C618" i="13"/>
  <c r="G617" i="13"/>
  <c r="C617" i="13"/>
  <c r="G616" i="13"/>
  <c r="C616" i="13"/>
  <c r="G615" i="13"/>
  <c r="C615" i="13"/>
  <c r="G614" i="13"/>
  <c r="C614" i="13"/>
  <c r="G613" i="13"/>
  <c r="C613" i="13"/>
  <c r="G612" i="13"/>
  <c r="C612" i="13"/>
  <c r="G611" i="13"/>
  <c r="C611" i="13"/>
  <c r="G610" i="13"/>
  <c r="C610" i="13"/>
  <c r="G609" i="13"/>
  <c r="C609" i="13"/>
  <c r="G608" i="13"/>
  <c r="C608" i="13"/>
  <c r="G607" i="13"/>
  <c r="C607" i="13"/>
  <c r="G606" i="13"/>
  <c r="C606" i="13"/>
  <c r="G605" i="13"/>
  <c r="C605" i="13"/>
  <c r="G604" i="13"/>
  <c r="C604" i="13"/>
  <c r="G603" i="13"/>
  <c r="C603" i="13"/>
  <c r="G602" i="13"/>
  <c r="C602" i="13"/>
  <c r="G601" i="13"/>
  <c r="C601" i="13"/>
  <c r="G600" i="13"/>
  <c r="C600" i="13"/>
  <c r="G599" i="13"/>
  <c r="C599" i="13"/>
  <c r="G598" i="13"/>
  <c r="C598" i="13"/>
  <c r="G597" i="13"/>
  <c r="C597" i="13"/>
  <c r="G596" i="13"/>
  <c r="C596" i="13"/>
  <c r="G595" i="13"/>
  <c r="C595" i="13"/>
  <c r="G594" i="13"/>
  <c r="C594" i="13"/>
  <c r="G593" i="13"/>
  <c r="C593" i="13"/>
  <c r="G592" i="13"/>
  <c r="C592" i="13"/>
  <c r="G591" i="13"/>
  <c r="C591" i="13"/>
  <c r="G590" i="13"/>
  <c r="C590" i="13"/>
  <c r="G589" i="13"/>
  <c r="C589" i="13"/>
  <c r="G588" i="13"/>
  <c r="C588" i="13"/>
  <c r="G587" i="13"/>
  <c r="C587" i="13"/>
  <c r="G586" i="13"/>
  <c r="C586" i="13"/>
  <c r="G585" i="13"/>
  <c r="C585" i="13"/>
  <c r="G584" i="13"/>
  <c r="C584" i="13"/>
  <c r="G583" i="13"/>
  <c r="C583" i="13"/>
  <c r="G582" i="13"/>
  <c r="C582" i="13"/>
  <c r="G581" i="13"/>
  <c r="C581" i="13"/>
  <c r="G580" i="13"/>
  <c r="C580" i="13"/>
  <c r="G579" i="13"/>
  <c r="C579" i="13"/>
  <c r="G578" i="13"/>
  <c r="C578" i="13"/>
  <c r="G577" i="13"/>
  <c r="C577" i="13"/>
  <c r="G576" i="13"/>
  <c r="C576" i="13"/>
  <c r="G575" i="13"/>
  <c r="C575" i="13"/>
  <c r="G574" i="13"/>
  <c r="C574" i="13"/>
  <c r="G573" i="13"/>
  <c r="C573" i="13"/>
  <c r="G572" i="13"/>
  <c r="C572" i="13"/>
  <c r="G571" i="13"/>
  <c r="C571" i="13"/>
  <c r="G570" i="13"/>
  <c r="C570" i="13"/>
  <c r="G569" i="13"/>
  <c r="C569" i="13"/>
  <c r="G568" i="13"/>
  <c r="C568" i="13"/>
  <c r="G567" i="13"/>
  <c r="C567" i="13"/>
  <c r="G566" i="13"/>
  <c r="C566" i="13"/>
  <c r="G565" i="13"/>
  <c r="C565" i="13"/>
  <c r="G564" i="13"/>
  <c r="C564" i="13"/>
  <c r="G563" i="13"/>
  <c r="C563" i="13"/>
  <c r="G562" i="13"/>
  <c r="C562" i="13"/>
  <c r="G561" i="13"/>
  <c r="C561" i="13"/>
  <c r="G560" i="13"/>
  <c r="C560" i="13"/>
  <c r="G559" i="13"/>
  <c r="C559" i="13"/>
  <c r="G558" i="13"/>
  <c r="C558" i="13"/>
  <c r="G557" i="13"/>
  <c r="C557" i="13"/>
  <c r="G556" i="13"/>
  <c r="C556" i="13"/>
  <c r="G555" i="13"/>
  <c r="C555" i="13"/>
  <c r="G554" i="13"/>
  <c r="C554" i="13"/>
  <c r="G553" i="13"/>
  <c r="C553" i="13"/>
  <c r="G552" i="13"/>
  <c r="C552" i="13"/>
  <c r="G551" i="13"/>
  <c r="C551" i="13"/>
  <c r="G550" i="13"/>
  <c r="C550" i="13"/>
  <c r="G549" i="13"/>
  <c r="C549" i="13"/>
  <c r="G548" i="13"/>
  <c r="C548" i="13"/>
  <c r="G547" i="13"/>
  <c r="C547" i="13"/>
  <c r="G546" i="13"/>
  <c r="C546" i="13"/>
  <c r="G545" i="13"/>
  <c r="C545" i="13"/>
  <c r="G544" i="13"/>
  <c r="C544" i="13"/>
  <c r="G543" i="13"/>
  <c r="C543" i="13"/>
  <c r="G542" i="13"/>
  <c r="C542" i="13"/>
  <c r="G541" i="13"/>
  <c r="C541" i="13"/>
  <c r="G540" i="13"/>
  <c r="C540" i="13"/>
  <c r="G539" i="13"/>
  <c r="C539" i="13"/>
  <c r="G538" i="13"/>
  <c r="C538" i="13"/>
  <c r="G537" i="13"/>
  <c r="C537" i="13"/>
  <c r="G536" i="13"/>
  <c r="C536" i="13"/>
  <c r="G535" i="13"/>
  <c r="C535" i="13"/>
  <c r="G534" i="13"/>
  <c r="C534" i="13"/>
  <c r="G533" i="13"/>
  <c r="C533" i="13"/>
  <c r="G532" i="13"/>
  <c r="C532" i="13"/>
  <c r="G531" i="13"/>
  <c r="C531" i="13"/>
  <c r="G530" i="13"/>
  <c r="C530" i="13"/>
  <c r="G529" i="13"/>
  <c r="C529" i="13"/>
  <c r="G528" i="13"/>
  <c r="C528" i="13"/>
  <c r="G527" i="13"/>
  <c r="C527" i="13"/>
  <c r="G526" i="13"/>
  <c r="C526" i="13"/>
  <c r="G525" i="13"/>
  <c r="C525" i="13"/>
  <c r="G524" i="13"/>
  <c r="C524" i="13"/>
  <c r="G523" i="13"/>
  <c r="C523" i="13"/>
  <c r="G522" i="13"/>
  <c r="C522" i="13"/>
  <c r="G521" i="13"/>
  <c r="C521" i="13"/>
  <c r="G520" i="13"/>
  <c r="C520" i="13"/>
  <c r="G519" i="13"/>
  <c r="C519" i="13"/>
  <c r="G518" i="13"/>
  <c r="C518" i="13"/>
  <c r="G517" i="13"/>
  <c r="C517" i="13"/>
  <c r="G516" i="13"/>
  <c r="C516" i="13"/>
  <c r="G515" i="13"/>
  <c r="C515" i="13"/>
  <c r="G514" i="13"/>
  <c r="C514" i="13"/>
  <c r="G513" i="13"/>
  <c r="C513" i="13"/>
  <c r="G512" i="13"/>
  <c r="C512" i="13"/>
  <c r="G511" i="13"/>
  <c r="C511" i="13"/>
  <c r="G510" i="13"/>
  <c r="C510" i="13"/>
  <c r="G509" i="13"/>
  <c r="C509" i="13"/>
  <c r="G508" i="13"/>
  <c r="C508" i="13"/>
  <c r="G507" i="13"/>
  <c r="C507" i="13"/>
  <c r="G506" i="13"/>
  <c r="C506" i="13"/>
  <c r="G505" i="13"/>
  <c r="C505" i="13"/>
  <c r="G504" i="13"/>
  <c r="C504" i="13"/>
  <c r="G503" i="13"/>
  <c r="C503" i="13"/>
  <c r="G502" i="13"/>
  <c r="C502" i="13"/>
  <c r="G501" i="13"/>
  <c r="C501" i="13"/>
  <c r="G500" i="13"/>
  <c r="C500" i="13"/>
  <c r="G499" i="13"/>
  <c r="C499" i="13"/>
  <c r="G498" i="13"/>
  <c r="C498" i="13"/>
  <c r="G497" i="13"/>
  <c r="C497" i="13"/>
  <c r="G496" i="13"/>
  <c r="C496" i="13"/>
  <c r="G495" i="13"/>
  <c r="C495" i="13"/>
  <c r="G494" i="13"/>
  <c r="C494" i="13"/>
  <c r="G493" i="13"/>
  <c r="C493" i="13"/>
  <c r="G492" i="13"/>
  <c r="C492" i="13"/>
  <c r="G491" i="13"/>
  <c r="C491" i="13"/>
  <c r="G490" i="13"/>
  <c r="C490" i="13"/>
  <c r="G489" i="13"/>
  <c r="C489" i="13"/>
  <c r="G488" i="13"/>
  <c r="C488" i="13"/>
  <c r="G487" i="13"/>
  <c r="C487" i="13"/>
  <c r="G486" i="13"/>
  <c r="C486" i="13"/>
  <c r="G485" i="13"/>
  <c r="C485" i="13"/>
  <c r="G484" i="13"/>
  <c r="C484" i="13"/>
  <c r="G483" i="13"/>
  <c r="C483" i="13"/>
  <c r="G482" i="13"/>
  <c r="C482" i="13"/>
  <c r="G481" i="13"/>
  <c r="C481" i="13"/>
  <c r="G480" i="13"/>
  <c r="C480" i="13"/>
  <c r="G479" i="13"/>
  <c r="C479" i="13"/>
  <c r="G478" i="13"/>
  <c r="C478" i="13"/>
  <c r="G477" i="13"/>
  <c r="C477" i="13"/>
  <c r="G476" i="13"/>
  <c r="C476" i="13"/>
  <c r="G475" i="13"/>
  <c r="C475" i="13"/>
  <c r="G474" i="13"/>
  <c r="C474" i="13"/>
  <c r="G473" i="13"/>
  <c r="C473" i="13"/>
  <c r="G472" i="13"/>
  <c r="C472" i="13"/>
  <c r="G471" i="13"/>
  <c r="C471" i="13"/>
  <c r="G470" i="13"/>
  <c r="C470" i="13"/>
  <c r="G469" i="13"/>
  <c r="C469" i="13"/>
  <c r="G468" i="13"/>
  <c r="C468" i="13"/>
  <c r="G467" i="13"/>
  <c r="C467" i="13"/>
  <c r="G466" i="13"/>
  <c r="C466" i="13"/>
  <c r="G465" i="13"/>
  <c r="C465" i="13"/>
  <c r="G464" i="13"/>
  <c r="C464" i="13"/>
  <c r="G463" i="13"/>
  <c r="C463" i="13"/>
  <c r="G462" i="13"/>
  <c r="C462" i="13"/>
  <c r="G461" i="13"/>
  <c r="C461" i="13"/>
  <c r="G460" i="13"/>
  <c r="C460" i="13"/>
  <c r="G459" i="13"/>
  <c r="C459" i="13"/>
  <c r="G458" i="13"/>
  <c r="C458" i="13"/>
  <c r="G457" i="13"/>
  <c r="C457" i="13"/>
  <c r="G456" i="13"/>
  <c r="C456" i="13"/>
  <c r="G455" i="13"/>
  <c r="C455" i="13"/>
  <c r="G454" i="13"/>
  <c r="C454" i="13"/>
  <c r="G453" i="13"/>
  <c r="C453" i="13"/>
  <c r="G452" i="13"/>
  <c r="C452" i="13"/>
  <c r="G451" i="13"/>
  <c r="C451" i="13"/>
  <c r="G450" i="13"/>
  <c r="C450" i="13"/>
  <c r="G449" i="13"/>
  <c r="C449" i="13"/>
  <c r="G448" i="13"/>
  <c r="C448" i="13"/>
  <c r="G447" i="13"/>
  <c r="C447" i="13"/>
  <c r="G446" i="13"/>
  <c r="C446" i="13"/>
  <c r="G445" i="13"/>
  <c r="C445" i="13"/>
  <c r="G444" i="13"/>
  <c r="C444" i="13"/>
  <c r="G443" i="13"/>
  <c r="C443" i="13"/>
  <c r="G442" i="13"/>
  <c r="C442" i="13"/>
  <c r="G441" i="13"/>
  <c r="C441" i="13"/>
  <c r="G440" i="13"/>
  <c r="C440" i="13"/>
  <c r="G439" i="13"/>
  <c r="C439" i="13"/>
  <c r="G438" i="13"/>
  <c r="C438" i="13"/>
  <c r="G437" i="13"/>
  <c r="C437" i="13"/>
  <c r="G436" i="13"/>
  <c r="C436" i="13"/>
  <c r="G435" i="13"/>
  <c r="C435" i="13"/>
  <c r="G434" i="13"/>
  <c r="C434" i="13"/>
  <c r="G433" i="13"/>
  <c r="C433" i="13"/>
  <c r="G432" i="13"/>
  <c r="C432" i="13"/>
  <c r="G431" i="13"/>
  <c r="C431" i="13"/>
  <c r="G430" i="13"/>
  <c r="C430" i="13"/>
  <c r="G429" i="13"/>
  <c r="C429" i="13"/>
  <c r="G428" i="13"/>
  <c r="C428" i="13"/>
  <c r="G427" i="13"/>
  <c r="C427" i="13"/>
  <c r="G426" i="13"/>
  <c r="C426" i="13"/>
  <c r="G425" i="13"/>
  <c r="C425" i="13"/>
  <c r="G424" i="13"/>
  <c r="C424" i="13"/>
  <c r="G423" i="13"/>
  <c r="C423" i="13"/>
  <c r="G422" i="13"/>
  <c r="C422" i="13"/>
  <c r="G421" i="13"/>
  <c r="C421" i="13"/>
  <c r="G420" i="13"/>
  <c r="C420" i="13"/>
  <c r="G419" i="13"/>
  <c r="C419" i="13"/>
  <c r="G418" i="13"/>
  <c r="C418" i="13"/>
  <c r="G417" i="13"/>
  <c r="C417" i="13"/>
  <c r="G416" i="13"/>
  <c r="C416" i="13"/>
  <c r="G415" i="13"/>
  <c r="C415" i="13"/>
  <c r="G414" i="13"/>
  <c r="C414" i="13"/>
  <c r="G413" i="13"/>
  <c r="C413" i="13"/>
  <c r="G412" i="13"/>
  <c r="C412" i="13"/>
  <c r="G411" i="13"/>
  <c r="C411" i="13"/>
  <c r="G410" i="13"/>
  <c r="C410" i="13"/>
  <c r="G409" i="13"/>
  <c r="C409" i="13"/>
  <c r="G408" i="13"/>
  <c r="C408" i="13"/>
  <c r="G407" i="13"/>
  <c r="C407" i="13"/>
  <c r="G406" i="13"/>
  <c r="C406" i="13"/>
  <c r="G405" i="13"/>
  <c r="C405" i="13"/>
  <c r="G404" i="13"/>
  <c r="C404" i="13"/>
  <c r="G403" i="13"/>
  <c r="C403" i="13"/>
  <c r="G402" i="13"/>
  <c r="C402" i="13"/>
  <c r="G401" i="13"/>
  <c r="C401" i="13"/>
  <c r="G400" i="13"/>
  <c r="C400" i="13"/>
  <c r="G399" i="13"/>
  <c r="C399" i="13"/>
  <c r="G398" i="13"/>
  <c r="C398" i="13"/>
  <c r="G397" i="13"/>
  <c r="C397" i="13"/>
  <c r="G396" i="13"/>
  <c r="C396" i="13"/>
  <c r="G395" i="13"/>
  <c r="C395" i="13"/>
  <c r="G394" i="13"/>
  <c r="C394" i="13"/>
  <c r="G393" i="13"/>
  <c r="C393" i="13"/>
  <c r="G392" i="13"/>
  <c r="C392" i="13"/>
  <c r="G391" i="13"/>
  <c r="C391" i="13"/>
  <c r="G390" i="13"/>
  <c r="C390" i="13"/>
  <c r="G389" i="13"/>
  <c r="C389" i="13"/>
  <c r="G388" i="13"/>
  <c r="C388" i="13"/>
  <c r="G387" i="13"/>
  <c r="C387" i="13"/>
  <c r="G386" i="13"/>
  <c r="C386" i="13"/>
  <c r="G385" i="13"/>
  <c r="C385" i="13"/>
  <c r="G384" i="13"/>
  <c r="C384" i="13"/>
  <c r="G383" i="13"/>
  <c r="C383" i="13"/>
  <c r="G382" i="13"/>
  <c r="C382" i="13"/>
  <c r="G381" i="13"/>
  <c r="C381" i="13"/>
  <c r="G380" i="13"/>
  <c r="C380" i="13"/>
  <c r="G379" i="13"/>
  <c r="C379" i="13"/>
  <c r="G378" i="13"/>
  <c r="C378" i="13"/>
  <c r="G377" i="13"/>
  <c r="C377" i="13"/>
  <c r="G376" i="13"/>
  <c r="C376" i="13"/>
  <c r="G375" i="13"/>
  <c r="C375" i="13"/>
  <c r="G374" i="13"/>
  <c r="C374" i="13"/>
  <c r="G373" i="13"/>
  <c r="C373" i="13"/>
  <c r="G372" i="13"/>
  <c r="C372" i="13"/>
  <c r="G371" i="13"/>
  <c r="C371" i="13"/>
  <c r="G370" i="13"/>
  <c r="C370" i="13"/>
  <c r="G369" i="13"/>
  <c r="C369" i="13"/>
  <c r="G368" i="13"/>
  <c r="C368" i="13"/>
  <c r="G367" i="13"/>
  <c r="C367" i="13"/>
  <c r="G366" i="13"/>
  <c r="C366" i="13"/>
  <c r="G365" i="13"/>
  <c r="C365" i="13"/>
  <c r="G364" i="13"/>
  <c r="C364" i="13"/>
  <c r="G363" i="13"/>
  <c r="C363" i="13"/>
  <c r="G362" i="13"/>
  <c r="C362" i="13"/>
  <c r="G361" i="13"/>
  <c r="C361" i="13"/>
  <c r="G360" i="13"/>
  <c r="C360" i="13"/>
  <c r="G359" i="13"/>
  <c r="C359" i="13"/>
  <c r="G358" i="13"/>
  <c r="C358" i="13"/>
  <c r="G357" i="13"/>
  <c r="C357" i="13"/>
  <c r="G356" i="13"/>
  <c r="C356" i="13"/>
  <c r="G355" i="13"/>
  <c r="C355" i="13"/>
  <c r="G354" i="13"/>
  <c r="C354" i="13"/>
  <c r="G353" i="13"/>
  <c r="C353" i="13"/>
  <c r="G352" i="13"/>
  <c r="C352" i="13"/>
  <c r="G351" i="13"/>
  <c r="C351" i="13"/>
  <c r="G350" i="13"/>
  <c r="C350" i="13"/>
  <c r="G349" i="13"/>
  <c r="C349" i="13"/>
  <c r="G348" i="13"/>
  <c r="C348" i="13"/>
  <c r="G347" i="13"/>
  <c r="C347" i="13"/>
  <c r="G346" i="13"/>
  <c r="C346" i="13"/>
  <c r="G345" i="13"/>
  <c r="C345" i="13"/>
  <c r="G344" i="13"/>
  <c r="C344" i="13"/>
  <c r="G343" i="13"/>
  <c r="C343" i="13"/>
  <c r="G342" i="13"/>
  <c r="C342" i="13"/>
  <c r="G341" i="13"/>
  <c r="C341" i="13"/>
  <c r="G340" i="13"/>
  <c r="C340" i="13"/>
  <c r="G339" i="13"/>
  <c r="C339" i="13"/>
  <c r="G338" i="13"/>
  <c r="C338" i="13"/>
  <c r="G337" i="13"/>
  <c r="C337" i="13"/>
  <c r="G336" i="13"/>
  <c r="C336" i="13"/>
  <c r="G335" i="13"/>
  <c r="C335" i="13"/>
  <c r="G334" i="13"/>
  <c r="C334" i="13"/>
  <c r="G333" i="13"/>
  <c r="C333" i="13"/>
  <c r="G332" i="13"/>
  <c r="C332" i="13"/>
  <c r="G331" i="13"/>
  <c r="C331" i="13"/>
  <c r="G330" i="13"/>
  <c r="C330" i="13"/>
  <c r="G329" i="13"/>
  <c r="C329" i="13"/>
  <c r="G328" i="13"/>
  <c r="C328" i="13"/>
  <c r="G327" i="13"/>
  <c r="C327" i="13"/>
  <c r="G326" i="13"/>
  <c r="C326" i="13"/>
  <c r="G325" i="13"/>
  <c r="C325" i="13"/>
  <c r="G324" i="13"/>
  <c r="C324" i="13"/>
  <c r="G323" i="13"/>
  <c r="C323" i="13"/>
  <c r="G322" i="13"/>
  <c r="C322" i="13"/>
  <c r="G321" i="13"/>
  <c r="C321" i="13"/>
  <c r="G320" i="13"/>
  <c r="C320" i="13"/>
  <c r="G319" i="13"/>
  <c r="C319" i="13"/>
  <c r="G318" i="13"/>
  <c r="C318" i="13"/>
  <c r="G317" i="13"/>
  <c r="C317" i="13"/>
  <c r="G316" i="13"/>
  <c r="C316" i="13"/>
  <c r="G315" i="13"/>
  <c r="C315" i="13"/>
  <c r="G314" i="13"/>
  <c r="C314" i="13"/>
  <c r="G313" i="13"/>
  <c r="C313" i="13"/>
  <c r="G312" i="13"/>
  <c r="C312" i="13"/>
  <c r="G311" i="13"/>
  <c r="C311" i="13"/>
  <c r="G310" i="13"/>
  <c r="C310" i="13"/>
  <c r="G309" i="13"/>
  <c r="C309" i="13"/>
  <c r="G308" i="13"/>
  <c r="C308" i="13"/>
  <c r="G307" i="13"/>
  <c r="C307" i="13"/>
  <c r="G306" i="13"/>
  <c r="C306" i="13"/>
  <c r="G305" i="13"/>
  <c r="C305" i="13"/>
  <c r="G304" i="13"/>
  <c r="C304" i="13"/>
  <c r="G303" i="13"/>
  <c r="C303" i="13"/>
  <c r="G302" i="13"/>
  <c r="C302" i="13"/>
  <c r="G301" i="13"/>
  <c r="C301" i="13"/>
  <c r="G300" i="13"/>
  <c r="C300" i="13"/>
  <c r="G299" i="13"/>
  <c r="C299" i="13"/>
  <c r="G298" i="13"/>
  <c r="C298" i="13"/>
  <c r="G297" i="13"/>
  <c r="C297" i="13"/>
  <c r="G296" i="13"/>
  <c r="C296" i="13"/>
  <c r="G295" i="13"/>
  <c r="C295" i="13"/>
  <c r="G294" i="13"/>
  <c r="C294" i="13"/>
  <c r="G293" i="13"/>
  <c r="C293" i="13"/>
  <c r="G292" i="13"/>
  <c r="C292" i="13"/>
  <c r="G291" i="13"/>
  <c r="C291" i="13"/>
  <c r="G290" i="13"/>
  <c r="C290" i="13"/>
  <c r="G289" i="13"/>
  <c r="C289" i="13"/>
  <c r="G288" i="13"/>
  <c r="C288" i="13"/>
  <c r="G287" i="13"/>
  <c r="C287" i="13"/>
  <c r="G286" i="13"/>
  <c r="C286" i="13"/>
  <c r="G285" i="13"/>
  <c r="C285" i="13"/>
  <c r="G284" i="13"/>
  <c r="C284" i="13"/>
  <c r="G283" i="13"/>
  <c r="C283" i="13"/>
  <c r="G282" i="13"/>
  <c r="C282" i="13"/>
  <c r="G281" i="13"/>
  <c r="C281" i="13"/>
  <c r="G280" i="13"/>
  <c r="C280" i="13"/>
  <c r="G279" i="13"/>
  <c r="C279" i="13"/>
  <c r="G278" i="13"/>
  <c r="C278" i="13"/>
  <c r="G277" i="13"/>
  <c r="C277" i="13"/>
  <c r="G276" i="13"/>
  <c r="C276" i="13"/>
  <c r="G275" i="13"/>
  <c r="C275" i="13"/>
  <c r="G274" i="13"/>
  <c r="C274" i="13"/>
  <c r="G273" i="13"/>
  <c r="C273" i="13"/>
  <c r="G272" i="13"/>
  <c r="C272" i="13"/>
  <c r="G271" i="13"/>
  <c r="C271" i="13"/>
  <c r="G270" i="13"/>
  <c r="C270" i="13"/>
  <c r="G269" i="13"/>
  <c r="C269" i="13"/>
  <c r="G268" i="13"/>
  <c r="C268" i="13"/>
  <c r="G267" i="13"/>
  <c r="C267" i="13"/>
  <c r="G266" i="13"/>
  <c r="C266" i="13"/>
  <c r="G265" i="13"/>
  <c r="C265" i="13"/>
  <c r="G264" i="13"/>
  <c r="C264" i="13"/>
  <c r="G263" i="13"/>
  <c r="C263" i="13"/>
  <c r="G262" i="13"/>
  <c r="C262" i="13"/>
  <c r="G261" i="13"/>
  <c r="C261" i="13"/>
  <c r="G260" i="13"/>
  <c r="C260" i="13"/>
  <c r="G259" i="13"/>
  <c r="C259" i="13"/>
  <c r="G258" i="13"/>
  <c r="C258" i="13"/>
  <c r="G257" i="13"/>
  <c r="C257" i="13"/>
  <c r="G256" i="13"/>
  <c r="C256" i="13"/>
  <c r="G255" i="13"/>
  <c r="C255" i="13"/>
  <c r="G254" i="13"/>
  <c r="C254" i="13"/>
  <c r="G253" i="13"/>
  <c r="C253" i="13"/>
  <c r="G252" i="13"/>
  <c r="C252" i="13"/>
  <c r="G251" i="13"/>
  <c r="C251" i="13"/>
  <c r="G250" i="13"/>
  <c r="C250" i="13"/>
  <c r="G249" i="13"/>
  <c r="C249" i="13"/>
  <c r="G248" i="13"/>
  <c r="C248" i="13"/>
  <c r="G247" i="13"/>
  <c r="C247" i="13"/>
  <c r="G246" i="13"/>
  <c r="C246" i="13"/>
  <c r="G245" i="13"/>
  <c r="C245" i="13"/>
  <c r="G244" i="13"/>
  <c r="C244" i="13"/>
  <c r="G243" i="13"/>
  <c r="C243" i="13"/>
  <c r="G242" i="13"/>
  <c r="C242" i="13"/>
  <c r="G241" i="13"/>
  <c r="C241" i="13"/>
  <c r="G240" i="13"/>
  <c r="C240" i="13"/>
  <c r="G239" i="13"/>
  <c r="C239" i="13"/>
  <c r="G238" i="13"/>
  <c r="C238" i="13"/>
  <c r="G237" i="13"/>
  <c r="C237" i="13"/>
  <c r="G236" i="13"/>
  <c r="C236" i="13"/>
  <c r="G235" i="13"/>
  <c r="C235" i="13"/>
  <c r="G234" i="13"/>
  <c r="C234" i="13"/>
  <c r="G233" i="13"/>
  <c r="C233" i="13"/>
  <c r="G232" i="13"/>
  <c r="C232" i="13"/>
  <c r="G231" i="13"/>
  <c r="C231" i="13"/>
  <c r="G230" i="13"/>
  <c r="C230" i="13"/>
  <c r="G229" i="13"/>
  <c r="C229" i="13"/>
  <c r="G228" i="13"/>
  <c r="C228" i="13"/>
  <c r="G227" i="13"/>
  <c r="C227" i="13"/>
  <c r="G226" i="13"/>
  <c r="C226" i="13"/>
  <c r="G225" i="13"/>
  <c r="C225" i="13"/>
  <c r="G224" i="13"/>
  <c r="C224" i="13"/>
  <c r="G223" i="13"/>
  <c r="C223" i="13"/>
  <c r="G222" i="13"/>
  <c r="C222" i="13"/>
  <c r="G221" i="13"/>
  <c r="C221" i="13"/>
  <c r="G220" i="13"/>
  <c r="C220" i="13"/>
  <c r="G219" i="13"/>
  <c r="C219" i="13"/>
  <c r="G218" i="13"/>
  <c r="C218" i="13"/>
  <c r="G217" i="13"/>
  <c r="C217" i="13"/>
  <c r="G216" i="13"/>
  <c r="C216" i="13"/>
  <c r="G215" i="13"/>
  <c r="C215" i="13"/>
  <c r="G214" i="13"/>
  <c r="C214" i="13"/>
  <c r="G213" i="13"/>
  <c r="C213" i="13"/>
  <c r="G212" i="13"/>
  <c r="C212" i="13"/>
  <c r="G211" i="13"/>
  <c r="C211" i="13"/>
  <c r="G210" i="13"/>
  <c r="C210" i="13"/>
  <c r="G209" i="13"/>
  <c r="C209" i="13"/>
  <c r="G208" i="13"/>
  <c r="C208" i="13"/>
  <c r="G207" i="13"/>
  <c r="C207" i="13"/>
  <c r="G206" i="13"/>
  <c r="C206" i="13"/>
  <c r="G205" i="13"/>
  <c r="C205" i="13"/>
  <c r="G204" i="13"/>
  <c r="C204" i="13"/>
  <c r="G203" i="13"/>
  <c r="C203" i="13"/>
  <c r="G202" i="13"/>
  <c r="C202" i="13"/>
  <c r="G201" i="13"/>
  <c r="C201" i="13"/>
  <c r="G200" i="13"/>
  <c r="C200" i="13"/>
  <c r="G199" i="13"/>
  <c r="C199" i="13"/>
  <c r="G198" i="13"/>
  <c r="C198" i="13"/>
  <c r="G197" i="13"/>
  <c r="C197" i="13"/>
  <c r="G196" i="13"/>
  <c r="C196" i="13"/>
  <c r="G195" i="13"/>
  <c r="C195" i="13"/>
  <c r="G194" i="13"/>
  <c r="C194" i="13"/>
  <c r="G193" i="13"/>
  <c r="C193" i="13"/>
  <c r="G192" i="13"/>
  <c r="C192" i="13"/>
  <c r="G191" i="13"/>
  <c r="C191" i="13"/>
  <c r="G190" i="13"/>
  <c r="C190" i="13"/>
  <c r="G189" i="13"/>
  <c r="C189" i="13"/>
  <c r="G188" i="13"/>
  <c r="C188" i="13"/>
  <c r="G187" i="13"/>
  <c r="C187" i="13"/>
  <c r="G186" i="13"/>
  <c r="C186" i="13"/>
  <c r="G185" i="13"/>
  <c r="C185" i="13"/>
  <c r="G184" i="13"/>
  <c r="C184" i="13"/>
  <c r="G183" i="13"/>
  <c r="C183" i="13"/>
  <c r="G182" i="13"/>
  <c r="C182" i="13"/>
  <c r="G181" i="13"/>
  <c r="C181" i="13"/>
  <c r="G180" i="13"/>
  <c r="C180" i="13"/>
  <c r="G179" i="13"/>
  <c r="C179" i="13"/>
  <c r="G178" i="13"/>
  <c r="C178" i="13"/>
  <c r="G177" i="13"/>
  <c r="C177" i="13"/>
  <c r="G176" i="13"/>
  <c r="C176" i="13"/>
  <c r="G175" i="13"/>
  <c r="C175" i="13"/>
  <c r="G174" i="13"/>
  <c r="C174" i="13"/>
  <c r="G173" i="13"/>
  <c r="C173" i="13"/>
  <c r="G172" i="13"/>
  <c r="C172" i="13"/>
  <c r="G171" i="13"/>
  <c r="C171" i="13"/>
  <c r="G170" i="13"/>
  <c r="C170" i="13"/>
  <c r="G169" i="13"/>
  <c r="C169" i="13"/>
  <c r="G168" i="13"/>
  <c r="C168" i="13"/>
  <c r="G167" i="13"/>
  <c r="C167" i="13"/>
  <c r="G166" i="13"/>
  <c r="C166" i="13"/>
  <c r="G165" i="13"/>
  <c r="C165" i="13"/>
  <c r="G164" i="13"/>
  <c r="C164" i="13"/>
  <c r="G163" i="13"/>
  <c r="C163" i="13"/>
  <c r="G162" i="13"/>
  <c r="C162" i="13"/>
  <c r="G161" i="13"/>
  <c r="C161" i="13"/>
  <c r="G160" i="13"/>
  <c r="C160" i="13"/>
  <c r="G159" i="13"/>
  <c r="C159" i="13"/>
  <c r="G158" i="13"/>
  <c r="C158" i="13"/>
  <c r="G157" i="13"/>
  <c r="C157" i="13"/>
  <c r="G156" i="13"/>
  <c r="C156" i="13"/>
  <c r="G155" i="13"/>
  <c r="C155" i="13"/>
  <c r="G154" i="13"/>
  <c r="C154" i="13"/>
  <c r="G153" i="13"/>
  <c r="C153" i="13"/>
  <c r="G152" i="13"/>
  <c r="C152" i="13"/>
  <c r="G151" i="13"/>
  <c r="C151" i="13"/>
  <c r="G150" i="13"/>
  <c r="C150" i="13"/>
  <c r="G149" i="13"/>
  <c r="C149" i="13"/>
  <c r="G148" i="13"/>
  <c r="C148" i="13"/>
  <c r="G147" i="13"/>
  <c r="C147" i="13"/>
  <c r="G146" i="13"/>
  <c r="C146" i="13"/>
  <c r="G145" i="13"/>
  <c r="C145" i="13"/>
  <c r="G144" i="13"/>
  <c r="C144" i="13"/>
  <c r="G143" i="13"/>
  <c r="C143" i="13"/>
  <c r="G142" i="13"/>
  <c r="C142" i="13"/>
  <c r="G141" i="13"/>
  <c r="C141" i="13"/>
  <c r="G140" i="13"/>
  <c r="C140" i="13"/>
  <c r="G139" i="13"/>
  <c r="C139" i="13"/>
  <c r="G138" i="13"/>
  <c r="C138" i="13"/>
  <c r="G137" i="13"/>
  <c r="C137" i="13"/>
  <c r="G136" i="13"/>
  <c r="C136" i="13"/>
  <c r="G135" i="13"/>
  <c r="C135" i="13"/>
  <c r="G134" i="13"/>
  <c r="C134" i="13"/>
  <c r="G133" i="13"/>
  <c r="C133" i="13"/>
  <c r="G132" i="13"/>
  <c r="C132" i="13"/>
  <c r="G131" i="13"/>
  <c r="C131" i="13"/>
  <c r="G130" i="13"/>
  <c r="C130" i="13"/>
  <c r="G129" i="13"/>
  <c r="C129" i="13"/>
  <c r="G128" i="13"/>
  <c r="C128" i="13"/>
  <c r="G127" i="13"/>
  <c r="C127" i="13"/>
  <c r="G126" i="13"/>
  <c r="C126" i="13"/>
  <c r="G125" i="13"/>
  <c r="C125" i="13"/>
  <c r="G124" i="13"/>
  <c r="C124" i="13"/>
  <c r="G123" i="13"/>
  <c r="C123" i="13"/>
  <c r="G122" i="13"/>
  <c r="C122" i="13"/>
  <c r="G121" i="13"/>
  <c r="C121" i="13"/>
  <c r="G120" i="13"/>
  <c r="C120" i="13"/>
  <c r="G119" i="13"/>
  <c r="C119" i="13"/>
  <c r="G118" i="13"/>
  <c r="C118" i="13"/>
  <c r="G117" i="13"/>
  <c r="C117" i="13"/>
  <c r="G116" i="13"/>
  <c r="C116" i="13"/>
  <c r="G115" i="13"/>
  <c r="C115" i="13"/>
  <c r="G114" i="13"/>
  <c r="C114" i="13"/>
  <c r="G113" i="13"/>
  <c r="C113" i="13"/>
  <c r="G112" i="13"/>
  <c r="C112" i="13"/>
  <c r="G111" i="13"/>
  <c r="C111" i="13"/>
  <c r="G110" i="13"/>
  <c r="C110" i="13"/>
  <c r="G109" i="13"/>
  <c r="C109" i="13"/>
  <c r="G108" i="13"/>
  <c r="C108" i="13"/>
  <c r="G107" i="13"/>
  <c r="C107" i="13"/>
  <c r="G106" i="13"/>
  <c r="C106" i="13"/>
  <c r="G105" i="13"/>
  <c r="C105" i="13"/>
  <c r="G104" i="13"/>
  <c r="C104" i="13"/>
  <c r="G103" i="13"/>
  <c r="C103" i="13"/>
  <c r="G102" i="13"/>
  <c r="C102" i="13"/>
  <c r="G101" i="13"/>
  <c r="C101" i="13"/>
  <c r="G100" i="13"/>
  <c r="C100" i="13"/>
  <c r="G99" i="13"/>
  <c r="C99" i="13"/>
  <c r="G98" i="13"/>
  <c r="C98" i="13"/>
  <c r="G97" i="13"/>
  <c r="C97" i="13"/>
  <c r="G96" i="13"/>
  <c r="C96" i="13"/>
  <c r="G95" i="13"/>
  <c r="C95" i="13"/>
  <c r="G94" i="13"/>
  <c r="C94" i="13"/>
  <c r="G93" i="13"/>
  <c r="C93" i="13"/>
  <c r="G92" i="13"/>
  <c r="C92" i="13"/>
  <c r="G91" i="13"/>
  <c r="C91" i="13"/>
  <c r="G90" i="13"/>
  <c r="C90" i="13"/>
  <c r="G89" i="13"/>
  <c r="C89" i="13"/>
  <c r="G88" i="13"/>
  <c r="C88" i="13"/>
  <c r="G87" i="13"/>
  <c r="C87" i="13"/>
  <c r="G86" i="13"/>
  <c r="C86" i="13"/>
  <c r="G85" i="13"/>
  <c r="C85" i="13"/>
  <c r="G84" i="13"/>
  <c r="C84" i="13"/>
  <c r="G83" i="13"/>
  <c r="C83" i="13"/>
  <c r="G82" i="13"/>
  <c r="C82" i="13"/>
  <c r="G81" i="13"/>
  <c r="C81" i="13"/>
  <c r="G80" i="13"/>
  <c r="C80" i="13"/>
  <c r="G79" i="13"/>
  <c r="C79" i="13"/>
  <c r="G78" i="13"/>
  <c r="C78" i="13"/>
  <c r="G77" i="13"/>
  <c r="C77" i="13"/>
  <c r="G76" i="13"/>
  <c r="C76" i="13"/>
  <c r="G75" i="13"/>
  <c r="C75" i="13"/>
  <c r="G74" i="13"/>
  <c r="C74" i="13"/>
  <c r="G73" i="13"/>
  <c r="C73" i="13"/>
  <c r="G72" i="13"/>
  <c r="C72" i="13"/>
  <c r="G71" i="13"/>
  <c r="C71" i="13"/>
  <c r="G70" i="13"/>
  <c r="C70" i="13"/>
  <c r="G69" i="13"/>
  <c r="C69" i="13"/>
  <c r="G68" i="13"/>
  <c r="C68" i="13"/>
  <c r="G67" i="13"/>
  <c r="C67" i="13"/>
  <c r="G66" i="13"/>
  <c r="C66" i="13"/>
  <c r="G65" i="13"/>
  <c r="C65" i="13"/>
  <c r="G64" i="13"/>
  <c r="C64" i="13"/>
  <c r="G63" i="13"/>
  <c r="C63" i="13"/>
  <c r="G62" i="13"/>
  <c r="C62" i="13"/>
  <c r="G61" i="13"/>
  <c r="C61" i="13"/>
  <c r="G60" i="13"/>
  <c r="C60" i="13"/>
  <c r="G59" i="13"/>
  <c r="C59" i="13"/>
  <c r="G58" i="13"/>
  <c r="C58" i="13"/>
  <c r="G57" i="13"/>
  <c r="C57" i="13"/>
  <c r="G56" i="13"/>
  <c r="C56" i="13"/>
  <c r="G55" i="13"/>
  <c r="C55" i="13"/>
  <c r="G54" i="13"/>
  <c r="C54" i="13"/>
  <c r="G53" i="13"/>
  <c r="C53" i="13"/>
  <c r="G52" i="13"/>
  <c r="C52" i="13"/>
  <c r="G51" i="13"/>
  <c r="C51" i="13"/>
  <c r="G50" i="13"/>
  <c r="C50" i="13"/>
  <c r="G49" i="13"/>
  <c r="C49" i="13"/>
  <c r="G48" i="13"/>
  <c r="C48" i="13"/>
  <c r="G47" i="13"/>
  <c r="C47" i="13"/>
  <c r="G46" i="13"/>
  <c r="C46" i="13"/>
  <c r="G45" i="13"/>
  <c r="C45" i="13"/>
  <c r="G44" i="13"/>
  <c r="C44" i="13"/>
  <c r="G43" i="13"/>
  <c r="C43" i="13"/>
  <c r="G42" i="13"/>
  <c r="C42" i="13"/>
  <c r="G41" i="13"/>
  <c r="C41" i="13"/>
  <c r="G40" i="13"/>
  <c r="C40" i="13"/>
  <c r="G39" i="13"/>
  <c r="C39" i="13"/>
  <c r="G38" i="13"/>
  <c r="C38" i="13"/>
  <c r="G37" i="13"/>
  <c r="C37" i="13"/>
  <c r="G36" i="13"/>
  <c r="C36" i="13"/>
  <c r="G35" i="13"/>
  <c r="C35" i="13"/>
  <c r="G34" i="13"/>
  <c r="C34" i="13"/>
  <c r="G33" i="13"/>
  <c r="C33" i="13"/>
  <c r="G32" i="13"/>
  <c r="C32" i="13"/>
  <c r="G31" i="13"/>
  <c r="C31" i="13"/>
  <c r="G30" i="13"/>
  <c r="C30" i="13"/>
  <c r="G29" i="13"/>
  <c r="C29" i="13"/>
  <c r="G28" i="13"/>
  <c r="C28" i="13"/>
  <c r="G27" i="13"/>
  <c r="C27" i="13"/>
  <c r="G26" i="13"/>
  <c r="C26" i="13"/>
  <c r="G25" i="13"/>
  <c r="C25" i="13"/>
  <c r="G24" i="13"/>
  <c r="C24" i="13"/>
  <c r="G23" i="13"/>
  <c r="C23" i="13"/>
  <c r="C22" i="13"/>
  <c r="C21" i="13"/>
  <c r="G20" i="13"/>
  <c r="C20" i="13"/>
  <c r="G19" i="13"/>
  <c r="C19" i="13"/>
  <c r="G18" i="13"/>
  <c r="C18" i="13"/>
  <c r="G17" i="13"/>
  <c r="C17" i="13"/>
  <c r="G16" i="13"/>
  <c r="C16" i="13"/>
  <c r="G15" i="13"/>
  <c r="C15" i="13"/>
  <c r="G14" i="13"/>
  <c r="C14" i="13"/>
  <c r="G13" i="13"/>
  <c r="C13" i="13"/>
  <c r="G12" i="13"/>
  <c r="C12" i="13"/>
  <c r="G11" i="13"/>
  <c r="C11" i="13"/>
  <c r="G10" i="13"/>
  <c r="C10" i="13"/>
  <c r="A10" i="13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A774" i="13" s="1"/>
  <c r="A775" i="13" s="1"/>
  <c r="A776" i="13" s="1"/>
  <c r="A777" i="13" s="1"/>
  <c r="A778" i="13" s="1"/>
  <c r="A779" i="13" s="1"/>
  <c r="A780" i="13" s="1"/>
  <c r="A781" i="13" s="1"/>
  <c r="A782" i="13" s="1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A797" i="13" s="1"/>
  <c r="A798" i="13" s="1"/>
  <c r="A799" i="13" s="1"/>
  <c r="A800" i="13" s="1"/>
  <c r="A801" i="13" s="1"/>
  <c r="A802" i="13" s="1"/>
  <c r="A803" i="13" s="1"/>
  <c r="A804" i="13" s="1"/>
  <c r="A805" i="13" s="1"/>
  <c r="A806" i="13" s="1"/>
  <c r="A807" i="13" s="1"/>
  <c r="A808" i="13" s="1"/>
  <c r="A809" i="13" s="1"/>
  <c r="A810" i="13" s="1"/>
  <c r="A811" i="13" s="1"/>
  <c r="A812" i="13" s="1"/>
  <c r="A813" i="13" s="1"/>
  <c r="A814" i="13" s="1"/>
  <c r="A815" i="13" s="1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32" i="13" s="1"/>
  <c r="A833" i="13" s="1"/>
  <c r="A834" i="13" s="1"/>
  <c r="A835" i="13" s="1"/>
  <c r="A836" i="13" s="1"/>
  <c r="A837" i="13" s="1"/>
  <c r="A838" i="13" s="1"/>
  <c r="A839" i="13" s="1"/>
  <c r="A840" i="13" s="1"/>
  <c r="A841" i="13" s="1"/>
  <c r="A842" i="13" s="1"/>
  <c r="A843" i="13" s="1"/>
  <c r="A844" i="13" s="1"/>
  <c r="A845" i="13" s="1"/>
  <c r="A846" i="13" s="1"/>
  <c r="A847" i="13" s="1"/>
  <c r="A848" i="13" s="1"/>
  <c r="A849" i="13" s="1"/>
  <c r="A850" i="13" s="1"/>
  <c r="A851" i="13" s="1"/>
  <c r="A852" i="13" s="1"/>
  <c r="A853" i="13" s="1"/>
  <c r="A854" i="13" s="1"/>
  <c r="A855" i="13" s="1"/>
  <c r="A856" i="13" s="1"/>
  <c r="A857" i="13" s="1"/>
  <c r="A858" i="13" s="1"/>
  <c r="A859" i="13" s="1"/>
  <c r="A860" i="13" s="1"/>
  <c r="A861" i="13" s="1"/>
  <c r="A862" i="13" s="1"/>
  <c r="A863" i="13" s="1"/>
  <c r="A864" i="13" s="1"/>
  <c r="A865" i="13" s="1"/>
  <c r="A866" i="13" s="1"/>
  <c r="A867" i="13" s="1"/>
  <c r="A868" i="13" s="1"/>
  <c r="A869" i="13" s="1"/>
  <c r="A870" i="13" s="1"/>
  <c r="A871" i="13" s="1"/>
  <c r="A872" i="13" s="1"/>
  <c r="A873" i="13" s="1"/>
  <c r="A874" i="13" s="1"/>
  <c r="A875" i="13" s="1"/>
  <c r="A876" i="13" s="1"/>
  <c r="A877" i="13" s="1"/>
  <c r="A878" i="13" s="1"/>
  <c r="A879" i="13" s="1"/>
  <c r="A880" i="13" s="1"/>
  <c r="A881" i="13" s="1"/>
  <c r="A882" i="13" s="1"/>
  <c r="A883" i="13" s="1"/>
  <c r="A884" i="13" s="1"/>
  <c r="A885" i="13" s="1"/>
  <c r="A886" i="13" s="1"/>
  <c r="A887" i="13" s="1"/>
  <c r="A888" i="13" s="1"/>
  <c r="A889" i="13" s="1"/>
  <c r="A890" i="13" s="1"/>
  <c r="A891" i="13" s="1"/>
  <c r="A892" i="13" s="1"/>
  <c r="A893" i="13" s="1"/>
  <c r="A894" i="13" s="1"/>
  <c r="A895" i="13" s="1"/>
  <c r="A896" i="13" s="1"/>
  <c r="A897" i="13" s="1"/>
  <c r="A898" i="13" s="1"/>
  <c r="A899" i="13" s="1"/>
  <c r="A900" i="13" s="1"/>
  <c r="A901" i="13" s="1"/>
  <c r="A902" i="13" s="1"/>
  <c r="A903" i="13" s="1"/>
  <c r="A904" i="13" s="1"/>
  <c r="A905" i="13" s="1"/>
  <c r="A906" i="13" s="1"/>
  <c r="A907" i="13" s="1"/>
  <c r="A908" i="13" s="1"/>
  <c r="A909" i="13" s="1"/>
  <c r="A910" i="13" s="1"/>
  <c r="A911" i="13" s="1"/>
  <c r="A912" i="13" s="1"/>
  <c r="A913" i="13" s="1"/>
  <c r="A914" i="13" s="1"/>
  <c r="A915" i="13" s="1"/>
  <c r="A916" i="13" s="1"/>
  <c r="A917" i="13" s="1"/>
  <c r="A918" i="13" s="1"/>
  <c r="A919" i="13" s="1"/>
  <c r="A920" i="13" s="1"/>
  <c r="A921" i="13" s="1"/>
  <c r="A922" i="13" s="1"/>
  <c r="A923" i="13" s="1"/>
  <c r="A924" i="13" s="1"/>
  <c r="A925" i="13" s="1"/>
  <c r="A926" i="13" s="1"/>
  <c r="A927" i="13" s="1"/>
  <c r="A928" i="13" s="1"/>
  <c r="A929" i="13" s="1"/>
  <c r="A930" i="13" s="1"/>
  <c r="A931" i="13" s="1"/>
  <c r="A932" i="13" s="1"/>
  <c r="A933" i="13" s="1"/>
  <c r="A934" i="13" s="1"/>
  <c r="A935" i="13" s="1"/>
  <c r="A936" i="13" s="1"/>
  <c r="A937" i="13" s="1"/>
  <c r="A938" i="13" s="1"/>
  <c r="A939" i="13" s="1"/>
  <c r="A940" i="13" s="1"/>
  <c r="A941" i="13" s="1"/>
  <c r="A942" i="13" s="1"/>
  <c r="A943" i="13" s="1"/>
  <c r="A944" i="13" s="1"/>
  <c r="A945" i="13" s="1"/>
  <c r="A946" i="13" s="1"/>
  <c r="A947" i="13" s="1"/>
  <c r="A948" i="13" s="1"/>
  <c r="A949" i="13" s="1"/>
  <c r="A950" i="13" s="1"/>
  <c r="A951" i="13" s="1"/>
  <c r="A952" i="13" s="1"/>
  <c r="A953" i="13" s="1"/>
  <c r="A954" i="13" s="1"/>
  <c r="A955" i="13" s="1"/>
  <c r="A956" i="13" s="1"/>
  <c r="A957" i="13" s="1"/>
  <c r="A958" i="13" s="1"/>
  <c r="A959" i="13" s="1"/>
  <c r="A960" i="13" s="1"/>
  <c r="A961" i="13" s="1"/>
  <c r="A962" i="13" s="1"/>
  <c r="A963" i="13" s="1"/>
  <c r="A964" i="13" s="1"/>
  <c r="A965" i="13" s="1"/>
  <c r="A966" i="13" s="1"/>
  <c r="A967" i="13" s="1"/>
  <c r="A968" i="13" s="1"/>
  <c r="A969" i="13" s="1"/>
  <c r="A970" i="13" s="1"/>
  <c r="A971" i="13" s="1"/>
  <c r="A972" i="13" s="1"/>
  <c r="A973" i="13" s="1"/>
  <c r="A974" i="13" s="1"/>
  <c r="A975" i="13" s="1"/>
  <c r="A976" i="13" s="1"/>
  <c r="A977" i="13" s="1"/>
  <c r="A978" i="13" s="1"/>
  <c r="A979" i="13" s="1"/>
  <c r="A980" i="13" s="1"/>
  <c r="A981" i="13" s="1"/>
  <c r="A982" i="13" s="1"/>
  <c r="A983" i="13" s="1"/>
  <c r="A984" i="13" s="1"/>
  <c r="A985" i="13" s="1"/>
  <c r="A986" i="13" s="1"/>
  <c r="A987" i="13" s="1"/>
  <c r="A988" i="13" s="1"/>
  <c r="A989" i="13" s="1"/>
  <c r="A990" i="13" s="1"/>
  <c r="A991" i="13" s="1"/>
  <c r="A992" i="13" s="1"/>
  <c r="A993" i="13" s="1"/>
  <c r="A994" i="13" s="1"/>
  <c r="A995" i="13" s="1"/>
  <c r="A996" i="13" s="1"/>
  <c r="A997" i="13" s="1"/>
  <c r="A998" i="13" s="1"/>
  <c r="A999" i="13" s="1"/>
  <c r="A1000" i="13" s="1"/>
  <c r="A1001" i="13" s="1"/>
  <c r="A1002" i="13" s="1"/>
  <c r="A1003" i="13" s="1"/>
  <c r="A1004" i="13" s="1"/>
  <c r="A1005" i="13" s="1"/>
  <c r="A1006" i="13" s="1"/>
  <c r="A1007" i="13" s="1"/>
  <c r="A1008" i="13" s="1"/>
  <c r="A1009" i="13" s="1"/>
  <c r="A1010" i="13" s="1"/>
  <c r="A1011" i="13" s="1"/>
  <c r="A1012" i="13" s="1"/>
  <c r="A1013" i="13" s="1"/>
  <c r="A1014" i="13" s="1"/>
  <c r="A1015" i="13" s="1"/>
  <c r="A1016" i="13" s="1"/>
  <c r="A1017" i="13" s="1"/>
  <c r="A1018" i="13" s="1"/>
  <c r="A1019" i="13" s="1"/>
  <c r="A1020" i="13" s="1"/>
  <c r="A1021" i="13" s="1"/>
  <c r="A1022" i="13" s="1"/>
  <c r="A1023" i="13" s="1"/>
  <c r="A1024" i="13" s="1"/>
  <c r="A1025" i="13" s="1"/>
  <c r="A1026" i="13" s="1"/>
  <c r="A1027" i="13" s="1"/>
  <c r="A1028" i="13" s="1"/>
  <c r="A1029" i="13" s="1"/>
  <c r="A1030" i="13" s="1"/>
  <c r="A1031" i="13" s="1"/>
  <c r="A1032" i="13" s="1"/>
  <c r="A1033" i="13" s="1"/>
  <c r="A1034" i="13" s="1"/>
  <c r="A1035" i="13" s="1"/>
  <c r="A1036" i="13" s="1"/>
  <c r="A1037" i="13" s="1"/>
  <c r="A1038" i="13" s="1"/>
  <c r="A1039" i="13" s="1"/>
  <c r="A1040" i="13" s="1"/>
  <c r="A1041" i="13" s="1"/>
  <c r="A1042" i="13" s="1"/>
  <c r="A1043" i="13" s="1"/>
  <c r="A1044" i="13" s="1"/>
  <c r="A1045" i="13" s="1"/>
  <c r="A1046" i="13" s="1"/>
  <c r="A1047" i="13" s="1"/>
  <c r="A1048" i="13" s="1"/>
  <c r="A1049" i="13" s="1"/>
  <c r="A1050" i="13" s="1"/>
  <c r="A1051" i="13" s="1"/>
  <c r="A1052" i="13" s="1"/>
  <c r="A1053" i="13" s="1"/>
  <c r="A1054" i="13" s="1"/>
  <c r="A1055" i="13" s="1"/>
  <c r="A1056" i="13" s="1"/>
  <c r="A1057" i="13" s="1"/>
  <c r="A1058" i="13" s="1"/>
  <c r="A1059" i="13" s="1"/>
  <c r="A1060" i="13" s="1"/>
  <c r="A1061" i="13" s="1"/>
  <c r="A1062" i="13" s="1"/>
  <c r="A1063" i="13" s="1"/>
  <c r="A1064" i="13" s="1"/>
  <c r="A1065" i="13" s="1"/>
  <c r="A1066" i="13" s="1"/>
  <c r="A1067" i="13" s="1"/>
  <c r="A1068" i="13" s="1"/>
  <c r="A1069" i="13" s="1"/>
  <c r="A1070" i="13" s="1"/>
  <c r="A1071" i="13" s="1"/>
  <c r="A1072" i="13" s="1"/>
  <c r="A1073" i="13" s="1"/>
  <c r="A1074" i="13" s="1"/>
  <c r="A1075" i="13" s="1"/>
  <c r="A1076" i="13" s="1"/>
  <c r="A1077" i="13" s="1"/>
  <c r="A1078" i="13" s="1"/>
  <c r="A1079" i="13" s="1"/>
  <c r="A1080" i="13" s="1"/>
  <c r="A1081" i="13" s="1"/>
  <c r="A1082" i="13" s="1"/>
  <c r="A1083" i="13" s="1"/>
  <c r="A1084" i="13" s="1"/>
  <c r="A1085" i="13" s="1"/>
  <c r="A1086" i="13" s="1"/>
  <c r="A1087" i="13" s="1"/>
  <c r="A1088" i="13" s="1"/>
  <c r="A1089" i="13" s="1"/>
  <c r="A1090" i="13" s="1"/>
  <c r="A1091" i="13" s="1"/>
  <c r="A1092" i="13" s="1"/>
  <c r="A1093" i="13" s="1"/>
  <c r="A1094" i="13" s="1"/>
  <c r="A1095" i="13" s="1"/>
  <c r="A1096" i="13" s="1"/>
  <c r="A1097" i="13" s="1"/>
  <c r="A1098" i="13" s="1"/>
  <c r="A1099" i="13" s="1"/>
  <c r="A1100" i="13" s="1"/>
  <c r="A1101" i="13" s="1"/>
  <c r="A1102" i="13" s="1"/>
  <c r="A1103" i="13" s="1"/>
  <c r="A1104" i="13" s="1"/>
  <c r="A1105" i="13" s="1"/>
  <c r="A1106" i="13" s="1"/>
  <c r="A1107" i="13" s="1"/>
  <c r="A1108" i="13" s="1"/>
  <c r="A1109" i="13" s="1"/>
  <c r="A1110" i="13" s="1"/>
  <c r="A1111" i="13" s="1"/>
  <c r="A1112" i="13" s="1"/>
  <c r="A1113" i="13" s="1"/>
  <c r="A1114" i="13" s="1"/>
  <c r="A1115" i="13" s="1"/>
  <c r="A1116" i="13" s="1"/>
  <c r="A1117" i="13" s="1"/>
  <c r="A1118" i="13" s="1"/>
  <c r="A1119" i="13" s="1"/>
  <c r="A1120" i="13" s="1"/>
  <c r="A1121" i="13" s="1"/>
  <c r="A1122" i="13" s="1"/>
  <c r="A1123" i="13" s="1"/>
  <c r="A1124" i="13" s="1"/>
  <c r="A1125" i="13" s="1"/>
  <c r="A1126" i="13" s="1"/>
  <c r="A1127" i="13" s="1"/>
  <c r="A1128" i="13" s="1"/>
  <c r="A1129" i="13" s="1"/>
  <c r="A1130" i="13" s="1"/>
  <c r="A1131" i="13" s="1"/>
  <c r="A1132" i="13" s="1"/>
  <c r="A1133" i="13" s="1"/>
  <c r="A1134" i="13" s="1"/>
  <c r="A1135" i="13" s="1"/>
  <c r="A1136" i="13" s="1"/>
  <c r="A1137" i="13" s="1"/>
  <c r="A1138" i="13" s="1"/>
  <c r="A1139" i="13" s="1"/>
  <c r="A1140" i="13" s="1"/>
  <c r="A1141" i="13" s="1"/>
  <c r="A1142" i="13" s="1"/>
  <c r="A1143" i="13" s="1"/>
  <c r="A1144" i="13" s="1"/>
  <c r="A1145" i="13" s="1"/>
  <c r="A1146" i="13" s="1"/>
  <c r="A1147" i="13" s="1"/>
  <c r="A1148" i="13" s="1"/>
  <c r="A1149" i="13" s="1"/>
  <c r="A1150" i="13" s="1"/>
  <c r="A1151" i="13" s="1"/>
  <c r="A1152" i="13" s="1"/>
  <c r="A1153" i="13" s="1"/>
  <c r="A1154" i="13" s="1"/>
  <c r="A1155" i="13" s="1"/>
  <c r="A1156" i="13" s="1"/>
  <c r="A1157" i="13" s="1"/>
  <c r="A1158" i="13" s="1"/>
  <c r="A1159" i="13" s="1"/>
  <c r="A1160" i="13" s="1"/>
  <c r="A1161" i="13" s="1"/>
  <c r="A1162" i="13" s="1"/>
  <c r="A1163" i="13" s="1"/>
  <c r="A1164" i="13" s="1"/>
  <c r="A1165" i="13" s="1"/>
  <c r="A1166" i="13" s="1"/>
  <c r="A1167" i="13" s="1"/>
  <c r="A1168" i="13" s="1"/>
  <c r="A1169" i="13" s="1"/>
  <c r="A1170" i="13" s="1"/>
  <c r="A1171" i="13" s="1"/>
  <c r="A1172" i="13" s="1"/>
  <c r="A1173" i="13" s="1"/>
  <c r="A1174" i="13" s="1"/>
  <c r="A1175" i="13" s="1"/>
  <c r="A1176" i="13" s="1"/>
  <c r="A1177" i="13" s="1"/>
  <c r="A1178" i="13" s="1"/>
  <c r="A1179" i="13" s="1"/>
  <c r="A1180" i="13" s="1"/>
  <c r="A1181" i="13" s="1"/>
  <c r="A1182" i="13" s="1"/>
  <c r="A1183" i="13" s="1"/>
  <c r="A1184" i="13" s="1"/>
  <c r="A1185" i="13" s="1"/>
  <c r="A1186" i="13" s="1"/>
  <c r="A1187" i="13" s="1"/>
  <c r="A1188" i="13" s="1"/>
  <c r="A1189" i="13" s="1"/>
  <c r="A1190" i="13" s="1"/>
  <c r="A1191" i="13" s="1"/>
  <c r="A1192" i="13" s="1"/>
  <c r="A1193" i="13" s="1"/>
  <c r="A1194" i="13" s="1"/>
  <c r="A1195" i="13" s="1"/>
  <c r="A1196" i="13" s="1"/>
  <c r="A1197" i="13" s="1"/>
  <c r="A1198" i="13" s="1"/>
  <c r="A1199" i="13" s="1"/>
  <c r="A1200" i="13" s="1"/>
  <c r="A1201" i="13" s="1"/>
  <c r="A1202" i="13" s="1"/>
  <c r="A1203" i="13" s="1"/>
  <c r="A1204" i="13" s="1"/>
  <c r="A1205" i="13" s="1"/>
  <c r="A1206" i="13" s="1"/>
  <c r="A1207" i="13" s="1"/>
  <c r="A1208" i="13" s="1"/>
  <c r="A1209" i="13" s="1"/>
  <c r="A1210" i="13" s="1"/>
  <c r="A1211" i="13" s="1"/>
  <c r="A1212" i="13" s="1"/>
  <c r="A1213" i="13" s="1"/>
  <c r="A1214" i="13" s="1"/>
  <c r="A1215" i="13" s="1"/>
  <c r="A1216" i="13" s="1"/>
  <c r="A1217" i="13" s="1"/>
  <c r="A1218" i="13" s="1"/>
  <c r="A1219" i="13" s="1"/>
  <c r="A1220" i="13" s="1"/>
  <c r="A1221" i="13" s="1"/>
  <c r="A1222" i="13" s="1"/>
  <c r="A1223" i="13" s="1"/>
  <c r="A1224" i="13" s="1"/>
  <c r="A1225" i="13" s="1"/>
  <c r="A1226" i="13" s="1"/>
  <c r="A1227" i="13" s="1"/>
  <c r="A1228" i="13" s="1"/>
  <c r="A1229" i="13" s="1"/>
  <c r="A1230" i="13" s="1"/>
  <c r="A1231" i="13" s="1"/>
  <c r="A1232" i="13" s="1"/>
  <c r="A1233" i="13" s="1"/>
  <c r="A1234" i="13" s="1"/>
  <c r="A1235" i="13" s="1"/>
  <c r="A1236" i="13" s="1"/>
  <c r="A1237" i="13" s="1"/>
  <c r="A1238" i="13" s="1"/>
  <c r="A1239" i="13" s="1"/>
  <c r="A1240" i="13" s="1"/>
  <c r="A1241" i="13" s="1"/>
  <c r="A1242" i="13" s="1"/>
  <c r="A1243" i="13" s="1"/>
  <c r="A1244" i="13" s="1"/>
  <c r="A1245" i="13" s="1"/>
  <c r="A1246" i="13" s="1"/>
  <c r="A1247" i="13" s="1"/>
  <c r="A1248" i="13" s="1"/>
  <c r="A1249" i="13" s="1"/>
  <c r="A1250" i="13" s="1"/>
  <c r="A1251" i="13" s="1"/>
  <c r="A1252" i="13" s="1"/>
  <c r="A1253" i="13" s="1"/>
  <c r="A1254" i="13" s="1"/>
  <c r="A1255" i="13" s="1"/>
  <c r="A1256" i="13" s="1"/>
  <c r="A1257" i="13" s="1"/>
  <c r="A1258" i="13" s="1"/>
  <c r="A1259" i="13" s="1"/>
  <c r="A1260" i="13" s="1"/>
  <c r="A1261" i="13" s="1"/>
  <c r="A1262" i="13" s="1"/>
  <c r="A1263" i="13" s="1"/>
  <c r="A1264" i="13" s="1"/>
  <c r="A1265" i="13" s="1"/>
  <c r="A1266" i="13" s="1"/>
  <c r="A1267" i="13" s="1"/>
  <c r="A1268" i="13" s="1"/>
  <c r="A1269" i="13" s="1"/>
  <c r="A1270" i="13" s="1"/>
  <c r="A1271" i="13" s="1"/>
  <c r="A1272" i="13" s="1"/>
  <c r="A1273" i="13" s="1"/>
  <c r="A1274" i="13" s="1"/>
  <c r="A1275" i="13" s="1"/>
  <c r="A1276" i="13" s="1"/>
  <c r="A1277" i="13" s="1"/>
  <c r="A1278" i="13" s="1"/>
  <c r="A1279" i="13" s="1"/>
  <c r="A1280" i="13" s="1"/>
  <c r="A1281" i="13" s="1"/>
  <c r="A1282" i="13" s="1"/>
  <c r="A1283" i="13" s="1"/>
  <c r="A1284" i="13" s="1"/>
  <c r="A1285" i="13" s="1"/>
  <c r="A1286" i="13" s="1"/>
  <c r="A1287" i="13" s="1"/>
  <c r="A1288" i="13" s="1"/>
  <c r="A1289" i="13" s="1"/>
  <c r="A1290" i="13" s="1"/>
  <c r="A1291" i="13" s="1"/>
  <c r="A1292" i="13" s="1"/>
  <c r="A1293" i="13" s="1"/>
  <c r="A1294" i="13" s="1"/>
  <c r="A1295" i="13" s="1"/>
  <c r="A1296" i="13" s="1"/>
  <c r="A1297" i="13" s="1"/>
  <c r="A1298" i="13" s="1"/>
  <c r="A1299" i="13" s="1"/>
  <c r="A1300" i="13" s="1"/>
  <c r="A1301" i="13" s="1"/>
  <c r="A1302" i="13" s="1"/>
  <c r="A1303" i="13" s="1"/>
  <c r="A1304" i="13" s="1"/>
  <c r="A1305" i="13" s="1"/>
  <c r="A1306" i="13" s="1"/>
  <c r="A1307" i="13" s="1"/>
  <c r="A1308" i="13" s="1"/>
  <c r="A1309" i="13" s="1"/>
  <c r="A1310" i="13" s="1"/>
  <c r="A1311" i="13" s="1"/>
  <c r="A1312" i="13" s="1"/>
  <c r="A1313" i="13" s="1"/>
  <c r="A1314" i="13" s="1"/>
  <c r="A1315" i="13" s="1"/>
  <c r="A1316" i="13" s="1"/>
  <c r="A1317" i="13" s="1"/>
  <c r="A1318" i="13" s="1"/>
  <c r="A1319" i="13" s="1"/>
  <c r="A1320" i="13" s="1"/>
  <c r="A1321" i="13" s="1"/>
  <c r="A1322" i="13" s="1"/>
  <c r="A1323" i="13" s="1"/>
  <c r="A1324" i="13" s="1"/>
  <c r="A1325" i="13" s="1"/>
  <c r="A1326" i="13" s="1"/>
  <c r="A1327" i="13" s="1"/>
  <c r="A1328" i="13" s="1"/>
  <c r="A1329" i="13" s="1"/>
  <c r="A1330" i="13" s="1"/>
  <c r="A1331" i="13" s="1"/>
  <c r="A1332" i="13" s="1"/>
  <c r="A1333" i="13" s="1"/>
  <c r="A1334" i="13" s="1"/>
  <c r="A1335" i="13" s="1"/>
  <c r="A1336" i="13" s="1"/>
  <c r="A1337" i="13" s="1"/>
  <c r="A1338" i="13" s="1"/>
  <c r="A1339" i="13" s="1"/>
  <c r="A1340" i="13" s="1"/>
  <c r="A1341" i="13" s="1"/>
  <c r="A1342" i="13" s="1"/>
  <c r="A1343" i="13" s="1"/>
  <c r="A1344" i="13" s="1"/>
  <c r="A1345" i="13" s="1"/>
  <c r="A1346" i="13" s="1"/>
  <c r="A1347" i="13" s="1"/>
  <c r="A1348" i="13" s="1"/>
  <c r="A1349" i="13" s="1"/>
  <c r="A1350" i="13" s="1"/>
  <c r="A1351" i="13" s="1"/>
  <c r="A1352" i="13" s="1"/>
  <c r="A1353" i="13" s="1"/>
  <c r="A1354" i="13" s="1"/>
  <c r="A1355" i="13" s="1"/>
  <c r="A1356" i="13" s="1"/>
  <c r="A1357" i="13" s="1"/>
  <c r="A1358" i="13" s="1"/>
  <c r="A1359" i="13" s="1"/>
  <c r="A1360" i="13" s="1"/>
  <c r="A1361" i="13" s="1"/>
  <c r="A1362" i="13" s="1"/>
  <c r="A1363" i="13" s="1"/>
  <c r="A1364" i="13" s="1"/>
  <c r="A1365" i="13" s="1"/>
  <c r="A1366" i="13" s="1"/>
  <c r="A1367" i="13" s="1"/>
  <c r="A1368" i="13" s="1"/>
  <c r="A1369" i="13" s="1"/>
  <c r="A1370" i="13" s="1"/>
  <c r="A1371" i="13" s="1"/>
  <c r="A1372" i="13" s="1"/>
  <c r="A1373" i="13" s="1"/>
  <c r="A1374" i="13" s="1"/>
  <c r="A1375" i="13" s="1"/>
  <c r="A1376" i="13" s="1"/>
  <c r="A1377" i="13" s="1"/>
  <c r="A1378" i="13" s="1"/>
  <c r="A1379" i="13" s="1"/>
  <c r="A1380" i="13" s="1"/>
  <c r="A1381" i="13" s="1"/>
  <c r="A1382" i="13" s="1"/>
  <c r="A1383" i="13" s="1"/>
  <c r="A1384" i="13" s="1"/>
  <c r="A1385" i="13" s="1"/>
  <c r="A1386" i="13" s="1"/>
  <c r="A1387" i="13" s="1"/>
  <c r="A1388" i="13" s="1"/>
  <c r="A1389" i="13" s="1"/>
  <c r="A1390" i="13" s="1"/>
  <c r="A1391" i="13" s="1"/>
  <c r="A1392" i="13" s="1"/>
  <c r="A1393" i="13" s="1"/>
  <c r="A1394" i="13" s="1"/>
  <c r="A1395" i="13" s="1"/>
  <c r="A1396" i="13" s="1"/>
  <c r="A1397" i="13" s="1"/>
  <c r="A1398" i="13" s="1"/>
  <c r="A1399" i="13" s="1"/>
  <c r="A1400" i="13" s="1"/>
  <c r="A1401" i="13" s="1"/>
  <c r="A1402" i="13" s="1"/>
  <c r="A1403" i="13" s="1"/>
  <c r="A1404" i="13" s="1"/>
  <c r="A1405" i="13" s="1"/>
  <c r="A1406" i="13" s="1"/>
  <c r="A1407" i="13" s="1"/>
  <c r="A1408" i="13" s="1"/>
  <c r="A1409" i="13" s="1"/>
  <c r="A1410" i="13" s="1"/>
  <c r="A1411" i="13" s="1"/>
  <c r="A1412" i="13" s="1"/>
  <c r="A1413" i="13" s="1"/>
  <c r="A1414" i="13" s="1"/>
  <c r="A1415" i="13" s="1"/>
  <c r="A1416" i="13" s="1"/>
  <c r="A1417" i="13" s="1"/>
  <c r="A1418" i="13" s="1"/>
  <c r="A1419" i="13" s="1"/>
  <c r="A1420" i="13" s="1"/>
  <c r="A1421" i="13" s="1"/>
  <c r="A1422" i="13" s="1"/>
  <c r="A1423" i="13" s="1"/>
  <c r="A1424" i="13" s="1"/>
  <c r="A1425" i="13" s="1"/>
  <c r="A1426" i="13" s="1"/>
  <c r="A1427" i="13" s="1"/>
  <c r="A1428" i="13" s="1"/>
  <c r="A1429" i="13" s="1"/>
  <c r="A1430" i="13" s="1"/>
  <c r="A1431" i="13" s="1"/>
  <c r="A1432" i="13" s="1"/>
  <c r="A1433" i="13" s="1"/>
  <c r="A1434" i="13" s="1"/>
  <c r="A1435" i="13" s="1"/>
  <c r="A1436" i="13" s="1"/>
  <c r="A1437" i="13" s="1"/>
  <c r="A1438" i="13" s="1"/>
  <c r="A1439" i="13" s="1"/>
  <c r="A1440" i="13" s="1"/>
  <c r="A1441" i="13" s="1"/>
  <c r="A1442" i="13" s="1"/>
  <c r="A1443" i="13" s="1"/>
  <c r="A1444" i="13" s="1"/>
  <c r="A1445" i="13" s="1"/>
  <c r="A1446" i="13" s="1"/>
  <c r="A1447" i="13" s="1"/>
  <c r="A1448" i="13" s="1"/>
  <c r="A1449" i="13" s="1"/>
  <c r="A1450" i="13" s="1"/>
  <c r="A1451" i="13" s="1"/>
  <c r="A1452" i="13" s="1"/>
  <c r="A1453" i="13" s="1"/>
  <c r="A1454" i="13" s="1"/>
  <c r="A1455" i="13" s="1"/>
  <c r="A1456" i="13" s="1"/>
  <c r="A1457" i="13" s="1"/>
  <c r="A1458" i="13" s="1"/>
  <c r="A1459" i="13" s="1"/>
  <c r="A1460" i="13" s="1"/>
  <c r="A1461" i="13" s="1"/>
  <c r="A1462" i="13" s="1"/>
  <c r="A1463" i="13" s="1"/>
  <c r="A1464" i="13" s="1"/>
  <c r="A1465" i="13" s="1"/>
  <c r="A1466" i="13" s="1"/>
  <c r="A1467" i="13" s="1"/>
  <c r="A1468" i="13" s="1"/>
  <c r="A1469" i="13" s="1"/>
  <c r="A1470" i="13" s="1"/>
  <c r="A1471" i="13" s="1"/>
  <c r="A1472" i="13" s="1"/>
  <c r="A1473" i="13" s="1"/>
  <c r="A1474" i="13" s="1"/>
  <c r="A1475" i="13" s="1"/>
  <c r="A1476" i="13" s="1"/>
  <c r="A1477" i="13" s="1"/>
  <c r="A1478" i="13" s="1"/>
  <c r="A1479" i="13" s="1"/>
  <c r="A1480" i="13" s="1"/>
  <c r="A1481" i="13" s="1"/>
  <c r="A1482" i="13" s="1"/>
  <c r="A1483" i="13" s="1"/>
  <c r="A1484" i="13" s="1"/>
  <c r="A1485" i="13" s="1"/>
  <c r="A1486" i="13" s="1"/>
  <c r="A1487" i="13" s="1"/>
  <c r="A1488" i="13" s="1"/>
  <c r="A1489" i="13" s="1"/>
  <c r="A1490" i="13" s="1"/>
  <c r="A1491" i="13" s="1"/>
  <c r="A1492" i="13" s="1"/>
  <c r="A1493" i="13" s="1"/>
  <c r="A1494" i="13" s="1"/>
  <c r="A1495" i="13" s="1"/>
  <c r="A1496" i="13" s="1"/>
  <c r="A1497" i="13" s="1"/>
  <c r="A1498" i="13" s="1"/>
  <c r="A1499" i="13" s="1"/>
  <c r="A1500" i="13" s="1"/>
  <c r="A1501" i="13" s="1"/>
  <c r="A1502" i="13" s="1"/>
  <c r="A1503" i="13" s="1"/>
  <c r="A1504" i="13" s="1"/>
  <c r="A1505" i="13" s="1"/>
  <c r="A1506" i="13" s="1"/>
  <c r="A1507" i="13" s="1"/>
  <c r="A1508" i="13" s="1"/>
  <c r="A1509" i="13" s="1"/>
  <c r="A1510" i="13" s="1"/>
  <c r="A1511" i="13" s="1"/>
  <c r="A1512" i="13" s="1"/>
  <c r="A1513" i="13" s="1"/>
  <c r="A1514" i="13" s="1"/>
  <c r="A1515" i="13" s="1"/>
  <c r="A1516" i="13" s="1"/>
  <c r="A1517" i="13" s="1"/>
  <c r="A1518" i="13" s="1"/>
  <c r="A1519" i="13" s="1"/>
  <c r="A1520" i="13" s="1"/>
  <c r="A1521" i="13" s="1"/>
  <c r="A1522" i="13" s="1"/>
  <c r="A1523" i="13" s="1"/>
  <c r="A1524" i="13" s="1"/>
  <c r="A1525" i="13" s="1"/>
  <c r="A1526" i="13" s="1"/>
  <c r="A1527" i="13" s="1"/>
  <c r="A1528" i="13" s="1"/>
  <c r="A1529" i="13" s="1"/>
  <c r="A1530" i="13" s="1"/>
  <c r="A1531" i="13" s="1"/>
  <c r="A1532" i="13" s="1"/>
  <c r="A1533" i="13" s="1"/>
  <c r="A1534" i="13" s="1"/>
  <c r="A1535" i="13" s="1"/>
  <c r="A1536" i="13" s="1"/>
  <c r="A1537" i="13" s="1"/>
  <c r="A1538" i="13" s="1"/>
  <c r="A1539" i="13" s="1"/>
  <c r="A1540" i="13" s="1"/>
  <c r="A1541" i="13" s="1"/>
  <c r="A1542" i="13" s="1"/>
  <c r="A1543" i="13" s="1"/>
  <c r="A1544" i="13" s="1"/>
  <c r="A1545" i="13" s="1"/>
  <c r="A1546" i="13" s="1"/>
  <c r="A1547" i="13" s="1"/>
  <c r="A1548" i="13" s="1"/>
  <c r="A1549" i="13" s="1"/>
  <c r="A1550" i="13" s="1"/>
  <c r="A1551" i="13" s="1"/>
  <c r="A1552" i="13" s="1"/>
  <c r="A1553" i="13" s="1"/>
  <c r="A1554" i="13" s="1"/>
  <c r="A1555" i="13" s="1"/>
  <c r="A1556" i="13" s="1"/>
  <c r="A1557" i="13" s="1"/>
  <c r="A1558" i="13" s="1"/>
  <c r="A1559" i="13" s="1"/>
  <c r="A1560" i="13" s="1"/>
  <c r="A1561" i="13" s="1"/>
  <c r="A1562" i="13" s="1"/>
  <c r="A1563" i="13" s="1"/>
  <c r="A1564" i="13" s="1"/>
  <c r="A1565" i="13" s="1"/>
  <c r="A1566" i="13" s="1"/>
  <c r="A1567" i="13" s="1"/>
  <c r="A1568" i="13" s="1"/>
  <c r="A1569" i="13" s="1"/>
  <c r="A1570" i="13" s="1"/>
  <c r="A1571" i="13" s="1"/>
  <c r="A1572" i="13" s="1"/>
  <c r="A1573" i="13" s="1"/>
  <c r="A1574" i="13" s="1"/>
  <c r="A1575" i="13" s="1"/>
  <c r="A1576" i="13" s="1"/>
  <c r="A1577" i="13" s="1"/>
  <c r="A1578" i="13" s="1"/>
  <c r="A1579" i="13" s="1"/>
  <c r="A1580" i="13" s="1"/>
  <c r="A1581" i="13" s="1"/>
  <c r="A1582" i="13" s="1"/>
  <c r="A1583" i="13" s="1"/>
  <c r="A1584" i="13" s="1"/>
  <c r="A1585" i="13" s="1"/>
  <c r="A1586" i="13" s="1"/>
  <c r="A1587" i="13" s="1"/>
  <c r="A1588" i="13" s="1"/>
  <c r="A1589" i="13" s="1"/>
  <c r="A1590" i="13" s="1"/>
  <c r="A1591" i="13" s="1"/>
  <c r="A1592" i="13" s="1"/>
  <c r="A1593" i="13" s="1"/>
  <c r="A1594" i="13" s="1"/>
  <c r="A1595" i="13" s="1"/>
  <c r="A1596" i="13" s="1"/>
  <c r="A1597" i="13" s="1"/>
  <c r="A1598" i="13" s="1"/>
  <c r="A1599" i="13" s="1"/>
  <c r="A1600" i="13" s="1"/>
  <c r="A1601" i="13" s="1"/>
  <c r="A1602" i="13" s="1"/>
  <c r="A1603" i="13" s="1"/>
  <c r="A1604" i="13" s="1"/>
  <c r="A1605" i="13" s="1"/>
  <c r="A1606" i="13" s="1"/>
  <c r="A1607" i="13" s="1"/>
  <c r="A1608" i="13" s="1"/>
  <c r="A1609" i="13" s="1"/>
  <c r="A1610" i="13" s="1"/>
  <c r="A1611" i="13" s="1"/>
  <c r="A1612" i="13" s="1"/>
  <c r="A1613" i="13" s="1"/>
  <c r="A1614" i="13" s="1"/>
  <c r="A1615" i="13" s="1"/>
  <c r="A1616" i="13" s="1"/>
  <c r="A1617" i="13" s="1"/>
  <c r="A1618" i="13" s="1"/>
  <c r="A1619" i="13" s="1"/>
  <c r="A1620" i="13" s="1"/>
  <c r="A1621" i="13" s="1"/>
  <c r="A1622" i="13" s="1"/>
  <c r="A1623" i="13" s="1"/>
  <c r="A1624" i="13" s="1"/>
  <c r="A1625" i="13" s="1"/>
  <c r="A1626" i="13" s="1"/>
  <c r="A1627" i="13" s="1"/>
  <c r="A1628" i="13" s="1"/>
  <c r="A1629" i="13" s="1"/>
  <c r="A1630" i="13" s="1"/>
  <c r="A1631" i="13" s="1"/>
  <c r="A1632" i="13" s="1"/>
  <c r="A1633" i="13" s="1"/>
  <c r="A1634" i="13" s="1"/>
  <c r="A1635" i="13" s="1"/>
  <c r="A1636" i="13" s="1"/>
  <c r="A1637" i="13" s="1"/>
  <c r="A1638" i="13" s="1"/>
  <c r="A1639" i="13" s="1"/>
  <c r="A1640" i="13" s="1"/>
  <c r="A1641" i="13" s="1"/>
  <c r="A1642" i="13" s="1"/>
  <c r="A1643" i="13" s="1"/>
  <c r="A1644" i="13" s="1"/>
  <c r="A1645" i="13" s="1"/>
  <c r="A1646" i="13" s="1"/>
  <c r="A1647" i="13" s="1"/>
  <c r="A1648" i="13" s="1"/>
  <c r="A1649" i="13" s="1"/>
  <c r="A1650" i="13" s="1"/>
  <c r="A1651" i="13" s="1"/>
  <c r="A1652" i="13" s="1"/>
  <c r="A1653" i="13" s="1"/>
  <c r="A1654" i="13" s="1"/>
  <c r="A1655" i="13" s="1"/>
  <c r="A1656" i="13" s="1"/>
  <c r="A1657" i="13" s="1"/>
  <c r="A1658" i="13" s="1"/>
  <c r="A1659" i="13" s="1"/>
  <c r="A1660" i="13" s="1"/>
  <c r="A1661" i="13" s="1"/>
  <c r="A1662" i="13" s="1"/>
  <c r="A1663" i="13" s="1"/>
  <c r="A1664" i="13" s="1"/>
  <c r="A1665" i="13" s="1"/>
  <c r="A1666" i="13" s="1"/>
  <c r="A1667" i="13" s="1"/>
  <c r="A1668" i="13" s="1"/>
  <c r="A1669" i="13" s="1"/>
  <c r="A1670" i="13" s="1"/>
  <c r="A1671" i="13" s="1"/>
  <c r="A1672" i="13" s="1"/>
  <c r="A1673" i="13" s="1"/>
  <c r="A1674" i="13" s="1"/>
  <c r="A1675" i="13" s="1"/>
  <c r="A1676" i="13" s="1"/>
  <c r="A1677" i="13" s="1"/>
  <c r="A1678" i="13" s="1"/>
  <c r="A1679" i="13" s="1"/>
  <c r="A1680" i="13" s="1"/>
  <c r="A1681" i="13" s="1"/>
  <c r="A1682" i="13" s="1"/>
  <c r="A1683" i="13" s="1"/>
  <c r="A1684" i="13" s="1"/>
  <c r="A1685" i="13" s="1"/>
  <c r="A1686" i="13" s="1"/>
  <c r="A1687" i="13" s="1"/>
  <c r="A1688" i="13" s="1"/>
  <c r="A1689" i="13" s="1"/>
  <c r="A1690" i="13" s="1"/>
  <c r="A1691" i="13" s="1"/>
  <c r="A1692" i="13" s="1"/>
  <c r="A1693" i="13" s="1"/>
  <c r="A1694" i="13" s="1"/>
  <c r="A1695" i="13" s="1"/>
  <c r="A1696" i="13" s="1"/>
  <c r="A1697" i="13" s="1"/>
  <c r="A1698" i="13" s="1"/>
  <c r="A1699" i="13" s="1"/>
  <c r="A1700" i="13" s="1"/>
  <c r="A1701" i="13" s="1"/>
  <c r="A1702" i="13" s="1"/>
  <c r="A1703" i="13" s="1"/>
  <c r="A1704" i="13" s="1"/>
  <c r="A1705" i="13" s="1"/>
  <c r="A1706" i="13" s="1"/>
  <c r="A1707" i="13" s="1"/>
  <c r="A1708" i="13" s="1"/>
  <c r="A1709" i="13" s="1"/>
  <c r="A1710" i="13" s="1"/>
  <c r="A1711" i="13" s="1"/>
  <c r="A1712" i="13" s="1"/>
  <c r="A1713" i="13" s="1"/>
  <c r="A1714" i="13" s="1"/>
  <c r="A1715" i="13" s="1"/>
  <c r="A1716" i="13" s="1"/>
  <c r="A1717" i="13" s="1"/>
  <c r="A1718" i="13" s="1"/>
  <c r="A1719" i="13" s="1"/>
  <c r="A1720" i="13" s="1"/>
  <c r="A1721" i="13" s="1"/>
  <c r="A1722" i="13" s="1"/>
  <c r="A1723" i="13" s="1"/>
  <c r="A1724" i="13" s="1"/>
  <c r="A1725" i="13" s="1"/>
  <c r="A1726" i="13" s="1"/>
  <c r="A1727" i="13" s="1"/>
  <c r="A1728" i="13" s="1"/>
  <c r="A1729" i="13" s="1"/>
  <c r="A1730" i="13" s="1"/>
  <c r="A1731" i="13" s="1"/>
  <c r="A1732" i="13" s="1"/>
  <c r="A1733" i="13" s="1"/>
  <c r="A1734" i="13" s="1"/>
  <c r="A1735" i="13" s="1"/>
  <c r="A1736" i="13" s="1"/>
  <c r="A1737" i="13" s="1"/>
  <c r="A1738" i="13" s="1"/>
  <c r="A1739" i="13" s="1"/>
  <c r="L9" i="13"/>
  <c r="L10" i="13" s="1"/>
  <c r="L11" i="13" s="1"/>
  <c r="L12" i="13" s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L84" i="13" s="1"/>
  <c r="L85" i="13" s="1"/>
  <c r="L86" i="13" s="1"/>
  <c r="L87" i="13" s="1"/>
  <c r="L88" i="13" s="1"/>
  <c r="L89" i="13" s="1"/>
  <c r="L90" i="13" s="1"/>
  <c r="L91" i="13" s="1"/>
  <c r="L92" i="13" s="1"/>
  <c r="L93" i="13" s="1"/>
  <c r="L94" i="13" s="1"/>
  <c r="L95" i="13" s="1"/>
  <c r="L96" i="13" s="1"/>
  <c r="L97" i="13" s="1"/>
  <c r="L98" i="13" s="1"/>
  <c r="L99" i="13" s="1"/>
  <c r="L100" i="13" s="1"/>
  <c r="L101" i="13" s="1"/>
  <c r="L102" i="13" s="1"/>
  <c r="L103" i="13" s="1"/>
  <c r="L104" i="13" s="1"/>
  <c r="L105" i="13" s="1"/>
  <c r="L106" i="13" s="1"/>
  <c r="L107" i="13" s="1"/>
  <c r="L108" i="13" s="1"/>
  <c r="L109" i="13" s="1"/>
  <c r="L110" i="13" s="1"/>
  <c r="L111" i="13" s="1"/>
  <c r="L112" i="13" s="1"/>
  <c r="L113" i="13" s="1"/>
  <c r="L114" i="13" s="1"/>
  <c r="L115" i="13" s="1"/>
  <c r="L116" i="13" s="1"/>
  <c r="L117" i="13" s="1"/>
  <c r="L118" i="13" s="1"/>
  <c r="L119" i="13" s="1"/>
  <c r="L120" i="13" s="1"/>
  <c r="L121" i="13" s="1"/>
  <c r="L122" i="13" s="1"/>
  <c r="L123" i="13" s="1"/>
  <c r="L124" i="13" s="1"/>
  <c r="L125" i="13" s="1"/>
  <c r="L126" i="13" s="1"/>
  <c r="L127" i="13" s="1"/>
  <c r="L128" i="13" s="1"/>
  <c r="L129" i="13" s="1"/>
  <c r="L130" i="13" s="1"/>
  <c r="L131" i="13" s="1"/>
  <c r="L132" i="13" s="1"/>
  <c r="L133" i="13" s="1"/>
  <c r="L134" i="13" s="1"/>
  <c r="L135" i="13" s="1"/>
  <c r="L136" i="13" s="1"/>
  <c r="L137" i="13" s="1"/>
  <c r="L138" i="13" s="1"/>
  <c r="L139" i="13" s="1"/>
  <c r="L140" i="13" s="1"/>
  <c r="L141" i="13" s="1"/>
  <c r="L142" i="13" s="1"/>
  <c r="L143" i="13" s="1"/>
  <c r="L144" i="13" s="1"/>
  <c r="L145" i="13" s="1"/>
  <c r="L146" i="13" s="1"/>
  <c r="L147" i="13" s="1"/>
  <c r="L148" i="13" s="1"/>
  <c r="L149" i="13" s="1"/>
  <c r="L150" i="13" s="1"/>
  <c r="L151" i="13" s="1"/>
  <c r="L152" i="13" s="1"/>
  <c r="L153" i="13" s="1"/>
  <c r="L154" i="13" s="1"/>
  <c r="L155" i="13" s="1"/>
  <c r="L156" i="13" s="1"/>
  <c r="L157" i="13" s="1"/>
  <c r="L158" i="13" s="1"/>
  <c r="L159" i="13" s="1"/>
  <c r="L160" i="13" s="1"/>
  <c r="L161" i="13" s="1"/>
  <c r="L162" i="13" s="1"/>
  <c r="L163" i="13" s="1"/>
  <c r="L164" i="13" s="1"/>
  <c r="L165" i="13" s="1"/>
  <c r="L166" i="13" s="1"/>
  <c r="L167" i="13" s="1"/>
  <c r="L168" i="13" s="1"/>
  <c r="L169" i="13" s="1"/>
  <c r="L170" i="13" s="1"/>
  <c r="L171" i="13" s="1"/>
  <c r="L172" i="13" s="1"/>
  <c r="L173" i="13" s="1"/>
  <c r="L174" i="13" s="1"/>
  <c r="L175" i="13" s="1"/>
  <c r="L176" i="13" s="1"/>
  <c r="L177" i="13" s="1"/>
  <c r="L178" i="13" s="1"/>
  <c r="L179" i="13" s="1"/>
  <c r="L180" i="13" s="1"/>
  <c r="L181" i="13" s="1"/>
  <c r="L182" i="13" s="1"/>
  <c r="L183" i="13" s="1"/>
  <c r="L184" i="13" s="1"/>
  <c r="L185" i="13" s="1"/>
  <c r="L186" i="13" s="1"/>
  <c r="L187" i="13" s="1"/>
  <c r="L188" i="13" s="1"/>
  <c r="L189" i="13" s="1"/>
  <c r="L190" i="13" s="1"/>
  <c r="L191" i="13" s="1"/>
  <c r="L192" i="13" s="1"/>
  <c r="L193" i="13" s="1"/>
  <c r="L194" i="13" s="1"/>
  <c r="L195" i="13" s="1"/>
  <c r="L196" i="13" s="1"/>
  <c r="L197" i="13" s="1"/>
  <c r="L198" i="13" s="1"/>
  <c r="L199" i="13" s="1"/>
  <c r="L200" i="13" s="1"/>
  <c r="L201" i="13" s="1"/>
  <c r="L202" i="13" s="1"/>
  <c r="L203" i="13" s="1"/>
  <c r="L204" i="13" s="1"/>
  <c r="L205" i="13" s="1"/>
  <c r="L206" i="13" s="1"/>
  <c r="L207" i="13" s="1"/>
  <c r="L208" i="13" s="1"/>
  <c r="L209" i="13" s="1"/>
  <c r="L210" i="13" s="1"/>
  <c r="L211" i="13" s="1"/>
  <c r="L212" i="13" s="1"/>
  <c r="L213" i="13" s="1"/>
  <c r="L214" i="13" s="1"/>
  <c r="L215" i="13" s="1"/>
  <c r="L216" i="13" s="1"/>
  <c r="L217" i="13" s="1"/>
  <c r="L218" i="13" s="1"/>
  <c r="L219" i="13" s="1"/>
  <c r="L220" i="13" s="1"/>
  <c r="L221" i="13" s="1"/>
  <c r="L222" i="13" s="1"/>
  <c r="L223" i="13" s="1"/>
  <c r="L224" i="13" s="1"/>
  <c r="L225" i="13" s="1"/>
  <c r="L226" i="13" s="1"/>
  <c r="L227" i="13" s="1"/>
  <c r="L228" i="13" s="1"/>
  <c r="L229" i="13" s="1"/>
  <c r="L230" i="13" s="1"/>
  <c r="L231" i="13" s="1"/>
  <c r="L232" i="13" s="1"/>
  <c r="L233" i="13" s="1"/>
  <c r="L234" i="13" s="1"/>
  <c r="L235" i="13" s="1"/>
  <c r="L236" i="13" s="1"/>
  <c r="L237" i="13" s="1"/>
  <c r="L238" i="13" s="1"/>
  <c r="L239" i="13" s="1"/>
  <c r="L240" i="13" s="1"/>
  <c r="L241" i="13" s="1"/>
  <c r="L242" i="13" s="1"/>
  <c r="L243" i="13" s="1"/>
  <c r="L244" i="13" s="1"/>
  <c r="L245" i="13" s="1"/>
  <c r="L246" i="13" s="1"/>
  <c r="L247" i="13" s="1"/>
  <c r="L248" i="13" s="1"/>
  <c r="L249" i="13" s="1"/>
  <c r="L250" i="13" s="1"/>
  <c r="L251" i="13" s="1"/>
  <c r="L252" i="13" s="1"/>
  <c r="L253" i="13" s="1"/>
  <c r="L254" i="13" s="1"/>
  <c r="L255" i="13" s="1"/>
  <c r="L256" i="13" s="1"/>
  <c r="L257" i="13" s="1"/>
  <c r="L258" i="13" s="1"/>
  <c r="L259" i="13" s="1"/>
  <c r="L260" i="13" s="1"/>
  <c r="L261" i="13" s="1"/>
  <c r="L262" i="13" s="1"/>
  <c r="L263" i="13" s="1"/>
  <c r="L264" i="13" s="1"/>
  <c r="L265" i="13" s="1"/>
  <c r="L266" i="13" s="1"/>
  <c r="L267" i="13" s="1"/>
  <c r="L268" i="13" s="1"/>
  <c r="L269" i="13" s="1"/>
  <c r="L270" i="13" s="1"/>
  <c r="L271" i="13" s="1"/>
  <c r="L272" i="13" s="1"/>
  <c r="L273" i="13" s="1"/>
  <c r="L274" i="13" s="1"/>
  <c r="L275" i="13" s="1"/>
  <c r="L276" i="13" s="1"/>
  <c r="L277" i="13" s="1"/>
  <c r="L278" i="13" s="1"/>
  <c r="L279" i="13" s="1"/>
  <c r="L280" i="13" s="1"/>
  <c r="L281" i="13" s="1"/>
  <c r="L282" i="13" s="1"/>
  <c r="L283" i="13" s="1"/>
  <c r="L284" i="13" s="1"/>
  <c r="L285" i="13" s="1"/>
  <c r="L286" i="13" s="1"/>
  <c r="L287" i="13" s="1"/>
  <c r="L288" i="13" s="1"/>
  <c r="L289" i="13" s="1"/>
  <c r="L290" i="13" s="1"/>
  <c r="L291" i="13" s="1"/>
  <c r="L292" i="13" s="1"/>
  <c r="L293" i="13" s="1"/>
  <c r="L294" i="13" s="1"/>
  <c r="L295" i="13" s="1"/>
  <c r="L296" i="13" s="1"/>
  <c r="L297" i="13" s="1"/>
  <c r="L298" i="13" s="1"/>
  <c r="L299" i="13" s="1"/>
  <c r="L300" i="13" s="1"/>
  <c r="L301" i="13" s="1"/>
  <c r="L302" i="13" s="1"/>
  <c r="L303" i="13" s="1"/>
  <c r="L304" i="13" s="1"/>
  <c r="L305" i="13" s="1"/>
  <c r="L306" i="13" s="1"/>
  <c r="L307" i="13" s="1"/>
  <c r="L308" i="13" s="1"/>
  <c r="L309" i="13" s="1"/>
  <c r="L310" i="13" s="1"/>
  <c r="L311" i="13" s="1"/>
  <c r="L312" i="13" s="1"/>
  <c r="L313" i="13" s="1"/>
  <c r="L314" i="13" s="1"/>
  <c r="L315" i="13" s="1"/>
  <c r="L316" i="13" s="1"/>
  <c r="L317" i="13" s="1"/>
  <c r="L318" i="13" s="1"/>
  <c r="L319" i="13" s="1"/>
  <c r="L320" i="13" s="1"/>
  <c r="L321" i="13" s="1"/>
  <c r="L322" i="13" s="1"/>
  <c r="L323" i="13" s="1"/>
  <c r="L324" i="13" s="1"/>
  <c r="L325" i="13" s="1"/>
  <c r="L326" i="13" s="1"/>
  <c r="L327" i="13" s="1"/>
  <c r="L328" i="13" s="1"/>
  <c r="L329" i="13" s="1"/>
  <c r="L330" i="13" s="1"/>
  <c r="L331" i="13" s="1"/>
  <c r="L332" i="13" s="1"/>
  <c r="L333" i="13" s="1"/>
  <c r="L334" i="13" s="1"/>
  <c r="L335" i="13" s="1"/>
  <c r="L336" i="13" s="1"/>
  <c r="L337" i="13" s="1"/>
  <c r="L338" i="13" s="1"/>
  <c r="L339" i="13" s="1"/>
  <c r="L340" i="13" s="1"/>
  <c r="L341" i="13" s="1"/>
  <c r="L342" i="13" s="1"/>
  <c r="L343" i="13" s="1"/>
  <c r="L344" i="13" s="1"/>
  <c r="L345" i="13" s="1"/>
  <c r="L346" i="13" s="1"/>
  <c r="L347" i="13" s="1"/>
  <c r="L348" i="13" s="1"/>
  <c r="L349" i="13" s="1"/>
  <c r="L350" i="13" s="1"/>
  <c r="L351" i="13" s="1"/>
  <c r="L352" i="13" s="1"/>
  <c r="L353" i="13" s="1"/>
  <c r="L354" i="13" s="1"/>
  <c r="L355" i="13" s="1"/>
  <c r="L356" i="13" s="1"/>
  <c r="L357" i="13" s="1"/>
  <c r="L358" i="13" s="1"/>
  <c r="L359" i="13" s="1"/>
  <c r="G9" i="13"/>
  <c r="C9" i="13"/>
  <c r="C8" i="13"/>
  <c r="A1" i="13"/>
  <c r="G223" i="4"/>
  <c r="C223" i="4"/>
  <c r="G191" i="4"/>
  <c r="C191" i="4"/>
  <c r="G152" i="4"/>
  <c r="C152" i="4"/>
  <c r="K141" i="4"/>
  <c r="G141" i="4"/>
  <c r="C141" i="4"/>
  <c r="L1739" i="14" l="1"/>
  <c r="L11" i="14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L84" i="14" s="1"/>
  <c r="L85" i="14" s="1"/>
  <c r="L86" i="14" s="1"/>
  <c r="L87" i="14" s="1"/>
  <c r="L88" i="14" s="1"/>
  <c r="L89" i="14" s="1"/>
  <c r="L90" i="14" s="1"/>
  <c r="L91" i="14" s="1"/>
  <c r="L92" i="14" s="1"/>
  <c r="L93" i="14" s="1"/>
  <c r="L94" i="14" s="1"/>
  <c r="L95" i="14" s="1"/>
  <c r="L96" i="14" s="1"/>
  <c r="L97" i="14" s="1"/>
  <c r="L98" i="14" s="1"/>
  <c r="L99" i="14" s="1"/>
  <c r="L100" i="14" s="1"/>
  <c r="L101" i="14" s="1"/>
  <c r="L102" i="14" s="1"/>
  <c r="L103" i="14" s="1"/>
  <c r="L104" i="14" s="1"/>
  <c r="L105" i="14" s="1"/>
  <c r="L106" i="14" s="1"/>
  <c r="L107" i="14" s="1"/>
  <c r="L108" i="14" s="1"/>
  <c r="L109" i="14" s="1"/>
  <c r="L110" i="14" s="1"/>
  <c r="L111" i="14" s="1"/>
  <c r="L112" i="14" s="1"/>
  <c r="L113" i="14" s="1"/>
  <c r="L114" i="14" s="1"/>
  <c r="L115" i="14" s="1"/>
  <c r="L116" i="14" s="1"/>
  <c r="L117" i="14" s="1"/>
  <c r="L118" i="14" s="1"/>
  <c r="L119" i="14" s="1"/>
  <c r="L120" i="14" s="1"/>
  <c r="L121" i="14" s="1"/>
  <c r="L122" i="14" s="1"/>
  <c r="L123" i="14" s="1"/>
  <c r="L124" i="14" s="1"/>
  <c r="L125" i="14" s="1"/>
  <c r="L126" i="14" s="1"/>
  <c r="L127" i="14" s="1"/>
  <c r="L128" i="14" s="1"/>
  <c r="L129" i="14" s="1"/>
  <c r="L130" i="14" s="1"/>
  <c r="L131" i="14" s="1"/>
  <c r="L132" i="14" s="1"/>
  <c r="L133" i="14" s="1"/>
  <c r="L134" i="14" s="1"/>
  <c r="L135" i="14" s="1"/>
  <c r="L136" i="14" s="1"/>
  <c r="L137" i="14" s="1"/>
  <c r="L138" i="14" s="1"/>
  <c r="L139" i="14" s="1"/>
  <c r="L140" i="14" s="1"/>
  <c r="L141" i="14" s="1"/>
  <c r="L142" i="14" s="1"/>
  <c r="L143" i="14" s="1"/>
  <c r="L144" i="14" s="1"/>
  <c r="L145" i="14" s="1"/>
  <c r="L146" i="14" s="1"/>
  <c r="L147" i="14" s="1"/>
  <c r="L148" i="14" s="1"/>
  <c r="L149" i="14" s="1"/>
  <c r="L150" i="14" s="1"/>
  <c r="L151" i="14" s="1"/>
  <c r="L152" i="14" s="1"/>
  <c r="L153" i="14" s="1"/>
  <c r="L154" i="14" s="1"/>
  <c r="L155" i="14" s="1"/>
  <c r="L156" i="14" s="1"/>
  <c r="L157" i="14" s="1"/>
  <c r="L158" i="14" s="1"/>
  <c r="L159" i="14" s="1"/>
  <c r="L160" i="14" s="1"/>
  <c r="L161" i="14" s="1"/>
  <c r="L162" i="14" s="1"/>
  <c r="L163" i="14" s="1"/>
  <c r="L164" i="14" s="1"/>
  <c r="L165" i="14" s="1"/>
  <c r="L166" i="14" s="1"/>
  <c r="L167" i="14" s="1"/>
  <c r="L168" i="14" s="1"/>
  <c r="L169" i="14" s="1"/>
  <c r="L170" i="14" s="1"/>
  <c r="L171" i="14" s="1"/>
  <c r="L172" i="14" s="1"/>
  <c r="L173" i="14" s="1"/>
  <c r="L174" i="14" s="1"/>
  <c r="L175" i="14" s="1"/>
  <c r="L176" i="14" s="1"/>
  <c r="L177" i="14" s="1"/>
  <c r="L178" i="14" s="1"/>
  <c r="L179" i="14" s="1"/>
  <c r="L180" i="14" s="1"/>
  <c r="L181" i="14" s="1"/>
  <c r="L182" i="14" s="1"/>
  <c r="L183" i="14" s="1"/>
  <c r="L184" i="14" s="1"/>
  <c r="L185" i="14" s="1"/>
  <c r="L186" i="14" s="1"/>
  <c r="L187" i="14" s="1"/>
  <c r="L188" i="14" s="1"/>
  <c r="L189" i="14" s="1"/>
  <c r="L190" i="14" s="1"/>
  <c r="L191" i="14" s="1"/>
  <c r="L192" i="14" s="1"/>
  <c r="L193" i="14" s="1"/>
  <c r="L194" i="14" s="1"/>
  <c r="L195" i="14" s="1"/>
  <c r="L196" i="14" s="1"/>
  <c r="L197" i="14" s="1"/>
  <c r="L198" i="14" s="1"/>
  <c r="L199" i="14" s="1"/>
  <c r="L200" i="14" s="1"/>
  <c r="L201" i="14" s="1"/>
  <c r="L202" i="14" s="1"/>
  <c r="L203" i="14" s="1"/>
  <c r="L204" i="14" s="1"/>
  <c r="L205" i="14" s="1"/>
  <c r="L206" i="14" s="1"/>
  <c r="L207" i="14" s="1"/>
  <c r="L208" i="14" s="1"/>
  <c r="L209" i="14" s="1"/>
  <c r="L210" i="14" s="1"/>
  <c r="L211" i="14" s="1"/>
  <c r="L212" i="14" s="1"/>
  <c r="L213" i="14" s="1"/>
  <c r="L214" i="14" s="1"/>
  <c r="L215" i="14" s="1"/>
  <c r="L216" i="14" s="1"/>
  <c r="L217" i="14" s="1"/>
  <c r="L218" i="14" s="1"/>
  <c r="L219" i="14" s="1"/>
  <c r="L220" i="14" s="1"/>
  <c r="L221" i="14" s="1"/>
  <c r="L222" i="14" s="1"/>
  <c r="L223" i="14" s="1"/>
  <c r="L224" i="14" s="1"/>
  <c r="L225" i="14" s="1"/>
  <c r="L226" i="14" s="1"/>
  <c r="L227" i="14" s="1"/>
  <c r="L228" i="14" s="1"/>
  <c r="L229" i="14" s="1"/>
  <c r="L230" i="14" s="1"/>
  <c r="L231" i="14" s="1"/>
  <c r="L232" i="14" s="1"/>
  <c r="L233" i="14" s="1"/>
  <c r="L234" i="14" s="1"/>
  <c r="L235" i="14" s="1"/>
  <c r="L236" i="14" s="1"/>
  <c r="L237" i="14" s="1"/>
  <c r="L238" i="14" s="1"/>
  <c r="L239" i="14" s="1"/>
  <c r="L240" i="14" s="1"/>
  <c r="L241" i="14" s="1"/>
  <c r="L242" i="14" s="1"/>
  <c r="L243" i="14" s="1"/>
  <c r="L244" i="14" s="1"/>
  <c r="L245" i="14" s="1"/>
  <c r="L246" i="14" s="1"/>
  <c r="L247" i="14" s="1"/>
  <c r="L248" i="14" s="1"/>
  <c r="L249" i="14" s="1"/>
  <c r="L250" i="14" s="1"/>
  <c r="L251" i="14" s="1"/>
  <c r="L252" i="14" s="1"/>
  <c r="L253" i="14" s="1"/>
  <c r="L254" i="14" s="1"/>
  <c r="L255" i="14" s="1"/>
  <c r="L256" i="14" s="1"/>
  <c r="L257" i="14" s="1"/>
  <c r="L258" i="14" s="1"/>
  <c r="L259" i="14" s="1"/>
  <c r="L260" i="14" s="1"/>
  <c r="L261" i="14" s="1"/>
  <c r="L262" i="14" s="1"/>
  <c r="L263" i="14" s="1"/>
  <c r="L264" i="14" s="1"/>
  <c r="L265" i="14" s="1"/>
  <c r="L266" i="14" s="1"/>
  <c r="L267" i="14" s="1"/>
  <c r="L268" i="14" s="1"/>
  <c r="L269" i="14" s="1"/>
  <c r="L270" i="14" s="1"/>
  <c r="L271" i="14" s="1"/>
  <c r="L272" i="14" s="1"/>
  <c r="L273" i="14" s="1"/>
  <c r="L274" i="14" s="1"/>
  <c r="L275" i="14" s="1"/>
  <c r="L276" i="14" s="1"/>
  <c r="L277" i="14" s="1"/>
  <c r="L278" i="14" s="1"/>
  <c r="L279" i="14" s="1"/>
  <c r="L280" i="14" s="1"/>
  <c r="L281" i="14" s="1"/>
  <c r="L282" i="14" s="1"/>
  <c r="L283" i="14" s="1"/>
  <c r="L284" i="14" s="1"/>
  <c r="L285" i="14" s="1"/>
  <c r="L286" i="14" s="1"/>
  <c r="L287" i="14" s="1"/>
  <c r="L288" i="14" s="1"/>
  <c r="L289" i="14" s="1"/>
  <c r="L290" i="14" s="1"/>
  <c r="L291" i="14" s="1"/>
  <c r="L292" i="14" s="1"/>
  <c r="L293" i="14" s="1"/>
  <c r="L294" i="14" s="1"/>
  <c r="L295" i="14" s="1"/>
  <c r="L296" i="14" s="1"/>
  <c r="L297" i="14" s="1"/>
  <c r="L298" i="14" s="1"/>
  <c r="L299" i="14" s="1"/>
  <c r="L300" i="14" s="1"/>
  <c r="L301" i="14" s="1"/>
  <c r="L302" i="14" s="1"/>
  <c r="L303" i="14" s="1"/>
  <c r="L304" i="14" s="1"/>
  <c r="L305" i="14" s="1"/>
  <c r="L306" i="14" s="1"/>
  <c r="L307" i="14" s="1"/>
  <c r="L308" i="14" s="1"/>
  <c r="L309" i="14" s="1"/>
  <c r="L310" i="14" s="1"/>
  <c r="L311" i="14" s="1"/>
  <c r="L312" i="14" s="1"/>
  <c r="L313" i="14" s="1"/>
  <c r="L314" i="14" s="1"/>
  <c r="L315" i="14" s="1"/>
  <c r="L316" i="14" s="1"/>
  <c r="L317" i="14" s="1"/>
  <c r="L318" i="14" s="1"/>
  <c r="L319" i="14" s="1"/>
  <c r="L320" i="14" s="1"/>
  <c r="L321" i="14" s="1"/>
  <c r="L322" i="14" s="1"/>
  <c r="L323" i="14" s="1"/>
  <c r="L324" i="14" s="1"/>
  <c r="L325" i="14" s="1"/>
  <c r="L326" i="14" s="1"/>
  <c r="L327" i="14" s="1"/>
  <c r="L328" i="14" s="1"/>
  <c r="L329" i="14" s="1"/>
  <c r="L330" i="14" s="1"/>
  <c r="L331" i="14" s="1"/>
  <c r="L332" i="14" s="1"/>
  <c r="L333" i="14" s="1"/>
  <c r="L334" i="14" s="1"/>
  <c r="L335" i="14" s="1"/>
  <c r="L336" i="14" s="1"/>
  <c r="L337" i="14" s="1"/>
  <c r="L338" i="14" s="1"/>
  <c r="L339" i="14" s="1"/>
  <c r="L340" i="14" s="1"/>
  <c r="L341" i="14" s="1"/>
  <c r="L342" i="14" s="1"/>
  <c r="L343" i="14" s="1"/>
  <c r="L344" i="14" s="1"/>
  <c r="L345" i="14" s="1"/>
  <c r="L346" i="14" s="1"/>
  <c r="L347" i="14" s="1"/>
  <c r="L348" i="14" s="1"/>
  <c r="L349" i="14" s="1"/>
  <c r="L350" i="14" s="1"/>
  <c r="L351" i="14" s="1"/>
  <c r="L352" i="14" s="1"/>
  <c r="L353" i="14" s="1"/>
  <c r="L354" i="14" s="1"/>
  <c r="L355" i="14" s="1"/>
  <c r="L356" i="14" s="1"/>
  <c r="L357" i="14" s="1"/>
  <c r="L358" i="14" s="1"/>
  <c r="L359" i="14" s="1"/>
  <c r="N404" i="4"/>
  <c r="O359" i="13"/>
  <c r="L360" i="13"/>
  <c r="L361" i="13" s="1"/>
  <c r="L362" i="13" s="1"/>
  <c r="L363" i="13" s="1"/>
  <c r="L364" i="13" s="1"/>
  <c r="L365" i="13" s="1"/>
  <c r="L366" i="13" s="1"/>
  <c r="L367" i="13" s="1"/>
  <c r="L368" i="13" s="1"/>
  <c r="L369" i="13" s="1"/>
  <c r="L370" i="13" s="1"/>
  <c r="L371" i="13" s="1"/>
  <c r="L372" i="13" s="1"/>
  <c r="L373" i="13" s="1"/>
  <c r="L374" i="13" s="1"/>
  <c r="L375" i="13" s="1"/>
  <c r="L376" i="13" s="1"/>
  <c r="L377" i="13" s="1"/>
  <c r="L378" i="13" s="1"/>
  <c r="L379" i="13" s="1"/>
  <c r="L380" i="13" s="1"/>
  <c r="L381" i="13" s="1"/>
  <c r="L382" i="13" s="1"/>
  <c r="L383" i="13" s="1"/>
  <c r="L384" i="13" s="1"/>
  <c r="L385" i="13" s="1"/>
  <c r="L386" i="13" s="1"/>
  <c r="L387" i="13" s="1"/>
  <c r="L388" i="13" s="1"/>
  <c r="L389" i="13" s="1"/>
  <c r="L390" i="13" s="1"/>
  <c r="L391" i="13" s="1"/>
  <c r="L392" i="13" s="1"/>
  <c r="L393" i="13" s="1"/>
  <c r="L394" i="13" s="1"/>
  <c r="L395" i="13" s="1"/>
  <c r="L396" i="13" s="1"/>
  <c r="L397" i="13" s="1"/>
  <c r="L398" i="13" s="1"/>
  <c r="L399" i="13" s="1"/>
  <c r="L400" i="13" s="1"/>
  <c r="L401" i="13" s="1"/>
  <c r="L402" i="13" s="1"/>
  <c r="L403" i="13" s="1"/>
  <c r="L404" i="13" s="1"/>
  <c r="L405" i="13" s="1"/>
  <c r="L406" i="13" s="1"/>
  <c r="L407" i="13" s="1"/>
  <c r="L408" i="13" s="1"/>
  <c r="L409" i="13" s="1"/>
  <c r="L410" i="13" s="1"/>
  <c r="L411" i="13" s="1"/>
  <c r="L412" i="13" s="1"/>
  <c r="L413" i="13" s="1"/>
  <c r="L414" i="13" s="1"/>
  <c r="L415" i="13" s="1"/>
  <c r="L416" i="13" s="1"/>
  <c r="L417" i="13" s="1"/>
  <c r="L418" i="13" s="1"/>
  <c r="L419" i="13" s="1"/>
  <c r="L420" i="13" s="1"/>
  <c r="L421" i="13" s="1"/>
  <c r="L422" i="13" s="1"/>
  <c r="L423" i="13" s="1"/>
  <c r="L424" i="13" s="1"/>
  <c r="L425" i="13" s="1"/>
  <c r="L426" i="13" s="1"/>
  <c r="L427" i="13" s="1"/>
  <c r="L428" i="13" s="1"/>
  <c r="L429" i="13" s="1"/>
  <c r="L430" i="13" s="1"/>
  <c r="L431" i="13" s="1"/>
  <c r="L432" i="13" s="1"/>
  <c r="L433" i="13" s="1"/>
  <c r="L434" i="13" s="1"/>
  <c r="L435" i="13" s="1"/>
  <c r="L436" i="13" s="1"/>
  <c r="L437" i="13" s="1"/>
  <c r="L438" i="13" s="1"/>
  <c r="L439" i="13" s="1"/>
  <c r="L440" i="13" s="1"/>
  <c r="L441" i="13" s="1"/>
  <c r="L442" i="13" s="1"/>
  <c r="L443" i="13" s="1"/>
  <c r="L444" i="13" s="1"/>
  <c r="L445" i="13" s="1"/>
  <c r="L446" i="13" s="1"/>
  <c r="L447" i="13" s="1"/>
  <c r="L448" i="13" s="1"/>
  <c r="L449" i="13" s="1"/>
  <c r="L450" i="13" s="1"/>
  <c r="L451" i="13" s="1"/>
  <c r="L452" i="13" s="1"/>
  <c r="L453" i="13" s="1"/>
  <c r="L454" i="13" s="1"/>
  <c r="L455" i="13" s="1"/>
  <c r="L456" i="13" s="1"/>
  <c r="L457" i="13" s="1"/>
  <c r="L458" i="13" s="1"/>
  <c r="L459" i="13" s="1"/>
  <c r="L460" i="13" s="1"/>
  <c r="L461" i="13" s="1"/>
  <c r="L462" i="13" s="1"/>
  <c r="L463" i="13" s="1"/>
  <c r="L464" i="13" s="1"/>
  <c r="L465" i="13" s="1"/>
  <c r="L466" i="13" s="1"/>
  <c r="L467" i="13" s="1"/>
  <c r="L468" i="13" s="1"/>
  <c r="L469" i="13" s="1"/>
  <c r="L470" i="13" s="1"/>
  <c r="L471" i="13" s="1"/>
  <c r="L472" i="13" s="1"/>
  <c r="L473" i="13" s="1"/>
  <c r="L474" i="13" s="1"/>
  <c r="L475" i="13" s="1"/>
  <c r="L476" i="13" s="1"/>
  <c r="L477" i="13" s="1"/>
  <c r="L478" i="13" s="1"/>
  <c r="L479" i="13" s="1"/>
  <c r="L480" i="13" s="1"/>
  <c r="L481" i="13" s="1"/>
  <c r="L482" i="13" s="1"/>
  <c r="L483" i="13" s="1"/>
  <c r="L484" i="13" s="1"/>
  <c r="L485" i="13" s="1"/>
  <c r="L486" i="13" s="1"/>
  <c r="L487" i="13" s="1"/>
  <c r="L488" i="13" s="1"/>
  <c r="L489" i="13" s="1"/>
  <c r="L490" i="13" s="1"/>
  <c r="L491" i="13" s="1"/>
  <c r="L492" i="13" s="1"/>
  <c r="L493" i="13" s="1"/>
  <c r="L494" i="13" s="1"/>
  <c r="L495" i="13" s="1"/>
  <c r="L496" i="13" s="1"/>
  <c r="L497" i="13" s="1"/>
  <c r="L498" i="13" s="1"/>
  <c r="L499" i="13" s="1"/>
  <c r="L500" i="13" s="1"/>
  <c r="L501" i="13" s="1"/>
  <c r="L502" i="13" s="1"/>
  <c r="L503" i="13" s="1"/>
  <c r="L504" i="13" s="1"/>
  <c r="L505" i="13" s="1"/>
  <c r="L506" i="13" s="1"/>
  <c r="L507" i="13" s="1"/>
  <c r="L508" i="13" s="1"/>
  <c r="L509" i="13" s="1"/>
  <c r="L510" i="13" s="1"/>
  <c r="L511" i="13" s="1"/>
  <c r="L512" i="13" s="1"/>
  <c r="L513" i="13" s="1"/>
  <c r="L514" i="13" s="1"/>
  <c r="L515" i="13" s="1"/>
  <c r="L516" i="13" s="1"/>
  <c r="L517" i="13" s="1"/>
  <c r="L518" i="13" s="1"/>
  <c r="L519" i="13" s="1"/>
  <c r="L520" i="13" s="1"/>
  <c r="L521" i="13" s="1"/>
  <c r="L522" i="13" s="1"/>
  <c r="L523" i="13" s="1"/>
  <c r="L524" i="13" s="1"/>
  <c r="L525" i="13" s="1"/>
  <c r="L526" i="13" s="1"/>
  <c r="L527" i="13" s="1"/>
  <c r="L528" i="13" s="1"/>
  <c r="L529" i="13" s="1"/>
  <c r="L530" i="13" s="1"/>
  <c r="L531" i="13" s="1"/>
  <c r="L532" i="13" s="1"/>
  <c r="L533" i="13" s="1"/>
  <c r="L534" i="13" s="1"/>
  <c r="L535" i="13" s="1"/>
  <c r="L536" i="13" s="1"/>
  <c r="L537" i="13" s="1"/>
  <c r="L538" i="13" s="1"/>
  <c r="L539" i="13" s="1"/>
  <c r="L540" i="13" s="1"/>
  <c r="L541" i="13" s="1"/>
  <c r="L542" i="13" s="1"/>
  <c r="L543" i="13" s="1"/>
  <c r="L544" i="13" s="1"/>
  <c r="L545" i="13" s="1"/>
  <c r="L546" i="13" s="1"/>
  <c r="L547" i="13" s="1"/>
  <c r="L548" i="13" s="1"/>
  <c r="L549" i="13" s="1"/>
  <c r="L550" i="13" s="1"/>
  <c r="L551" i="13" s="1"/>
  <c r="L552" i="13" s="1"/>
  <c r="L553" i="13" s="1"/>
  <c r="L554" i="13" s="1"/>
  <c r="L555" i="13" s="1"/>
  <c r="L556" i="13" s="1"/>
  <c r="L557" i="13" s="1"/>
  <c r="L558" i="13" s="1"/>
  <c r="L559" i="13" s="1"/>
  <c r="L560" i="13" s="1"/>
  <c r="L561" i="13" s="1"/>
  <c r="L562" i="13" s="1"/>
  <c r="L563" i="13" s="1"/>
  <c r="L564" i="13" s="1"/>
  <c r="L565" i="13" s="1"/>
  <c r="L566" i="13" s="1"/>
  <c r="L567" i="13" s="1"/>
  <c r="L568" i="13" s="1"/>
  <c r="L569" i="13" s="1"/>
  <c r="L570" i="13" s="1"/>
  <c r="L571" i="13" s="1"/>
  <c r="L572" i="13" s="1"/>
  <c r="L573" i="13" s="1"/>
  <c r="L574" i="13" s="1"/>
  <c r="L575" i="13" s="1"/>
  <c r="L576" i="13" s="1"/>
  <c r="L577" i="13" s="1"/>
  <c r="L578" i="13" s="1"/>
  <c r="L579" i="13" s="1"/>
  <c r="L580" i="13" s="1"/>
  <c r="L581" i="13" s="1"/>
  <c r="L582" i="13" s="1"/>
  <c r="L583" i="13" s="1"/>
  <c r="L584" i="13" s="1"/>
  <c r="L585" i="13" s="1"/>
  <c r="L586" i="13" s="1"/>
  <c r="L587" i="13" s="1"/>
  <c r="L588" i="13" s="1"/>
  <c r="L589" i="13" s="1"/>
  <c r="L590" i="13" s="1"/>
  <c r="L591" i="13" s="1"/>
  <c r="L592" i="13" s="1"/>
  <c r="L593" i="13" s="1"/>
  <c r="L594" i="13" s="1"/>
  <c r="L595" i="13" s="1"/>
  <c r="L596" i="13" s="1"/>
  <c r="L597" i="13" s="1"/>
  <c r="L598" i="13" s="1"/>
  <c r="L599" i="13" s="1"/>
  <c r="L600" i="13" s="1"/>
  <c r="L601" i="13" s="1"/>
  <c r="L602" i="13" s="1"/>
  <c r="L603" i="13" s="1"/>
  <c r="L604" i="13" s="1"/>
  <c r="L605" i="13" s="1"/>
  <c r="L606" i="13" s="1"/>
  <c r="L607" i="13" s="1"/>
  <c r="L608" i="13" s="1"/>
  <c r="L609" i="13" s="1"/>
  <c r="L610" i="13" s="1"/>
  <c r="L611" i="13" s="1"/>
  <c r="L612" i="13" s="1"/>
  <c r="L613" i="13" s="1"/>
  <c r="L614" i="13" s="1"/>
  <c r="L615" i="13" s="1"/>
  <c r="L616" i="13" s="1"/>
  <c r="L617" i="13" s="1"/>
  <c r="L618" i="13" s="1"/>
  <c r="L619" i="13" s="1"/>
  <c r="L620" i="13" s="1"/>
  <c r="L621" i="13" s="1"/>
  <c r="L622" i="13" s="1"/>
  <c r="L623" i="13" s="1"/>
  <c r="L624" i="13" s="1"/>
  <c r="L625" i="13" s="1"/>
  <c r="L626" i="13" s="1"/>
  <c r="L627" i="13" s="1"/>
  <c r="L628" i="13" s="1"/>
  <c r="L629" i="13" s="1"/>
  <c r="L630" i="13" s="1"/>
  <c r="L631" i="13" s="1"/>
  <c r="L632" i="13" s="1"/>
  <c r="L633" i="13" s="1"/>
  <c r="L634" i="13" s="1"/>
  <c r="L635" i="13" s="1"/>
  <c r="L636" i="13" s="1"/>
  <c r="L637" i="13" s="1"/>
  <c r="L638" i="13" s="1"/>
  <c r="L639" i="13" s="1"/>
  <c r="L640" i="13" s="1"/>
  <c r="L641" i="13" s="1"/>
  <c r="L642" i="13" s="1"/>
  <c r="L643" i="13" s="1"/>
  <c r="L644" i="13" s="1"/>
  <c r="L645" i="13" s="1"/>
  <c r="L646" i="13" s="1"/>
  <c r="L647" i="13" s="1"/>
  <c r="L648" i="13" s="1"/>
  <c r="L649" i="13" s="1"/>
  <c r="L650" i="13" s="1"/>
  <c r="L651" i="13" s="1"/>
  <c r="L652" i="13" s="1"/>
  <c r="L653" i="13" s="1"/>
  <c r="L654" i="13" s="1"/>
  <c r="L655" i="13" s="1"/>
  <c r="L656" i="13" s="1"/>
  <c r="L657" i="13" s="1"/>
  <c r="L658" i="13" s="1"/>
  <c r="L659" i="13" s="1"/>
  <c r="L660" i="13" s="1"/>
  <c r="L661" i="13" s="1"/>
  <c r="L662" i="13" s="1"/>
  <c r="L663" i="13" s="1"/>
  <c r="L664" i="13" s="1"/>
  <c r="L665" i="13" s="1"/>
  <c r="L666" i="13" s="1"/>
  <c r="L667" i="13" s="1"/>
  <c r="L668" i="13" s="1"/>
  <c r="L669" i="13" s="1"/>
  <c r="L670" i="13" s="1"/>
  <c r="L671" i="13" s="1"/>
  <c r="L672" i="13" s="1"/>
  <c r="L673" i="13" s="1"/>
  <c r="L674" i="13" s="1"/>
  <c r="L675" i="13" s="1"/>
  <c r="L676" i="13" s="1"/>
  <c r="L677" i="13" s="1"/>
  <c r="L678" i="13" s="1"/>
  <c r="L679" i="13" s="1"/>
  <c r="L680" i="13" s="1"/>
  <c r="L681" i="13" s="1"/>
  <c r="L682" i="13" s="1"/>
  <c r="L683" i="13" s="1"/>
  <c r="L684" i="13" s="1"/>
  <c r="L685" i="13" s="1"/>
  <c r="L686" i="13" s="1"/>
  <c r="L687" i="13" s="1"/>
  <c r="L688" i="13" s="1"/>
  <c r="L689" i="13" s="1"/>
  <c r="L690" i="13" s="1"/>
  <c r="L691" i="13" s="1"/>
  <c r="L692" i="13" s="1"/>
  <c r="L693" i="13" s="1"/>
  <c r="L694" i="13" s="1"/>
  <c r="L695" i="13" s="1"/>
  <c r="L696" i="13" s="1"/>
  <c r="L697" i="13" s="1"/>
  <c r="L698" i="13" s="1"/>
  <c r="L699" i="13" s="1"/>
  <c r="L700" i="13" s="1"/>
  <c r="L701" i="13" s="1"/>
  <c r="L702" i="13" s="1"/>
  <c r="L703" i="13" s="1"/>
  <c r="L704" i="13" s="1"/>
  <c r="L705" i="13" s="1"/>
  <c r="L706" i="13" s="1"/>
  <c r="L707" i="13" s="1"/>
  <c r="L708" i="13" s="1"/>
  <c r="L709" i="13" s="1"/>
  <c r="L710" i="13" s="1"/>
  <c r="L711" i="13" s="1"/>
  <c r="L712" i="13" s="1"/>
  <c r="L713" i="13" s="1"/>
  <c r="L714" i="13" s="1"/>
  <c r="L715" i="13" s="1"/>
  <c r="L716" i="13" s="1"/>
  <c r="L717" i="13" s="1"/>
  <c r="L718" i="13" s="1"/>
  <c r="L719" i="13" s="1"/>
  <c r="L720" i="13" s="1"/>
  <c r="L721" i="13" s="1"/>
  <c r="L722" i="13" s="1"/>
  <c r="L723" i="13" s="1"/>
  <c r="L724" i="13" s="1"/>
  <c r="L725" i="13" s="1"/>
  <c r="L726" i="13" s="1"/>
  <c r="L727" i="13" s="1"/>
  <c r="L728" i="13" s="1"/>
  <c r="L729" i="13" s="1"/>
  <c r="L730" i="13" s="1"/>
  <c r="L731" i="13" s="1"/>
  <c r="L732" i="13" s="1"/>
  <c r="L733" i="13" s="1"/>
  <c r="L734" i="13" s="1"/>
  <c r="L735" i="13" s="1"/>
  <c r="L736" i="13" s="1"/>
  <c r="L737" i="13" s="1"/>
  <c r="L738" i="13" s="1"/>
  <c r="L739" i="13" s="1"/>
  <c r="L740" i="13" s="1"/>
  <c r="L741" i="13" s="1"/>
  <c r="L742" i="13" s="1"/>
  <c r="L743" i="13" s="1"/>
  <c r="L744" i="13" s="1"/>
  <c r="L745" i="13" s="1"/>
  <c r="L746" i="13" s="1"/>
  <c r="L747" i="13" s="1"/>
  <c r="L748" i="13" s="1"/>
  <c r="L749" i="13" s="1"/>
  <c r="L750" i="13" s="1"/>
  <c r="L751" i="13" s="1"/>
  <c r="L752" i="13" s="1"/>
  <c r="L753" i="13" s="1"/>
  <c r="L754" i="13" s="1"/>
  <c r="L755" i="13" s="1"/>
  <c r="L756" i="13" s="1"/>
  <c r="L757" i="13" s="1"/>
  <c r="L758" i="13" s="1"/>
  <c r="L759" i="13" s="1"/>
  <c r="L760" i="13" s="1"/>
  <c r="L761" i="13" s="1"/>
  <c r="L762" i="13" s="1"/>
  <c r="L763" i="13" s="1"/>
  <c r="L764" i="13" s="1"/>
  <c r="L765" i="13" s="1"/>
  <c r="L766" i="13" s="1"/>
  <c r="L767" i="13" s="1"/>
  <c r="L768" i="13" s="1"/>
  <c r="L769" i="13" s="1"/>
  <c r="L770" i="13" s="1"/>
  <c r="L771" i="13" s="1"/>
  <c r="L772" i="13" s="1"/>
  <c r="L773" i="13" s="1"/>
  <c r="L774" i="13" s="1"/>
  <c r="L775" i="13" s="1"/>
  <c r="L776" i="13" s="1"/>
  <c r="L777" i="13" s="1"/>
  <c r="L778" i="13" s="1"/>
  <c r="L779" i="13" s="1"/>
  <c r="L780" i="13" s="1"/>
  <c r="L781" i="13" s="1"/>
  <c r="L782" i="13" s="1"/>
  <c r="L783" i="13" s="1"/>
  <c r="L784" i="13" s="1"/>
  <c r="L785" i="13" s="1"/>
  <c r="L786" i="13" s="1"/>
  <c r="L787" i="13" s="1"/>
  <c r="L788" i="13" s="1"/>
  <c r="L789" i="13" s="1"/>
  <c r="L790" i="13" s="1"/>
  <c r="L791" i="13" s="1"/>
  <c r="L792" i="13" s="1"/>
  <c r="L793" i="13" s="1"/>
  <c r="L794" i="13" s="1"/>
  <c r="L795" i="13" s="1"/>
  <c r="L796" i="13" s="1"/>
  <c r="L797" i="13" s="1"/>
  <c r="L798" i="13" s="1"/>
  <c r="L799" i="13" s="1"/>
  <c r="L800" i="13" s="1"/>
  <c r="L801" i="13" s="1"/>
  <c r="L802" i="13" s="1"/>
  <c r="L803" i="13" s="1"/>
  <c r="L804" i="13" s="1"/>
  <c r="L805" i="13" s="1"/>
  <c r="L806" i="13" s="1"/>
  <c r="L807" i="13" s="1"/>
  <c r="L808" i="13" s="1"/>
  <c r="L809" i="13" s="1"/>
  <c r="L810" i="13" s="1"/>
  <c r="L811" i="13" s="1"/>
  <c r="L812" i="13" s="1"/>
  <c r="L813" i="13" s="1"/>
  <c r="L814" i="13" s="1"/>
  <c r="L815" i="13" s="1"/>
  <c r="L816" i="13" s="1"/>
  <c r="L817" i="13" s="1"/>
  <c r="L818" i="13" s="1"/>
  <c r="L819" i="13" s="1"/>
  <c r="L820" i="13" s="1"/>
  <c r="L821" i="13" s="1"/>
  <c r="L822" i="13" s="1"/>
  <c r="L823" i="13" s="1"/>
  <c r="L824" i="13" s="1"/>
  <c r="L825" i="13" s="1"/>
  <c r="L826" i="13" s="1"/>
  <c r="L827" i="13" s="1"/>
  <c r="L828" i="13" s="1"/>
  <c r="L829" i="13" s="1"/>
  <c r="L830" i="13" s="1"/>
  <c r="L831" i="13" s="1"/>
  <c r="L832" i="13" s="1"/>
  <c r="L833" i="13" s="1"/>
  <c r="L834" i="13" s="1"/>
  <c r="L835" i="13" s="1"/>
  <c r="L836" i="13" s="1"/>
  <c r="L837" i="13" s="1"/>
  <c r="L838" i="13" s="1"/>
  <c r="L839" i="13" s="1"/>
  <c r="L840" i="13" s="1"/>
  <c r="L841" i="13" s="1"/>
  <c r="L842" i="13" s="1"/>
  <c r="L843" i="13" s="1"/>
  <c r="L844" i="13" s="1"/>
  <c r="L845" i="13" s="1"/>
  <c r="L846" i="13" s="1"/>
  <c r="L847" i="13" s="1"/>
  <c r="L848" i="13" s="1"/>
  <c r="L849" i="13" s="1"/>
  <c r="L850" i="13" s="1"/>
  <c r="L851" i="13" s="1"/>
  <c r="L852" i="13" s="1"/>
  <c r="L853" i="13" s="1"/>
  <c r="L854" i="13" s="1"/>
  <c r="L855" i="13" s="1"/>
  <c r="L856" i="13" s="1"/>
  <c r="L857" i="13" s="1"/>
  <c r="L858" i="13" s="1"/>
  <c r="L859" i="13" s="1"/>
  <c r="L860" i="13" s="1"/>
  <c r="L861" i="13" s="1"/>
  <c r="L862" i="13" s="1"/>
  <c r="L863" i="13" s="1"/>
  <c r="L864" i="13" s="1"/>
  <c r="L865" i="13" s="1"/>
  <c r="L866" i="13" s="1"/>
  <c r="L867" i="13" s="1"/>
  <c r="L868" i="13" s="1"/>
  <c r="L869" i="13" s="1"/>
  <c r="L870" i="13" s="1"/>
  <c r="L871" i="13" s="1"/>
  <c r="L872" i="13" s="1"/>
  <c r="L873" i="13" s="1"/>
  <c r="L874" i="13" s="1"/>
  <c r="L875" i="13" s="1"/>
  <c r="L876" i="13" s="1"/>
  <c r="L877" i="13" s="1"/>
  <c r="L878" i="13" s="1"/>
  <c r="L879" i="13" s="1"/>
  <c r="L880" i="13" s="1"/>
  <c r="L881" i="13" s="1"/>
  <c r="L882" i="13" s="1"/>
  <c r="L883" i="13" s="1"/>
  <c r="L884" i="13" s="1"/>
  <c r="L885" i="13" s="1"/>
  <c r="L886" i="13" s="1"/>
  <c r="L887" i="13" s="1"/>
  <c r="L888" i="13" s="1"/>
  <c r="L889" i="13" s="1"/>
  <c r="L890" i="13" s="1"/>
  <c r="L891" i="13" s="1"/>
  <c r="L892" i="13" s="1"/>
  <c r="L893" i="13" s="1"/>
  <c r="L894" i="13" s="1"/>
  <c r="L895" i="13" s="1"/>
  <c r="L896" i="13" s="1"/>
  <c r="L897" i="13" s="1"/>
  <c r="L898" i="13" s="1"/>
  <c r="L899" i="13" s="1"/>
  <c r="L900" i="13" s="1"/>
  <c r="L901" i="13" s="1"/>
  <c r="L902" i="13" s="1"/>
  <c r="L903" i="13" s="1"/>
  <c r="L904" i="13" s="1"/>
  <c r="L905" i="13" s="1"/>
  <c r="L906" i="13" s="1"/>
  <c r="L907" i="13" s="1"/>
  <c r="L908" i="13" s="1"/>
  <c r="L909" i="13" s="1"/>
  <c r="L910" i="13" s="1"/>
  <c r="L911" i="13" s="1"/>
  <c r="L912" i="13" s="1"/>
  <c r="L913" i="13" s="1"/>
  <c r="L914" i="13" s="1"/>
  <c r="L915" i="13" s="1"/>
  <c r="L916" i="13" s="1"/>
  <c r="L917" i="13" s="1"/>
  <c r="L918" i="13" s="1"/>
  <c r="L919" i="13" s="1"/>
  <c r="L920" i="13" s="1"/>
  <c r="L921" i="13" s="1"/>
  <c r="L922" i="13" s="1"/>
  <c r="L923" i="13" s="1"/>
  <c r="L924" i="13" s="1"/>
  <c r="L925" i="13" s="1"/>
  <c r="L926" i="13" s="1"/>
  <c r="L927" i="13" s="1"/>
  <c r="L928" i="13" s="1"/>
  <c r="L929" i="13" s="1"/>
  <c r="L930" i="13" s="1"/>
  <c r="L931" i="13" s="1"/>
  <c r="L932" i="13" s="1"/>
  <c r="L933" i="13" s="1"/>
  <c r="L934" i="13" s="1"/>
  <c r="L935" i="13" s="1"/>
  <c r="L936" i="13" s="1"/>
  <c r="L937" i="13" s="1"/>
  <c r="L938" i="13" s="1"/>
  <c r="L939" i="13" s="1"/>
  <c r="L940" i="13" s="1"/>
  <c r="L941" i="13" s="1"/>
  <c r="L942" i="13" s="1"/>
  <c r="L943" i="13" s="1"/>
  <c r="L944" i="13" s="1"/>
  <c r="L945" i="13" s="1"/>
  <c r="L946" i="13" s="1"/>
  <c r="L947" i="13" s="1"/>
  <c r="L948" i="13" s="1"/>
  <c r="L949" i="13" s="1"/>
  <c r="L950" i="13" s="1"/>
  <c r="L951" i="13" s="1"/>
  <c r="L952" i="13" s="1"/>
  <c r="L953" i="13" s="1"/>
  <c r="L954" i="13" s="1"/>
  <c r="L955" i="13" s="1"/>
  <c r="L956" i="13" s="1"/>
  <c r="L957" i="13" s="1"/>
  <c r="L958" i="13" s="1"/>
  <c r="L959" i="13" s="1"/>
  <c r="L960" i="13" s="1"/>
  <c r="L961" i="13" s="1"/>
  <c r="L962" i="13" s="1"/>
  <c r="L963" i="13" s="1"/>
  <c r="L964" i="13" s="1"/>
  <c r="L965" i="13" s="1"/>
  <c r="L966" i="13" s="1"/>
  <c r="L967" i="13" s="1"/>
  <c r="L968" i="13" s="1"/>
  <c r="L969" i="13" s="1"/>
  <c r="L970" i="13" s="1"/>
  <c r="L971" i="13" s="1"/>
  <c r="L972" i="13" s="1"/>
  <c r="L973" i="13" s="1"/>
  <c r="L974" i="13" s="1"/>
  <c r="L975" i="13" s="1"/>
  <c r="L976" i="13" s="1"/>
  <c r="L977" i="13" s="1"/>
  <c r="L978" i="13" s="1"/>
  <c r="L979" i="13" s="1"/>
  <c r="L980" i="13" s="1"/>
  <c r="L981" i="13" s="1"/>
  <c r="L982" i="13" s="1"/>
  <c r="L983" i="13" s="1"/>
  <c r="L984" i="13" s="1"/>
  <c r="L985" i="13" s="1"/>
  <c r="L986" i="13" s="1"/>
  <c r="L987" i="13" s="1"/>
  <c r="L988" i="13" s="1"/>
  <c r="L989" i="13" s="1"/>
  <c r="L990" i="13" s="1"/>
  <c r="L991" i="13" s="1"/>
  <c r="L992" i="13" s="1"/>
  <c r="L993" i="13" s="1"/>
  <c r="L994" i="13" s="1"/>
  <c r="L995" i="13" s="1"/>
  <c r="L996" i="13" s="1"/>
  <c r="L997" i="13" s="1"/>
  <c r="L998" i="13" s="1"/>
  <c r="L999" i="13" s="1"/>
  <c r="L1000" i="13" s="1"/>
  <c r="L1001" i="13" s="1"/>
  <c r="L1002" i="13" s="1"/>
  <c r="L1003" i="13" s="1"/>
  <c r="L1004" i="13" s="1"/>
  <c r="L1005" i="13" s="1"/>
  <c r="L1006" i="13" s="1"/>
  <c r="L1007" i="13" s="1"/>
  <c r="L1008" i="13" s="1"/>
  <c r="L1009" i="13" s="1"/>
  <c r="L1010" i="13" s="1"/>
  <c r="L1011" i="13" s="1"/>
  <c r="L1012" i="13" s="1"/>
  <c r="L1013" i="13" s="1"/>
  <c r="L1014" i="13" s="1"/>
  <c r="L1015" i="13" s="1"/>
  <c r="L1016" i="13" s="1"/>
  <c r="L1017" i="13" s="1"/>
  <c r="L1018" i="13" s="1"/>
  <c r="L1019" i="13" s="1"/>
  <c r="L1020" i="13" s="1"/>
  <c r="L1021" i="13" s="1"/>
  <c r="L1022" i="13" s="1"/>
  <c r="L1023" i="13" s="1"/>
  <c r="L1024" i="13" s="1"/>
  <c r="L1025" i="13" s="1"/>
  <c r="L1026" i="13" s="1"/>
  <c r="L1027" i="13" s="1"/>
  <c r="L1028" i="13" s="1"/>
  <c r="L1029" i="13" s="1"/>
  <c r="L1030" i="13" s="1"/>
  <c r="L1031" i="13" s="1"/>
  <c r="L1032" i="13" s="1"/>
  <c r="L1033" i="13" s="1"/>
  <c r="L1034" i="13" s="1"/>
  <c r="L1035" i="13" s="1"/>
  <c r="L1036" i="13" s="1"/>
  <c r="L1037" i="13" s="1"/>
  <c r="L1038" i="13" s="1"/>
  <c r="L1039" i="13" s="1"/>
  <c r="L1040" i="13" s="1"/>
  <c r="L1041" i="13" s="1"/>
  <c r="L1042" i="13" s="1"/>
  <c r="L1043" i="13" s="1"/>
  <c r="L1044" i="13" s="1"/>
  <c r="L1045" i="13" s="1"/>
  <c r="L1046" i="13" s="1"/>
  <c r="L1047" i="13" s="1"/>
  <c r="L1048" i="13" s="1"/>
  <c r="L1049" i="13" s="1"/>
  <c r="L1050" i="13" s="1"/>
  <c r="L1051" i="13" s="1"/>
  <c r="L1052" i="13" s="1"/>
  <c r="L1053" i="13" s="1"/>
  <c r="L1054" i="13" s="1"/>
  <c r="L1055" i="13" s="1"/>
  <c r="L1056" i="13" s="1"/>
  <c r="L1057" i="13" s="1"/>
  <c r="L1058" i="13" s="1"/>
  <c r="L1059" i="13" s="1"/>
  <c r="L1060" i="13" s="1"/>
  <c r="L1061" i="13" s="1"/>
  <c r="L1062" i="13" s="1"/>
  <c r="L1063" i="13" s="1"/>
  <c r="L1064" i="13" s="1"/>
  <c r="L1065" i="13" s="1"/>
  <c r="L1066" i="13" s="1"/>
  <c r="L1067" i="13" s="1"/>
  <c r="L1068" i="13" s="1"/>
  <c r="L1069" i="13" s="1"/>
  <c r="L1070" i="13" s="1"/>
  <c r="L1071" i="13" s="1"/>
  <c r="L1072" i="13" s="1"/>
  <c r="L1073" i="13" s="1"/>
  <c r="L1074" i="13" s="1"/>
  <c r="L1075" i="13" s="1"/>
  <c r="L1076" i="13" s="1"/>
  <c r="L1077" i="13" s="1"/>
  <c r="L1078" i="13" s="1"/>
  <c r="L1079" i="13" s="1"/>
  <c r="L1080" i="13" s="1"/>
  <c r="L1081" i="13" s="1"/>
  <c r="L1082" i="13" s="1"/>
  <c r="L1083" i="13" s="1"/>
  <c r="L1084" i="13" s="1"/>
  <c r="L1085" i="13" s="1"/>
  <c r="L1086" i="13" s="1"/>
  <c r="L1087" i="13" s="1"/>
  <c r="L1088" i="13" s="1"/>
  <c r="L1089" i="13" s="1"/>
  <c r="L1090" i="13" s="1"/>
  <c r="L1091" i="13" s="1"/>
  <c r="L1092" i="13" s="1"/>
  <c r="L1093" i="13" s="1"/>
  <c r="L1094" i="13" s="1"/>
  <c r="L1095" i="13" s="1"/>
  <c r="L1096" i="13" s="1"/>
  <c r="L1097" i="13" s="1"/>
  <c r="L1098" i="13" s="1"/>
  <c r="L1099" i="13" s="1"/>
  <c r="L1100" i="13" s="1"/>
  <c r="L1101" i="13" s="1"/>
  <c r="L1102" i="13" s="1"/>
  <c r="L1103" i="13" s="1"/>
  <c r="L1104" i="13" s="1"/>
  <c r="L1105" i="13" s="1"/>
  <c r="L1106" i="13" s="1"/>
  <c r="L1107" i="13" s="1"/>
  <c r="L1108" i="13" s="1"/>
  <c r="L1109" i="13" s="1"/>
  <c r="L1110" i="13" s="1"/>
  <c r="L1111" i="13" s="1"/>
  <c r="L1112" i="13" s="1"/>
  <c r="L1113" i="13" s="1"/>
  <c r="L1114" i="13" s="1"/>
  <c r="L1115" i="13" s="1"/>
  <c r="L1116" i="13" s="1"/>
  <c r="L1117" i="13" s="1"/>
  <c r="L1118" i="13" s="1"/>
  <c r="L1119" i="13" s="1"/>
  <c r="L1120" i="13" s="1"/>
  <c r="L1121" i="13" s="1"/>
  <c r="L1122" i="13" s="1"/>
  <c r="L1123" i="13" s="1"/>
  <c r="L1124" i="13" s="1"/>
  <c r="L1125" i="13" s="1"/>
  <c r="L1126" i="13" s="1"/>
  <c r="L1127" i="13" s="1"/>
  <c r="L1128" i="13" s="1"/>
  <c r="L1129" i="13" s="1"/>
  <c r="L1130" i="13" s="1"/>
  <c r="L1131" i="13" s="1"/>
  <c r="L1132" i="13" s="1"/>
  <c r="L1133" i="13" s="1"/>
  <c r="L1134" i="13" s="1"/>
  <c r="L1135" i="13" s="1"/>
  <c r="L1136" i="13" s="1"/>
  <c r="L1137" i="13" s="1"/>
  <c r="L1138" i="13" s="1"/>
  <c r="L1139" i="13" s="1"/>
  <c r="L1140" i="13" s="1"/>
  <c r="L1141" i="13" s="1"/>
  <c r="L1142" i="13" s="1"/>
  <c r="L1143" i="13" s="1"/>
  <c r="L1144" i="13" s="1"/>
  <c r="L1145" i="13" s="1"/>
  <c r="L1146" i="13" s="1"/>
  <c r="L1147" i="13" s="1"/>
  <c r="L1148" i="13" s="1"/>
  <c r="L1149" i="13" s="1"/>
  <c r="L1150" i="13" s="1"/>
  <c r="L1151" i="13" s="1"/>
  <c r="L1152" i="13" s="1"/>
  <c r="L1153" i="13" s="1"/>
  <c r="L1154" i="13" s="1"/>
  <c r="L1155" i="13" s="1"/>
  <c r="L1156" i="13" s="1"/>
  <c r="L1157" i="13" s="1"/>
  <c r="L1158" i="13" s="1"/>
  <c r="L1159" i="13" s="1"/>
  <c r="L1160" i="13" s="1"/>
  <c r="L1161" i="13" s="1"/>
  <c r="L1162" i="13" s="1"/>
  <c r="L1163" i="13" s="1"/>
  <c r="L1164" i="13" s="1"/>
  <c r="L1165" i="13" s="1"/>
  <c r="L1166" i="13" s="1"/>
  <c r="L1167" i="13" s="1"/>
  <c r="L1168" i="13" s="1"/>
  <c r="L1169" i="13" s="1"/>
  <c r="L1170" i="13" s="1"/>
  <c r="L1171" i="13" s="1"/>
  <c r="L1172" i="13" s="1"/>
  <c r="L1173" i="13" s="1"/>
  <c r="L1174" i="13" s="1"/>
  <c r="L1175" i="13" s="1"/>
  <c r="L1176" i="13" s="1"/>
  <c r="L1177" i="13" s="1"/>
  <c r="L1178" i="13" s="1"/>
  <c r="L1179" i="13" s="1"/>
  <c r="L1180" i="13" s="1"/>
  <c r="L1181" i="13" s="1"/>
  <c r="L1182" i="13" s="1"/>
  <c r="L1183" i="13" s="1"/>
  <c r="L1184" i="13" s="1"/>
  <c r="L1185" i="13" s="1"/>
  <c r="L1186" i="13" s="1"/>
  <c r="L1187" i="13" s="1"/>
  <c r="L1188" i="13" s="1"/>
  <c r="L1189" i="13" s="1"/>
  <c r="L1190" i="13" s="1"/>
  <c r="L1191" i="13" s="1"/>
  <c r="L1192" i="13" s="1"/>
  <c r="L1193" i="13" s="1"/>
  <c r="L1194" i="13" s="1"/>
  <c r="L1195" i="13" s="1"/>
  <c r="L1196" i="13" s="1"/>
  <c r="L1197" i="13" s="1"/>
  <c r="L1198" i="13" s="1"/>
  <c r="L1199" i="13" s="1"/>
  <c r="L1200" i="13" s="1"/>
  <c r="L1201" i="13" s="1"/>
  <c r="L1202" i="13" s="1"/>
  <c r="L1203" i="13" s="1"/>
  <c r="L1204" i="13" s="1"/>
  <c r="L1205" i="13" s="1"/>
  <c r="L1206" i="13" s="1"/>
  <c r="L1207" i="13" s="1"/>
  <c r="L1208" i="13" s="1"/>
  <c r="L1209" i="13" s="1"/>
  <c r="L1210" i="13" s="1"/>
  <c r="L1211" i="13" s="1"/>
  <c r="L1212" i="13" s="1"/>
  <c r="L1213" i="13" s="1"/>
  <c r="L1214" i="13" s="1"/>
  <c r="L1215" i="13" s="1"/>
  <c r="L1216" i="13" s="1"/>
  <c r="L1217" i="13" s="1"/>
  <c r="L1218" i="13" s="1"/>
  <c r="L1219" i="13" s="1"/>
  <c r="L1220" i="13" s="1"/>
  <c r="L1221" i="13" s="1"/>
  <c r="L1222" i="13" s="1"/>
  <c r="L1223" i="13" s="1"/>
  <c r="L1224" i="13" s="1"/>
  <c r="L1225" i="13" s="1"/>
  <c r="L1226" i="13" s="1"/>
  <c r="L1227" i="13" s="1"/>
  <c r="L1228" i="13" s="1"/>
  <c r="L1229" i="13" s="1"/>
  <c r="L1230" i="13" s="1"/>
  <c r="L1231" i="13" s="1"/>
  <c r="L1232" i="13" s="1"/>
  <c r="L1233" i="13" s="1"/>
  <c r="L1234" i="13" s="1"/>
  <c r="L1235" i="13" s="1"/>
  <c r="L1236" i="13" s="1"/>
  <c r="L1237" i="13" s="1"/>
  <c r="L1238" i="13" s="1"/>
  <c r="L1239" i="13" s="1"/>
  <c r="L1240" i="13" s="1"/>
  <c r="L1241" i="13" s="1"/>
  <c r="L1242" i="13" s="1"/>
  <c r="L1243" i="13" s="1"/>
  <c r="L1244" i="13" s="1"/>
  <c r="L1245" i="13" s="1"/>
  <c r="L1246" i="13" s="1"/>
  <c r="L1247" i="13" s="1"/>
  <c r="L1248" i="13" s="1"/>
  <c r="L1249" i="13" s="1"/>
  <c r="L1250" i="13" s="1"/>
  <c r="L1251" i="13" s="1"/>
  <c r="L1252" i="13" s="1"/>
  <c r="L1253" i="13" s="1"/>
  <c r="L1254" i="13" s="1"/>
  <c r="L1255" i="13" s="1"/>
  <c r="L1256" i="13" s="1"/>
  <c r="L1257" i="13" s="1"/>
  <c r="L1258" i="13" s="1"/>
  <c r="L1259" i="13" s="1"/>
  <c r="L1260" i="13" s="1"/>
  <c r="L1261" i="13" s="1"/>
  <c r="L1262" i="13" s="1"/>
  <c r="L1263" i="13" s="1"/>
  <c r="L1264" i="13" s="1"/>
  <c r="L1265" i="13" s="1"/>
  <c r="L1266" i="13" s="1"/>
  <c r="L1267" i="13" s="1"/>
  <c r="L1268" i="13" s="1"/>
  <c r="L1269" i="13" s="1"/>
  <c r="L1270" i="13" s="1"/>
  <c r="L1271" i="13" s="1"/>
  <c r="L1272" i="13" s="1"/>
  <c r="L1273" i="13" s="1"/>
  <c r="L1274" i="13" s="1"/>
  <c r="L1275" i="13" s="1"/>
  <c r="L1276" i="13" s="1"/>
  <c r="L1277" i="13" s="1"/>
  <c r="L1278" i="13" s="1"/>
  <c r="L1279" i="13" s="1"/>
  <c r="L1280" i="13" s="1"/>
  <c r="L1281" i="13" s="1"/>
  <c r="L1282" i="13" s="1"/>
  <c r="L1283" i="13" s="1"/>
  <c r="L1284" i="13" s="1"/>
  <c r="L1285" i="13" s="1"/>
  <c r="L1286" i="13" s="1"/>
  <c r="L1287" i="13" s="1"/>
  <c r="L1288" i="13" s="1"/>
  <c r="L1289" i="13" s="1"/>
  <c r="L1290" i="13" s="1"/>
  <c r="L1291" i="13" s="1"/>
  <c r="L1292" i="13" s="1"/>
  <c r="L1293" i="13" s="1"/>
  <c r="L1294" i="13" s="1"/>
  <c r="L1295" i="13" s="1"/>
  <c r="L1296" i="13" s="1"/>
  <c r="L1297" i="13" s="1"/>
  <c r="L1298" i="13" s="1"/>
  <c r="L1299" i="13" s="1"/>
  <c r="L1300" i="13" s="1"/>
  <c r="L1301" i="13" s="1"/>
  <c r="L1302" i="13" s="1"/>
  <c r="L1303" i="13" s="1"/>
  <c r="L1304" i="13" s="1"/>
  <c r="L1305" i="13" s="1"/>
  <c r="L1306" i="13" s="1"/>
  <c r="L1307" i="13" s="1"/>
  <c r="L1308" i="13" s="1"/>
  <c r="L1309" i="13" s="1"/>
  <c r="L1310" i="13" s="1"/>
  <c r="L1311" i="13" s="1"/>
  <c r="L1312" i="13" s="1"/>
  <c r="L1313" i="13" s="1"/>
  <c r="L1314" i="13" s="1"/>
  <c r="L1315" i="13" s="1"/>
  <c r="L1316" i="13" s="1"/>
  <c r="L1317" i="13" s="1"/>
  <c r="L1318" i="13" s="1"/>
  <c r="L1319" i="13" s="1"/>
  <c r="L1320" i="13" s="1"/>
  <c r="L1321" i="13" s="1"/>
  <c r="L1322" i="13" s="1"/>
  <c r="L1323" i="13" s="1"/>
  <c r="L1324" i="13" s="1"/>
  <c r="L1325" i="13" s="1"/>
  <c r="L1326" i="13" s="1"/>
  <c r="L1327" i="13" s="1"/>
  <c r="L1328" i="13" s="1"/>
  <c r="L1329" i="13" s="1"/>
  <c r="L1330" i="13" s="1"/>
  <c r="L1331" i="13" s="1"/>
  <c r="L1332" i="13" s="1"/>
  <c r="L1333" i="13" s="1"/>
  <c r="L1334" i="13" s="1"/>
  <c r="L1335" i="13" s="1"/>
  <c r="L1336" i="13" s="1"/>
  <c r="L1337" i="13" s="1"/>
  <c r="L1338" i="13" s="1"/>
  <c r="L1339" i="13" s="1"/>
  <c r="L1340" i="13" s="1"/>
  <c r="L1341" i="13" s="1"/>
  <c r="L1342" i="13" s="1"/>
  <c r="L1343" i="13" s="1"/>
  <c r="L1344" i="13" s="1"/>
  <c r="L1345" i="13" s="1"/>
  <c r="L1346" i="13" s="1"/>
  <c r="L1347" i="13" s="1"/>
  <c r="L1348" i="13" s="1"/>
  <c r="L1349" i="13" s="1"/>
  <c r="L1350" i="13" s="1"/>
  <c r="L1351" i="13" s="1"/>
  <c r="L1352" i="13" s="1"/>
  <c r="L1353" i="13" s="1"/>
  <c r="L1354" i="13" s="1"/>
  <c r="L1355" i="13" s="1"/>
  <c r="L1356" i="13" s="1"/>
  <c r="L1357" i="13" s="1"/>
  <c r="L1358" i="13" s="1"/>
  <c r="L1359" i="13" s="1"/>
  <c r="L1360" i="13" s="1"/>
  <c r="L1361" i="13" s="1"/>
  <c r="L1362" i="13" s="1"/>
  <c r="L1363" i="13" s="1"/>
  <c r="L1364" i="13" s="1"/>
  <c r="L1365" i="13" s="1"/>
  <c r="L1366" i="13" s="1"/>
  <c r="L1367" i="13" s="1"/>
  <c r="L1368" i="13" s="1"/>
  <c r="L1369" i="13" s="1"/>
  <c r="L1370" i="13" s="1"/>
  <c r="L1371" i="13" s="1"/>
  <c r="L1372" i="13" s="1"/>
  <c r="L1373" i="13" s="1"/>
  <c r="L1374" i="13" s="1"/>
  <c r="L1375" i="13" s="1"/>
  <c r="L1376" i="13" s="1"/>
  <c r="L1377" i="13" s="1"/>
  <c r="L1378" i="13" s="1"/>
  <c r="L1379" i="13" s="1"/>
  <c r="L1380" i="13" s="1"/>
  <c r="L1381" i="13" s="1"/>
  <c r="L1382" i="13" s="1"/>
  <c r="L1383" i="13" s="1"/>
  <c r="L1384" i="13" s="1"/>
  <c r="L1385" i="13" s="1"/>
  <c r="L1386" i="13" s="1"/>
  <c r="L1387" i="13" s="1"/>
  <c r="L1388" i="13" s="1"/>
  <c r="L1389" i="13" s="1"/>
  <c r="L1390" i="13" s="1"/>
  <c r="L1391" i="13" s="1"/>
  <c r="L1392" i="13" s="1"/>
  <c r="L1393" i="13" s="1"/>
  <c r="L1394" i="13" s="1"/>
  <c r="L1395" i="13" s="1"/>
  <c r="L1396" i="13" s="1"/>
  <c r="L1397" i="13" s="1"/>
  <c r="L1398" i="13" s="1"/>
  <c r="L1399" i="13" s="1"/>
  <c r="L1400" i="13" s="1"/>
  <c r="L1401" i="13" s="1"/>
  <c r="L1402" i="13" s="1"/>
  <c r="L1403" i="13" s="1"/>
  <c r="L1404" i="13" s="1"/>
  <c r="L1405" i="13" s="1"/>
  <c r="L1406" i="13" s="1"/>
  <c r="L1407" i="13" s="1"/>
  <c r="L1408" i="13" s="1"/>
  <c r="L1409" i="13" s="1"/>
  <c r="L1410" i="13" s="1"/>
  <c r="L1411" i="13" s="1"/>
  <c r="L1412" i="13" s="1"/>
  <c r="L1413" i="13" s="1"/>
  <c r="L1414" i="13" s="1"/>
  <c r="L1415" i="13" s="1"/>
  <c r="L1416" i="13" s="1"/>
  <c r="L1417" i="13" s="1"/>
  <c r="L1418" i="13" s="1"/>
  <c r="L1419" i="13" s="1"/>
  <c r="L1420" i="13" s="1"/>
  <c r="L1421" i="13" s="1"/>
  <c r="L1422" i="13" s="1"/>
  <c r="L1423" i="13" s="1"/>
  <c r="L1424" i="13" s="1"/>
  <c r="L1425" i="13" s="1"/>
  <c r="L1426" i="13" s="1"/>
  <c r="L1427" i="13" s="1"/>
  <c r="L1428" i="13" s="1"/>
  <c r="L1429" i="13" s="1"/>
  <c r="L1430" i="13" s="1"/>
  <c r="L1431" i="13" s="1"/>
  <c r="L1432" i="13" s="1"/>
  <c r="L1433" i="13" s="1"/>
  <c r="L1434" i="13" s="1"/>
  <c r="L1435" i="13" s="1"/>
  <c r="L1436" i="13" s="1"/>
  <c r="L1437" i="13" s="1"/>
  <c r="L1438" i="13" s="1"/>
  <c r="L1439" i="13" s="1"/>
  <c r="L1440" i="13" s="1"/>
  <c r="L1441" i="13" s="1"/>
  <c r="L1442" i="13" s="1"/>
  <c r="L1443" i="13" s="1"/>
  <c r="L1444" i="13" s="1"/>
  <c r="L1445" i="13" s="1"/>
  <c r="L1446" i="13" s="1"/>
  <c r="L1447" i="13" s="1"/>
  <c r="L1448" i="13" s="1"/>
  <c r="L1449" i="13" s="1"/>
  <c r="L1450" i="13" s="1"/>
  <c r="L1451" i="13" s="1"/>
  <c r="L1452" i="13" s="1"/>
  <c r="L1453" i="13" s="1"/>
  <c r="L1454" i="13" s="1"/>
  <c r="L1455" i="13" s="1"/>
  <c r="L1456" i="13" s="1"/>
  <c r="L1457" i="13" s="1"/>
  <c r="L1458" i="13" s="1"/>
  <c r="L1459" i="13" s="1"/>
  <c r="L1460" i="13" s="1"/>
  <c r="L1461" i="13" s="1"/>
  <c r="L1462" i="13" s="1"/>
  <c r="L1463" i="13" s="1"/>
  <c r="L1464" i="13" s="1"/>
  <c r="L1465" i="13" s="1"/>
  <c r="L1466" i="13" s="1"/>
  <c r="L1467" i="13" s="1"/>
  <c r="L1468" i="13" s="1"/>
  <c r="L1469" i="13" s="1"/>
  <c r="L1470" i="13" s="1"/>
  <c r="L1471" i="13" s="1"/>
  <c r="L1472" i="13" s="1"/>
  <c r="L1473" i="13" s="1"/>
  <c r="L1474" i="13" s="1"/>
  <c r="L1475" i="13" s="1"/>
  <c r="L1476" i="13" s="1"/>
  <c r="L1477" i="13" s="1"/>
  <c r="L1478" i="13" s="1"/>
  <c r="L1479" i="13" s="1"/>
  <c r="L1480" i="13" s="1"/>
  <c r="L1481" i="13" s="1"/>
  <c r="L1482" i="13" s="1"/>
  <c r="L1483" i="13" s="1"/>
  <c r="L1484" i="13" s="1"/>
  <c r="L1485" i="13" s="1"/>
  <c r="L1486" i="13" s="1"/>
  <c r="L1487" i="13" s="1"/>
  <c r="L1488" i="13" s="1"/>
  <c r="L1489" i="13" s="1"/>
  <c r="L1490" i="13" s="1"/>
  <c r="L1491" i="13" s="1"/>
  <c r="L1492" i="13" s="1"/>
  <c r="L1493" i="13" s="1"/>
  <c r="L1494" i="13" s="1"/>
  <c r="L1495" i="13" s="1"/>
  <c r="L1496" i="13" s="1"/>
  <c r="L1497" i="13" s="1"/>
  <c r="L1498" i="13" s="1"/>
  <c r="L1499" i="13" s="1"/>
  <c r="L1500" i="13" s="1"/>
  <c r="L1501" i="13" s="1"/>
  <c r="L1502" i="13" s="1"/>
  <c r="L1503" i="13" s="1"/>
  <c r="L1504" i="13" s="1"/>
  <c r="L1505" i="13" s="1"/>
  <c r="L1506" i="13" s="1"/>
  <c r="L1507" i="13" s="1"/>
  <c r="L1508" i="13" s="1"/>
  <c r="L1509" i="13" s="1"/>
  <c r="L1510" i="13" s="1"/>
  <c r="L1511" i="13" s="1"/>
  <c r="L1512" i="13" s="1"/>
  <c r="L1513" i="13" s="1"/>
  <c r="L1514" i="13" s="1"/>
  <c r="L1515" i="13" s="1"/>
  <c r="L1516" i="13" s="1"/>
  <c r="L1517" i="13" s="1"/>
  <c r="L1518" i="13" s="1"/>
  <c r="L1519" i="13" s="1"/>
  <c r="L1520" i="13" s="1"/>
  <c r="L1521" i="13" s="1"/>
  <c r="L1522" i="13" s="1"/>
  <c r="L1523" i="13" s="1"/>
  <c r="L1524" i="13" s="1"/>
  <c r="L1525" i="13" s="1"/>
  <c r="L1526" i="13" s="1"/>
  <c r="L1527" i="13" s="1"/>
  <c r="L1528" i="13" s="1"/>
  <c r="L1529" i="13" s="1"/>
  <c r="L1530" i="13" s="1"/>
  <c r="L1531" i="13" s="1"/>
  <c r="L1532" i="13" s="1"/>
  <c r="L1533" i="13" s="1"/>
  <c r="L1534" i="13" s="1"/>
  <c r="L1535" i="13" s="1"/>
  <c r="L1536" i="13" s="1"/>
  <c r="L1537" i="13" s="1"/>
  <c r="L1538" i="13" s="1"/>
  <c r="L1539" i="13" s="1"/>
  <c r="L1540" i="13" s="1"/>
  <c r="L1541" i="13" s="1"/>
  <c r="L1542" i="13" s="1"/>
  <c r="L1543" i="13" s="1"/>
  <c r="L1544" i="13" s="1"/>
  <c r="L1545" i="13" s="1"/>
  <c r="L1546" i="13" s="1"/>
  <c r="L1547" i="13" s="1"/>
  <c r="L1548" i="13" s="1"/>
  <c r="L1549" i="13" s="1"/>
  <c r="L1550" i="13" s="1"/>
  <c r="L1551" i="13" s="1"/>
  <c r="L1552" i="13" s="1"/>
  <c r="L1553" i="13" s="1"/>
  <c r="L1554" i="13" s="1"/>
  <c r="L1555" i="13" s="1"/>
  <c r="L1556" i="13" s="1"/>
  <c r="L1557" i="13" s="1"/>
  <c r="L1558" i="13" s="1"/>
  <c r="L1559" i="13" s="1"/>
  <c r="L1560" i="13" s="1"/>
  <c r="L1561" i="13" s="1"/>
  <c r="L1562" i="13" s="1"/>
  <c r="L1563" i="13" s="1"/>
  <c r="L1564" i="13" s="1"/>
  <c r="L1565" i="13" s="1"/>
  <c r="L1566" i="13" s="1"/>
  <c r="L1567" i="13" s="1"/>
  <c r="L1568" i="13" s="1"/>
  <c r="L1569" i="13" s="1"/>
  <c r="L1570" i="13" s="1"/>
  <c r="L1571" i="13" s="1"/>
  <c r="L1572" i="13" s="1"/>
  <c r="L1573" i="13" s="1"/>
  <c r="L1574" i="13" s="1"/>
  <c r="L1575" i="13" s="1"/>
  <c r="L1576" i="13" s="1"/>
  <c r="L1577" i="13" s="1"/>
  <c r="L1578" i="13" s="1"/>
  <c r="L1579" i="13" s="1"/>
  <c r="L1580" i="13" s="1"/>
  <c r="L1581" i="13" s="1"/>
  <c r="L1582" i="13" s="1"/>
  <c r="L1583" i="13" s="1"/>
  <c r="L1584" i="13" s="1"/>
  <c r="L1585" i="13" s="1"/>
  <c r="L1586" i="13" s="1"/>
  <c r="L1587" i="13" s="1"/>
  <c r="L1588" i="13" s="1"/>
  <c r="L1589" i="13" s="1"/>
  <c r="L1590" i="13" s="1"/>
  <c r="L1591" i="13" s="1"/>
  <c r="L1592" i="13" s="1"/>
  <c r="L1593" i="13" s="1"/>
  <c r="L1594" i="13" s="1"/>
  <c r="L1595" i="13" s="1"/>
  <c r="L1596" i="13" s="1"/>
  <c r="L1597" i="13" s="1"/>
  <c r="L1598" i="13" s="1"/>
  <c r="L1599" i="13" s="1"/>
  <c r="L1600" i="13" s="1"/>
  <c r="L1601" i="13" s="1"/>
  <c r="L1602" i="13" s="1"/>
  <c r="L1603" i="13" s="1"/>
  <c r="L1604" i="13" s="1"/>
  <c r="L1605" i="13" s="1"/>
  <c r="L1606" i="13" s="1"/>
  <c r="L1607" i="13" s="1"/>
  <c r="L1608" i="13" s="1"/>
  <c r="L1609" i="13" s="1"/>
  <c r="L1610" i="13" s="1"/>
  <c r="L1611" i="13" s="1"/>
  <c r="L1612" i="13" s="1"/>
  <c r="L1613" i="13" s="1"/>
  <c r="L1614" i="13" s="1"/>
  <c r="L1615" i="13" s="1"/>
  <c r="L1616" i="13" s="1"/>
  <c r="L1617" i="13" s="1"/>
  <c r="L1618" i="13" s="1"/>
  <c r="L1619" i="13" s="1"/>
  <c r="L1620" i="13" s="1"/>
  <c r="L1621" i="13" s="1"/>
  <c r="L1622" i="13" s="1"/>
  <c r="L1623" i="13" s="1"/>
  <c r="L1624" i="13" s="1"/>
  <c r="L1625" i="13" s="1"/>
  <c r="L1626" i="13" s="1"/>
  <c r="L1627" i="13" s="1"/>
  <c r="L1628" i="13" s="1"/>
  <c r="L1629" i="13" s="1"/>
  <c r="L1630" i="13" s="1"/>
  <c r="L1631" i="13" s="1"/>
  <c r="L1632" i="13" s="1"/>
  <c r="L1633" i="13" s="1"/>
  <c r="L1634" i="13" s="1"/>
  <c r="L1635" i="13" s="1"/>
  <c r="L1636" i="13" s="1"/>
  <c r="L1637" i="13" s="1"/>
  <c r="L1638" i="13" s="1"/>
  <c r="L1639" i="13" s="1"/>
  <c r="L1640" i="13" s="1"/>
  <c r="L1641" i="13" s="1"/>
  <c r="L1642" i="13" s="1"/>
  <c r="L1643" i="13" s="1"/>
  <c r="L1644" i="13" s="1"/>
  <c r="L1645" i="13" s="1"/>
  <c r="L1646" i="13" s="1"/>
  <c r="L1647" i="13" s="1"/>
  <c r="L1648" i="13" s="1"/>
  <c r="L1649" i="13" s="1"/>
  <c r="L1650" i="13" s="1"/>
  <c r="L1651" i="13" s="1"/>
  <c r="L1652" i="13" s="1"/>
  <c r="L1653" i="13" s="1"/>
  <c r="L1654" i="13" s="1"/>
  <c r="L1655" i="13" s="1"/>
  <c r="L1656" i="13" s="1"/>
  <c r="L1657" i="13" s="1"/>
  <c r="L1658" i="13" s="1"/>
  <c r="L1659" i="13" s="1"/>
  <c r="L1660" i="13" s="1"/>
  <c r="L1661" i="13" s="1"/>
  <c r="L1662" i="13" s="1"/>
  <c r="L1663" i="13" s="1"/>
  <c r="L1664" i="13" s="1"/>
  <c r="L1665" i="13" s="1"/>
  <c r="L1666" i="13" s="1"/>
  <c r="L1667" i="13" s="1"/>
  <c r="L1668" i="13" s="1"/>
  <c r="L1669" i="13" s="1"/>
  <c r="L1670" i="13" s="1"/>
  <c r="L1671" i="13" s="1"/>
  <c r="L1672" i="13" s="1"/>
  <c r="L1673" i="13" s="1"/>
  <c r="L1674" i="13" s="1"/>
  <c r="L1675" i="13" s="1"/>
  <c r="L1676" i="13" s="1"/>
  <c r="L1677" i="13" s="1"/>
  <c r="L1678" i="13" s="1"/>
  <c r="L1679" i="13" s="1"/>
  <c r="L1680" i="13" s="1"/>
  <c r="L1681" i="13" s="1"/>
  <c r="L1682" i="13" s="1"/>
  <c r="L1683" i="13" s="1"/>
  <c r="L1684" i="13" s="1"/>
  <c r="L1685" i="13" s="1"/>
  <c r="L1686" i="13" s="1"/>
  <c r="L1687" i="13" s="1"/>
  <c r="L1688" i="13" s="1"/>
  <c r="L1689" i="13" s="1"/>
  <c r="L1690" i="13" s="1"/>
  <c r="L1691" i="13" s="1"/>
  <c r="L1692" i="13" s="1"/>
  <c r="L1693" i="13" s="1"/>
  <c r="L1694" i="13" s="1"/>
  <c r="L1695" i="13" s="1"/>
  <c r="L1696" i="13" s="1"/>
  <c r="L1697" i="13" s="1"/>
  <c r="L1698" i="13" s="1"/>
  <c r="L1699" i="13" s="1"/>
  <c r="L1700" i="13" s="1"/>
  <c r="L1701" i="13" s="1"/>
  <c r="L1702" i="13" s="1"/>
  <c r="L1703" i="13" s="1"/>
  <c r="L1704" i="13" s="1"/>
  <c r="L1705" i="13" s="1"/>
  <c r="L1706" i="13" s="1"/>
  <c r="L1707" i="13" s="1"/>
  <c r="L1708" i="13" s="1"/>
  <c r="L1709" i="13" s="1"/>
  <c r="L1710" i="13" s="1"/>
  <c r="L1711" i="13" s="1"/>
  <c r="L1712" i="13" s="1"/>
  <c r="L1713" i="13" s="1"/>
  <c r="L1714" i="13" s="1"/>
  <c r="L1715" i="13" s="1"/>
  <c r="L1716" i="13" s="1"/>
  <c r="L1717" i="13" s="1"/>
  <c r="L1718" i="13" s="1"/>
  <c r="L1719" i="13" s="1"/>
  <c r="L1720" i="13" s="1"/>
  <c r="L1721" i="13" s="1"/>
  <c r="L1722" i="13" s="1"/>
  <c r="L1723" i="13" s="1"/>
  <c r="L1724" i="13" s="1"/>
  <c r="L1725" i="13" s="1"/>
  <c r="L1726" i="13" s="1"/>
  <c r="L1727" i="13" s="1"/>
  <c r="L1728" i="13" s="1"/>
  <c r="L1729" i="13" s="1"/>
  <c r="L1730" i="13" s="1"/>
  <c r="L1731" i="13" s="1"/>
  <c r="L1732" i="13" s="1"/>
  <c r="L1733" i="13" s="1"/>
  <c r="L1734" i="13" s="1"/>
  <c r="L1735" i="13" s="1"/>
  <c r="L1736" i="13" s="1"/>
  <c r="L1737" i="13" s="1"/>
  <c r="L1738" i="13" s="1"/>
  <c r="K1739" i="13"/>
  <c r="L1739" i="13" s="1"/>
  <c r="G222" i="4"/>
  <c r="C222" i="4"/>
  <c r="G221" i="4"/>
  <c r="C221" i="4"/>
  <c r="G378" i="4"/>
  <c r="G377" i="4"/>
  <c r="G376" i="4"/>
  <c r="G375" i="4"/>
  <c r="G374" i="4"/>
  <c r="G224" i="4"/>
  <c r="C224" i="4"/>
  <c r="G214" i="4"/>
  <c r="C214" i="4"/>
  <c r="G287" i="4"/>
  <c r="G286" i="4"/>
  <c r="G285" i="4"/>
  <c r="C287" i="4"/>
  <c r="C286" i="4"/>
  <c r="C285" i="4"/>
  <c r="G284" i="4"/>
  <c r="G283" i="4"/>
  <c r="G282" i="4"/>
  <c r="C284" i="4"/>
  <c r="C283" i="4"/>
  <c r="C282" i="4"/>
  <c r="G281" i="4"/>
  <c r="G280" i="4"/>
  <c r="G279" i="4"/>
  <c r="C281" i="4"/>
  <c r="C280" i="4"/>
  <c r="C279" i="4"/>
  <c r="G372" i="4"/>
  <c r="G318" i="4"/>
  <c r="G317" i="4"/>
  <c r="G316" i="4"/>
  <c r="G315" i="4"/>
  <c r="C318" i="4"/>
  <c r="C317" i="4"/>
  <c r="C316" i="4"/>
  <c r="C315" i="4"/>
  <c r="G245" i="4"/>
  <c r="G244" i="4"/>
  <c r="G243" i="4"/>
  <c r="G242" i="4"/>
  <c r="C245" i="4"/>
  <c r="C244" i="4"/>
  <c r="C243" i="4"/>
  <c r="C242" i="4"/>
  <c r="G226" i="4"/>
  <c r="C226" i="4"/>
  <c r="G192" i="4"/>
  <c r="G193" i="4"/>
  <c r="G194" i="4"/>
  <c r="G195" i="4"/>
  <c r="G196" i="4"/>
  <c r="C196" i="4"/>
  <c r="C195" i="4"/>
  <c r="C194" i="4"/>
  <c r="C193" i="4"/>
  <c r="C192" i="4"/>
  <c r="G233" i="4"/>
  <c r="G232" i="4"/>
  <c r="G231" i="4"/>
  <c r="G230" i="4"/>
  <c r="G229" i="4"/>
  <c r="G228" i="4"/>
  <c r="C233" i="4"/>
  <c r="C232" i="4"/>
  <c r="C231" i="4"/>
  <c r="C230" i="4"/>
  <c r="C229" i="4"/>
  <c r="C228" i="4"/>
  <c r="G321" i="4"/>
  <c r="C321" i="4"/>
  <c r="G215" i="4"/>
  <c r="C215" i="4"/>
  <c r="G272" i="4"/>
  <c r="C272" i="4"/>
  <c r="G271" i="4"/>
  <c r="C271" i="4"/>
  <c r="G270" i="4"/>
  <c r="C270" i="4"/>
  <c r="G269" i="4"/>
  <c r="C269" i="4"/>
  <c r="G268" i="4"/>
  <c r="C268" i="4"/>
  <c r="G267" i="4"/>
  <c r="C267" i="4"/>
  <c r="G266" i="4"/>
  <c r="C266" i="4"/>
  <c r="G265" i="4"/>
  <c r="C265" i="4"/>
  <c r="G219" i="4"/>
  <c r="G227" i="4"/>
  <c r="C227" i="4"/>
  <c r="C219" i="4"/>
  <c r="G121" i="4"/>
  <c r="G122" i="4"/>
  <c r="G123" i="4"/>
  <c r="C123" i="4"/>
  <c r="C122" i="4"/>
  <c r="C121" i="4"/>
  <c r="L9" i="4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G213" i="4"/>
  <c r="C213" i="4"/>
  <c r="G212" i="4"/>
  <c r="C212" i="4"/>
  <c r="G211" i="4"/>
  <c r="C211" i="4"/>
  <c r="G210" i="4"/>
  <c r="C210" i="4"/>
  <c r="G209" i="4"/>
  <c r="C209" i="4"/>
  <c r="G208" i="4"/>
  <c r="G207" i="4"/>
  <c r="G206" i="4"/>
  <c r="G205" i="4"/>
  <c r="G204" i="4"/>
  <c r="G203" i="4"/>
  <c r="G202" i="4"/>
  <c r="G201" i="4"/>
  <c r="G200" i="4"/>
  <c r="G199" i="4"/>
  <c r="C208" i="4"/>
  <c r="C207" i="4"/>
  <c r="C206" i="4"/>
  <c r="C205" i="4"/>
  <c r="C204" i="4"/>
  <c r="C203" i="4"/>
  <c r="C202" i="4"/>
  <c r="C201" i="4"/>
  <c r="C200" i="4"/>
  <c r="C199" i="4"/>
  <c r="G220" i="4"/>
  <c r="C220" i="4"/>
  <c r="A1" i="9"/>
  <c r="A1" i="8"/>
  <c r="A1" i="7"/>
  <c r="A1" i="6"/>
  <c r="C9" i="4"/>
  <c r="C10" i="4"/>
  <c r="C11" i="4"/>
  <c r="C12" i="4"/>
  <c r="C37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5" i="4"/>
  <c r="C38" i="4"/>
  <c r="C39" i="4"/>
  <c r="C40" i="4"/>
  <c r="C41" i="4"/>
  <c r="C42" i="4"/>
  <c r="C43" i="4"/>
  <c r="C44" i="4"/>
  <c r="C86" i="4"/>
  <c r="C177" i="4"/>
  <c r="C55" i="4"/>
  <c r="C46" i="4"/>
  <c r="C47" i="4"/>
  <c r="C48" i="4"/>
  <c r="C50" i="4"/>
  <c r="C51" i="4"/>
  <c r="C52" i="4"/>
  <c r="C53" i="4"/>
  <c r="C54" i="4"/>
  <c r="C56" i="4"/>
  <c r="C57" i="4"/>
  <c r="C58" i="4"/>
  <c r="C59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2" i="4"/>
  <c r="C83" i="4"/>
  <c r="C84" i="4"/>
  <c r="C85" i="4"/>
  <c r="C3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3" i="4"/>
  <c r="C144" i="4"/>
  <c r="C145" i="4"/>
  <c r="C146" i="4"/>
  <c r="C147" i="4"/>
  <c r="C148" i="4"/>
  <c r="C149" i="4"/>
  <c r="C150" i="4"/>
  <c r="C151" i="4"/>
  <c r="C153" i="4"/>
  <c r="C154" i="4"/>
  <c r="C155" i="4"/>
  <c r="C156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8" i="4"/>
  <c r="C179" i="4"/>
  <c r="C180" i="4"/>
  <c r="C176" i="4"/>
  <c r="C181" i="4"/>
  <c r="C182" i="4"/>
  <c r="C183" i="4"/>
  <c r="C184" i="4"/>
  <c r="C185" i="4"/>
  <c r="C157" i="4"/>
  <c r="C158" i="4"/>
  <c r="C159" i="4"/>
  <c r="C160" i="4"/>
  <c r="C161" i="4"/>
  <c r="C162" i="4"/>
  <c r="C187" i="4"/>
  <c r="C188" i="4"/>
  <c r="C189" i="4"/>
  <c r="C190" i="4"/>
  <c r="C49" i="4"/>
  <c r="C142" i="4"/>
  <c r="C197" i="4"/>
  <c r="C198" i="4"/>
  <c r="C216" i="4"/>
  <c r="C217" i="4"/>
  <c r="C218" i="4"/>
  <c r="C163" i="4"/>
  <c r="C236" i="4"/>
  <c r="C237" i="4"/>
  <c r="C238" i="4"/>
  <c r="C239" i="4"/>
  <c r="C240" i="4"/>
  <c r="C241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322" i="4"/>
  <c r="C323" i="4"/>
  <c r="C324" i="4"/>
  <c r="C325" i="4"/>
  <c r="C273" i="4"/>
  <c r="C274" i="4"/>
  <c r="C275" i="4"/>
  <c r="C276" i="4"/>
  <c r="C277" i="4"/>
  <c r="C278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234" i="4"/>
  <c r="C235" i="4"/>
  <c r="C319" i="4"/>
  <c r="C320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7" i="4"/>
  <c r="C372" i="4"/>
  <c r="C373" i="4"/>
  <c r="C374" i="4"/>
  <c r="C375" i="4"/>
  <c r="C376" i="4"/>
  <c r="C377" i="4"/>
  <c r="C378" i="4"/>
  <c r="C368" i="4"/>
  <c r="C369" i="4"/>
  <c r="C370" i="4"/>
  <c r="C371" i="4"/>
  <c r="C379" i="4"/>
  <c r="C384" i="4"/>
  <c r="C385" i="4"/>
  <c r="C386" i="4"/>
  <c r="O29" i="6"/>
  <c r="S6" i="9"/>
  <c r="AE24" i="9"/>
  <c r="X24" i="9"/>
  <c r="AE5" i="9"/>
  <c r="X5" i="9"/>
  <c r="K149" i="4"/>
  <c r="K148" i="4"/>
  <c r="K59" i="4"/>
  <c r="K58" i="4"/>
  <c r="K57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5" i="4"/>
  <c r="C394" i="4"/>
  <c r="C393" i="4"/>
  <c r="C392" i="4"/>
  <c r="C391" i="4"/>
  <c r="C390" i="4"/>
  <c r="C389" i="4"/>
  <c r="C388" i="4"/>
  <c r="C387" i="4"/>
  <c r="G319" i="4"/>
  <c r="G162" i="4"/>
  <c r="G161" i="4"/>
  <c r="G160" i="4"/>
  <c r="G159" i="4"/>
  <c r="G158" i="4"/>
  <c r="G190" i="4"/>
  <c r="G189" i="4"/>
  <c r="G188" i="4"/>
  <c r="G187" i="4"/>
  <c r="G151" i="4"/>
  <c r="G150" i="4"/>
  <c r="G149" i="4"/>
  <c r="G148" i="4"/>
  <c r="G61" i="4"/>
  <c r="G60" i="4"/>
  <c r="G59" i="4"/>
  <c r="G58" i="4"/>
  <c r="G57" i="4"/>
  <c r="G355" i="4"/>
  <c r="G354" i="4"/>
  <c r="H25" i="12"/>
  <c r="I4" i="12"/>
  <c r="I5" i="12" s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6" i="4"/>
  <c r="G405" i="4"/>
  <c r="G404" i="4"/>
  <c r="G403" i="4"/>
  <c r="G389" i="4"/>
  <c r="G388" i="4"/>
  <c r="G387" i="4"/>
  <c r="G386" i="4"/>
  <c r="G385" i="4"/>
  <c r="G384" i="4"/>
  <c r="G379" i="4"/>
  <c r="G371" i="4"/>
  <c r="G370" i="4"/>
  <c r="G369" i="4"/>
  <c r="G368" i="4"/>
  <c r="G373" i="4"/>
  <c r="G367" i="4"/>
  <c r="G364" i="4"/>
  <c r="G363" i="4"/>
  <c r="G362" i="4"/>
  <c r="G361" i="4"/>
  <c r="G360" i="4"/>
  <c r="G359" i="4"/>
  <c r="G358" i="4"/>
  <c r="G357" i="4"/>
  <c r="G356" i="4"/>
  <c r="G353" i="4"/>
  <c r="G352" i="4"/>
  <c r="G351" i="4"/>
  <c r="G350" i="4"/>
  <c r="G349" i="4"/>
  <c r="G348" i="4"/>
  <c r="G347" i="4"/>
  <c r="G346" i="4"/>
  <c r="G217" i="4"/>
  <c r="G21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0" i="4"/>
  <c r="G325" i="4"/>
  <c r="G324" i="4"/>
  <c r="G323" i="4"/>
  <c r="G322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235" i="4"/>
  <c r="G234" i="4"/>
  <c r="G185" i="4"/>
  <c r="G56" i="4"/>
  <c r="G176" i="4"/>
  <c r="G36" i="4"/>
  <c r="G37" i="4"/>
  <c r="G180" i="4"/>
  <c r="G85" i="4"/>
  <c r="G12" i="4"/>
  <c r="G84" i="4"/>
  <c r="G83" i="4"/>
  <c r="G82" i="4"/>
  <c r="G184" i="4"/>
  <c r="G67" i="4"/>
  <c r="G11" i="4"/>
  <c r="G43" i="4"/>
  <c r="G42" i="4"/>
  <c r="G41" i="4"/>
  <c r="G40" i="4"/>
  <c r="G39" i="4"/>
  <c r="G38" i="4"/>
  <c r="G198" i="4"/>
  <c r="G197" i="4"/>
  <c r="G142" i="4"/>
  <c r="G49" i="4"/>
  <c r="G80" i="4"/>
  <c r="G79" i="4"/>
  <c r="G78" i="4"/>
  <c r="G77" i="4"/>
  <c r="G76" i="4"/>
  <c r="G75" i="4"/>
  <c r="G74" i="4"/>
  <c r="G73" i="4"/>
  <c r="G72" i="4"/>
  <c r="G71" i="4"/>
  <c r="G70" i="4"/>
  <c r="G69" i="4"/>
  <c r="G94" i="4"/>
  <c r="G46" i="4"/>
  <c r="G91" i="4"/>
  <c r="G177" i="4"/>
  <c r="G86" i="4"/>
  <c r="G44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24" i="4"/>
  <c r="G23" i="4"/>
  <c r="G22" i="4"/>
  <c r="G21" i="4"/>
  <c r="G20" i="4"/>
  <c r="G19" i="4"/>
  <c r="G18" i="4"/>
  <c r="G17" i="4"/>
  <c r="G16" i="4"/>
  <c r="G15" i="4"/>
  <c r="G14" i="4"/>
  <c r="G13" i="4"/>
  <c r="G179" i="4"/>
  <c r="G90" i="4"/>
  <c r="G35" i="4"/>
  <c r="G126" i="4"/>
  <c r="G125" i="4"/>
  <c r="G156" i="4"/>
  <c r="G155" i="4"/>
  <c r="G312" i="4"/>
  <c r="G311" i="4"/>
  <c r="G310" i="4"/>
  <c r="G309" i="4"/>
  <c r="G308" i="4"/>
  <c r="G147" i="4"/>
  <c r="G146" i="4"/>
  <c r="G145" i="4"/>
  <c r="G144" i="4"/>
  <c r="G178" i="4"/>
  <c r="G89" i="4"/>
  <c r="G33" i="4"/>
  <c r="G88" i="4"/>
  <c r="G32" i="4"/>
  <c r="G87" i="4"/>
  <c r="G31" i="4"/>
  <c r="G154" i="4"/>
  <c r="G66" i="4"/>
  <c r="G10" i="4"/>
  <c r="G65" i="4"/>
  <c r="G64" i="4"/>
  <c r="G63" i="4"/>
  <c r="G307" i="4"/>
  <c r="G306" i="4"/>
  <c r="G305" i="4"/>
  <c r="G304" i="4"/>
  <c r="G303" i="4"/>
  <c r="G302" i="4"/>
  <c r="G301" i="4"/>
  <c r="G300" i="4"/>
  <c r="G278" i="4"/>
  <c r="G277" i="4"/>
  <c r="G276" i="4"/>
  <c r="G275" i="4"/>
  <c r="G274" i="4"/>
  <c r="G273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48" i="4"/>
  <c r="G47" i="4"/>
  <c r="G251" i="4"/>
  <c r="G250" i="4"/>
  <c r="G249" i="4"/>
  <c r="G248" i="4"/>
  <c r="G247" i="4"/>
  <c r="G246" i="4"/>
  <c r="G241" i="4"/>
  <c r="G240" i="4"/>
  <c r="G239" i="4"/>
  <c r="G238" i="4"/>
  <c r="G54" i="4"/>
  <c r="G53" i="4"/>
  <c r="G52" i="4"/>
  <c r="G51" i="4"/>
  <c r="G30" i="4"/>
  <c r="G29" i="4"/>
  <c r="G28" i="4"/>
  <c r="G27" i="4"/>
  <c r="G26" i="4"/>
  <c r="G25" i="4"/>
  <c r="G93" i="4"/>
  <c r="G92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153" i="4"/>
  <c r="G68" i="4"/>
  <c r="G9" i="4"/>
  <c r="G163" i="4"/>
  <c r="G157" i="4"/>
  <c r="G62" i="4"/>
  <c r="G55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96" i="4"/>
  <c r="G95" i="4"/>
  <c r="G128" i="4"/>
  <c r="G127" i="4"/>
  <c r="G183" i="4"/>
  <c r="G182" i="4"/>
  <c r="G181" i="4"/>
  <c r="G237" i="4"/>
  <c r="G236" i="4"/>
  <c r="G143" i="4"/>
  <c r="G50" i="4"/>
  <c r="G218" i="4"/>
  <c r="I31" i="12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H10" i="12"/>
  <c r="H6" i="12"/>
  <c r="K217" i="4"/>
  <c r="AS95" i="10"/>
  <c r="BF96" i="10"/>
  <c r="BF95" i="10"/>
  <c r="BF94" i="10"/>
  <c r="BF93" i="10"/>
  <c r="BF92" i="10"/>
  <c r="BF91" i="10"/>
  <c r="BF90" i="10"/>
  <c r="BF89" i="10"/>
  <c r="BF88" i="10"/>
  <c r="BF87" i="10"/>
  <c r="BF86" i="10"/>
  <c r="BF85" i="10"/>
  <c r="BF84" i="10"/>
  <c r="BF83" i="10"/>
  <c r="BF82" i="10"/>
  <c r="BF81" i="10"/>
  <c r="BF80" i="10"/>
  <c r="BF79" i="10"/>
  <c r="BF78" i="10"/>
  <c r="BF77" i="10"/>
  <c r="BF76" i="10"/>
  <c r="BF75" i="10"/>
  <c r="BF74" i="10"/>
  <c r="BF73" i="10"/>
  <c r="BF72" i="10"/>
  <c r="BF71" i="10"/>
  <c r="BF70" i="10"/>
  <c r="BF69" i="10"/>
  <c r="BF68" i="10"/>
  <c r="BF67" i="10"/>
  <c r="BF66" i="10"/>
  <c r="BF65" i="10"/>
  <c r="BF64" i="10"/>
  <c r="BF63" i="10"/>
  <c r="BF62" i="10"/>
  <c r="BF61" i="10"/>
  <c r="BF60" i="10"/>
  <c r="BF58" i="10"/>
  <c r="BF57" i="10"/>
  <c r="BF56" i="10"/>
  <c r="BF55" i="10"/>
  <c r="BF54" i="10"/>
  <c r="BF53" i="10"/>
  <c r="BF52" i="10"/>
  <c r="BF51" i="10"/>
  <c r="BF50" i="10"/>
  <c r="BF49" i="10"/>
  <c r="BF48" i="10"/>
  <c r="BF47" i="10"/>
  <c r="BF46" i="10"/>
  <c r="BF45" i="10"/>
  <c r="BF44" i="10"/>
  <c r="BF43" i="10"/>
  <c r="BF42" i="10"/>
  <c r="BF41" i="10"/>
  <c r="BF40" i="10"/>
  <c r="BF39" i="10"/>
  <c r="BF38" i="10"/>
  <c r="BF37" i="10"/>
  <c r="BF36" i="10"/>
  <c r="BF35" i="10"/>
  <c r="BF34" i="10"/>
  <c r="BF33" i="10"/>
  <c r="BF32" i="10"/>
  <c r="BF31" i="10"/>
  <c r="BF30" i="10"/>
  <c r="BF29" i="10"/>
  <c r="BF28" i="10"/>
  <c r="BF27" i="10"/>
  <c r="BF26" i="10"/>
  <c r="BF25" i="10"/>
  <c r="BF24" i="10"/>
  <c r="BF23" i="10"/>
  <c r="BF22" i="10"/>
  <c r="BF21" i="10"/>
  <c r="BF20" i="10"/>
  <c r="BF19" i="10"/>
  <c r="BF18" i="10"/>
  <c r="BF17" i="10"/>
  <c r="BF16" i="10"/>
  <c r="BF15" i="10"/>
  <c r="BF14" i="10"/>
  <c r="BF13" i="10"/>
  <c r="BF12" i="10"/>
  <c r="BF11" i="10"/>
  <c r="BF10" i="10"/>
  <c r="BF9" i="10"/>
  <c r="BF8" i="10"/>
  <c r="BF7" i="10"/>
  <c r="BF6" i="10"/>
  <c r="BF5" i="10"/>
  <c r="AF96" i="10"/>
  <c r="AF95" i="10"/>
  <c r="AF94" i="10"/>
  <c r="AF93" i="10"/>
  <c r="AF92" i="10"/>
  <c r="AF91" i="10"/>
  <c r="AF90" i="10"/>
  <c r="AF89" i="10"/>
  <c r="AF88" i="10"/>
  <c r="AF87" i="10"/>
  <c r="AF86" i="10"/>
  <c r="AF85" i="10"/>
  <c r="AF84" i="10"/>
  <c r="AF83" i="10"/>
  <c r="AF82" i="10"/>
  <c r="AF81" i="10"/>
  <c r="AF80" i="10"/>
  <c r="AF79" i="10"/>
  <c r="AF78" i="10"/>
  <c r="AF77" i="10"/>
  <c r="AF76" i="10"/>
  <c r="AF75" i="10"/>
  <c r="AF74" i="10"/>
  <c r="AF73" i="10"/>
  <c r="AF72" i="10"/>
  <c r="AF71" i="10"/>
  <c r="AF70" i="10"/>
  <c r="AF69" i="10"/>
  <c r="AF68" i="10"/>
  <c r="AF67" i="10"/>
  <c r="AF66" i="10"/>
  <c r="AF65" i="10"/>
  <c r="AF64" i="10"/>
  <c r="AF63" i="10"/>
  <c r="AF62" i="10"/>
  <c r="AF61" i="10"/>
  <c r="AF60" i="10"/>
  <c r="AF58" i="10"/>
  <c r="AF57" i="10"/>
  <c r="AF56" i="10"/>
  <c r="AF55" i="10"/>
  <c r="AF54" i="10"/>
  <c r="AF53" i="10"/>
  <c r="AF52" i="10"/>
  <c r="AF51" i="10"/>
  <c r="AF50" i="10"/>
  <c r="AF49" i="10"/>
  <c r="AF48" i="10"/>
  <c r="AF47" i="10"/>
  <c r="AF46" i="10"/>
  <c r="AF45" i="10"/>
  <c r="AF44" i="10"/>
  <c r="AF43" i="10"/>
  <c r="AF42" i="10"/>
  <c r="AF41" i="10"/>
  <c r="AF40" i="10"/>
  <c r="AF39" i="10"/>
  <c r="AF38" i="10"/>
  <c r="AF37" i="10"/>
  <c r="AF36" i="10"/>
  <c r="AF35" i="10"/>
  <c r="AF34" i="10"/>
  <c r="AF33" i="10"/>
  <c r="AF32" i="10"/>
  <c r="AF31" i="10"/>
  <c r="AF30" i="10"/>
  <c r="AF29" i="10"/>
  <c r="AF28" i="10"/>
  <c r="AF27" i="10"/>
  <c r="AF26" i="10"/>
  <c r="AF25" i="10"/>
  <c r="AF24" i="10"/>
  <c r="AF23" i="10"/>
  <c r="AF22" i="10"/>
  <c r="AF21" i="10"/>
  <c r="AF20" i="10"/>
  <c r="AF19" i="10"/>
  <c r="AF18" i="10"/>
  <c r="AF17" i="10"/>
  <c r="AF16" i="10"/>
  <c r="AF15" i="10"/>
  <c r="AF14" i="10"/>
  <c r="AF13" i="10"/>
  <c r="AF12" i="10"/>
  <c r="AF11" i="10"/>
  <c r="AF10" i="10"/>
  <c r="AF9" i="10"/>
  <c r="AF8" i="10"/>
  <c r="AF7" i="10"/>
  <c r="AF6" i="10"/>
  <c r="AF5" i="10"/>
  <c r="S96" i="10"/>
  <c r="S95" i="10"/>
  <c r="S94" i="10"/>
  <c r="S93" i="10"/>
  <c r="S92" i="10"/>
  <c r="S91" i="10"/>
  <c r="S90" i="10"/>
  <c r="S89" i="10"/>
  <c r="S88" i="10"/>
  <c r="S87" i="10"/>
  <c r="S86" i="10"/>
  <c r="S85" i="10"/>
  <c r="S84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BG97" i="10"/>
  <c r="AH97" i="10"/>
  <c r="F2" i="10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BG2" i="10" s="1"/>
  <c r="A375" i="4" l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L26" i="7"/>
  <c r="J26" i="7"/>
  <c r="L360" i="14"/>
  <c r="L361" i="14" s="1"/>
  <c r="L362" i="14" s="1"/>
  <c r="L363" i="14" s="1"/>
  <c r="L364" i="14" s="1"/>
  <c r="L365" i="14" s="1"/>
  <c r="L366" i="14" s="1"/>
  <c r="L367" i="14" s="1"/>
  <c r="L368" i="14" s="1"/>
  <c r="L369" i="14" s="1"/>
  <c r="L370" i="14" s="1"/>
  <c r="L371" i="14" s="1"/>
  <c r="L372" i="14" s="1"/>
  <c r="L373" i="14" s="1"/>
  <c r="L374" i="14" s="1"/>
  <c r="L375" i="14" s="1"/>
  <c r="L376" i="14" s="1"/>
  <c r="L377" i="14" s="1"/>
  <c r="L378" i="14" s="1"/>
  <c r="L379" i="14" s="1"/>
  <c r="L380" i="14" s="1"/>
  <c r="L381" i="14" s="1"/>
  <c r="L382" i="14" s="1"/>
  <c r="L383" i="14" s="1"/>
  <c r="L384" i="14" s="1"/>
  <c r="L385" i="14" s="1"/>
  <c r="L386" i="14" s="1"/>
  <c r="L387" i="14" s="1"/>
  <c r="L388" i="14" s="1"/>
  <c r="L389" i="14" s="1"/>
  <c r="L390" i="14" s="1"/>
  <c r="L391" i="14" s="1"/>
  <c r="L392" i="14" s="1"/>
  <c r="L393" i="14" s="1"/>
  <c r="L394" i="14" s="1"/>
  <c r="L395" i="14" s="1"/>
  <c r="L396" i="14" s="1"/>
  <c r="L397" i="14" s="1"/>
  <c r="L398" i="14" s="1"/>
  <c r="L399" i="14" s="1"/>
  <c r="L400" i="14" s="1"/>
  <c r="L401" i="14" s="1"/>
  <c r="L402" i="14" s="1"/>
  <c r="L403" i="14" s="1"/>
  <c r="L404" i="14" s="1"/>
  <c r="L405" i="14" s="1"/>
  <c r="L406" i="14" s="1"/>
  <c r="L407" i="14" s="1"/>
  <c r="L408" i="14" s="1"/>
  <c r="L409" i="14" s="1"/>
  <c r="L410" i="14" s="1"/>
  <c r="L411" i="14" s="1"/>
  <c r="L412" i="14" s="1"/>
  <c r="L413" i="14" s="1"/>
  <c r="L414" i="14" s="1"/>
  <c r="L415" i="14" s="1"/>
  <c r="L416" i="14" s="1"/>
  <c r="L417" i="14" s="1"/>
  <c r="L418" i="14" s="1"/>
  <c r="L419" i="14" s="1"/>
  <c r="L420" i="14" s="1"/>
  <c r="L421" i="14" s="1"/>
  <c r="L422" i="14" s="1"/>
  <c r="L423" i="14" s="1"/>
  <c r="L424" i="14" s="1"/>
  <c r="L425" i="14" s="1"/>
  <c r="L426" i="14" s="1"/>
  <c r="L427" i="14" s="1"/>
  <c r="L428" i="14" s="1"/>
  <c r="L429" i="14" s="1"/>
  <c r="L430" i="14" s="1"/>
  <c r="L431" i="14" s="1"/>
  <c r="L432" i="14" s="1"/>
  <c r="L433" i="14" s="1"/>
  <c r="L434" i="14" s="1"/>
  <c r="L435" i="14" s="1"/>
  <c r="L436" i="14" s="1"/>
  <c r="L437" i="14" s="1"/>
  <c r="L438" i="14" s="1"/>
  <c r="L439" i="14" s="1"/>
  <c r="L440" i="14" s="1"/>
  <c r="L441" i="14" s="1"/>
  <c r="L442" i="14" s="1"/>
  <c r="L443" i="14" s="1"/>
  <c r="L444" i="14" s="1"/>
  <c r="L445" i="14" s="1"/>
  <c r="L446" i="14" s="1"/>
  <c r="L447" i="14" s="1"/>
  <c r="L448" i="14" s="1"/>
  <c r="L449" i="14" s="1"/>
  <c r="L450" i="14" s="1"/>
  <c r="L451" i="14" s="1"/>
  <c r="L452" i="14" s="1"/>
  <c r="L453" i="14" s="1"/>
  <c r="L454" i="14" s="1"/>
  <c r="L455" i="14" s="1"/>
  <c r="L456" i="14" s="1"/>
  <c r="L457" i="14" s="1"/>
  <c r="L458" i="14" s="1"/>
  <c r="L459" i="14" s="1"/>
  <c r="L460" i="14" s="1"/>
  <c r="L461" i="14" s="1"/>
  <c r="L462" i="14" s="1"/>
  <c r="L463" i="14" s="1"/>
  <c r="L464" i="14" s="1"/>
  <c r="L465" i="14" s="1"/>
  <c r="L466" i="14" s="1"/>
  <c r="L467" i="14" s="1"/>
  <c r="L468" i="14" s="1"/>
  <c r="L469" i="14" s="1"/>
  <c r="L470" i="14" s="1"/>
  <c r="L471" i="14" s="1"/>
  <c r="L472" i="14" s="1"/>
  <c r="L473" i="14" s="1"/>
  <c r="L474" i="14" s="1"/>
  <c r="L475" i="14" s="1"/>
  <c r="L476" i="14" s="1"/>
  <c r="L477" i="14" s="1"/>
  <c r="L478" i="14" s="1"/>
  <c r="L479" i="14" s="1"/>
  <c r="L480" i="14" s="1"/>
  <c r="L481" i="14" s="1"/>
  <c r="L482" i="14" s="1"/>
  <c r="L483" i="14" s="1"/>
  <c r="L484" i="14" s="1"/>
  <c r="L485" i="14" s="1"/>
  <c r="L486" i="14" s="1"/>
  <c r="L487" i="14" s="1"/>
  <c r="L488" i="14" s="1"/>
  <c r="L489" i="14" s="1"/>
  <c r="L490" i="14" s="1"/>
  <c r="L491" i="14" s="1"/>
  <c r="L492" i="14" s="1"/>
  <c r="L493" i="14" s="1"/>
  <c r="L494" i="14" s="1"/>
  <c r="L495" i="14" s="1"/>
  <c r="L496" i="14" s="1"/>
  <c r="L497" i="14" s="1"/>
  <c r="L498" i="14" s="1"/>
  <c r="L499" i="14" s="1"/>
  <c r="L500" i="14" s="1"/>
  <c r="L501" i="14" s="1"/>
  <c r="L502" i="14" s="1"/>
  <c r="L503" i="14" s="1"/>
  <c r="L504" i="14" s="1"/>
  <c r="L505" i="14" s="1"/>
  <c r="L506" i="14" s="1"/>
  <c r="L507" i="14" s="1"/>
  <c r="L508" i="14" s="1"/>
  <c r="L509" i="14" s="1"/>
  <c r="L510" i="14" s="1"/>
  <c r="L511" i="14" s="1"/>
  <c r="L512" i="14" s="1"/>
  <c r="L513" i="14" s="1"/>
  <c r="L514" i="14" s="1"/>
  <c r="L515" i="14" s="1"/>
  <c r="L516" i="14" s="1"/>
  <c r="L517" i="14" s="1"/>
  <c r="L518" i="14" s="1"/>
  <c r="L519" i="14" s="1"/>
  <c r="L520" i="14" s="1"/>
  <c r="L521" i="14" s="1"/>
  <c r="L522" i="14" s="1"/>
  <c r="L523" i="14" s="1"/>
  <c r="L524" i="14" s="1"/>
  <c r="L525" i="14" s="1"/>
  <c r="L526" i="14" s="1"/>
  <c r="L527" i="14" s="1"/>
  <c r="L528" i="14" s="1"/>
  <c r="L529" i="14" s="1"/>
  <c r="L530" i="14" s="1"/>
  <c r="L531" i="14" s="1"/>
  <c r="L532" i="14" s="1"/>
  <c r="L533" i="14" s="1"/>
  <c r="L534" i="14" s="1"/>
  <c r="L535" i="14" s="1"/>
  <c r="L536" i="14" s="1"/>
  <c r="L537" i="14" s="1"/>
  <c r="L538" i="14" s="1"/>
  <c r="L539" i="14" s="1"/>
  <c r="L540" i="14" s="1"/>
  <c r="L541" i="14" s="1"/>
  <c r="L542" i="14" s="1"/>
  <c r="L543" i="14" s="1"/>
  <c r="L544" i="14" s="1"/>
  <c r="L545" i="14" s="1"/>
  <c r="L546" i="14" s="1"/>
  <c r="L547" i="14" s="1"/>
  <c r="L548" i="14" s="1"/>
  <c r="L549" i="14" s="1"/>
  <c r="L550" i="14" s="1"/>
  <c r="L551" i="14" s="1"/>
  <c r="L552" i="14" s="1"/>
  <c r="L553" i="14" s="1"/>
  <c r="L554" i="14" s="1"/>
  <c r="L555" i="14" s="1"/>
  <c r="L556" i="14" s="1"/>
  <c r="L557" i="14" s="1"/>
  <c r="L558" i="14" s="1"/>
  <c r="L559" i="14" s="1"/>
  <c r="L560" i="14" s="1"/>
  <c r="L561" i="14" s="1"/>
  <c r="L562" i="14" s="1"/>
  <c r="L563" i="14" s="1"/>
  <c r="L564" i="14" s="1"/>
  <c r="L565" i="14" s="1"/>
  <c r="L566" i="14" s="1"/>
  <c r="L567" i="14" s="1"/>
  <c r="L568" i="14" s="1"/>
  <c r="L569" i="14" s="1"/>
  <c r="L570" i="14" s="1"/>
  <c r="L571" i="14" s="1"/>
  <c r="L572" i="14" s="1"/>
  <c r="L573" i="14" s="1"/>
  <c r="L574" i="14" s="1"/>
  <c r="L575" i="14" s="1"/>
  <c r="L576" i="14" s="1"/>
  <c r="L577" i="14" s="1"/>
  <c r="L578" i="14" s="1"/>
  <c r="L579" i="14" s="1"/>
  <c r="L580" i="14" s="1"/>
  <c r="L581" i="14" s="1"/>
  <c r="L582" i="14" s="1"/>
  <c r="L583" i="14" s="1"/>
  <c r="L584" i="14" s="1"/>
  <c r="L585" i="14" s="1"/>
  <c r="L586" i="14" s="1"/>
  <c r="L587" i="14" s="1"/>
  <c r="L588" i="14" s="1"/>
  <c r="L589" i="14" s="1"/>
  <c r="L590" i="14" s="1"/>
  <c r="L591" i="14" s="1"/>
  <c r="L592" i="14" s="1"/>
  <c r="L593" i="14" s="1"/>
  <c r="L594" i="14" s="1"/>
  <c r="L595" i="14" s="1"/>
  <c r="L596" i="14" s="1"/>
  <c r="L597" i="14" s="1"/>
  <c r="L598" i="14" s="1"/>
  <c r="L599" i="14" s="1"/>
  <c r="L600" i="14" s="1"/>
  <c r="L601" i="14" s="1"/>
  <c r="L602" i="14" s="1"/>
  <c r="L603" i="14" s="1"/>
  <c r="L604" i="14" s="1"/>
  <c r="L605" i="14" s="1"/>
  <c r="L606" i="14" s="1"/>
  <c r="L607" i="14" s="1"/>
  <c r="L608" i="14" s="1"/>
  <c r="L609" i="14" s="1"/>
  <c r="L610" i="14" s="1"/>
  <c r="L611" i="14" s="1"/>
  <c r="L612" i="14" s="1"/>
  <c r="L613" i="14" s="1"/>
  <c r="L614" i="14" s="1"/>
  <c r="L615" i="14" s="1"/>
  <c r="L616" i="14" s="1"/>
  <c r="L617" i="14" s="1"/>
  <c r="L618" i="14" s="1"/>
  <c r="L619" i="14" s="1"/>
  <c r="L620" i="14" s="1"/>
  <c r="L621" i="14" s="1"/>
  <c r="L622" i="14" s="1"/>
  <c r="L623" i="14" s="1"/>
  <c r="L624" i="14" s="1"/>
  <c r="L625" i="14" s="1"/>
  <c r="L626" i="14" s="1"/>
  <c r="L627" i="14" s="1"/>
  <c r="L628" i="14" s="1"/>
  <c r="L629" i="14" s="1"/>
  <c r="L630" i="14" s="1"/>
  <c r="L631" i="14" s="1"/>
  <c r="L632" i="14" s="1"/>
  <c r="L633" i="14" s="1"/>
  <c r="L634" i="14" s="1"/>
  <c r="L635" i="14" s="1"/>
  <c r="L636" i="14" s="1"/>
  <c r="L637" i="14" s="1"/>
  <c r="L638" i="14" s="1"/>
  <c r="L639" i="14" s="1"/>
  <c r="L640" i="14" s="1"/>
  <c r="L641" i="14" s="1"/>
  <c r="L642" i="14" s="1"/>
  <c r="L643" i="14" s="1"/>
  <c r="L644" i="14" s="1"/>
  <c r="L645" i="14" s="1"/>
  <c r="L646" i="14" s="1"/>
  <c r="L647" i="14" s="1"/>
  <c r="L648" i="14" s="1"/>
  <c r="L649" i="14" s="1"/>
  <c r="L650" i="14" s="1"/>
  <c r="L651" i="14" s="1"/>
  <c r="L652" i="14" s="1"/>
  <c r="L653" i="14" s="1"/>
  <c r="L654" i="14" s="1"/>
  <c r="L655" i="14" s="1"/>
  <c r="L656" i="14" s="1"/>
  <c r="L657" i="14" s="1"/>
  <c r="L658" i="14" s="1"/>
  <c r="L659" i="14" s="1"/>
  <c r="L660" i="14" s="1"/>
  <c r="L661" i="14" s="1"/>
  <c r="L662" i="14" s="1"/>
  <c r="L663" i="14" s="1"/>
  <c r="L664" i="14" s="1"/>
  <c r="L665" i="14" s="1"/>
  <c r="L666" i="14" s="1"/>
  <c r="L667" i="14" s="1"/>
  <c r="L668" i="14" s="1"/>
  <c r="L669" i="14" s="1"/>
  <c r="L670" i="14" s="1"/>
  <c r="L671" i="14" s="1"/>
  <c r="L672" i="14" s="1"/>
  <c r="L673" i="14" s="1"/>
  <c r="L674" i="14" s="1"/>
  <c r="L675" i="14" s="1"/>
  <c r="L676" i="14" s="1"/>
  <c r="L677" i="14" s="1"/>
  <c r="L678" i="14" s="1"/>
  <c r="L679" i="14" s="1"/>
  <c r="L680" i="14" s="1"/>
  <c r="L681" i="14" s="1"/>
  <c r="L682" i="14" s="1"/>
  <c r="L683" i="14" s="1"/>
  <c r="L684" i="14" s="1"/>
  <c r="L685" i="14" s="1"/>
  <c r="L686" i="14" s="1"/>
  <c r="L687" i="14" s="1"/>
  <c r="L688" i="14" s="1"/>
  <c r="L689" i="14" s="1"/>
  <c r="L690" i="14" s="1"/>
  <c r="L691" i="14" s="1"/>
  <c r="L692" i="14" s="1"/>
  <c r="L693" i="14" s="1"/>
  <c r="L694" i="14" s="1"/>
  <c r="L695" i="14" s="1"/>
  <c r="L696" i="14" s="1"/>
  <c r="L697" i="14" s="1"/>
  <c r="L698" i="14" s="1"/>
  <c r="L699" i="14" s="1"/>
  <c r="L700" i="14" s="1"/>
  <c r="L701" i="14" s="1"/>
  <c r="L702" i="14" s="1"/>
  <c r="L703" i="14" s="1"/>
  <c r="L704" i="14" s="1"/>
  <c r="L705" i="14" s="1"/>
  <c r="L706" i="14" s="1"/>
  <c r="L707" i="14" s="1"/>
  <c r="L708" i="14" s="1"/>
  <c r="L709" i="14" s="1"/>
  <c r="L710" i="14" s="1"/>
  <c r="L711" i="14" s="1"/>
  <c r="L712" i="14" s="1"/>
  <c r="L713" i="14" s="1"/>
  <c r="L714" i="14" s="1"/>
  <c r="L715" i="14" s="1"/>
  <c r="L716" i="14" s="1"/>
  <c r="L717" i="14" s="1"/>
  <c r="L718" i="14" s="1"/>
  <c r="L719" i="14" s="1"/>
  <c r="L720" i="14" s="1"/>
  <c r="L721" i="14" s="1"/>
  <c r="L722" i="14" s="1"/>
  <c r="L723" i="14" s="1"/>
  <c r="L724" i="14" s="1"/>
  <c r="L725" i="14" s="1"/>
  <c r="L726" i="14" s="1"/>
  <c r="L727" i="14" s="1"/>
  <c r="L728" i="14" s="1"/>
  <c r="L729" i="14" s="1"/>
  <c r="L730" i="14" s="1"/>
  <c r="L731" i="14" s="1"/>
  <c r="L732" i="14" s="1"/>
  <c r="L733" i="14" s="1"/>
  <c r="L734" i="14" s="1"/>
  <c r="L735" i="14" s="1"/>
  <c r="L736" i="14" s="1"/>
  <c r="L737" i="14" s="1"/>
  <c r="L738" i="14" s="1"/>
  <c r="L739" i="14" s="1"/>
  <c r="L740" i="14" s="1"/>
  <c r="L741" i="14" s="1"/>
  <c r="L742" i="14" s="1"/>
  <c r="L743" i="14" s="1"/>
  <c r="L744" i="14" s="1"/>
  <c r="L745" i="14" s="1"/>
  <c r="L746" i="14" s="1"/>
  <c r="L747" i="14" s="1"/>
  <c r="L748" i="14" s="1"/>
  <c r="L749" i="14" s="1"/>
  <c r="L750" i="14" s="1"/>
  <c r="L751" i="14" s="1"/>
  <c r="L752" i="14" s="1"/>
  <c r="L753" i="14" s="1"/>
  <c r="L754" i="14" s="1"/>
  <c r="L755" i="14" s="1"/>
  <c r="L756" i="14" s="1"/>
  <c r="L757" i="14" s="1"/>
  <c r="L758" i="14" s="1"/>
  <c r="L759" i="14" s="1"/>
  <c r="L760" i="14" s="1"/>
  <c r="L761" i="14" s="1"/>
  <c r="L762" i="14" s="1"/>
  <c r="L763" i="14" s="1"/>
  <c r="L764" i="14" s="1"/>
  <c r="L765" i="14" s="1"/>
  <c r="L766" i="14" s="1"/>
  <c r="L767" i="14" s="1"/>
  <c r="L768" i="14" s="1"/>
  <c r="L769" i="14" s="1"/>
  <c r="L770" i="14" s="1"/>
  <c r="L771" i="14" s="1"/>
  <c r="L772" i="14" s="1"/>
  <c r="L773" i="14" s="1"/>
  <c r="L774" i="14" s="1"/>
  <c r="L775" i="14" s="1"/>
  <c r="L776" i="14" s="1"/>
  <c r="L777" i="14" s="1"/>
  <c r="L778" i="14" s="1"/>
  <c r="L779" i="14" s="1"/>
  <c r="L780" i="14" s="1"/>
  <c r="L781" i="14" s="1"/>
  <c r="L782" i="14" s="1"/>
  <c r="L783" i="14" s="1"/>
  <c r="L784" i="14" s="1"/>
  <c r="L785" i="14" s="1"/>
  <c r="L786" i="14" s="1"/>
  <c r="L787" i="14" s="1"/>
  <c r="L788" i="14" s="1"/>
  <c r="L789" i="14" s="1"/>
  <c r="L790" i="14" s="1"/>
  <c r="L791" i="14" s="1"/>
  <c r="L792" i="14" s="1"/>
  <c r="L793" i="14" s="1"/>
  <c r="L794" i="14" s="1"/>
  <c r="L795" i="14" s="1"/>
  <c r="L796" i="14" s="1"/>
  <c r="L797" i="14" s="1"/>
  <c r="L798" i="14" s="1"/>
  <c r="L799" i="14" s="1"/>
  <c r="L800" i="14" s="1"/>
  <c r="L801" i="14" s="1"/>
  <c r="L802" i="14" s="1"/>
  <c r="L803" i="14" s="1"/>
  <c r="L804" i="14" s="1"/>
  <c r="L805" i="14" s="1"/>
  <c r="L806" i="14" s="1"/>
  <c r="L807" i="14" s="1"/>
  <c r="L808" i="14" s="1"/>
  <c r="L809" i="14" s="1"/>
  <c r="L810" i="14" s="1"/>
  <c r="L811" i="14" s="1"/>
  <c r="L812" i="14" s="1"/>
  <c r="L813" i="14" s="1"/>
  <c r="L814" i="14" s="1"/>
  <c r="L815" i="14" s="1"/>
  <c r="L816" i="14" s="1"/>
  <c r="L817" i="14" s="1"/>
  <c r="L818" i="14" s="1"/>
  <c r="L819" i="14" s="1"/>
  <c r="L820" i="14" s="1"/>
  <c r="L821" i="14" s="1"/>
  <c r="L822" i="14" s="1"/>
  <c r="L823" i="14" s="1"/>
  <c r="L824" i="14" s="1"/>
  <c r="L825" i="14" s="1"/>
  <c r="L826" i="14" s="1"/>
  <c r="L827" i="14" s="1"/>
  <c r="L828" i="14" s="1"/>
  <c r="L829" i="14" s="1"/>
  <c r="L830" i="14" s="1"/>
  <c r="L831" i="14" s="1"/>
  <c r="L832" i="14" s="1"/>
  <c r="L833" i="14" s="1"/>
  <c r="L834" i="14" s="1"/>
  <c r="L835" i="14" s="1"/>
  <c r="L836" i="14" s="1"/>
  <c r="L837" i="14" s="1"/>
  <c r="L838" i="14" s="1"/>
  <c r="L839" i="14" s="1"/>
  <c r="L840" i="14" s="1"/>
  <c r="L841" i="14" s="1"/>
  <c r="L842" i="14" s="1"/>
  <c r="L843" i="14" s="1"/>
  <c r="L844" i="14" s="1"/>
  <c r="L845" i="14" s="1"/>
  <c r="L846" i="14" s="1"/>
  <c r="L847" i="14" s="1"/>
  <c r="L848" i="14" s="1"/>
  <c r="L849" i="14" s="1"/>
  <c r="L850" i="14" s="1"/>
  <c r="L851" i="14" s="1"/>
  <c r="L852" i="14" s="1"/>
  <c r="L853" i="14" s="1"/>
  <c r="L854" i="14" s="1"/>
  <c r="L855" i="14" s="1"/>
  <c r="L856" i="14" s="1"/>
  <c r="L857" i="14" s="1"/>
  <c r="L858" i="14" s="1"/>
  <c r="L859" i="14" s="1"/>
  <c r="L860" i="14" s="1"/>
  <c r="L861" i="14" s="1"/>
  <c r="L862" i="14" s="1"/>
  <c r="L863" i="14" s="1"/>
  <c r="L864" i="14" s="1"/>
  <c r="L865" i="14" s="1"/>
  <c r="L866" i="14" s="1"/>
  <c r="L867" i="14" s="1"/>
  <c r="L868" i="14" s="1"/>
  <c r="L869" i="14" s="1"/>
  <c r="L870" i="14" s="1"/>
  <c r="L871" i="14" s="1"/>
  <c r="L872" i="14" s="1"/>
  <c r="L873" i="14" s="1"/>
  <c r="L874" i="14" s="1"/>
  <c r="L875" i="14" s="1"/>
  <c r="L876" i="14" s="1"/>
  <c r="L877" i="14" s="1"/>
  <c r="L878" i="14" s="1"/>
  <c r="L879" i="14" s="1"/>
  <c r="L880" i="14" s="1"/>
  <c r="L881" i="14" s="1"/>
  <c r="L882" i="14" s="1"/>
  <c r="L883" i="14" s="1"/>
  <c r="L884" i="14" s="1"/>
  <c r="L885" i="14" s="1"/>
  <c r="L886" i="14" s="1"/>
  <c r="L887" i="14" s="1"/>
  <c r="L888" i="14" s="1"/>
  <c r="L889" i="14" s="1"/>
  <c r="L890" i="14" s="1"/>
  <c r="L891" i="14" s="1"/>
  <c r="L892" i="14" s="1"/>
  <c r="L893" i="14" s="1"/>
  <c r="L894" i="14" s="1"/>
  <c r="L895" i="14" s="1"/>
  <c r="L896" i="14" s="1"/>
  <c r="L897" i="14" s="1"/>
  <c r="L898" i="14" s="1"/>
  <c r="L899" i="14" s="1"/>
  <c r="L900" i="14" s="1"/>
  <c r="L901" i="14" s="1"/>
  <c r="L902" i="14" s="1"/>
  <c r="L903" i="14" s="1"/>
  <c r="L904" i="14" s="1"/>
  <c r="L905" i="14" s="1"/>
  <c r="L906" i="14" s="1"/>
  <c r="L907" i="14" s="1"/>
  <c r="L908" i="14" s="1"/>
  <c r="L909" i="14" s="1"/>
  <c r="L910" i="14" s="1"/>
  <c r="L911" i="14" s="1"/>
  <c r="L912" i="14" s="1"/>
  <c r="L913" i="14" s="1"/>
  <c r="L914" i="14" s="1"/>
  <c r="L915" i="14" s="1"/>
  <c r="L916" i="14" s="1"/>
  <c r="L917" i="14" s="1"/>
  <c r="L918" i="14" s="1"/>
  <c r="L919" i="14" s="1"/>
  <c r="L920" i="14" s="1"/>
  <c r="L921" i="14" s="1"/>
  <c r="L922" i="14" s="1"/>
  <c r="L923" i="14" s="1"/>
  <c r="L924" i="14" s="1"/>
  <c r="L925" i="14" s="1"/>
  <c r="L926" i="14" s="1"/>
  <c r="L927" i="14" s="1"/>
  <c r="L928" i="14" s="1"/>
  <c r="L929" i="14" s="1"/>
  <c r="L930" i="14" s="1"/>
  <c r="L931" i="14" s="1"/>
  <c r="L932" i="14" s="1"/>
  <c r="L933" i="14" s="1"/>
  <c r="L934" i="14" s="1"/>
  <c r="L935" i="14" s="1"/>
  <c r="L936" i="14" s="1"/>
  <c r="L937" i="14" s="1"/>
  <c r="L938" i="14" s="1"/>
  <c r="L939" i="14" s="1"/>
  <c r="L940" i="14" s="1"/>
  <c r="L941" i="14" s="1"/>
  <c r="L942" i="14" s="1"/>
  <c r="L943" i="14" s="1"/>
  <c r="L944" i="14" s="1"/>
  <c r="L945" i="14" s="1"/>
  <c r="L946" i="14" s="1"/>
  <c r="L947" i="14" s="1"/>
  <c r="L948" i="14" s="1"/>
  <c r="L949" i="14" s="1"/>
  <c r="L950" i="14" s="1"/>
  <c r="L951" i="14" s="1"/>
  <c r="L952" i="14" s="1"/>
  <c r="L953" i="14" s="1"/>
  <c r="L954" i="14" s="1"/>
  <c r="L955" i="14" s="1"/>
  <c r="L956" i="14" s="1"/>
  <c r="L957" i="14" s="1"/>
  <c r="L958" i="14" s="1"/>
  <c r="L959" i="14" s="1"/>
  <c r="L960" i="14" s="1"/>
  <c r="L961" i="14" s="1"/>
  <c r="L962" i="14" s="1"/>
  <c r="L963" i="14" s="1"/>
  <c r="L964" i="14" s="1"/>
  <c r="L965" i="14" s="1"/>
  <c r="L966" i="14" s="1"/>
  <c r="L967" i="14" s="1"/>
  <c r="L968" i="14" s="1"/>
  <c r="L969" i="14" s="1"/>
  <c r="L970" i="14" s="1"/>
  <c r="L971" i="14" s="1"/>
  <c r="L972" i="14" s="1"/>
  <c r="L973" i="14" s="1"/>
  <c r="L974" i="14" s="1"/>
  <c r="L975" i="14" s="1"/>
  <c r="L976" i="14" s="1"/>
  <c r="L977" i="14" s="1"/>
  <c r="L978" i="14" s="1"/>
  <c r="L979" i="14" s="1"/>
  <c r="L980" i="14" s="1"/>
  <c r="L981" i="14" s="1"/>
  <c r="L982" i="14" s="1"/>
  <c r="L983" i="14" s="1"/>
  <c r="L984" i="14" s="1"/>
  <c r="L985" i="14" s="1"/>
  <c r="L986" i="14" s="1"/>
  <c r="L987" i="14" s="1"/>
  <c r="L988" i="14" s="1"/>
  <c r="L989" i="14" s="1"/>
  <c r="L990" i="14" s="1"/>
  <c r="L991" i="14" s="1"/>
  <c r="L992" i="14" s="1"/>
  <c r="L993" i="14" s="1"/>
  <c r="L994" i="14" s="1"/>
  <c r="L995" i="14" s="1"/>
  <c r="L996" i="14" s="1"/>
  <c r="L997" i="14" s="1"/>
  <c r="L998" i="14" s="1"/>
  <c r="L999" i="14" s="1"/>
  <c r="L1000" i="14" s="1"/>
  <c r="L1001" i="14" s="1"/>
  <c r="L1002" i="14" s="1"/>
  <c r="L1003" i="14" s="1"/>
  <c r="L1004" i="14" s="1"/>
  <c r="L1005" i="14" s="1"/>
  <c r="L1006" i="14" s="1"/>
  <c r="L1007" i="14" s="1"/>
  <c r="L1008" i="14" s="1"/>
  <c r="L1009" i="14" s="1"/>
  <c r="L1010" i="14" s="1"/>
  <c r="L1011" i="14" s="1"/>
  <c r="L1012" i="14" s="1"/>
  <c r="L1013" i="14" s="1"/>
  <c r="L1014" i="14" s="1"/>
  <c r="L1015" i="14" s="1"/>
  <c r="L1016" i="14" s="1"/>
  <c r="L1017" i="14" s="1"/>
  <c r="L1018" i="14" s="1"/>
  <c r="L1019" i="14" s="1"/>
  <c r="L1020" i="14" s="1"/>
  <c r="L1021" i="14" s="1"/>
  <c r="L1022" i="14" s="1"/>
  <c r="L1023" i="14" s="1"/>
  <c r="L1024" i="14" s="1"/>
  <c r="L1025" i="14" s="1"/>
  <c r="L1026" i="14" s="1"/>
  <c r="L1027" i="14" s="1"/>
  <c r="L1028" i="14" s="1"/>
  <c r="L1029" i="14" s="1"/>
  <c r="L1030" i="14" s="1"/>
  <c r="L1031" i="14" s="1"/>
  <c r="L1032" i="14" s="1"/>
  <c r="L1033" i="14" s="1"/>
  <c r="L1034" i="14" s="1"/>
  <c r="L1035" i="14" s="1"/>
  <c r="L1036" i="14" s="1"/>
  <c r="L1037" i="14" s="1"/>
  <c r="L1038" i="14" s="1"/>
  <c r="L1039" i="14" s="1"/>
  <c r="L1040" i="14" s="1"/>
  <c r="L1041" i="14" s="1"/>
  <c r="L1042" i="14" s="1"/>
  <c r="L1043" i="14" s="1"/>
  <c r="L1044" i="14" s="1"/>
  <c r="L1045" i="14" s="1"/>
  <c r="L1046" i="14" s="1"/>
  <c r="L1047" i="14" s="1"/>
  <c r="L1048" i="14" s="1"/>
  <c r="L1049" i="14" s="1"/>
  <c r="L1050" i="14" s="1"/>
  <c r="L1051" i="14" s="1"/>
  <c r="L1052" i="14" s="1"/>
  <c r="L1053" i="14" s="1"/>
  <c r="L1054" i="14" s="1"/>
  <c r="L1055" i="14" s="1"/>
  <c r="L1056" i="14" s="1"/>
  <c r="L1057" i="14" s="1"/>
  <c r="L1058" i="14" s="1"/>
  <c r="L1059" i="14" s="1"/>
  <c r="L1060" i="14" s="1"/>
  <c r="L1061" i="14" s="1"/>
  <c r="L1062" i="14" s="1"/>
  <c r="L1063" i="14" s="1"/>
  <c r="L1064" i="14" s="1"/>
  <c r="L1065" i="14" s="1"/>
  <c r="L1066" i="14" s="1"/>
  <c r="L1067" i="14" s="1"/>
  <c r="L1068" i="14" s="1"/>
  <c r="L1069" i="14" s="1"/>
  <c r="L1070" i="14" s="1"/>
  <c r="L1071" i="14" s="1"/>
  <c r="L1072" i="14" s="1"/>
  <c r="L1073" i="14" s="1"/>
  <c r="L1074" i="14" s="1"/>
  <c r="L1075" i="14" s="1"/>
  <c r="L1076" i="14" s="1"/>
  <c r="L1077" i="14" s="1"/>
  <c r="L1078" i="14" s="1"/>
  <c r="L1079" i="14" s="1"/>
  <c r="L1080" i="14" s="1"/>
  <c r="L1081" i="14" s="1"/>
  <c r="L1082" i="14" s="1"/>
  <c r="L1083" i="14" s="1"/>
  <c r="L1084" i="14" s="1"/>
  <c r="L1085" i="14" s="1"/>
  <c r="L1086" i="14" s="1"/>
  <c r="L1087" i="14" s="1"/>
  <c r="L1088" i="14" s="1"/>
  <c r="L1089" i="14" s="1"/>
  <c r="L1090" i="14" s="1"/>
  <c r="L1091" i="14" s="1"/>
  <c r="L1092" i="14" s="1"/>
  <c r="L1093" i="14" s="1"/>
  <c r="L1094" i="14" s="1"/>
  <c r="L1095" i="14" s="1"/>
  <c r="L1096" i="14" s="1"/>
  <c r="L1097" i="14" s="1"/>
  <c r="L1098" i="14" s="1"/>
  <c r="L1099" i="14" s="1"/>
  <c r="L1100" i="14" s="1"/>
  <c r="L1101" i="14" s="1"/>
  <c r="L1102" i="14" s="1"/>
  <c r="L1103" i="14" s="1"/>
  <c r="L1104" i="14" s="1"/>
  <c r="L1105" i="14" s="1"/>
  <c r="L1106" i="14" s="1"/>
  <c r="L1107" i="14" s="1"/>
  <c r="L1108" i="14" s="1"/>
  <c r="L1109" i="14" s="1"/>
  <c r="L1110" i="14" s="1"/>
  <c r="L1111" i="14" s="1"/>
  <c r="L1112" i="14" s="1"/>
  <c r="L1113" i="14" s="1"/>
  <c r="L1114" i="14" s="1"/>
  <c r="L1115" i="14" s="1"/>
  <c r="L1116" i="14" s="1"/>
  <c r="L1117" i="14" s="1"/>
  <c r="L1118" i="14" s="1"/>
  <c r="L1119" i="14" s="1"/>
  <c r="L1120" i="14" s="1"/>
  <c r="L1121" i="14" s="1"/>
  <c r="L1122" i="14" s="1"/>
  <c r="L1123" i="14" s="1"/>
  <c r="L1124" i="14" s="1"/>
  <c r="L1125" i="14" s="1"/>
  <c r="L1126" i="14" s="1"/>
  <c r="L1127" i="14" s="1"/>
  <c r="L1128" i="14" s="1"/>
  <c r="L1129" i="14" s="1"/>
  <c r="L1130" i="14" s="1"/>
  <c r="L1131" i="14" s="1"/>
  <c r="L1132" i="14" s="1"/>
  <c r="L1133" i="14" s="1"/>
  <c r="L1134" i="14" s="1"/>
  <c r="L1135" i="14" s="1"/>
  <c r="L1136" i="14" s="1"/>
  <c r="L1137" i="14" s="1"/>
  <c r="L1138" i="14" s="1"/>
  <c r="L1139" i="14" s="1"/>
  <c r="L1140" i="14" s="1"/>
  <c r="L1141" i="14" s="1"/>
  <c r="L1142" i="14" s="1"/>
  <c r="L1143" i="14" s="1"/>
  <c r="L1144" i="14" s="1"/>
  <c r="L1145" i="14" s="1"/>
  <c r="L1146" i="14" s="1"/>
  <c r="L1147" i="14" s="1"/>
  <c r="L1148" i="14" s="1"/>
  <c r="L1149" i="14" s="1"/>
  <c r="L1150" i="14" s="1"/>
  <c r="L1151" i="14" s="1"/>
  <c r="L1152" i="14" s="1"/>
  <c r="L1153" i="14" s="1"/>
  <c r="L1154" i="14" s="1"/>
  <c r="L1155" i="14" s="1"/>
  <c r="L1156" i="14" s="1"/>
  <c r="L1157" i="14" s="1"/>
  <c r="L1158" i="14" s="1"/>
  <c r="L1159" i="14" s="1"/>
  <c r="L1160" i="14" s="1"/>
  <c r="L1161" i="14" s="1"/>
  <c r="L1162" i="14" s="1"/>
  <c r="L1163" i="14" s="1"/>
  <c r="L1164" i="14" s="1"/>
  <c r="L1165" i="14" s="1"/>
  <c r="L1166" i="14" s="1"/>
  <c r="L1167" i="14" s="1"/>
  <c r="L1168" i="14" s="1"/>
  <c r="L1169" i="14" s="1"/>
  <c r="L1170" i="14" s="1"/>
  <c r="L1171" i="14" s="1"/>
  <c r="L1172" i="14" s="1"/>
  <c r="L1173" i="14" s="1"/>
  <c r="L1174" i="14" s="1"/>
  <c r="L1175" i="14" s="1"/>
  <c r="L1176" i="14" s="1"/>
  <c r="L1177" i="14" s="1"/>
  <c r="L1178" i="14" s="1"/>
  <c r="L1179" i="14" s="1"/>
  <c r="L1180" i="14" s="1"/>
  <c r="L1181" i="14" s="1"/>
  <c r="L1182" i="14" s="1"/>
  <c r="L1183" i="14" s="1"/>
  <c r="L1184" i="14" s="1"/>
  <c r="L1185" i="14" s="1"/>
  <c r="L1186" i="14" s="1"/>
  <c r="L1187" i="14" s="1"/>
  <c r="L1188" i="14" s="1"/>
  <c r="L1189" i="14" s="1"/>
  <c r="L1190" i="14" s="1"/>
  <c r="L1191" i="14" s="1"/>
  <c r="L1192" i="14" s="1"/>
  <c r="L1193" i="14" s="1"/>
  <c r="L1194" i="14" s="1"/>
  <c r="L1195" i="14" s="1"/>
  <c r="L1196" i="14" s="1"/>
  <c r="L1197" i="14" s="1"/>
  <c r="L1198" i="14" s="1"/>
  <c r="L1199" i="14" s="1"/>
  <c r="L1200" i="14" s="1"/>
  <c r="L1201" i="14" s="1"/>
  <c r="L1202" i="14" s="1"/>
  <c r="L1203" i="14" s="1"/>
  <c r="L1204" i="14" s="1"/>
  <c r="L1205" i="14" s="1"/>
  <c r="L1206" i="14" s="1"/>
  <c r="L1207" i="14" s="1"/>
  <c r="L1208" i="14" s="1"/>
  <c r="L1209" i="14" s="1"/>
  <c r="L1210" i="14" s="1"/>
  <c r="L1211" i="14" s="1"/>
  <c r="L1212" i="14" s="1"/>
  <c r="L1213" i="14" s="1"/>
  <c r="L1214" i="14" s="1"/>
  <c r="L1215" i="14" s="1"/>
  <c r="L1216" i="14" s="1"/>
  <c r="L1217" i="14" s="1"/>
  <c r="L1218" i="14" s="1"/>
  <c r="L1219" i="14" s="1"/>
  <c r="L1220" i="14" s="1"/>
  <c r="L1221" i="14" s="1"/>
  <c r="L1222" i="14" s="1"/>
  <c r="L1223" i="14" s="1"/>
  <c r="L1224" i="14" s="1"/>
  <c r="L1225" i="14" s="1"/>
  <c r="L1226" i="14" s="1"/>
  <c r="L1227" i="14" s="1"/>
  <c r="L1228" i="14" s="1"/>
  <c r="L1229" i="14" s="1"/>
  <c r="L1230" i="14" s="1"/>
  <c r="L1231" i="14" s="1"/>
  <c r="L1232" i="14" s="1"/>
  <c r="L1233" i="14" s="1"/>
  <c r="L1234" i="14" s="1"/>
  <c r="L1235" i="14" s="1"/>
  <c r="L1236" i="14" s="1"/>
  <c r="L1237" i="14" s="1"/>
  <c r="L1238" i="14" s="1"/>
  <c r="L1239" i="14" s="1"/>
  <c r="L1240" i="14" s="1"/>
  <c r="L1241" i="14" s="1"/>
  <c r="L1242" i="14" s="1"/>
  <c r="L1243" i="14" s="1"/>
  <c r="L1244" i="14" s="1"/>
  <c r="L1245" i="14" s="1"/>
  <c r="L1246" i="14" s="1"/>
  <c r="L1247" i="14" s="1"/>
  <c r="L1248" i="14" s="1"/>
  <c r="L1249" i="14" s="1"/>
  <c r="L1250" i="14" s="1"/>
  <c r="L1251" i="14" s="1"/>
  <c r="L1252" i="14" s="1"/>
  <c r="L1253" i="14" s="1"/>
  <c r="L1254" i="14" s="1"/>
  <c r="L1255" i="14" s="1"/>
  <c r="L1256" i="14" s="1"/>
  <c r="L1257" i="14" s="1"/>
  <c r="L1258" i="14" s="1"/>
  <c r="L1259" i="14" s="1"/>
  <c r="L1260" i="14" s="1"/>
  <c r="L1261" i="14" s="1"/>
  <c r="L1262" i="14" s="1"/>
  <c r="L1263" i="14" s="1"/>
  <c r="L1264" i="14" s="1"/>
  <c r="L1265" i="14" s="1"/>
  <c r="L1266" i="14" s="1"/>
  <c r="L1267" i="14" s="1"/>
  <c r="L1268" i="14" s="1"/>
  <c r="L1269" i="14" s="1"/>
  <c r="L1270" i="14" s="1"/>
  <c r="L1271" i="14" s="1"/>
  <c r="L1272" i="14" s="1"/>
  <c r="L1273" i="14" s="1"/>
  <c r="L1274" i="14" s="1"/>
  <c r="L1275" i="14" s="1"/>
  <c r="L1276" i="14" s="1"/>
  <c r="L1277" i="14" s="1"/>
  <c r="L1278" i="14" s="1"/>
  <c r="L1279" i="14" s="1"/>
  <c r="L1280" i="14" s="1"/>
  <c r="L1281" i="14" s="1"/>
  <c r="L1282" i="14" s="1"/>
  <c r="L1283" i="14" s="1"/>
  <c r="L1284" i="14" s="1"/>
  <c r="L1285" i="14" s="1"/>
  <c r="L1286" i="14" s="1"/>
  <c r="L1287" i="14" s="1"/>
  <c r="L1288" i="14" s="1"/>
  <c r="L1289" i="14" s="1"/>
  <c r="L1290" i="14" s="1"/>
  <c r="L1291" i="14" s="1"/>
  <c r="L1292" i="14" s="1"/>
  <c r="L1293" i="14" s="1"/>
  <c r="L1294" i="14" s="1"/>
  <c r="L1295" i="14" s="1"/>
  <c r="L1296" i="14" s="1"/>
  <c r="L1297" i="14" s="1"/>
  <c r="L1298" i="14" s="1"/>
  <c r="L1299" i="14" s="1"/>
  <c r="L1300" i="14" s="1"/>
  <c r="L1301" i="14" s="1"/>
  <c r="L1302" i="14" s="1"/>
  <c r="L1303" i="14" s="1"/>
  <c r="L1304" i="14" s="1"/>
  <c r="L1305" i="14" s="1"/>
  <c r="L1306" i="14" s="1"/>
  <c r="L1307" i="14" s="1"/>
  <c r="L1308" i="14" s="1"/>
  <c r="L1309" i="14" s="1"/>
  <c r="L1310" i="14" s="1"/>
  <c r="L1311" i="14" s="1"/>
  <c r="L1312" i="14" s="1"/>
  <c r="L1313" i="14" s="1"/>
  <c r="L1314" i="14" s="1"/>
  <c r="L1315" i="14" s="1"/>
  <c r="L1316" i="14" s="1"/>
  <c r="L1317" i="14" s="1"/>
  <c r="L1318" i="14" s="1"/>
  <c r="L1319" i="14" s="1"/>
  <c r="L1320" i="14" s="1"/>
  <c r="L1321" i="14" s="1"/>
  <c r="L1322" i="14" s="1"/>
  <c r="L1323" i="14" s="1"/>
  <c r="L1324" i="14" s="1"/>
  <c r="L1325" i="14" s="1"/>
  <c r="L1326" i="14" s="1"/>
  <c r="L1327" i="14" s="1"/>
  <c r="L1328" i="14" s="1"/>
  <c r="L1329" i="14" s="1"/>
  <c r="L1330" i="14" s="1"/>
  <c r="L1331" i="14" s="1"/>
  <c r="L1332" i="14" s="1"/>
  <c r="L1333" i="14" s="1"/>
  <c r="L1334" i="14" s="1"/>
  <c r="L1335" i="14" s="1"/>
  <c r="L1336" i="14" s="1"/>
  <c r="L1337" i="14" s="1"/>
  <c r="L1338" i="14" s="1"/>
  <c r="L1339" i="14" s="1"/>
  <c r="L1340" i="14" s="1"/>
  <c r="L1341" i="14" s="1"/>
  <c r="L1342" i="14" s="1"/>
  <c r="L1343" i="14" s="1"/>
  <c r="L1344" i="14" s="1"/>
  <c r="L1345" i="14" s="1"/>
  <c r="L1346" i="14" s="1"/>
  <c r="L1347" i="14" s="1"/>
  <c r="L1348" i="14" s="1"/>
  <c r="L1349" i="14" s="1"/>
  <c r="L1350" i="14" s="1"/>
  <c r="L1351" i="14" s="1"/>
  <c r="L1352" i="14" s="1"/>
  <c r="L1353" i="14" s="1"/>
  <c r="L1354" i="14" s="1"/>
  <c r="L1355" i="14" s="1"/>
  <c r="L1356" i="14" s="1"/>
  <c r="L1357" i="14" s="1"/>
  <c r="L1358" i="14" s="1"/>
  <c r="L1359" i="14" s="1"/>
  <c r="L1360" i="14" s="1"/>
  <c r="L1361" i="14" s="1"/>
  <c r="L1362" i="14" s="1"/>
  <c r="L1363" i="14" s="1"/>
  <c r="L1364" i="14" s="1"/>
  <c r="L1365" i="14" s="1"/>
  <c r="L1366" i="14" s="1"/>
  <c r="L1367" i="14" s="1"/>
  <c r="L1368" i="14" s="1"/>
  <c r="L1369" i="14" s="1"/>
  <c r="L1370" i="14" s="1"/>
  <c r="L1371" i="14" s="1"/>
  <c r="L1372" i="14" s="1"/>
  <c r="L1373" i="14" s="1"/>
  <c r="L1374" i="14" s="1"/>
  <c r="L1375" i="14" s="1"/>
  <c r="L1376" i="14" s="1"/>
  <c r="L1377" i="14" s="1"/>
  <c r="L1378" i="14" s="1"/>
  <c r="L1379" i="14" s="1"/>
  <c r="L1380" i="14" s="1"/>
  <c r="L1381" i="14" s="1"/>
  <c r="L1382" i="14" s="1"/>
  <c r="L1383" i="14" s="1"/>
  <c r="L1384" i="14" s="1"/>
  <c r="L1385" i="14" s="1"/>
  <c r="L1386" i="14" s="1"/>
  <c r="L1387" i="14" s="1"/>
  <c r="L1388" i="14" s="1"/>
  <c r="L1389" i="14" s="1"/>
  <c r="L1390" i="14" s="1"/>
  <c r="L1391" i="14" s="1"/>
  <c r="L1392" i="14" s="1"/>
  <c r="L1393" i="14" s="1"/>
  <c r="L1394" i="14" s="1"/>
  <c r="L1395" i="14" s="1"/>
  <c r="L1396" i="14" s="1"/>
  <c r="L1397" i="14" s="1"/>
  <c r="L1398" i="14" s="1"/>
  <c r="L1399" i="14" s="1"/>
  <c r="L1400" i="14" s="1"/>
  <c r="L1401" i="14" s="1"/>
  <c r="L1402" i="14" s="1"/>
  <c r="L1403" i="14" s="1"/>
  <c r="L1404" i="14" s="1"/>
  <c r="L1405" i="14" s="1"/>
  <c r="L1406" i="14" s="1"/>
  <c r="L1407" i="14" s="1"/>
  <c r="L1408" i="14" s="1"/>
  <c r="L1409" i="14" s="1"/>
  <c r="L1410" i="14" s="1"/>
  <c r="L1411" i="14" s="1"/>
  <c r="L1412" i="14" s="1"/>
  <c r="L1413" i="14" s="1"/>
  <c r="L1414" i="14" s="1"/>
  <c r="L1415" i="14" s="1"/>
  <c r="L1416" i="14" s="1"/>
  <c r="L1417" i="14" s="1"/>
  <c r="L1418" i="14" s="1"/>
  <c r="L1419" i="14" s="1"/>
  <c r="L1420" i="14" s="1"/>
  <c r="L1421" i="14" s="1"/>
  <c r="L1422" i="14" s="1"/>
  <c r="L1423" i="14" s="1"/>
  <c r="L1424" i="14" s="1"/>
  <c r="L1425" i="14" s="1"/>
  <c r="L1426" i="14" s="1"/>
  <c r="L1427" i="14" s="1"/>
  <c r="L1428" i="14" s="1"/>
  <c r="L1429" i="14" s="1"/>
  <c r="L1430" i="14" s="1"/>
  <c r="L1431" i="14" s="1"/>
  <c r="L1432" i="14" s="1"/>
  <c r="L1433" i="14" s="1"/>
  <c r="L1434" i="14" s="1"/>
  <c r="L1435" i="14" s="1"/>
  <c r="L1436" i="14" s="1"/>
  <c r="L1437" i="14" s="1"/>
  <c r="L1438" i="14" s="1"/>
  <c r="L1439" i="14" s="1"/>
  <c r="L1440" i="14" s="1"/>
  <c r="L1441" i="14" s="1"/>
  <c r="L1442" i="14" s="1"/>
  <c r="L1443" i="14" s="1"/>
  <c r="L1444" i="14" s="1"/>
  <c r="L1445" i="14" s="1"/>
  <c r="L1446" i="14" s="1"/>
  <c r="L1447" i="14" s="1"/>
  <c r="L1448" i="14" s="1"/>
  <c r="L1449" i="14" s="1"/>
  <c r="L1450" i="14" s="1"/>
  <c r="L1451" i="14" s="1"/>
  <c r="L1452" i="14" s="1"/>
  <c r="L1453" i="14" s="1"/>
  <c r="L1454" i="14" s="1"/>
  <c r="L1455" i="14" s="1"/>
  <c r="L1456" i="14" s="1"/>
  <c r="L1457" i="14" s="1"/>
  <c r="L1458" i="14" s="1"/>
  <c r="L1459" i="14" s="1"/>
  <c r="L1460" i="14" s="1"/>
  <c r="L1461" i="14" s="1"/>
  <c r="L1462" i="14" s="1"/>
  <c r="L1463" i="14" s="1"/>
  <c r="L1464" i="14" s="1"/>
  <c r="L1465" i="14" s="1"/>
  <c r="L1466" i="14" s="1"/>
  <c r="L1467" i="14" s="1"/>
  <c r="L1468" i="14" s="1"/>
  <c r="L1469" i="14" s="1"/>
  <c r="L1470" i="14" s="1"/>
  <c r="L1471" i="14" s="1"/>
  <c r="L1472" i="14" s="1"/>
  <c r="L1473" i="14" s="1"/>
  <c r="L1474" i="14" s="1"/>
  <c r="L1475" i="14" s="1"/>
  <c r="L1476" i="14" s="1"/>
  <c r="L1477" i="14" s="1"/>
  <c r="L1478" i="14" s="1"/>
  <c r="L1479" i="14" s="1"/>
  <c r="L1480" i="14" s="1"/>
  <c r="L1481" i="14" s="1"/>
  <c r="L1482" i="14" s="1"/>
  <c r="L1483" i="14" s="1"/>
  <c r="L1484" i="14" s="1"/>
  <c r="L1485" i="14" s="1"/>
  <c r="L1486" i="14" s="1"/>
  <c r="L1487" i="14" s="1"/>
  <c r="L1488" i="14" s="1"/>
  <c r="L1489" i="14" s="1"/>
  <c r="L1490" i="14" s="1"/>
  <c r="L1491" i="14" s="1"/>
  <c r="L1492" i="14" s="1"/>
  <c r="L1493" i="14" s="1"/>
  <c r="L1494" i="14" s="1"/>
  <c r="L1495" i="14" s="1"/>
  <c r="L1496" i="14" s="1"/>
  <c r="L1497" i="14" s="1"/>
  <c r="L1498" i="14" s="1"/>
  <c r="L1499" i="14" s="1"/>
  <c r="L1500" i="14" s="1"/>
  <c r="L1501" i="14" s="1"/>
  <c r="L1502" i="14" s="1"/>
  <c r="L1503" i="14" s="1"/>
  <c r="L1504" i="14" s="1"/>
  <c r="L1505" i="14" s="1"/>
  <c r="L1506" i="14" s="1"/>
  <c r="L1507" i="14" s="1"/>
  <c r="L1508" i="14" s="1"/>
  <c r="L1509" i="14" s="1"/>
  <c r="L1510" i="14" s="1"/>
  <c r="L1511" i="14" s="1"/>
  <c r="L1512" i="14" s="1"/>
  <c r="L1513" i="14" s="1"/>
  <c r="L1514" i="14" s="1"/>
  <c r="L1515" i="14" s="1"/>
  <c r="L1516" i="14" s="1"/>
  <c r="L1517" i="14" s="1"/>
  <c r="L1518" i="14" s="1"/>
  <c r="L1519" i="14" s="1"/>
  <c r="L1520" i="14" s="1"/>
  <c r="L1521" i="14" s="1"/>
  <c r="L1522" i="14" s="1"/>
  <c r="L1523" i="14" s="1"/>
  <c r="L1524" i="14" s="1"/>
  <c r="L1525" i="14" s="1"/>
  <c r="L1526" i="14" s="1"/>
  <c r="L1527" i="14" s="1"/>
  <c r="L1528" i="14" s="1"/>
  <c r="L1529" i="14" s="1"/>
  <c r="L1530" i="14" s="1"/>
  <c r="L1531" i="14" s="1"/>
  <c r="L1532" i="14" s="1"/>
  <c r="L1533" i="14" s="1"/>
  <c r="L1534" i="14" s="1"/>
  <c r="L1535" i="14" s="1"/>
  <c r="L1536" i="14" s="1"/>
  <c r="L1537" i="14" s="1"/>
  <c r="L1538" i="14" s="1"/>
  <c r="L1539" i="14" s="1"/>
  <c r="L1540" i="14" s="1"/>
  <c r="L1541" i="14" s="1"/>
  <c r="L1542" i="14" s="1"/>
  <c r="L1543" i="14" s="1"/>
  <c r="L1544" i="14" s="1"/>
  <c r="L1545" i="14" s="1"/>
  <c r="L1546" i="14" s="1"/>
  <c r="L1547" i="14" s="1"/>
  <c r="L1548" i="14" s="1"/>
  <c r="L1549" i="14" s="1"/>
  <c r="L1550" i="14" s="1"/>
  <c r="L1551" i="14" s="1"/>
  <c r="L1552" i="14" s="1"/>
  <c r="L1553" i="14" s="1"/>
  <c r="L1554" i="14" s="1"/>
  <c r="L1555" i="14" s="1"/>
  <c r="L1556" i="14" s="1"/>
  <c r="L1557" i="14" s="1"/>
  <c r="L1558" i="14" s="1"/>
  <c r="L1559" i="14" s="1"/>
  <c r="L1560" i="14" s="1"/>
  <c r="L1561" i="14" s="1"/>
  <c r="L1562" i="14" s="1"/>
  <c r="L1563" i="14" s="1"/>
  <c r="L1564" i="14" s="1"/>
  <c r="L1565" i="14" s="1"/>
  <c r="L1566" i="14" s="1"/>
  <c r="L1567" i="14" s="1"/>
  <c r="L1568" i="14" s="1"/>
  <c r="L1569" i="14" s="1"/>
  <c r="L1570" i="14" s="1"/>
  <c r="L1571" i="14" s="1"/>
  <c r="L1572" i="14" s="1"/>
  <c r="L1573" i="14" s="1"/>
  <c r="L1574" i="14" s="1"/>
  <c r="L1575" i="14" s="1"/>
  <c r="L1576" i="14" s="1"/>
  <c r="L1577" i="14" s="1"/>
  <c r="L1578" i="14" s="1"/>
  <c r="L1579" i="14" s="1"/>
  <c r="L1580" i="14" s="1"/>
  <c r="L1581" i="14" s="1"/>
  <c r="L1582" i="14" s="1"/>
  <c r="L1583" i="14" s="1"/>
  <c r="L1584" i="14" s="1"/>
  <c r="L1585" i="14" s="1"/>
  <c r="L1586" i="14" s="1"/>
  <c r="L1587" i="14" s="1"/>
  <c r="L1588" i="14" s="1"/>
  <c r="L1589" i="14" s="1"/>
  <c r="L1590" i="14" s="1"/>
  <c r="L1591" i="14" s="1"/>
  <c r="L1592" i="14" s="1"/>
  <c r="L1593" i="14" s="1"/>
  <c r="L1594" i="14" s="1"/>
  <c r="L1595" i="14" s="1"/>
  <c r="L1596" i="14" s="1"/>
  <c r="L1597" i="14" s="1"/>
  <c r="L1598" i="14" s="1"/>
  <c r="L1599" i="14" s="1"/>
  <c r="L1600" i="14" s="1"/>
  <c r="L1601" i="14" s="1"/>
  <c r="L1602" i="14" s="1"/>
  <c r="L1603" i="14" s="1"/>
  <c r="L1604" i="14" s="1"/>
  <c r="L1605" i="14" s="1"/>
  <c r="L1606" i="14" s="1"/>
  <c r="L1607" i="14" s="1"/>
  <c r="L1608" i="14" s="1"/>
  <c r="L1609" i="14" s="1"/>
  <c r="L1610" i="14" s="1"/>
  <c r="L1611" i="14" s="1"/>
  <c r="L1612" i="14" s="1"/>
  <c r="L1613" i="14" s="1"/>
  <c r="L1614" i="14" s="1"/>
  <c r="L1615" i="14" s="1"/>
  <c r="L1616" i="14" s="1"/>
  <c r="L1617" i="14" s="1"/>
  <c r="L1618" i="14" s="1"/>
  <c r="L1619" i="14" s="1"/>
  <c r="L1620" i="14" s="1"/>
  <c r="L1621" i="14" s="1"/>
  <c r="L1622" i="14" s="1"/>
  <c r="L1623" i="14" s="1"/>
  <c r="L1624" i="14" s="1"/>
  <c r="L1625" i="14" s="1"/>
  <c r="L1626" i="14" s="1"/>
  <c r="L1627" i="14" s="1"/>
  <c r="L1628" i="14" s="1"/>
  <c r="L1629" i="14" s="1"/>
  <c r="L1630" i="14" s="1"/>
  <c r="L1631" i="14" s="1"/>
  <c r="L1632" i="14" s="1"/>
  <c r="L1633" i="14" s="1"/>
  <c r="L1634" i="14" s="1"/>
  <c r="L1635" i="14" s="1"/>
  <c r="L1636" i="14" s="1"/>
  <c r="L1637" i="14" s="1"/>
  <c r="L1638" i="14" s="1"/>
  <c r="L1639" i="14" s="1"/>
  <c r="L1640" i="14" s="1"/>
  <c r="L1641" i="14" s="1"/>
  <c r="L1642" i="14" s="1"/>
  <c r="L1643" i="14" s="1"/>
  <c r="L1644" i="14" s="1"/>
  <c r="L1645" i="14" s="1"/>
  <c r="L1646" i="14" s="1"/>
  <c r="L1647" i="14" s="1"/>
  <c r="L1648" i="14" s="1"/>
  <c r="L1649" i="14" s="1"/>
  <c r="L1650" i="14" s="1"/>
  <c r="L1651" i="14" s="1"/>
  <c r="L1652" i="14" s="1"/>
  <c r="L1653" i="14" s="1"/>
  <c r="L1654" i="14" s="1"/>
  <c r="L1655" i="14" s="1"/>
  <c r="L1656" i="14" s="1"/>
  <c r="L1657" i="14" s="1"/>
  <c r="L1658" i="14" s="1"/>
  <c r="L1659" i="14" s="1"/>
  <c r="L1660" i="14" s="1"/>
  <c r="L1661" i="14" s="1"/>
  <c r="L1662" i="14" s="1"/>
  <c r="L1663" i="14" s="1"/>
  <c r="L1664" i="14" s="1"/>
  <c r="L1665" i="14" s="1"/>
  <c r="L1666" i="14" s="1"/>
  <c r="L1667" i="14" s="1"/>
  <c r="L1668" i="14" s="1"/>
  <c r="L1669" i="14" s="1"/>
  <c r="L1670" i="14" s="1"/>
  <c r="L1671" i="14" s="1"/>
  <c r="L1672" i="14" s="1"/>
  <c r="L1673" i="14" s="1"/>
  <c r="L1674" i="14" s="1"/>
  <c r="L1675" i="14" s="1"/>
  <c r="L1676" i="14" s="1"/>
  <c r="L1677" i="14" s="1"/>
  <c r="L1678" i="14" s="1"/>
  <c r="L1679" i="14" s="1"/>
  <c r="L1680" i="14" s="1"/>
  <c r="L1681" i="14" s="1"/>
  <c r="L1682" i="14" s="1"/>
  <c r="L1683" i="14" s="1"/>
  <c r="L1684" i="14" s="1"/>
  <c r="L1685" i="14" s="1"/>
  <c r="L1686" i="14" s="1"/>
  <c r="L1687" i="14" s="1"/>
  <c r="L1688" i="14" s="1"/>
  <c r="L1689" i="14" s="1"/>
  <c r="L1690" i="14" s="1"/>
  <c r="L1691" i="14" s="1"/>
  <c r="L1692" i="14" s="1"/>
  <c r="L1693" i="14" s="1"/>
  <c r="L1694" i="14" s="1"/>
  <c r="L1695" i="14" s="1"/>
  <c r="L1696" i="14" s="1"/>
  <c r="L1697" i="14" s="1"/>
  <c r="L1698" i="14" s="1"/>
  <c r="L1699" i="14" s="1"/>
  <c r="L1700" i="14" s="1"/>
  <c r="L1701" i="14" s="1"/>
  <c r="L1702" i="14" s="1"/>
  <c r="L1703" i="14" s="1"/>
  <c r="L1704" i="14" s="1"/>
  <c r="L1705" i="14" s="1"/>
  <c r="L1706" i="14" s="1"/>
  <c r="L1707" i="14" s="1"/>
  <c r="L1708" i="14" s="1"/>
  <c r="L1709" i="14" s="1"/>
  <c r="L1710" i="14" s="1"/>
  <c r="L1711" i="14" s="1"/>
  <c r="L1712" i="14" s="1"/>
  <c r="L1713" i="14" s="1"/>
  <c r="L1714" i="14" s="1"/>
  <c r="L1715" i="14" s="1"/>
  <c r="L1716" i="14" s="1"/>
  <c r="L1717" i="14" s="1"/>
  <c r="L1718" i="14" s="1"/>
  <c r="L1719" i="14" s="1"/>
  <c r="L1720" i="14" s="1"/>
  <c r="L1721" i="14" s="1"/>
  <c r="L1722" i="14" s="1"/>
  <c r="L1723" i="14" s="1"/>
  <c r="L1724" i="14" s="1"/>
  <c r="L1725" i="14" s="1"/>
  <c r="L1726" i="14" s="1"/>
  <c r="L1727" i="14" s="1"/>
  <c r="L1728" i="14" s="1"/>
  <c r="L1729" i="14" s="1"/>
  <c r="L1730" i="14" s="1"/>
  <c r="L1731" i="14" s="1"/>
  <c r="L1732" i="14" s="1"/>
  <c r="L1733" i="14" s="1"/>
  <c r="L1734" i="14" s="1"/>
  <c r="L1735" i="14" s="1"/>
  <c r="L1736" i="14" s="1"/>
  <c r="L1737" i="14" s="1"/>
  <c r="L1738" i="14" s="1"/>
  <c r="L1740" i="14" s="1"/>
  <c r="O359" i="14"/>
  <c r="AO15" i="9"/>
  <c r="AP11" i="9"/>
  <c r="AO11" i="9"/>
  <c r="AO10" i="9"/>
  <c r="AP9" i="9"/>
  <c r="AP17" i="9"/>
  <c r="AO17" i="9"/>
  <c r="AP16" i="9"/>
  <c r="AO16" i="9"/>
  <c r="AP15" i="9"/>
  <c r="AP10" i="9"/>
  <c r="AO9" i="9"/>
  <c r="AP8" i="9"/>
  <c r="AP6" i="9"/>
  <c r="AP13" i="9"/>
  <c r="AO13" i="9"/>
  <c r="AP12" i="9"/>
  <c r="AO12" i="9"/>
  <c r="AO8" i="9"/>
  <c r="AO6" i="9"/>
  <c r="AO18" i="9"/>
  <c r="AP14" i="9"/>
  <c r="AO14" i="9"/>
  <c r="AP18" i="9"/>
  <c r="J28" i="7"/>
  <c r="L28" i="7"/>
  <c r="L57" i="4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L264" i="4" s="1"/>
  <c r="L265" i="4" s="1"/>
  <c r="L266" i="4" s="1"/>
  <c r="L267" i="4" s="1"/>
  <c r="L268" i="4" s="1"/>
  <c r="L269" i="4" s="1"/>
  <c r="L270" i="4" s="1"/>
  <c r="L271" i="4" s="1"/>
  <c r="L272" i="4" s="1"/>
  <c r="L273" i="4" s="1"/>
  <c r="L274" i="4" s="1"/>
  <c r="L275" i="4" s="1"/>
  <c r="L276" i="4" s="1"/>
  <c r="L277" i="4" s="1"/>
  <c r="L278" i="4" s="1"/>
  <c r="L279" i="4" s="1"/>
  <c r="L280" i="4" s="1"/>
  <c r="L281" i="4" s="1"/>
  <c r="L282" i="4" s="1"/>
  <c r="L283" i="4" s="1"/>
  <c r="L284" i="4" s="1"/>
  <c r="L285" i="4" s="1"/>
  <c r="L286" i="4" s="1"/>
  <c r="L287" i="4" s="1"/>
  <c r="L288" i="4" s="1"/>
  <c r="L289" i="4" s="1"/>
  <c r="L290" i="4" s="1"/>
  <c r="L291" i="4" s="1"/>
  <c r="L292" i="4" s="1"/>
  <c r="L293" i="4" s="1"/>
  <c r="L294" i="4" s="1"/>
  <c r="L295" i="4" s="1"/>
  <c r="L296" i="4" s="1"/>
  <c r="L297" i="4" s="1"/>
  <c r="L298" i="4" s="1"/>
  <c r="L299" i="4" s="1"/>
  <c r="L300" i="4" s="1"/>
  <c r="L301" i="4" s="1"/>
  <c r="L302" i="4" s="1"/>
  <c r="L303" i="4" s="1"/>
  <c r="L304" i="4" s="1"/>
  <c r="L305" i="4" s="1"/>
  <c r="L306" i="4" s="1"/>
  <c r="L307" i="4" s="1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78" i="4" s="1"/>
  <c r="L379" i="4" s="1"/>
  <c r="L1740" i="13"/>
  <c r="J27" i="7"/>
  <c r="J24" i="5"/>
  <c r="L19" i="7"/>
  <c r="L21" i="7"/>
  <c r="L22" i="7"/>
  <c r="L20" i="7"/>
  <c r="L31" i="7"/>
  <c r="J13" i="5"/>
  <c r="J12" i="7"/>
  <c r="J21" i="5"/>
  <c r="J7" i="5"/>
  <c r="J16" i="7"/>
  <c r="L8" i="7"/>
  <c r="J17" i="7"/>
  <c r="J30" i="7"/>
  <c r="J14" i="5"/>
  <c r="J7" i="7"/>
  <c r="J19" i="7"/>
  <c r="L14" i="7"/>
  <c r="J31" i="7"/>
  <c r="J6" i="5"/>
  <c r="J22" i="5"/>
  <c r="J9" i="5"/>
  <c r="L12" i="7"/>
  <c r="J18" i="7"/>
  <c r="J15" i="5"/>
  <c r="J8" i="7"/>
  <c r="J20" i="7"/>
  <c r="L15" i="7"/>
  <c r="L27" i="7"/>
  <c r="J19" i="5"/>
  <c r="J13" i="7"/>
  <c r="J14" i="7"/>
  <c r="L10" i="7"/>
  <c r="J23" i="5"/>
  <c r="J29" i="7"/>
  <c r="L13" i="7"/>
  <c r="J16" i="5"/>
  <c r="J9" i="7"/>
  <c r="J21" i="7"/>
  <c r="L16" i="7"/>
  <c r="L29" i="7"/>
  <c r="J20" i="5"/>
  <c r="L9" i="7"/>
  <c r="J15" i="7"/>
  <c r="J8" i="5"/>
  <c r="L11" i="7"/>
  <c r="J17" i="5"/>
  <c r="J10" i="7"/>
  <c r="J22" i="7"/>
  <c r="L17" i="7"/>
  <c r="L30" i="7"/>
  <c r="L7" i="7"/>
  <c r="J18" i="5"/>
  <c r="J11" i="7"/>
  <c r="L18" i="7"/>
  <c r="J6" i="6"/>
  <c r="J21" i="6"/>
  <c r="J20" i="6"/>
  <c r="J19" i="6"/>
  <c r="J15" i="6"/>
  <c r="J24" i="6"/>
  <c r="J9" i="6"/>
  <c r="J14" i="6"/>
  <c r="J13" i="6"/>
  <c r="J23" i="6"/>
  <c r="J8" i="6"/>
  <c r="J18" i="6"/>
  <c r="J17" i="6"/>
  <c r="J16" i="6"/>
  <c r="J22" i="6"/>
  <c r="J7" i="6"/>
  <c r="K1765" i="4"/>
  <c r="I6" i="12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J1765" i="4"/>
  <c r="AS97" i="10"/>
  <c r="AS99" i="10" s="1"/>
  <c r="BI9" i="10"/>
  <c r="BI17" i="10"/>
  <c r="BI11" i="10"/>
  <c r="BI7" i="10"/>
  <c r="BI16" i="10"/>
  <c r="BI8" i="10"/>
  <c r="BI10" i="10"/>
  <c r="BI6" i="10"/>
  <c r="BI12" i="10"/>
  <c r="BI15" i="10"/>
  <c r="BI13" i="10"/>
  <c r="BI14" i="10"/>
  <c r="BI34" i="10"/>
  <c r="BI83" i="10"/>
  <c r="BI44" i="10"/>
  <c r="BI50" i="10"/>
  <c r="BI38" i="10"/>
  <c r="BI46" i="10"/>
  <c r="BI43" i="10"/>
  <c r="BI42" i="10"/>
  <c r="BI47" i="10"/>
  <c r="BI49" i="10"/>
  <c r="BI45" i="10"/>
  <c r="BI41" i="10"/>
  <c r="BH97" i="10"/>
  <c r="BI5" i="10"/>
  <c r="BI39" i="10"/>
  <c r="BI53" i="10"/>
  <c r="BI56" i="10"/>
  <c r="BI54" i="10"/>
  <c r="BI51" i="10"/>
  <c r="BI60" i="10"/>
  <c r="BI52" i="10"/>
  <c r="BI84" i="10"/>
  <c r="BI57" i="10"/>
  <c r="BI61" i="10"/>
  <c r="BI62" i="10"/>
  <c r="BI55" i="10"/>
  <c r="BI85" i="10"/>
  <c r="L380" i="4" l="1"/>
  <c r="L381" i="4" s="1"/>
  <c r="L382" i="4" s="1"/>
  <c r="L383" i="4" s="1"/>
  <c r="L384" i="4" s="1"/>
  <c r="L385" i="4" s="1"/>
  <c r="L386" i="4" s="1"/>
  <c r="L387" i="4" s="1"/>
  <c r="L388" i="4" s="1"/>
  <c r="L389" i="4" s="1"/>
  <c r="L390" i="4" s="1"/>
  <c r="L391" i="4" s="1"/>
  <c r="L392" i="4" s="1"/>
  <c r="L393" i="4" s="1"/>
  <c r="L394" i="4" s="1"/>
  <c r="L395" i="4" s="1"/>
  <c r="N26" i="7"/>
  <c r="J33" i="7"/>
  <c r="L33" i="7"/>
  <c r="AQ6" i="9"/>
  <c r="AN8" i="9" s="1"/>
  <c r="AQ8" i="9" s="1"/>
  <c r="AN9" i="9" s="1"/>
  <c r="AQ9" i="9" s="1"/>
  <c r="AN10" i="9" s="1"/>
  <c r="AQ10" i="9" s="1"/>
  <c r="AN11" i="9" s="1"/>
  <c r="AQ11" i="9" s="1"/>
  <c r="AN12" i="9" s="1"/>
  <c r="AQ12" i="9" s="1"/>
  <c r="AN13" i="9" s="1"/>
  <c r="AQ13" i="9" s="1"/>
  <c r="AN14" i="9" s="1"/>
  <c r="AQ14" i="9" s="1"/>
  <c r="AN15" i="9" s="1"/>
  <c r="AQ15" i="9" s="1"/>
  <c r="AN16" i="9" s="1"/>
  <c r="AQ16" i="9" s="1"/>
  <c r="AN17" i="9" s="1"/>
  <c r="AQ17" i="9" s="1"/>
  <c r="AN18" i="9" s="1"/>
  <c r="AQ18" i="9" s="1"/>
  <c r="N28" i="7"/>
  <c r="L1765" i="4"/>
  <c r="I19" i="12"/>
  <c r="I20" i="12" s="1"/>
  <c r="I21" i="12" s="1"/>
  <c r="BI28" i="10"/>
  <c r="BI30" i="10"/>
  <c r="BI25" i="10"/>
  <c r="BI26" i="10"/>
  <c r="BI31" i="10"/>
  <c r="BI32" i="10"/>
  <c r="BI37" i="10"/>
  <c r="BI33" i="10"/>
  <c r="BI36" i="10"/>
  <c r="BI20" i="10"/>
  <c r="BI21" i="10"/>
  <c r="BI24" i="10"/>
  <c r="BI23" i="10"/>
  <c r="BI35" i="10"/>
  <c r="AA97" i="10"/>
  <c r="Z97" i="10"/>
  <c r="L396" i="4" l="1"/>
  <c r="L397" i="4" s="1"/>
  <c r="L398" i="4" s="1"/>
  <c r="L399" i="4" s="1"/>
  <c r="L400" i="4" s="1"/>
  <c r="L401" i="4" s="1"/>
  <c r="L402" i="4" s="1"/>
  <c r="L403" i="4" s="1"/>
  <c r="L404" i="4" s="1"/>
  <c r="I22" i="12"/>
  <c r="AB97" i="10"/>
  <c r="BI27" i="10"/>
  <c r="BI29" i="10"/>
  <c r="L405" i="4" l="1"/>
  <c r="L406" i="4" s="1"/>
  <c r="L407" i="4" s="1"/>
  <c r="O404" i="4"/>
  <c r="I23" i="12"/>
  <c r="AC97" i="10"/>
  <c r="L408" i="4" l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419" i="4" s="1"/>
  <c r="L420" i="4" s="1"/>
  <c r="L421" i="4" s="1"/>
  <c r="L422" i="4" s="1"/>
  <c r="L423" i="4" s="1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434" i="4" s="1"/>
  <c r="L435" i="4" s="1"/>
  <c r="L436" i="4" s="1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78" i="4" s="1"/>
  <c r="L479" i="4" s="1"/>
  <c r="L480" i="4" s="1"/>
  <c r="L481" i="4" s="1"/>
  <c r="L482" i="4" s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502" i="4" s="1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25" i="4" s="1"/>
  <c r="L526" i="4" s="1"/>
  <c r="L527" i="4" s="1"/>
  <c r="L528" i="4" s="1"/>
  <c r="L529" i="4" s="1"/>
  <c r="L530" i="4" s="1"/>
  <c r="L531" i="4" s="1"/>
  <c r="L532" i="4" s="1"/>
  <c r="L533" i="4" s="1"/>
  <c r="L534" i="4" s="1"/>
  <c r="L535" i="4" s="1"/>
  <c r="L536" i="4" s="1"/>
  <c r="L537" i="4" s="1"/>
  <c r="L538" i="4" s="1"/>
  <c r="L539" i="4" s="1"/>
  <c r="L540" i="4" s="1"/>
  <c r="L541" i="4" s="1"/>
  <c r="L542" i="4" s="1"/>
  <c r="L543" i="4" s="1"/>
  <c r="L544" i="4" s="1"/>
  <c r="L545" i="4" s="1"/>
  <c r="L546" i="4" s="1"/>
  <c r="L547" i="4" s="1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L563" i="4" s="1"/>
  <c r="L564" i="4" s="1"/>
  <c r="L565" i="4" s="1"/>
  <c r="L566" i="4" s="1"/>
  <c r="L567" i="4" s="1"/>
  <c r="L568" i="4" s="1"/>
  <c r="L569" i="4" s="1"/>
  <c r="L570" i="4" s="1"/>
  <c r="L571" i="4" s="1"/>
  <c r="L572" i="4" s="1"/>
  <c r="L573" i="4" s="1"/>
  <c r="L574" i="4" s="1"/>
  <c r="L575" i="4" s="1"/>
  <c r="L576" i="4" s="1"/>
  <c r="L577" i="4" s="1"/>
  <c r="L578" i="4" s="1"/>
  <c r="L579" i="4" s="1"/>
  <c r="L580" i="4" s="1"/>
  <c r="L581" i="4" s="1"/>
  <c r="L582" i="4" s="1"/>
  <c r="L583" i="4" s="1"/>
  <c r="L584" i="4" s="1"/>
  <c r="L585" i="4" s="1"/>
  <c r="L586" i="4" s="1"/>
  <c r="L587" i="4" s="1"/>
  <c r="L588" i="4" s="1"/>
  <c r="L589" i="4" s="1"/>
  <c r="L590" i="4" s="1"/>
  <c r="L591" i="4" s="1"/>
  <c r="L592" i="4" s="1"/>
  <c r="L593" i="4" s="1"/>
  <c r="L594" i="4" s="1"/>
  <c r="L595" i="4" s="1"/>
  <c r="L596" i="4" s="1"/>
  <c r="L597" i="4" s="1"/>
  <c r="L598" i="4" s="1"/>
  <c r="L599" i="4" s="1"/>
  <c r="L600" i="4" s="1"/>
  <c r="L601" i="4" s="1"/>
  <c r="L602" i="4" s="1"/>
  <c r="L603" i="4" s="1"/>
  <c r="L604" i="4" s="1"/>
  <c r="L605" i="4" s="1"/>
  <c r="L606" i="4" s="1"/>
  <c r="L607" i="4" s="1"/>
  <c r="L608" i="4" s="1"/>
  <c r="L609" i="4" s="1"/>
  <c r="L610" i="4" s="1"/>
  <c r="L611" i="4" s="1"/>
  <c r="L612" i="4" s="1"/>
  <c r="L613" i="4" s="1"/>
  <c r="L614" i="4" s="1"/>
  <c r="L615" i="4" s="1"/>
  <c r="L616" i="4" s="1"/>
  <c r="L617" i="4" s="1"/>
  <c r="L618" i="4" s="1"/>
  <c r="L619" i="4" s="1"/>
  <c r="L620" i="4" s="1"/>
  <c r="L621" i="4" s="1"/>
  <c r="L622" i="4" s="1"/>
  <c r="L623" i="4" s="1"/>
  <c r="L624" i="4" s="1"/>
  <c r="L625" i="4" s="1"/>
  <c r="L626" i="4" s="1"/>
  <c r="L627" i="4" s="1"/>
  <c r="L628" i="4" s="1"/>
  <c r="L629" i="4" s="1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40" i="4" s="1"/>
  <c r="L641" i="4" s="1"/>
  <c r="L642" i="4" s="1"/>
  <c r="L643" i="4" s="1"/>
  <c r="L644" i="4" s="1"/>
  <c r="L645" i="4" s="1"/>
  <c r="L646" i="4" s="1"/>
  <c r="L647" i="4" s="1"/>
  <c r="L648" i="4" s="1"/>
  <c r="L649" i="4" s="1"/>
  <c r="L650" i="4" s="1"/>
  <c r="L651" i="4" s="1"/>
  <c r="L652" i="4" s="1"/>
  <c r="L653" i="4" s="1"/>
  <c r="L654" i="4" s="1"/>
  <c r="L655" i="4" s="1"/>
  <c r="L656" i="4" s="1"/>
  <c r="L657" i="4" s="1"/>
  <c r="L658" i="4" s="1"/>
  <c r="L659" i="4" s="1"/>
  <c r="L660" i="4" s="1"/>
  <c r="L661" i="4" s="1"/>
  <c r="L662" i="4" s="1"/>
  <c r="L663" i="4" s="1"/>
  <c r="L664" i="4" s="1"/>
  <c r="L665" i="4" s="1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76" i="4" s="1"/>
  <c r="L677" i="4" s="1"/>
  <c r="L678" i="4" s="1"/>
  <c r="L679" i="4" s="1"/>
  <c r="L680" i="4" s="1"/>
  <c r="L681" i="4" s="1"/>
  <c r="L682" i="4" s="1"/>
  <c r="L683" i="4" s="1"/>
  <c r="L684" i="4" s="1"/>
  <c r="L685" i="4" s="1"/>
  <c r="L686" i="4" s="1"/>
  <c r="L687" i="4" s="1"/>
  <c r="L688" i="4" s="1"/>
  <c r="L689" i="4" s="1"/>
  <c r="L690" i="4" s="1"/>
  <c r="L691" i="4" s="1"/>
  <c r="L692" i="4" s="1"/>
  <c r="L693" i="4" s="1"/>
  <c r="L694" i="4" s="1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706" i="4" s="1"/>
  <c r="L707" i="4" s="1"/>
  <c r="L708" i="4" s="1"/>
  <c r="L709" i="4" s="1"/>
  <c r="L710" i="4" s="1"/>
  <c r="L711" i="4" s="1"/>
  <c r="L712" i="4" s="1"/>
  <c r="L713" i="4" s="1"/>
  <c r="L714" i="4" s="1"/>
  <c r="L715" i="4" s="1"/>
  <c r="L716" i="4" s="1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27" i="4" s="1"/>
  <c r="L728" i="4" s="1"/>
  <c r="L729" i="4" s="1"/>
  <c r="L730" i="4" s="1"/>
  <c r="L731" i="4" s="1"/>
  <c r="L732" i="4" s="1"/>
  <c r="L733" i="4" s="1"/>
  <c r="L734" i="4" s="1"/>
  <c r="L735" i="4" s="1"/>
  <c r="L736" i="4" s="1"/>
  <c r="L737" i="4" s="1"/>
  <c r="L738" i="4" s="1"/>
  <c r="L739" i="4" s="1"/>
  <c r="L740" i="4" s="1"/>
  <c r="L741" i="4" s="1"/>
  <c r="L742" i="4" s="1"/>
  <c r="L743" i="4" s="1"/>
  <c r="L744" i="4" s="1"/>
  <c r="L745" i="4" s="1"/>
  <c r="L746" i="4" s="1"/>
  <c r="L747" i="4" s="1"/>
  <c r="L748" i="4" s="1"/>
  <c r="L749" i="4" s="1"/>
  <c r="L750" i="4" s="1"/>
  <c r="L751" i="4" s="1"/>
  <c r="L752" i="4" s="1"/>
  <c r="L753" i="4" s="1"/>
  <c r="L754" i="4" s="1"/>
  <c r="L755" i="4" s="1"/>
  <c r="L756" i="4" s="1"/>
  <c r="L757" i="4" s="1"/>
  <c r="L758" i="4" s="1"/>
  <c r="L759" i="4" s="1"/>
  <c r="L760" i="4" s="1"/>
  <c r="L761" i="4" s="1"/>
  <c r="L762" i="4" s="1"/>
  <c r="L763" i="4" s="1"/>
  <c r="L764" i="4" s="1"/>
  <c r="L765" i="4" s="1"/>
  <c r="L766" i="4" s="1"/>
  <c r="L767" i="4" s="1"/>
  <c r="L768" i="4" s="1"/>
  <c r="L769" i="4" s="1"/>
  <c r="L770" i="4" s="1"/>
  <c r="L771" i="4" s="1"/>
  <c r="L772" i="4" s="1"/>
  <c r="L773" i="4" s="1"/>
  <c r="L774" i="4" s="1"/>
  <c r="L775" i="4" s="1"/>
  <c r="L776" i="4" s="1"/>
  <c r="L777" i="4" s="1"/>
  <c r="L778" i="4" s="1"/>
  <c r="L779" i="4" s="1"/>
  <c r="L780" i="4" s="1"/>
  <c r="L781" i="4" s="1"/>
  <c r="L782" i="4" s="1"/>
  <c r="L783" i="4" s="1"/>
  <c r="L784" i="4" s="1"/>
  <c r="L785" i="4" s="1"/>
  <c r="L786" i="4" s="1"/>
  <c r="L787" i="4" s="1"/>
  <c r="L788" i="4" s="1"/>
  <c r="L789" i="4" s="1"/>
  <c r="L790" i="4" s="1"/>
  <c r="L791" i="4" s="1"/>
  <c r="L792" i="4" s="1"/>
  <c r="L793" i="4" s="1"/>
  <c r="L794" i="4" s="1"/>
  <c r="L795" i="4" s="1"/>
  <c r="L796" i="4" s="1"/>
  <c r="L797" i="4" s="1"/>
  <c r="L798" i="4" s="1"/>
  <c r="L799" i="4" s="1"/>
  <c r="L800" i="4" s="1"/>
  <c r="L801" i="4" s="1"/>
  <c r="L802" i="4" s="1"/>
  <c r="L803" i="4" s="1"/>
  <c r="L804" i="4" s="1"/>
  <c r="L805" i="4" s="1"/>
  <c r="L806" i="4" s="1"/>
  <c r="L807" i="4" s="1"/>
  <c r="L808" i="4" s="1"/>
  <c r="L809" i="4" s="1"/>
  <c r="L810" i="4" s="1"/>
  <c r="L811" i="4" s="1"/>
  <c r="L812" i="4" s="1"/>
  <c r="L813" i="4" s="1"/>
  <c r="L814" i="4" s="1"/>
  <c r="L815" i="4" s="1"/>
  <c r="L816" i="4" s="1"/>
  <c r="L817" i="4" s="1"/>
  <c r="L818" i="4" s="1"/>
  <c r="L819" i="4" s="1"/>
  <c r="L820" i="4" s="1"/>
  <c r="L821" i="4" s="1"/>
  <c r="L822" i="4" s="1"/>
  <c r="L823" i="4" s="1"/>
  <c r="L824" i="4" s="1"/>
  <c r="L825" i="4" s="1"/>
  <c r="L826" i="4" s="1"/>
  <c r="L827" i="4" s="1"/>
  <c r="L828" i="4" s="1"/>
  <c r="L829" i="4" s="1"/>
  <c r="L830" i="4" s="1"/>
  <c r="L831" i="4" s="1"/>
  <c r="L832" i="4" s="1"/>
  <c r="L833" i="4" s="1"/>
  <c r="L834" i="4" s="1"/>
  <c r="L835" i="4" s="1"/>
  <c r="L836" i="4" s="1"/>
  <c r="L837" i="4" s="1"/>
  <c r="L838" i="4" s="1"/>
  <c r="L839" i="4" s="1"/>
  <c r="L840" i="4" s="1"/>
  <c r="L841" i="4" s="1"/>
  <c r="L842" i="4" s="1"/>
  <c r="L843" i="4" s="1"/>
  <c r="L844" i="4" s="1"/>
  <c r="L845" i="4" s="1"/>
  <c r="L846" i="4" s="1"/>
  <c r="L847" i="4" s="1"/>
  <c r="L848" i="4" s="1"/>
  <c r="L849" i="4" s="1"/>
  <c r="L850" i="4" s="1"/>
  <c r="L851" i="4" s="1"/>
  <c r="L852" i="4" s="1"/>
  <c r="L853" i="4" s="1"/>
  <c r="L854" i="4" s="1"/>
  <c r="L855" i="4" s="1"/>
  <c r="L856" i="4" s="1"/>
  <c r="L857" i="4" s="1"/>
  <c r="L858" i="4" s="1"/>
  <c r="L859" i="4" s="1"/>
  <c r="L860" i="4" s="1"/>
  <c r="L861" i="4" s="1"/>
  <c r="L862" i="4" s="1"/>
  <c r="L863" i="4" s="1"/>
  <c r="L864" i="4" s="1"/>
  <c r="L865" i="4" s="1"/>
  <c r="L866" i="4" s="1"/>
  <c r="L867" i="4" s="1"/>
  <c r="L868" i="4" s="1"/>
  <c r="L869" i="4" s="1"/>
  <c r="L870" i="4" s="1"/>
  <c r="L871" i="4" s="1"/>
  <c r="L872" i="4" s="1"/>
  <c r="L873" i="4" s="1"/>
  <c r="L874" i="4" s="1"/>
  <c r="L875" i="4" s="1"/>
  <c r="L876" i="4" s="1"/>
  <c r="L877" i="4" s="1"/>
  <c r="L878" i="4" s="1"/>
  <c r="L879" i="4" s="1"/>
  <c r="L880" i="4" s="1"/>
  <c r="L881" i="4" s="1"/>
  <c r="L882" i="4" s="1"/>
  <c r="L883" i="4" s="1"/>
  <c r="L884" i="4" s="1"/>
  <c r="L885" i="4" s="1"/>
  <c r="L886" i="4" s="1"/>
  <c r="L887" i="4" s="1"/>
  <c r="L888" i="4" s="1"/>
  <c r="L889" i="4" s="1"/>
  <c r="L890" i="4" s="1"/>
  <c r="L891" i="4" s="1"/>
  <c r="L892" i="4" s="1"/>
  <c r="L893" i="4" s="1"/>
  <c r="L894" i="4" s="1"/>
  <c r="L895" i="4" s="1"/>
  <c r="L896" i="4" s="1"/>
  <c r="L897" i="4" s="1"/>
  <c r="L898" i="4" s="1"/>
  <c r="L899" i="4" s="1"/>
  <c r="L900" i="4" s="1"/>
  <c r="L901" i="4" s="1"/>
  <c r="L902" i="4" s="1"/>
  <c r="L903" i="4" s="1"/>
  <c r="L904" i="4" s="1"/>
  <c r="L905" i="4" s="1"/>
  <c r="L906" i="4" s="1"/>
  <c r="L907" i="4" s="1"/>
  <c r="L908" i="4" s="1"/>
  <c r="L909" i="4" s="1"/>
  <c r="L910" i="4" s="1"/>
  <c r="L911" i="4" s="1"/>
  <c r="L912" i="4" s="1"/>
  <c r="L913" i="4" s="1"/>
  <c r="L914" i="4" s="1"/>
  <c r="L915" i="4" s="1"/>
  <c r="L916" i="4" s="1"/>
  <c r="L917" i="4" s="1"/>
  <c r="L918" i="4" s="1"/>
  <c r="L919" i="4" s="1"/>
  <c r="L920" i="4" s="1"/>
  <c r="L921" i="4" s="1"/>
  <c r="L922" i="4" s="1"/>
  <c r="L923" i="4" s="1"/>
  <c r="L924" i="4" s="1"/>
  <c r="L925" i="4" s="1"/>
  <c r="L926" i="4" s="1"/>
  <c r="L927" i="4" s="1"/>
  <c r="L928" i="4" s="1"/>
  <c r="L929" i="4" s="1"/>
  <c r="L930" i="4" s="1"/>
  <c r="L931" i="4" s="1"/>
  <c r="L932" i="4" s="1"/>
  <c r="L933" i="4" s="1"/>
  <c r="L934" i="4" s="1"/>
  <c r="L935" i="4" s="1"/>
  <c r="L936" i="4" s="1"/>
  <c r="L937" i="4" s="1"/>
  <c r="L938" i="4" s="1"/>
  <c r="L939" i="4" s="1"/>
  <c r="L940" i="4" s="1"/>
  <c r="L941" i="4" s="1"/>
  <c r="L942" i="4" s="1"/>
  <c r="L943" i="4" s="1"/>
  <c r="L944" i="4" s="1"/>
  <c r="L945" i="4" s="1"/>
  <c r="L946" i="4" s="1"/>
  <c r="L947" i="4" s="1"/>
  <c r="L948" i="4" s="1"/>
  <c r="L949" i="4" s="1"/>
  <c r="L950" i="4" s="1"/>
  <c r="L951" i="4" s="1"/>
  <c r="L952" i="4" s="1"/>
  <c r="L953" i="4" s="1"/>
  <c r="L954" i="4" s="1"/>
  <c r="L955" i="4" s="1"/>
  <c r="L956" i="4" s="1"/>
  <c r="L957" i="4" s="1"/>
  <c r="L958" i="4" s="1"/>
  <c r="L959" i="4" s="1"/>
  <c r="L960" i="4" s="1"/>
  <c r="L961" i="4" s="1"/>
  <c r="L962" i="4" s="1"/>
  <c r="L963" i="4" s="1"/>
  <c r="L964" i="4" s="1"/>
  <c r="L965" i="4" s="1"/>
  <c r="L966" i="4" s="1"/>
  <c r="L967" i="4" s="1"/>
  <c r="L968" i="4" s="1"/>
  <c r="L969" i="4" s="1"/>
  <c r="L970" i="4" s="1"/>
  <c r="L971" i="4" s="1"/>
  <c r="L972" i="4" s="1"/>
  <c r="L973" i="4" s="1"/>
  <c r="L974" i="4" s="1"/>
  <c r="L975" i="4" s="1"/>
  <c r="L976" i="4" s="1"/>
  <c r="L977" i="4" s="1"/>
  <c r="L978" i="4" s="1"/>
  <c r="L979" i="4" s="1"/>
  <c r="L980" i="4" s="1"/>
  <c r="L981" i="4" s="1"/>
  <c r="L982" i="4" s="1"/>
  <c r="L983" i="4" s="1"/>
  <c r="L984" i="4" s="1"/>
  <c r="L985" i="4" s="1"/>
  <c r="L986" i="4" s="1"/>
  <c r="L987" i="4" s="1"/>
  <c r="L988" i="4" s="1"/>
  <c r="L989" i="4" s="1"/>
  <c r="L990" i="4" s="1"/>
  <c r="L991" i="4" s="1"/>
  <c r="L992" i="4" s="1"/>
  <c r="L993" i="4" s="1"/>
  <c r="L994" i="4" s="1"/>
  <c r="L995" i="4" s="1"/>
  <c r="L996" i="4" s="1"/>
  <c r="L997" i="4" s="1"/>
  <c r="L998" i="4" s="1"/>
  <c r="L999" i="4" s="1"/>
  <c r="L1000" i="4" s="1"/>
  <c r="L1001" i="4" s="1"/>
  <c r="L1002" i="4" s="1"/>
  <c r="L1003" i="4" s="1"/>
  <c r="L1004" i="4" s="1"/>
  <c r="L1005" i="4" s="1"/>
  <c r="L1006" i="4" s="1"/>
  <c r="L1007" i="4" s="1"/>
  <c r="L1008" i="4" s="1"/>
  <c r="L1009" i="4" s="1"/>
  <c r="L1010" i="4" s="1"/>
  <c r="L1011" i="4" s="1"/>
  <c r="L1012" i="4" s="1"/>
  <c r="L1013" i="4" s="1"/>
  <c r="L1014" i="4" s="1"/>
  <c r="L1015" i="4" s="1"/>
  <c r="L1016" i="4" s="1"/>
  <c r="L1017" i="4" s="1"/>
  <c r="L1018" i="4" s="1"/>
  <c r="L1019" i="4" s="1"/>
  <c r="L1020" i="4" s="1"/>
  <c r="L1021" i="4" s="1"/>
  <c r="L1022" i="4" s="1"/>
  <c r="L1023" i="4" s="1"/>
  <c r="L1024" i="4" s="1"/>
  <c r="L1025" i="4" s="1"/>
  <c r="L1026" i="4" s="1"/>
  <c r="L1027" i="4" s="1"/>
  <c r="L1028" i="4" s="1"/>
  <c r="L1029" i="4" s="1"/>
  <c r="L1030" i="4" s="1"/>
  <c r="L1031" i="4" s="1"/>
  <c r="L1032" i="4" s="1"/>
  <c r="L1033" i="4" s="1"/>
  <c r="L1034" i="4" s="1"/>
  <c r="L1035" i="4" s="1"/>
  <c r="L1036" i="4" s="1"/>
  <c r="L1037" i="4" s="1"/>
  <c r="L1038" i="4" s="1"/>
  <c r="L1039" i="4" s="1"/>
  <c r="L1040" i="4" s="1"/>
  <c r="L1041" i="4" s="1"/>
  <c r="L1042" i="4" s="1"/>
  <c r="L1043" i="4" s="1"/>
  <c r="L1044" i="4" s="1"/>
  <c r="L1045" i="4" s="1"/>
  <c r="L1046" i="4" s="1"/>
  <c r="L1047" i="4" s="1"/>
  <c r="L1048" i="4" s="1"/>
  <c r="L1049" i="4" s="1"/>
  <c r="L1050" i="4" s="1"/>
  <c r="L1051" i="4" s="1"/>
  <c r="L1052" i="4" s="1"/>
  <c r="L1053" i="4" s="1"/>
  <c r="L1054" i="4" s="1"/>
  <c r="L1055" i="4" s="1"/>
  <c r="L1056" i="4" s="1"/>
  <c r="L1057" i="4" s="1"/>
  <c r="L1058" i="4" s="1"/>
  <c r="L1059" i="4" s="1"/>
  <c r="L1060" i="4" s="1"/>
  <c r="L1061" i="4" s="1"/>
  <c r="L1062" i="4" s="1"/>
  <c r="L1063" i="4" s="1"/>
  <c r="L1064" i="4" s="1"/>
  <c r="L1065" i="4" s="1"/>
  <c r="L1066" i="4" s="1"/>
  <c r="L1067" i="4" s="1"/>
  <c r="L1068" i="4" s="1"/>
  <c r="L1069" i="4" s="1"/>
  <c r="L1070" i="4" s="1"/>
  <c r="L1071" i="4" s="1"/>
  <c r="L1072" i="4" s="1"/>
  <c r="L1073" i="4" s="1"/>
  <c r="L1074" i="4" s="1"/>
  <c r="L1075" i="4" s="1"/>
  <c r="L1076" i="4" s="1"/>
  <c r="L1077" i="4" s="1"/>
  <c r="L1078" i="4" s="1"/>
  <c r="L1079" i="4" s="1"/>
  <c r="L1080" i="4" s="1"/>
  <c r="L1081" i="4" s="1"/>
  <c r="L1082" i="4" s="1"/>
  <c r="L1083" i="4" s="1"/>
  <c r="L1084" i="4" s="1"/>
  <c r="L1085" i="4" s="1"/>
  <c r="L1086" i="4" s="1"/>
  <c r="L1087" i="4" s="1"/>
  <c r="L1088" i="4" s="1"/>
  <c r="L1089" i="4" s="1"/>
  <c r="L1090" i="4" s="1"/>
  <c r="L1091" i="4" s="1"/>
  <c r="L1092" i="4" s="1"/>
  <c r="L1093" i="4" s="1"/>
  <c r="L1094" i="4" s="1"/>
  <c r="L1095" i="4" s="1"/>
  <c r="L1096" i="4" s="1"/>
  <c r="L1097" i="4" s="1"/>
  <c r="L1098" i="4" s="1"/>
  <c r="L1099" i="4" s="1"/>
  <c r="L1100" i="4" s="1"/>
  <c r="L1101" i="4" s="1"/>
  <c r="L1102" i="4" s="1"/>
  <c r="L1103" i="4" s="1"/>
  <c r="L1104" i="4" s="1"/>
  <c r="L1105" i="4" s="1"/>
  <c r="L1106" i="4" s="1"/>
  <c r="L1107" i="4" s="1"/>
  <c r="L1108" i="4" s="1"/>
  <c r="L1109" i="4" s="1"/>
  <c r="L1110" i="4" s="1"/>
  <c r="L1111" i="4" s="1"/>
  <c r="L1112" i="4" s="1"/>
  <c r="L1113" i="4" s="1"/>
  <c r="L1114" i="4" s="1"/>
  <c r="L1115" i="4" s="1"/>
  <c r="L1116" i="4" s="1"/>
  <c r="L1117" i="4" s="1"/>
  <c r="L1118" i="4" s="1"/>
  <c r="L1119" i="4" s="1"/>
  <c r="L1120" i="4" s="1"/>
  <c r="L1121" i="4" s="1"/>
  <c r="L1122" i="4" s="1"/>
  <c r="L1123" i="4" s="1"/>
  <c r="L1124" i="4" s="1"/>
  <c r="L1125" i="4" s="1"/>
  <c r="L1126" i="4" s="1"/>
  <c r="L1127" i="4" s="1"/>
  <c r="L1128" i="4" s="1"/>
  <c r="L1129" i="4" s="1"/>
  <c r="L1130" i="4" s="1"/>
  <c r="L1131" i="4" s="1"/>
  <c r="L1132" i="4" s="1"/>
  <c r="L1133" i="4" s="1"/>
  <c r="L1134" i="4" s="1"/>
  <c r="L1135" i="4" s="1"/>
  <c r="L1136" i="4" s="1"/>
  <c r="L1137" i="4" s="1"/>
  <c r="L1138" i="4" s="1"/>
  <c r="L1139" i="4" s="1"/>
  <c r="L1140" i="4" s="1"/>
  <c r="L1141" i="4" s="1"/>
  <c r="L1142" i="4" s="1"/>
  <c r="L1143" i="4" s="1"/>
  <c r="L1144" i="4" s="1"/>
  <c r="L1145" i="4" s="1"/>
  <c r="L1146" i="4" s="1"/>
  <c r="L1147" i="4" s="1"/>
  <c r="L1148" i="4" s="1"/>
  <c r="L1149" i="4" s="1"/>
  <c r="L1150" i="4" s="1"/>
  <c r="L1151" i="4" s="1"/>
  <c r="L1152" i="4" s="1"/>
  <c r="L1153" i="4" s="1"/>
  <c r="L1154" i="4" s="1"/>
  <c r="L1155" i="4" s="1"/>
  <c r="L1156" i="4" s="1"/>
  <c r="L1157" i="4" s="1"/>
  <c r="L1158" i="4" s="1"/>
  <c r="L1159" i="4" s="1"/>
  <c r="L1160" i="4" s="1"/>
  <c r="L1161" i="4" s="1"/>
  <c r="L1162" i="4" s="1"/>
  <c r="L1163" i="4" s="1"/>
  <c r="L1164" i="4" s="1"/>
  <c r="L1165" i="4" s="1"/>
  <c r="L1166" i="4" s="1"/>
  <c r="L1167" i="4" s="1"/>
  <c r="L1168" i="4" s="1"/>
  <c r="L1169" i="4" s="1"/>
  <c r="L1170" i="4" s="1"/>
  <c r="L1171" i="4" s="1"/>
  <c r="L1172" i="4" s="1"/>
  <c r="L1173" i="4" s="1"/>
  <c r="L1174" i="4" s="1"/>
  <c r="L1175" i="4" s="1"/>
  <c r="L1176" i="4" s="1"/>
  <c r="L1177" i="4" s="1"/>
  <c r="L1178" i="4" s="1"/>
  <c r="L1179" i="4" s="1"/>
  <c r="L1180" i="4" s="1"/>
  <c r="L1181" i="4" s="1"/>
  <c r="L1182" i="4" s="1"/>
  <c r="L1183" i="4" s="1"/>
  <c r="L1184" i="4" s="1"/>
  <c r="L1185" i="4" s="1"/>
  <c r="L1186" i="4" s="1"/>
  <c r="L1187" i="4" s="1"/>
  <c r="L1188" i="4" s="1"/>
  <c r="L1189" i="4" s="1"/>
  <c r="L1190" i="4" s="1"/>
  <c r="L1191" i="4" s="1"/>
  <c r="L1192" i="4" s="1"/>
  <c r="L1193" i="4" s="1"/>
  <c r="L1194" i="4" s="1"/>
  <c r="L1195" i="4" s="1"/>
  <c r="L1196" i="4" s="1"/>
  <c r="L1197" i="4" s="1"/>
  <c r="L1198" i="4" s="1"/>
  <c r="L1199" i="4" s="1"/>
  <c r="L1200" i="4" s="1"/>
  <c r="L1201" i="4" s="1"/>
  <c r="L1202" i="4" s="1"/>
  <c r="L1203" i="4" s="1"/>
  <c r="L1204" i="4" s="1"/>
  <c r="L1205" i="4" s="1"/>
  <c r="L1206" i="4" s="1"/>
  <c r="L1207" i="4" s="1"/>
  <c r="L1208" i="4" s="1"/>
  <c r="L1209" i="4" s="1"/>
  <c r="L1210" i="4" s="1"/>
  <c r="L1211" i="4" s="1"/>
  <c r="L1212" i="4" s="1"/>
  <c r="L1213" i="4" s="1"/>
  <c r="L1214" i="4" s="1"/>
  <c r="L1215" i="4" s="1"/>
  <c r="L1216" i="4" s="1"/>
  <c r="L1217" i="4" s="1"/>
  <c r="L1218" i="4" s="1"/>
  <c r="L1219" i="4" s="1"/>
  <c r="L1220" i="4" s="1"/>
  <c r="L1221" i="4" s="1"/>
  <c r="L1222" i="4" s="1"/>
  <c r="L1223" i="4" s="1"/>
  <c r="L1224" i="4" s="1"/>
  <c r="L1225" i="4" s="1"/>
  <c r="L1226" i="4" s="1"/>
  <c r="L1227" i="4" s="1"/>
  <c r="L1228" i="4" s="1"/>
  <c r="L1229" i="4" s="1"/>
  <c r="L1230" i="4" s="1"/>
  <c r="L1231" i="4" s="1"/>
  <c r="L1232" i="4" s="1"/>
  <c r="L1233" i="4" s="1"/>
  <c r="L1234" i="4" s="1"/>
  <c r="L1235" i="4" s="1"/>
  <c r="L1236" i="4" s="1"/>
  <c r="L1237" i="4" s="1"/>
  <c r="L1238" i="4" s="1"/>
  <c r="L1239" i="4" s="1"/>
  <c r="L1240" i="4" s="1"/>
  <c r="L1241" i="4" s="1"/>
  <c r="L1242" i="4" s="1"/>
  <c r="L1243" i="4" s="1"/>
  <c r="L1244" i="4" s="1"/>
  <c r="L1245" i="4" s="1"/>
  <c r="L1246" i="4" s="1"/>
  <c r="L1247" i="4" s="1"/>
  <c r="L1248" i="4" s="1"/>
  <c r="L1249" i="4" s="1"/>
  <c r="L1250" i="4" s="1"/>
  <c r="L1251" i="4" s="1"/>
  <c r="L1252" i="4" s="1"/>
  <c r="L1253" i="4" s="1"/>
  <c r="L1254" i="4" s="1"/>
  <c r="L1255" i="4" s="1"/>
  <c r="L1256" i="4" s="1"/>
  <c r="L1257" i="4" s="1"/>
  <c r="L1258" i="4" s="1"/>
  <c r="L1259" i="4" s="1"/>
  <c r="L1260" i="4" s="1"/>
  <c r="L1261" i="4" s="1"/>
  <c r="L1262" i="4" s="1"/>
  <c r="L1263" i="4" s="1"/>
  <c r="L1264" i="4" s="1"/>
  <c r="L1265" i="4" s="1"/>
  <c r="L1266" i="4" s="1"/>
  <c r="L1267" i="4" s="1"/>
  <c r="L1268" i="4" s="1"/>
  <c r="L1269" i="4" s="1"/>
  <c r="L1270" i="4" s="1"/>
  <c r="L1271" i="4" s="1"/>
  <c r="L1272" i="4" s="1"/>
  <c r="L1273" i="4" s="1"/>
  <c r="L1274" i="4" s="1"/>
  <c r="L1275" i="4" s="1"/>
  <c r="L1276" i="4" s="1"/>
  <c r="L1277" i="4" s="1"/>
  <c r="L1278" i="4" s="1"/>
  <c r="L1279" i="4" s="1"/>
  <c r="L1280" i="4" s="1"/>
  <c r="L1281" i="4" s="1"/>
  <c r="L1282" i="4" s="1"/>
  <c r="L1283" i="4" s="1"/>
  <c r="L1284" i="4" s="1"/>
  <c r="L1285" i="4" s="1"/>
  <c r="L1286" i="4" s="1"/>
  <c r="L1287" i="4" s="1"/>
  <c r="L1288" i="4" s="1"/>
  <c r="L1289" i="4" s="1"/>
  <c r="L1290" i="4" s="1"/>
  <c r="L1291" i="4" s="1"/>
  <c r="L1292" i="4" s="1"/>
  <c r="L1293" i="4" s="1"/>
  <c r="L1294" i="4" s="1"/>
  <c r="L1295" i="4" s="1"/>
  <c r="L1296" i="4" s="1"/>
  <c r="L1297" i="4" s="1"/>
  <c r="L1298" i="4" s="1"/>
  <c r="L1299" i="4" s="1"/>
  <c r="L1300" i="4" s="1"/>
  <c r="L1301" i="4" s="1"/>
  <c r="L1302" i="4" s="1"/>
  <c r="L1303" i="4" s="1"/>
  <c r="L1304" i="4" s="1"/>
  <c r="L1305" i="4" s="1"/>
  <c r="L1306" i="4" s="1"/>
  <c r="L1307" i="4" s="1"/>
  <c r="L1308" i="4" s="1"/>
  <c r="L1309" i="4" s="1"/>
  <c r="L1310" i="4" s="1"/>
  <c r="L1311" i="4" s="1"/>
  <c r="L1312" i="4" s="1"/>
  <c r="L1313" i="4" s="1"/>
  <c r="L1314" i="4" s="1"/>
  <c r="L1315" i="4" s="1"/>
  <c r="L1316" i="4" s="1"/>
  <c r="L1317" i="4" s="1"/>
  <c r="L1318" i="4" s="1"/>
  <c r="L1319" i="4" s="1"/>
  <c r="L1320" i="4" s="1"/>
  <c r="L1321" i="4" s="1"/>
  <c r="L1322" i="4" s="1"/>
  <c r="L1323" i="4" s="1"/>
  <c r="L1324" i="4" s="1"/>
  <c r="L1325" i="4" s="1"/>
  <c r="L1326" i="4" s="1"/>
  <c r="L1327" i="4" s="1"/>
  <c r="L1328" i="4" s="1"/>
  <c r="L1329" i="4" s="1"/>
  <c r="L1330" i="4" s="1"/>
  <c r="L1331" i="4" s="1"/>
  <c r="L1332" i="4" s="1"/>
  <c r="L1333" i="4" s="1"/>
  <c r="L1334" i="4" s="1"/>
  <c r="L1335" i="4" s="1"/>
  <c r="L1336" i="4" s="1"/>
  <c r="L1337" i="4" s="1"/>
  <c r="L1338" i="4" s="1"/>
  <c r="L1339" i="4" s="1"/>
  <c r="L1340" i="4" s="1"/>
  <c r="L1341" i="4" s="1"/>
  <c r="L1342" i="4" s="1"/>
  <c r="L1343" i="4" s="1"/>
  <c r="L1344" i="4" s="1"/>
  <c r="L1345" i="4" s="1"/>
  <c r="L1346" i="4" s="1"/>
  <c r="L1347" i="4" s="1"/>
  <c r="L1348" i="4" s="1"/>
  <c r="L1349" i="4" s="1"/>
  <c r="L1350" i="4" s="1"/>
  <c r="L1351" i="4" s="1"/>
  <c r="L1352" i="4" s="1"/>
  <c r="L1353" i="4" s="1"/>
  <c r="L1354" i="4" s="1"/>
  <c r="L1355" i="4" s="1"/>
  <c r="L1356" i="4" s="1"/>
  <c r="L1357" i="4" s="1"/>
  <c r="L1358" i="4" s="1"/>
  <c r="L1359" i="4" s="1"/>
  <c r="L1360" i="4" s="1"/>
  <c r="L1361" i="4" s="1"/>
  <c r="L1362" i="4" s="1"/>
  <c r="L1363" i="4" s="1"/>
  <c r="L1364" i="4" s="1"/>
  <c r="L1365" i="4" s="1"/>
  <c r="L1366" i="4" s="1"/>
  <c r="L1367" i="4" s="1"/>
  <c r="L1368" i="4" s="1"/>
  <c r="L1369" i="4" s="1"/>
  <c r="L1370" i="4" s="1"/>
  <c r="L1371" i="4" s="1"/>
  <c r="L1372" i="4" s="1"/>
  <c r="L1373" i="4" s="1"/>
  <c r="L1374" i="4" s="1"/>
  <c r="L1375" i="4" s="1"/>
  <c r="L1376" i="4" s="1"/>
  <c r="L1377" i="4" s="1"/>
  <c r="L1378" i="4" s="1"/>
  <c r="L1379" i="4" s="1"/>
  <c r="L1380" i="4" s="1"/>
  <c r="L1381" i="4" s="1"/>
  <c r="L1382" i="4" s="1"/>
  <c r="L1383" i="4" s="1"/>
  <c r="L1384" i="4" s="1"/>
  <c r="L1385" i="4" s="1"/>
  <c r="L1386" i="4" s="1"/>
  <c r="L1387" i="4" s="1"/>
  <c r="L1388" i="4" s="1"/>
  <c r="L1389" i="4" s="1"/>
  <c r="L1390" i="4" s="1"/>
  <c r="L1391" i="4" s="1"/>
  <c r="L1392" i="4" s="1"/>
  <c r="L1393" i="4" s="1"/>
  <c r="L1394" i="4" s="1"/>
  <c r="L1395" i="4" s="1"/>
  <c r="L1396" i="4" s="1"/>
  <c r="L1397" i="4" s="1"/>
  <c r="L1398" i="4" s="1"/>
  <c r="L1399" i="4" s="1"/>
  <c r="L1400" i="4" s="1"/>
  <c r="L1401" i="4" s="1"/>
  <c r="L1402" i="4" s="1"/>
  <c r="L1403" i="4" s="1"/>
  <c r="L1404" i="4" s="1"/>
  <c r="L1405" i="4" s="1"/>
  <c r="L1406" i="4" s="1"/>
  <c r="L1407" i="4" s="1"/>
  <c r="L1408" i="4" s="1"/>
  <c r="L1409" i="4" s="1"/>
  <c r="L1410" i="4" s="1"/>
  <c r="L1411" i="4" s="1"/>
  <c r="L1412" i="4" s="1"/>
  <c r="L1413" i="4" s="1"/>
  <c r="L1414" i="4" s="1"/>
  <c r="L1415" i="4" s="1"/>
  <c r="L1416" i="4" s="1"/>
  <c r="L1417" i="4" s="1"/>
  <c r="L1418" i="4" s="1"/>
  <c r="L1419" i="4" s="1"/>
  <c r="L1420" i="4" s="1"/>
  <c r="L1421" i="4" s="1"/>
  <c r="L1422" i="4" s="1"/>
  <c r="L1423" i="4" s="1"/>
  <c r="L1424" i="4" s="1"/>
  <c r="L1425" i="4" s="1"/>
  <c r="L1426" i="4" s="1"/>
  <c r="L1427" i="4" s="1"/>
  <c r="L1428" i="4" s="1"/>
  <c r="L1429" i="4" s="1"/>
  <c r="L1430" i="4" s="1"/>
  <c r="L1431" i="4" s="1"/>
  <c r="L1432" i="4" s="1"/>
  <c r="L1433" i="4" s="1"/>
  <c r="L1434" i="4" s="1"/>
  <c r="L1435" i="4" s="1"/>
  <c r="L1436" i="4" s="1"/>
  <c r="L1437" i="4" s="1"/>
  <c r="L1438" i="4" s="1"/>
  <c r="L1439" i="4" s="1"/>
  <c r="L1440" i="4" s="1"/>
  <c r="L1441" i="4" s="1"/>
  <c r="L1442" i="4" s="1"/>
  <c r="L1443" i="4" s="1"/>
  <c r="L1444" i="4" s="1"/>
  <c r="L1445" i="4" s="1"/>
  <c r="L1446" i="4" s="1"/>
  <c r="L1447" i="4" s="1"/>
  <c r="L1448" i="4" s="1"/>
  <c r="L1449" i="4" s="1"/>
  <c r="L1450" i="4" s="1"/>
  <c r="L1451" i="4" s="1"/>
  <c r="L1452" i="4" s="1"/>
  <c r="L1453" i="4" s="1"/>
  <c r="L1454" i="4" s="1"/>
  <c r="L1455" i="4" s="1"/>
  <c r="L1456" i="4" s="1"/>
  <c r="L1457" i="4" s="1"/>
  <c r="L1458" i="4" s="1"/>
  <c r="L1459" i="4" s="1"/>
  <c r="L1460" i="4" s="1"/>
  <c r="L1461" i="4" s="1"/>
  <c r="L1462" i="4" s="1"/>
  <c r="L1463" i="4" s="1"/>
  <c r="L1464" i="4" s="1"/>
  <c r="L1465" i="4" s="1"/>
  <c r="L1466" i="4" s="1"/>
  <c r="L1467" i="4" s="1"/>
  <c r="L1468" i="4" s="1"/>
  <c r="L1469" i="4" s="1"/>
  <c r="L1470" i="4" s="1"/>
  <c r="L1471" i="4" s="1"/>
  <c r="L1472" i="4" s="1"/>
  <c r="L1473" i="4" s="1"/>
  <c r="L1474" i="4" s="1"/>
  <c r="L1475" i="4" s="1"/>
  <c r="L1476" i="4" s="1"/>
  <c r="L1477" i="4" s="1"/>
  <c r="L1478" i="4" s="1"/>
  <c r="L1479" i="4" s="1"/>
  <c r="L1480" i="4" s="1"/>
  <c r="L1481" i="4" s="1"/>
  <c r="L1482" i="4" s="1"/>
  <c r="L1483" i="4" s="1"/>
  <c r="L1484" i="4" s="1"/>
  <c r="L1485" i="4" s="1"/>
  <c r="L1486" i="4" s="1"/>
  <c r="L1487" i="4" s="1"/>
  <c r="L1488" i="4" s="1"/>
  <c r="L1489" i="4" s="1"/>
  <c r="L1490" i="4" s="1"/>
  <c r="L1491" i="4" s="1"/>
  <c r="L1492" i="4" s="1"/>
  <c r="L1493" i="4" s="1"/>
  <c r="L1494" i="4" s="1"/>
  <c r="L1495" i="4" s="1"/>
  <c r="L1496" i="4" s="1"/>
  <c r="L1497" i="4" s="1"/>
  <c r="L1498" i="4" s="1"/>
  <c r="L1499" i="4" s="1"/>
  <c r="L1500" i="4" s="1"/>
  <c r="L1501" i="4" s="1"/>
  <c r="L1502" i="4" s="1"/>
  <c r="L1503" i="4" s="1"/>
  <c r="L1504" i="4" s="1"/>
  <c r="L1505" i="4" s="1"/>
  <c r="L1506" i="4" s="1"/>
  <c r="L1507" i="4" s="1"/>
  <c r="L1508" i="4" s="1"/>
  <c r="L1509" i="4" s="1"/>
  <c r="L1510" i="4" s="1"/>
  <c r="L1511" i="4" s="1"/>
  <c r="L1512" i="4" s="1"/>
  <c r="L1513" i="4" s="1"/>
  <c r="L1514" i="4" s="1"/>
  <c r="L1515" i="4" s="1"/>
  <c r="L1516" i="4" s="1"/>
  <c r="L1517" i="4" s="1"/>
  <c r="L1518" i="4" s="1"/>
  <c r="L1519" i="4" s="1"/>
  <c r="L1520" i="4" s="1"/>
  <c r="L1521" i="4" s="1"/>
  <c r="L1522" i="4" s="1"/>
  <c r="L1523" i="4" s="1"/>
  <c r="L1524" i="4" s="1"/>
  <c r="L1525" i="4" s="1"/>
  <c r="L1526" i="4" s="1"/>
  <c r="L1527" i="4" s="1"/>
  <c r="L1528" i="4" s="1"/>
  <c r="L1529" i="4" s="1"/>
  <c r="L1530" i="4" s="1"/>
  <c r="L1531" i="4" s="1"/>
  <c r="L1532" i="4" s="1"/>
  <c r="L1533" i="4" s="1"/>
  <c r="L1534" i="4" s="1"/>
  <c r="L1535" i="4" s="1"/>
  <c r="L1536" i="4" s="1"/>
  <c r="L1537" i="4" s="1"/>
  <c r="L1538" i="4" s="1"/>
  <c r="L1539" i="4" s="1"/>
  <c r="L1540" i="4" s="1"/>
  <c r="L1541" i="4" s="1"/>
  <c r="L1542" i="4" s="1"/>
  <c r="L1543" i="4" s="1"/>
  <c r="L1544" i="4" s="1"/>
  <c r="L1545" i="4" s="1"/>
  <c r="L1546" i="4" s="1"/>
  <c r="L1547" i="4" s="1"/>
  <c r="L1548" i="4" s="1"/>
  <c r="L1549" i="4" s="1"/>
  <c r="L1550" i="4" s="1"/>
  <c r="L1551" i="4" s="1"/>
  <c r="L1552" i="4" s="1"/>
  <c r="L1553" i="4" s="1"/>
  <c r="L1554" i="4" s="1"/>
  <c r="L1555" i="4" s="1"/>
  <c r="L1556" i="4" s="1"/>
  <c r="L1557" i="4" s="1"/>
  <c r="L1558" i="4" s="1"/>
  <c r="L1559" i="4" s="1"/>
  <c r="L1560" i="4" s="1"/>
  <c r="L1561" i="4" s="1"/>
  <c r="L1562" i="4" s="1"/>
  <c r="L1563" i="4" s="1"/>
  <c r="L1564" i="4" s="1"/>
  <c r="L1565" i="4" s="1"/>
  <c r="L1566" i="4" s="1"/>
  <c r="L1567" i="4" s="1"/>
  <c r="L1568" i="4" s="1"/>
  <c r="L1569" i="4" s="1"/>
  <c r="L1570" i="4" s="1"/>
  <c r="L1571" i="4" s="1"/>
  <c r="L1572" i="4" s="1"/>
  <c r="L1573" i="4" s="1"/>
  <c r="L1574" i="4" s="1"/>
  <c r="L1575" i="4" s="1"/>
  <c r="L1576" i="4" s="1"/>
  <c r="L1577" i="4" s="1"/>
  <c r="L1578" i="4" s="1"/>
  <c r="L1579" i="4" s="1"/>
  <c r="L1580" i="4" s="1"/>
  <c r="L1581" i="4" s="1"/>
  <c r="L1582" i="4" s="1"/>
  <c r="L1583" i="4" s="1"/>
  <c r="L1584" i="4" s="1"/>
  <c r="L1585" i="4" s="1"/>
  <c r="L1586" i="4" s="1"/>
  <c r="L1587" i="4" s="1"/>
  <c r="L1588" i="4" s="1"/>
  <c r="L1589" i="4" s="1"/>
  <c r="L1590" i="4" s="1"/>
  <c r="L1591" i="4" s="1"/>
  <c r="L1592" i="4" s="1"/>
  <c r="L1593" i="4" s="1"/>
  <c r="L1594" i="4" s="1"/>
  <c r="L1595" i="4" s="1"/>
  <c r="L1596" i="4" s="1"/>
  <c r="L1597" i="4" s="1"/>
  <c r="L1598" i="4" s="1"/>
  <c r="L1599" i="4" s="1"/>
  <c r="L1600" i="4" s="1"/>
  <c r="L1601" i="4" s="1"/>
  <c r="L1602" i="4" s="1"/>
  <c r="L1603" i="4" s="1"/>
  <c r="L1604" i="4" s="1"/>
  <c r="L1605" i="4" s="1"/>
  <c r="L1606" i="4" s="1"/>
  <c r="L1607" i="4" s="1"/>
  <c r="L1608" i="4" s="1"/>
  <c r="L1609" i="4" s="1"/>
  <c r="L1610" i="4" s="1"/>
  <c r="L1611" i="4" s="1"/>
  <c r="L1612" i="4" s="1"/>
  <c r="L1613" i="4" s="1"/>
  <c r="L1614" i="4" s="1"/>
  <c r="L1615" i="4" s="1"/>
  <c r="L1616" i="4" s="1"/>
  <c r="L1617" i="4" s="1"/>
  <c r="L1618" i="4" s="1"/>
  <c r="L1619" i="4" s="1"/>
  <c r="L1620" i="4" s="1"/>
  <c r="L1621" i="4" s="1"/>
  <c r="L1622" i="4" s="1"/>
  <c r="L1623" i="4" s="1"/>
  <c r="L1624" i="4" s="1"/>
  <c r="L1625" i="4" s="1"/>
  <c r="L1626" i="4" s="1"/>
  <c r="L1627" i="4" s="1"/>
  <c r="L1628" i="4" s="1"/>
  <c r="L1629" i="4" s="1"/>
  <c r="L1630" i="4" s="1"/>
  <c r="L1631" i="4" s="1"/>
  <c r="L1632" i="4" s="1"/>
  <c r="L1633" i="4" s="1"/>
  <c r="L1634" i="4" s="1"/>
  <c r="L1635" i="4" s="1"/>
  <c r="L1636" i="4" s="1"/>
  <c r="L1637" i="4" s="1"/>
  <c r="L1638" i="4" s="1"/>
  <c r="L1639" i="4" s="1"/>
  <c r="L1640" i="4" s="1"/>
  <c r="L1641" i="4" s="1"/>
  <c r="L1642" i="4" s="1"/>
  <c r="L1643" i="4" s="1"/>
  <c r="L1644" i="4" s="1"/>
  <c r="L1645" i="4" s="1"/>
  <c r="L1646" i="4" s="1"/>
  <c r="L1647" i="4" s="1"/>
  <c r="L1648" i="4" s="1"/>
  <c r="L1649" i="4" s="1"/>
  <c r="L1650" i="4" s="1"/>
  <c r="L1651" i="4" s="1"/>
  <c r="L1652" i="4" s="1"/>
  <c r="L1653" i="4" s="1"/>
  <c r="L1654" i="4" s="1"/>
  <c r="L1655" i="4" s="1"/>
  <c r="L1656" i="4" s="1"/>
  <c r="L1657" i="4" s="1"/>
  <c r="L1658" i="4" s="1"/>
  <c r="L1659" i="4" s="1"/>
  <c r="L1660" i="4" s="1"/>
  <c r="L1661" i="4" s="1"/>
  <c r="L1662" i="4" s="1"/>
  <c r="L1663" i="4" s="1"/>
  <c r="L1664" i="4" s="1"/>
  <c r="L1665" i="4" s="1"/>
  <c r="L1666" i="4" s="1"/>
  <c r="L1667" i="4" s="1"/>
  <c r="L1668" i="4" s="1"/>
  <c r="L1669" i="4" s="1"/>
  <c r="L1670" i="4" s="1"/>
  <c r="L1671" i="4" s="1"/>
  <c r="L1672" i="4" s="1"/>
  <c r="L1673" i="4" s="1"/>
  <c r="L1674" i="4" s="1"/>
  <c r="L1675" i="4" s="1"/>
  <c r="L1676" i="4" s="1"/>
  <c r="L1677" i="4" s="1"/>
  <c r="L1678" i="4" s="1"/>
  <c r="L1679" i="4" s="1"/>
  <c r="L1680" i="4" s="1"/>
  <c r="L1681" i="4" s="1"/>
  <c r="L1682" i="4" s="1"/>
  <c r="L1683" i="4" s="1"/>
  <c r="L1684" i="4" s="1"/>
  <c r="L1685" i="4" s="1"/>
  <c r="L1686" i="4" s="1"/>
  <c r="L1687" i="4" s="1"/>
  <c r="L1688" i="4" s="1"/>
  <c r="L1689" i="4" s="1"/>
  <c r="L1690" i="4" s="1"/>
  <c r="L1691" i="4" s="1"/>
  <c r="L1692" i="4" s="1"/>
  <c r="L1693" i="4" s="1"/>
  <c r="L1694" i="4" s="1"/>
  <c r="L1695" i="4" s="1"/>
  <c r="L1696" i="4" s="1"/>
  <c r="L1697" i="4" s="1"/>
  <c r="L1698" i="4" s="1"/>
  <c r="L1699" i="4" s="1"/>
  <c r="L1700" i="4" s="1"/>
  <c r="L1701" i="4" s="1"/>
  <c r="L1702" i="4" s="1"/>
  <c r="L1703" i="4" s="1"/>
  <c r="L1704" i="4" s="1"/>
  <c r="L1705" i="4" s="1"/>
  <c r="L1706" i="4" s="1"/>
  <c r="L1707" i="4" s="1"/>
  <c r="L1708" i="4" s="1"/>
  <c r="L1709" i="4" s="1"/>
  <c r="L1710" i="4" s="1"/>
  <c r="L1711" i="4" s="1"/>
  <c r="L1712" i="4" s="1"/>
  <c r="L1713" i="4" s="1"/>
  <c r="L1714" i="4" s="1"/>
  <c r="L1715" i="4" s="1"/>
  <c r="L1716" i="4" s="1"/>
  <c r="L1717" i="4" s="1"/>
  <c r="L1718" i="4" s="1"/>
  <c r="L1719" i="4" s="1"/>
  <c r="L1720" i="4" s="1"/>
  <c r="L1721" i="4" s="1"/>
  <c r="L1722" i="4" s="1"/>
  <c r="L1723" i="4" s="1"/>
  <c r="L1724" i="4" s="1"/>
  <c r="L1725" i="4" s="1"/>
  <c r="L1726" i="4" s="1"/>
  <c r="L1727" i="4" s="1"/>
  <c r="L1728" i="4" s="1"/>
  <c r="L1729" i="4" s="1"/>
  <c r="L1730" i="4" s="1"/>
  <c r="L1731" i="4" s="1"/>
  <c r="L1732" i="4" s="1"/>
  <c r="L1733" i="4" s="1"/>
  <c r="L1734" i="4" s="1"/>
  <c r="L1735" i="4" s="1"/>
  <c r="L1736" i="4" s="1"/>
  <c r="L1737" i="4" s="1"/>
  <c r="L1738" i="4" s="1"/>
  <c r="L1739" i="4" s="1"/>
  <c r="L1740" i="4" s="1"/>
  <c r="L1741" i="4" s="1"/>
  <c r="L1742" i="4" s="1"/>
  <c r="L1743" i="4" s="1"/>
  <c r="L1744" i="4" s="1"/>
  <c r="L1745" i="4" s="1"/>
  <c r="L1746" i="4" s="1"/>
  <c r="L1747" i="4" s="1"/>
  <c r="L1748" i="4" s="1"/>
  <c r="L1749" i="4" s="1"/>
  <c r="L1750" i="4" s="1"/>
  <c r="L1751" i="4" s="1"/>
  <c r="L1752" i="4" s="1"/>
  <c r="L1753" i="4" s="1"/>
  <c r="L1754" i="4" s="1"/>
  <c r="L1755" i="4" s="1"/>
  <c r="L1756" i="4" s="1"/>
  <c r="L1757" i="4" s="1"/>
  <c r="L1758" i="4" s="1"/>
  <c r="L1759" i="4" s="1"/>
  <c r="L1760" i="4" s="1"/>
  <c r="L1761" i="4" s="1"/>
  <c r="L1762" i="4" s="1"/>
  <c r="L1763" i="4" s="1"/>
  <c r="L1764" i="4" s="1"/>
  <c r="O390" i="4"/>
  <c r="O387" i="4"/>
  <c r="I24" i="12"/>
  <c r="I25" i="12" s="1"/>
  <c r="I26" i="12" s="1"/>
  <c r="I66" i="12" s="1"/>
  <c r="K66" i="12" s="1"/>
  <c r="F97" i="10"/>
  <c r="AD97" i="10"/>
  <c r="G97" i="10" l="1"/>
  <c r="AE97" i="10"/>
  <c r="H97" i="10" l="1"/>
  <c r="I97" i="10" l="1"/>
  <c r="AG97" i="10"/>
  <c r="J97" i="10" l="1"/>
  <c r="AI97" i="10"/>
  <c r="K97" i="10" l="1"/>
  <c r="AJ97" i="10"/>
  <c r="L97" i="10" l="1"/>
  <c r="AK97" i="10"/>
  <c r="M97" i="10" l="1"/>
  <c r="AF97" i="10"/>
  <c r="AL97" i="10"/>
  <c r="N97" i="10" l="1"/>
  <c r="AM97" i="10"/>
  <c r="O97" i="10" l="1"/>
  <c r="BI18" i="10"/>
  <c r="AN97" i="10"/>
  <c r="P97" i="10" l="1"/>
  <c r="AO97" i="10"/>
  <c r="Q97" i="10" l="1"/>
  <c r="AP97" i="10"/>
  <c r="R97" i="10" l="1"/>
  <c r="BI19" i="10"/>
  <c r="S97" i="10"/>
  <c r="AQ97" i="10"/>
  <c r="T97" i="10" l="1"/>
  <c r="BI22" i="10"/>
  <c r="BI97" i="10" s="1"/>
  <c r="AR97" i="10"/>
  <c r="U97" i="10"/>
  <c r="V97" i="10" l="1"/>
  <c r="AT97" i="10"/>
  <c r="AU97" i="10" l="1"/>
  <c r="W97" i="10"/>
  <c r="AV97" i="10" l="1"/>
  <c r="Y97" i="10"/>
  <c r="X97" i="10"/>
  <c r="AW97" i="10" l="1"/>
  <c r="AX97" i="10" l="1"/>
  <c r="AY97" i="10" l="1"/>
  <c r="AZ97" i="10" l="1"/>
  <c r="BA97" i="10" l="1"/>
  <c r="BB97" i="10" l="1"/>
  <c r="BC97" i="10" l="1"/>
  <c r="BD97" i="10" l="1"/>
  <c r="BE97" i="10"/>
  <c r="BF97" i="10" l="1"/>
  <c r="U37" i="9" l="1"/>
  <c r="T37" i="9"/>
  <c r="U18" i="9"/>
  <c r="T18" i="9"/>
  <c r="U17" i="9"/>
  <c r="T17" i="9"/>
  <c r="F17" i="9"/>
  <c r="U16" i="9"/>
  <c r="T16" i="9"/>
  <c r="F16" i="9"/>
  <c r="U15" i="9"/>
  <c r="T15" i="9"/>
  <c r="U14" i="9"/>
  <c r="T14" i="9"/>
  <c r="U13" i="9"/>
  <c r="T13" i="9"/>
  <c r="U12" i="9"/>
  <c r="T12" i="9"/>
  <c r="F8" i="9"/>
  <c r="Q1" i="9"/>
  <c r="Q1" i="8"/>
  <c r="U15" i="7"/>
  <c r="U14" i="7"/>
  <c r="U13" i="7"/>
  <c r="U12" i="7"/>
  <c r="U11" i="7"/>
  <c r="U10" i="7"/>
  <c r="U9" i="7"/>
  <c r="A3" i="7"/>
  <c r="N1" i="6"/>
  <c r="A3" i="6" s="1"/>
  <c r="A4" i="5"/>
  <c r="A3" i="5"/>
  <c r="A2" i="4"/>
  <c r="A1" i="4"/>
  <c r="L26" i="8" l="1"/>
  <c r="J26" i="8"/>
  <c r="J7" i="9"/>
  <c r="H7" i="9"/>
  <c r="L28" i="8"/>
  <c r="H10" i="9"/>
  <c r="J10" i="9"/>
  <c r="H9" i="9"/>
  <c r="J9" i="9"/>
  <c r="J20" i="8"/>
  <c r="L20" i="8"/>
  <c r="A3" i="8"/>
  <c r="L19" i="8"/>
  <c r="J19" i="8"/>
  <c r="L24" i="9"/>
  <c r="F6" i="9"/>
  <c r="AH35" i="9"/>
  <c r="AA34" i="9"/>
  <c r="AH32" i="9"/>
  <c r="AA31" i="9"/>
  <c r="AI29" i="9"/>
  <c r="AH28" i="9"/>
  <c r="AA27" i="9"/>
  <c r="AA16" i="9"/>
  <c r="AH15" i="9"/>
  <c r="AH14" i="9"/>
  <c r="AH13" i="9"/>
  <c r="AH12" i="9"/>
  <c r="AH11" i="9"/>
  <c r="AI10" i="9"/>
  <c r="AI9" i="9"/>
  <c r="AA6" i="9"/>
  <c r="AH29" i="9"/>
  <c r="AH10" i="9"/>
  <c r="AH9" i="9"/>
  <c r="AI25" i="9"/>
  <c r="AI36" i="9"/>
  <c r="AB35" i="9"/>
  <c r="AI33" i="9"/>
  <c r="AB32" i="9"/>
  <c r="AI30" i="9"/>
  <c r="AH36" i="9"/>
  <c r="AA29" i="9"/>
  <c r="AB25" i="9"/>
  <c r="AA10" i="9"/>
  <c r="AA9" i="9"/>
  <c r="AH8" i="9"/>
  <c r="AA25" i="9"/>
  <c r="AB36" i="9"/>
  <c r="AI34" i="9"/>
  <c r="AB33" i="9"/>
  <c r="AI31" i="9"/>
  <c r="AB30" i="9"/>
  <c r="AI27" i="9"/>
  <c r="AB26" i="9"/>
  <c r="AB18" i="9"/>
  <c r="AB17" i="9"/>
  <c r="AI16" i="9"/>
  <c r="AA36" i="9"/>
  <c r="AA8" i="9"/>
  <c r="AH6" i="9"/>
  <c r="AI35" i="9"/>
  <c r="AA30" i="9"/>
  <c r="AA26" i="9"/>
  <c r="AH16" i="9"/>
  <c r="AA15" i="9"/>
  <c r="AI8" i="9"/>
  <c r="AB6" i="9"/>
  <c r="AB13" i="9"/>
  <c r="AI11" i="9"/>
  <c r="AB8" i="9"/>
  <c r="AA35" i="9"/>
  <c r="AH25" i="9"/>
  <c r="AI17" i="9"/>
  <c r="AB16" i="9"/>
  <c r="AA13" i="9"/>
  <c r="AH34" i="9"/>
  <c r="AB29" i="9"/>
  <c r="AH17" i="9"/>
  <c r="AB11" i="9"/>
  <c r="AB34" i="9"/>
  <c r="AA17" i="9"/>
  <c r="AI14" i="9"/>
  <c r="AA11" i="9"/>
  <c r="AH33" i="9"/>
  <c r="AI28" i="9"/>
  <c r="AB9" i="9"/>
  <c r="AA33" i="9"/>
  <c r="AB28" i="9"/>
  <c r="AB14" i="9"/>
  <c r="AI12" i="9"/>
  <c r="AI32" i="9"/>
  <c r="AA28" i="9"/>
  <c r="AI18" i="9"/>
  <c r="AA14" i="9"/>
  <c r="AA32" i="9"/>
  <c r="AH27" i="9"/>
  <c r="AH18" i="9"/>
  <c r="AB12" i="9"/>
  <c r="AH31" i="9"/>
  <c r="AB27" i="9"/>
  <c r="AA18" i="9"/>
  <c r="AI15" i="9"/>
  <c r="AA12" i="9"/>
  <c r="AB31" i="9"/>
  <c r="AI26" i="9"/>
  <c r="AI6" i="9"/>
  <c r="AH30" i="9"/>
  <c r="AH26" i="9"/>
  <c r="AB15" i="9"/>
  <c r="AI13" i="9"/>
  <c r="AB10" i="9"/>
  <c r="L31" i="8"/>
  <c r="L13" i="8"/>
  <c r="L7" i="8"/>
  <c r="J31" i="8"/>
  <c r="J13" i="8"/>
  <c r="J7" i="8"/>
  <c r="L16" i="8"/>
  <c r="L10" i="8"/>
  <c r="J28" i="8"/>
  <c r="J16" i="8"/>
  <c r="J10" i="8"/>
  <c r="H29" i="9"/>
  <c r="J23" i="9"/>
  <c r="H23" i="9"/>
  <c r="J14" i="8"/>
  <c r="L12" i="8"/>
  <c r="L30" i="8"/>
  <c r="J12" i="8"/>
  <c r="J30" i="8"/>
  <c r="L11" i="8"/>
  <c r="J29" i="9"/>
  <c r="L9" i="8"/>
  <c r="J27" i="8"/>
  <c r="L8" i="8"/>
  <c r="J8" i="8"/>
  <c r="L18" i="8"/>
  <c r="J18" i="8"/>
  <c r="J17" i="9"/>
  <c r="L17" i="8"/>
  <c r="H17" i="9"/>
  <c r="L15" i="8"/>
  <c r="L14" i="8"/>
  <c r="H16" i="9"/>
  <c r="J17" i="8"/>
  <c r="J8" i="9"/>
  <c r="H8" i="9"/>
  <c r="J6" i="9"/>
  <c r="J16" i="9"/>
  <c r="H6" i="9"/>
  <c r="A3" i="9"/>
  <c r="A4" i="7"/>
  <c r="J9" i="8"/>
  <c r="J15" i="8"/>
  <c r="L27" i="8"/>
  <c r="J11" i="8"/>
  <c r="N26" i="8" l="1"/>
  <c r="L7" i="9"/>
  <c r="J33" i="8"/>
  <c r="L33" i="8"/>
  <c r="L10" i="9"/>
  <c r="L9" i="9"/>
  <c r="L27" i="5"/>
  <c r="J23" i="7"/>
  <c r="L23" i="7"/>
  <c r="J23" i="8"/>
  <c r="L23" i="8"/>
  <c r="L27" i="6"/>
  <c r="AJ25" i="9"/>
  <c r="AG26" i="9" s="1"/>
  <c r="AJ26" i="9" s="1"/>
  <c r="AG27" i="9" s="1"/>
  <c r="AJ27" i="9" s="1"/>
  <c r="AG28" i="9" s="1"/>
  <c r="AJ28" i="9" s="1"/>
  <c r="AG29" i="9" s="1"/>
  <c r="AJ29" i="9" s="1"/>
  <c r="AG30" i="9" s="1"/>
  <c r="AJ30" i="9" s="1"/>
  <c r="AG31" i="9" s="1"/>
  <c r="AJ31" i="9" s="1"/>
  <c r="AG32" i="9" s="1"/>
  <c r="AJ32" i="9" s="1"/>
  <c r="AG33" i="9" s="1"/>
  <c r="AJ33" i="9" s="1"/>
  <c r="AG34" i="9" s="1"/>
  <c r="AJ34" i="9" s="1"/>
  <c r="AG35" i="9" s="1"/>
  <c r="AJ35" i="9" s="1"/>
  <c r="AG36" i="9" s="1"/>
  <c r="AJ36" i="9" s="1"/>
  <c r="AJ6" i="9"/>
  <c r="AG8" i="9" s="1"/>
  <c r="H26" i="9"/>
  <c r="N28" i="8"/>
  <c r="AC6" i="9"/>
  <c r="Z8" i="9" s="1"/>
  <c r="N31" i="7"/>
  <c r="L17" i="9"/>
  <c r="AC25" i="9"/>
  <c r="Z26" i="9" s="1"/>
  <c r="AC26" i="9" s="1"/>
  <c r="Z27" i="9" s="1"/>
  <c r="AC27" i="9" s="1"/>
  <c r="Z28" i="9" s="1"/>
  <c r="AC28" i="9" s="1"/>
  <c r="Z29" i="9" s="1"/>
  <c r="AC29" i="9" s="1"/>
  <c r="Z30" i="9" s="1"/>
  <c r="AC30" i="9" s="1"/>
  <c r="Z31" i="9" s="1"/>
  <c r="AC31" i="9" s="1"/>
  <c r="Z32" i="9" s="1"/>
  <c r="AC32" i="9" s="1"/>
  <c r="Z33" i="9" s="1"/>
  <c r="AC33" i="9" s="1"/>
  <c r="Z34" i="9" s="1"/>
  <c r="AC34" i="9" s="1"/>
  <c r="Z35" i="9" s="1"/>
  <c r="AC35" i="9" s="1"/>
  <c r="Z36" i="9" s="1"/>
  <c r="AC36" i="9" s="1"/>
  <c r="L8" i="9"/>
  <c r="L16" i="9"/>
  <c r="L19" i="9" s="1"/>
  <c r="N27" i="7"/>
  <c r="J26" i="9"/>
  <c r="L10" i="5"/>
  <c r="N27" i="8"/>
  <c r="L10" i="6"/>
  <c r="N30" i="7"/>
  <c r="N30" i="8"/>
  <c r="N31" i="8"/>
  <c r="N29" i="7"/>
  <c r="AJ8" i="9" l="1"/>
  <c r="AG9" i="9" s="1"/>
  <c r="AJ9" i="9" s="1"/>
  <c r="AG10" i="9" s="1"/>
  <c r="AJ10" i="9" s="1"/>
  <c r="AG11" i="9" s="1"/>
  <c r="AJ11" i="9" s="1"/>
  <c r="AG12" i="9" s="1"/>
  <c r="AJ12" i="9" s="1"/>
  <c r="AG13" i="9" s="1"/>
  <c r="AJ13" i="9" s="1"/>
  <c r="AG14" i="9" s="1"/>
  <c r="AJ14" i="9" s="1"/>
  <c r="AG15" i="9" s="1"/>
  <c r="AJ15" i="9" s="1"/>
  <c r="AG16" i="9" s="1"/>
  <c r="AJ16" i="9" s="1"/>
  <c r="AG17" i="9" s="1"/>
  <c r="AJ17" i="9" s="1"/>
  <c r="AG18" i="9" s="1"/>
  <c r="AJ18" i="9" s="1"/>
  <c r="AC8" i="9"/>
  <c r="Z9" i="9" s="1"/>
  <c r="AC9" i="9" s="1"/>
  <c r="Z10" i="9" s="1"/>
  <c r="AC10" i="9" s="1"/>
  <c r="Z11" i="9" s="1"/>
  <c r="AC11" i="9" s="1"/>
  <c r="Z12" i="9" s="1"/>
  <c r="AC12" i="9" s="1"/>
  <c r="Z13" i="9" s="1"/>
  <c r="AC13" i="9" s="1"/>
  <c r="Z14" i="9" s="1"/>
  <c r="AC14" i="9" s="1"/>
  <c r="Z15" i="9" s="1"/>
  <c r="AC15" i="9" s="1"/>
  <c r="Z16" i="9" s="1"/>
  <c r="AC16" i="9" s="1"/>
  <c r="Z17" i="9" s="1"/>
  <c r="AC17" i="9" s="1"/>
  <c r="Z18" i="9" s="1"/>
  <c r="AC18" i="9" s="1"/>
  <c r="N23" i="8"/>
  <c r="N23" i="7"/>
  <c r="L29" i="5"/>
  <c r="S5" i="5" s="1"/>
  <c r="L29" i="6"/>
  <c r="N33" i="7"/>
  <c r="V8" i="7" s="1"/>
  <c r="N33" i="8"/>
  <c r="U7" i="7" l="1"/>
  <c r="S13" i="5"/>
  <c r="U8" i="9"/>
  <c r="U9" i="9"/>
  <c r="U10" i="9"/>
  <c r="U6" i="7"/>
  <c r="T9" i="9"/>
  <c r="T8" i="9"/>
  <c r="U5" i="7"/>
  <c r="U6" i="9"/>
  <c r="V16" i="7"/>
  <c r="U4" i="7"/>
  <c r="T6" i="9"/>
  <c r="U8" i="7"/>
  <c r="T11" i="9"/>
  <c r="N35" i="8"/>
  <c r="N35" i="7"/>
  <c r="R35" i="8"/>
  <c r="L25" i="9"/>
  <c r="L26" i="9" s="1"/>
  <c r="L29" i="9" s="1"/>
  <c r="R37" i="7"/>
  <c r="Q29" i="6"/>
  <c r="R29" i="6" s="1"/>
  <c r="S37" i="7"/>
  <c r="S35" i="8"/>
  <c r="T10" i="9"/>
  <c r="V6" i="9" l="1"/>
  <c r="S8" i="9" s="1"/>
  <c r="V8" i="9" s="1"/>
  <c r="S9" i="9" s="1"/>
  <c r="V9" i="9" s="1"/>
  <c r="S10" i="9" s="1"/>
  <c r="V10" i="9" s="1"/>
  <c r="U11" i="9"/>
  <c r="U19" i="9" s="1"/>
  <c r="U16" i="7"/>
  <c r="T19" i="9"/>
  <c r="S11" i="9" l="1"/>
  <c r="V11" i="9" s="1"/>
  <c r="S12" i="9" l="1"/>
  <c r="V12" i="9" s="1"/>
  <c r="S13" i="9" s="1"/>
  <c r="V13" i="9" s="1"/>
  <c r="S14" i="9" s="1"/>
  <c r="V14" i="9" s="1"/>
  <c r="S15" i="9" s="1"/>
  <c r="V15" i="9" s="1"/>
  <c r="S16" i="9" s="1"/>
  <c r="V16" i="9" s="1"/>
  <c r="S17" i="9" s="1"/>
  <c r="V17" i="9" s="1"/>
  <c r="S18" i="9" s="1"/>
  <c r="V18" i="9" s="1"/>
  <c r="L6" i="9"/>
  <c r="L11" i="9" s="1"/>
  <c r="L30" i="9" s="1"/>
  <c r="T4" i="7" l="1"/>
  <c r="Q37" i="7" s="1"/>
  <c r="W4" i="7" l="1"/>
  <c r="T5" i="7" s="1"/>
  <c r="W5" i="7" s="1"/>
  <c r="T6" i="7" s="1"/>
  <c r="W6" i="7" s="1"/>
  <c r="T7" i="7" s="1"/>
  <c r="W7" i="7" s="1"/>
  <c r="T8" i="7" s="1"/>
  <c r="W8" i="7" s="1"/>
  <c r="T9" i="7" s="1"/>
  <c r="W9" i="7" s="1"/>
  <c r="T10" i="7" s="1"/>
  <c r="W10" i="7" s="1"/>
  <c r="T11" i="7" s="1"/>
  <c r="W11" i="7" s="1"/>
  <c r="T12" i="7" s="1"/>
  <c r="W12" i="7" s="1"/>
  <c r="T13" i="7" s="1"/>
  <c r="W13" i="7" s="1"/>
  <c r="T14" i="7" s="1"/>
  <c r="W14" i="7" s="1"/>
  <c r="T15" i="7" s="1"/>
  <c r="W15" i="7" s="1"/>
  <c r="Q35" i="8"/>
  <c r="T35" i="8" s="1"/>
  <c r="T37" i="7"/>
  <c r="N37" i="7" l="1"/>
  <c r="N38" i="7" s="1"/>
  <c r="S29" i="6" s="1"/>
  <c r="T29" i="6" s="1"/>
  <c r="N37" i="8"/>
  <c r="N38" i="8" s="1"/>
  <c r="U35" i="8" l="1"/>
  <c r="V35" i="8" s="1"/>
  <c r="S38" i="8"/>
  <c r="U37" i="7"/>
  <c r="V37" i="7" s="1"/>
  <c r="L1766" i="4" l="1"/>
  <c r="O37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andrianto budiaji</author>
  </authors>
  <commentList>
    <comment ref="AJ66" authorId="0" shapeId="0" xr:uid="{4C14533D-9E08-4C58-9647-6995894C2804}">
      <text>
        <r>
          <rPr>
            <b/>
            <sz val="9"/>
            <color indexed="81"/>
            <rFont val="Tahoma"/>
            <charset val="1"/>
          </rPr>
          <t xml:space="preserve">Baru masuk bulan April 2026
</t>
        </r>
      </text>
    </comment>
    <comment ref="X69" authorId="0" shapeId="0" xr:uid="{8F4755EB-4F4C-441C-BC1A-68ADE38CDF28}">
      <text>
        <r>
          <rPr>
            <b/>
            <sz val="9"/>
            <color indexed="81"/>
            <rFont val="Tahoma"/>
            <family val="2"/>
          </rPr>
          <t xml:space="preserve">pindah ke A5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" authorId="0" shapeId="0" xr:uid="{00000000-0006-0000-0600-000001000000}">
      <text>
        <r>
          <rPr>
            <sz val="11"/>
            <color theme="1"/>
            <rFont val="Calibri"/>
            <scheme val="minor"/>
          </rPr>
          <t xml:space="preserve">isi dari kolom N26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" authorId="0" shapeId="0" xr:uid="{00000000-0006-0000-0700-000001000000}">
      <text>
        <r>
          <rPr>
            <sz val="11"/>
            <color theme="1"/>
            <rFont val="Calibri"/>
            <scheme val="minor"/>
          </rPr>
          <t xml:space="preserve">isi dari kolom N27
</t>
        </r>
      </text>
    </comment>
  </commentList>
</comments>
</file>

<file path=xl/sharedStrings.xml><?xml version="1.0" encoding="utf-8"?>
<sst xmlns="http://schemas.openxmlformats.org/spreadsheetml/2006/main" count="1353" uniqueCount="348">
  <si>
    <t>APRIL</t>
  </si>
  <si>
    <t>Andrianto Budiaji</t>
  </si>
  <si>
    <t>JANUARI</t>
  </si>
  <si>
    <t>FEBRUARI</t>
  </si>
  <si>
    <t>MARET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</si>
  <si>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</si>
  <si>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</si>
  <si>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</si>
  <si>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</si>
  <si>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</si>
  <si>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</si>
  <si>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</si>
  <si>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</si>
  <si>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Kas</t>
  </si>
  <si>
    <t>Hutang lain-Lain</t>
  </si>
  <si>
    <t>Penerimaan Lain-Lain</t>
  </si>
  <si>
    <t>No.</t>
  </si>
  <si>
    <t>Tanggal</t>
  </si>
  <si>
    <t>Month</t>
  </si>
  <si>
    <t>SD</t>
  </si>
  <si>
    <t>ACC</t>
  </si>
  <si>
    <t>ACC NAME</t>
  </si>
  <si>
    <t>Dr</t>
  </si>
  <si>
    <t>Cr</t>
  </si>
  <si>
    <t>Saldo</t>
  </si>
  <si>
    <t xml:space="preserve">Saldo awal </t>
  </si>
  <si>
    <t>√</t>
  </si>
  <si>
    <t>Laporan Kinerja Keuangan Tahun 2026</t>
  </si>
  <si>
    <t>Penerimaan</t>
  </si>
  <si>
    <t>Pengeluaran</t>
  </si>
  <si>
    <t>-</t>
  </si>
  <si>
    <t>Total Pengeluaran</t>
  </si>
  <si>
    <t>Surplus /Devisit</t>
  </si>
  <si>
    <t>Disusun Oleh</t>
  </si>
  <si>
    <t>saldo awal tahun</t>
  </si>
  <si>
    <t>Neraca</t>
  </si>
  <si>
    <t>Kas Seharusnya</t>
  </si>
  <si>
    <t>Saldo kas</t>
  </si>
  <si>
    <t>Selisih</t>
  </si>
  <si>
    <t xml:space="preserve">             Laporan Kas Tahun 2026</t>
  </si>
  <si>
    <t>otomatis</t>
  </si>
  <si>
    <t>SALDO AWAL</t>
  </si>
  <si>
    <t>LABA/RUGI</t>
  </si>
  <si>
    <t>NERACA</t>
  </si>
  <si>
    <t>SALDO AKHIR</t>
  </si>
  <si>
    <t>Kas Kegiatan Operasional</t>
  </si>
  <si>
    <t>DR</t>
  </si>
  <si>
    <t>CR</t>
  </si>
  <si>
    <t>SALDO</t>
  </si>
  <si>
    <t>Jumlah</t>
  </si>
  <si>
    <t>Kas Kegiatan Pembiayaan</t>
  </si>
  <si>
    <t>TOTAL KAS</t>
  </si>
  <si>
    <t>cek saldo awal</t>
  </si>
  <si>
    <t>LABA RUGI</t>
  </si>
  <si>
    <t>Saldo kas seharusnya</t>
  </si>
  <si>
    <t>Saldo kas real</t>
  </si>
  <si>
    <t>Saldo kas awal  bulan</t>
  </si>
  <si>
    <t>Saldo kas akhir bulan</t>
  </si>
  <si>
    <t>Kas Operasional</t>
  </si>
  <si>
    <t>Saldo Awal</t>
  </si>
  <si>
    <t>Saldo kas awal tahun</t>
  </si>
  <si>
    <t xml:space="preserve">Saldo kas akhir </t>
  </si>
  <si>
    <t xml:space="preserve">                         Laporan Posisi Keuangan Tahun 2026</t>
  </si>
  <si>
    <t>AKTIVA</t>
  </si>
  <si>
    <t>KEWAJIBAN</t>
  </si>
  <si>
    <t>MODAL</t>
  </si>
  <si>
    <t>Surplus/Defisit</t>
  </si>
  <si>
    <t>KEWAJIBAN DAN MODAL</t>
  </si>
  <si>
    <t>DAFTAR SIMPANAN ANGGOTA DANA KEBERSAMAAN PEGAWAI 625</t>
  </si>
  <si>
    <t>TAHUN</t>
  </si>
  <si>
    <t>No</t>
  </si>
  <si>
    <t>KETERANGAN</t>
  </si>
  <si>
    <t>Blok</t>
  </si>
  <si>
    <t>Nama Pemilik</t>
  </si>
  <si>
    <t>A-01</t>
  </si>
  <si>
    <t>A-02</t>
  </si>
  <si>
    <t>Muhammad Mursyidi</t>
  </si>
  <si>
    <t>A-03</t>
  </si>
  <si>
    <t>A-04</t>
  </si>
  <si>
    <t>A-05</t>
  </si>
  <si>
    <t>A-06</t>
  </si>
  <si>
    <t>A-07</t>
  </si>
  <si>
    <t>Ari Cahya Permata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</si>
  <si>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</si>
  <si>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</si>
  <si>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</si>
  <si>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</si>
  <si>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</si>
  <si>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</si>
  <si>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</si>
  <si>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</si>
  <si>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</si>
  <si>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</si>
  <si>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</si>
  <si>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</si>
  <si>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</si>
  <si>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</si>
  <si>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</si>
  <si>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</si>
  <si>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</si>
  <si>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</si>
  <si>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</si>
  <si>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</si>
  <si>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Muh Darsul Khafid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</si>
  <si>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</si>
  <si>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</si>
  <si>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</si>
  <si>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</si>
  <si>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</si>
  <si>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</si>
  <si>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</si>
  <si>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</si>
  <si>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</si>
  <si>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</si>
  <si>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Sandi Fariz Ahmadi</t>
  </si>
  <si>
    <t>A-38</t>
  </si>
  <si>
    <t>A-39</t>
  </si>
  <si>
    <t>A-40</t>
  </si>
  <si>
    <t>B-01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</si>
  <si>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</si>
  <si>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</si>
  <si>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</si>
  <si>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</si>
  <si>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</si>
  <si>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</si>
  <si>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</si>
  <si>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</si>
  <si>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</si>
  <si>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</si>
  <si>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</si>
  <si>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</si>
  <si>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C-01</t>
  </si>
  <si>
    <t>C-02</t>
  </si>
  <si>
    <t>Moh. Wildan Habibi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</si>
  <si>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</si>
  <si>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</si>
  <si>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</si>
  <si>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</si>
  <si>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</si>
  <si>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</si>
  <si>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</si>
  <si>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</si>
  <si>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</si>
  <si>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Piutang Lain-Lain</t>
  </si>
  <si>
    <t>Piutang Pembayaran Gaji</t>
  </si>
  <si>
    <t>Penerimaan Iuran Warga</t>
  </si>
  <si>
    <t>Biaya Gaji Satpam</t>
  </si>
  <si>
    <t>Biaya Gaji Sampah</t>
  </si>
  <si>
    <t>Biaya Listrik</t>
  </si>
  <si>
    <t>Biaya PDAM</t>
  </si>
  <si>
    <t>Biaya WIFI Pos Jaga</t>
  </si>
  <si>
    <t>Biaya THR</t>
  </si>
  <si>
    <t>Biaya Kebersihan</t>
  </si>
  <si>
    <t>B-15</t>
  </si>
  <si>
    <t>B-16</t>
  </si>
  <si>
    <t>B-17</t>
  </si>
  <si>
    <t>B-18</t>
  </si>
  <si>
    <t>B-19</t>
  </si>
  <si>
    <t>B-21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</si>
  <si>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</si>
  <si>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</si>
  <si>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</si>
  <si>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</si>
  <si>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</si>
  <si>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</si>
  <si>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</si>
  <si>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</si>
  <si>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</si>
  <si>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</si>
  <si>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</si>
  <si>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</si>
  <si>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B-35</t>
  </si>
  <si>
    <t>A-35-A</t>
  </si>
  <si>
    <t>Row Labels</t>
  </si>
  <si>
    <t>Grand Total</t>
  </si>
  <si>
    <t>Column Labels</t>
  </si>
  <si>
    <t>Sum of Dr</t>
  </si>
  <si>
    <t>B-11A</t>
  </si>
  <si>
    <t>B-02A</t>
  </si>
  <si>
    <t>B-02B</t>
  </si>
  <si>
    <t>B-11B</t>
  </si>
  <si>
    <t>D-01</t>
  </si>
  <si>
    <t>D-02</t>
  </si>
  <si>
    <t>Saldo Akhir</t>
  </si>
  <si>
    <t>Cahya</t>
  </si>
  <si>
    <t>Rumah Tinggal</t>
  </si>
  <si>
    <t>Sumaryanto</t>
  </si>
  <si>
    <t>Kos-Kosan</t>
  </si>
  <si>
    <t>Biaya adm bank</t>
  </si>
  <si>
    <t>URAIAN TRANSAKSI</t>
  </si>
  <si>
    <t>Listrik Musholla Az Zahra</t>
  </si>
  <si>
    <t>PDAM Musholla Az Zahra</t>
  </si>
  <si>
    <t>Gaji Mas Haidir</t>
  </si>
  <si>
    <t>Gaji Mas Saiful</t>
  </si>
  <si>
    <t>Mas Saiful Bon</t>
  </si>
  <si>
    <t>Reklas bon gaji Mas Saiful</t>
  </si>
  <si>
    <t>Donasi listrik dan PDAM Musholla</t>
  </si>
  <si>
    <t>David Padili</t>
  </si>
  <si>
    <t>Ghozaimi</t>
  </si>
  <si>
    <t>Gaji Rofik</t>
  </si>
  <si>
    <t>Biaya iuran RT</t>
  </si>
  <si>
    <t>Iuran RT bulan Jan-Apr</t>
  </si>
  <si>
    <t>Halal Bi  Halal</t>
  </si>
  <si>
    <t>Tgl</t>
  </si>
  <si>
    <t>Uraian</t>
  </si>
  <si>
    <t>Masa</t>
  </si>
  <si>
    <t>Gaji marbot</t>
  </si>
  <si>
    <t>Gaji Pak Santok</t>
  </si>
  <si>
    <t>Wifi Pos</t>
  </si>
  <si>
    <t>Iuran RT</t>
  </si>
  <si>
    <t>Halal Bi Halal</t>
  </si>
  <si>
    <t>Kas Bon Saiful</t>
  </si>
  <si>
    <t>Afrijal Rizki Ramadhan</t>
  </si>
  <si>
    <t>Amir</t>
  </si>
  <si>
    <t>Kontrak</t>
  </si>
  <si>
    <t>Rahmad</t>
  </si>
  <si>
    <t>Rika</t>
  </si>
  <si>
    <t>Diana</t>
  </si>
  <si>
    <t>Iuran Warga</t>
  </si>
  <si>
    <t>B-2B</t>
  </si>
  <si>
    <t>B-2A</t>
  </si>
  <si>
    <t>Indra Septi</t>
  </si>
  <si>
    <t>Adib Abror</t>
  </si>
  <si>
    <t>Tanah Kosong</t>
  </si>
  <si>
    <t>Leni</t>
  </si>
  <si>
    <t>Sutiaji</t>
  </si>
  <si>
    <t>kosong</t>
  </si>
  <si>
    <t>Dikontrakkan</t>
  </si>
  <si>
    <t>Proses Bangun</t>
  </si>
  <si>
    <t>Hendro</t>
  </si>
  <si>
    <t>Lukman Isya</t>
  </si>
  <si>
    <t>Lusi</t>
  </si>
  <si>
    <t>Jenis Hunian</t>
  </si>
  <si>
    <t>Kondisi</t>
  </si>
  <si>
    <t>Kantor</t>
  </si>
  <si>
    <t>Siregar</t>
  </si>
  <si>
    <t>Rahman</t>
  </si>
  <si>
    <t>Musholla</t>
  </si>
  <si>
    <t>Mushola</t>
  </si>
  <si>
    <t>Agung</t>
  </si>
  <si>
    <t>Sindu</t>
  </si>
  <si>
    <t>Roti</t>
  </si>
  <si>
    <t>Chandra</t>
  </si>
  <si>
    <t>Zulkarnain</t>
  </si>
  <si>
    <t>Dihuni anak</t>
  </si>
  <si>
    <t>Dihuni pribadi</t>
  </si>
  <si>
    <t>Dihuni sendiri</t>
  </si>
  <si>
    <t>PENARIKAN TUNAI KE WARGA</t>
  </si>
  <si>
    <t>Gaji Marbot</t>
  </si>
  <si>
    <t>Biaya Gaji Marbot</t>
  </si>
  <si>
    <t>Wifi</t>
  </si>
  <si>
    <t>JURNAL HARIAN PURI BUNGA 2 TAHUN 2026</t>
  </si>
  <si>
    <t>Transfer masuk pak Lukman</t>
  </si>
  <si>
    <t>iuran pak afrijal</t>
  </si>
  <si>
    <t>iuran pak ghozaimi</t>
  </si>
  <si>
    <t>iuran pak sumaryanto</t>
  </si>
  <si>
    <t>Iuran Pak Ghozaimi</t>
  </si>
  <si>
    <t>Iuran Pak Afrijal</t>
  </si>
  <si>
    <t>Iuran Pak Cahya</t>
  </si>
  <si>
    <t>iuran pak cahya</t>
  </si>
  <si>
    <t>SERAH TERIMA DARI PAK LUKMAN DAN TRANSAKSI  PER TGL 01/05/26 JAM 10:00 WIB</t>
  </si>
  <si>
    <t>MS BYR</t>
  </si>
  <si>
    <t>iuran pak andrianto</t>
  </si>
  <si>
    <t>Beli ATK</t>
  </si>
  <si>
    <t>Bayar PDAM Musholla</t>
  </si>
  <si>
    <t>Bayar Listrik Musholla</t>
  </si>
  <si>
    <t>Cash</t>
  </si>
  <si>
    <t>Transfer</t>
  </si>
  <si>
    <t>Iuran Pak Andri</t>
  </si>
  <si>
    <t>Beli map dan dompet kas</t>
  </si>
  <si>
    <t>Gaji Samsah</t>
  </si>
  <si>
    <t>THR Mas Haidir</t>
  </si>
  <si>
    <t>THR Mas Saiful</t>
  </si>
  <si>
    <t>THR Rofik</t>
  </si>
  <si>
    <t>THR Pak Santok</t>
  </si>
  <si>
    <t>Setoran buka rekening BNI</t>
  </si>
  <si>
    <t>Cek Saldo RK</t>
  </si>
  <si>
    <t>Cek Saldo Kas</t>
  </si>
  <si>
    <t>Iuran Pak Kafid</t>
  </si>
  <si>
    <t>Paguyuban Puri Bunga 2</t>
  </si>
  <si>
    <t>Malang,             Mei 2026</t>
  </si>
  <si>
    <t>manual N31</t>
  </si>
  <si>
    <t>Service WIFI 2 titik</t>
  </si>
  <si>
    <t>Biaya transfer</t>
  </si>
  <si>
    <t>Iuran Pak Sadam</t>
  </si>
  <si>
    <t>Iuran Pak Hakim</t>
  </si>
  <si>
    <t>Abdul Hakim</t>
  </si>
  <si>
    <t>Biaya Logistik Satpam dan Musholla</t>
  </si>
  <si>
    <t>Biaya Lain-Lain</t>
  </si>
  <si>
    <t>Iuran Warga Diterima di muka</t>
  </si>
  <si>
    <t>Penerimaan Parkir Feb-Apr</t>
  </si>
  <si>
    <t xml:space="preserve">Gas 3kg </t>
  </si>
  <si>
    <t>Galon 4 pcs</t>
  </si>
  <si>
    <t>Gantungan sabun 3 pcs</t>
  </si>
  <si>
    <t>Gantungan baju musholla 2 pcs</t>
  </si>
  <si>
    <t>Galon 5 pcs</t>
  </si>
  <si>
    <t>Potong kertas</t>
  </si>
  <si>
    <t>A-35A</t>
  </si>
  <si>
    <t>iuran pak Misbach</t>
  </si>
  <si>
    <t>Iuran Pak Husni/Dian</t>
  </si>
  <si>
    <t>Rusli ( Sweetenia Kos)</t>
  </si>
  <si>
    <t>Iuran Warga Pak Afrijal</t>
  </si>
  <si>
    <t>B-20&amp;22</t>
  </si>
  <si>
    <t>Iuran Muhammad Reyhan</t>
  </si>
  <si>
    <t>Uang sahur satpam dan marbot</t>
  </si>
  <si>
    <t>Iuran Amir</t>
  </si>
  <si>
    <t>Laporan Kinerja Keuangan Tahun 2025</t>
  </si>
  <si>
    <t>JURNAL HARIAN PURI BUNGA 2 TAHUN 2025</t>
  </si>
  <si>
    <t>Candra Sayekti/Putri Elok</t>
  </si>
  <si>
    <t>Service WIFI 2 titik belakang</t>
  </si>
  <si>
    <t>Biaya transfer flip</t>
  </si>
  <si>
    <t>Upah pungut 8 rumah</t>
  </si>
  <si>
    <t>Iwan Budi</t>
  </si>
  <si>
    <t>Iuran Iwan Budi</t>
  </si>
  <si>
    <t>0125</t>
  </si>
  <si>
    <t>0225</t>
  </si>
  <si>
    <t>0325</t>
  </si>
  <si>
    <t>0425</t>
  </si>
  <si>
    <t>0525</t>
  </si>
  <si>
    <t>0625</t>
  </si>
  <si>
    <t>0725</t>
  </si>
  <si>
    <t>0825</t>
  </si>
  <si>
    <t>0925</t>
  </si>
  <si>
    <t>1025</t>
  </si>
  <si>
    <t>1125</t>
  </si>
  <si>
    <t>1225</t>
  </si>
  <si>
    <t>El Fatoni</t>
  </si>
  <si>
    <t>Iuran El Fatoni</t>
  </si>
  <si>
    <t>Setoran 2025 di tahun 2026</t>
  </si>
  <si>
    <t>Iuran Mahameru Eki</t>
  </si>
  <si>
    <t>Mahameru Eki</t>
  </si>
  <si>
    <t>Iuran WIFI Mei</t>
  </si>
  <si>
    <t>Kenaikan dan Penurunan Kas</t>
  </si>
  <si>
    <t>Pengambilan tunai untuk kas kecil</t>
  </si>
  <si>
    <t>Kas dan Bank</t>
  </si>
  <si>
    <t>Kas Kecil</t>
  </si>
  <si>
    <t>Iuran Bulana Ida Sulistyowati</t>
  </si>
  <si>
    <t>Iuran bulanan Sutiaji</t>
  </si>
  <si>
    <t>Yudi Hari Utomo</t>
  </si>
  <si>
    <t>Kas kecil awal</t>
  </si>
  <si>
    <t>Saldo di rek</t>
  </si>
  <si>
    <t>Saldo di kas</t>
  </si>
  <si>
    <t>Iuran bulanan sahriyah</t>
  </si>
  <si>
    <t>TAHUN 2026</t>
  </si>
  <si>
    <t>TAHUN 2027</t>
  </si>
  <si>
    <t>TAHUN 2025</t>
  </si>
  <si>
    <t>TAHUN 2024</t>
  </si>
  <si>
    <t>Iuran bulanan Yudi Hari Utomo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</si>
</sst>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"/>
    <numFmt numFmtId="165" formatCode="_-* #,##0_-;\-* #,##0_-;_-* &quot;-&quot;_-;_-@"/>
    <numFmt numFmtId="166" formatCode="_(* #,##0_);_(* \(#,##0\);_(* &quot;-&quot;_);_(@_)"/>
    <numFmt numFmtId="167" formatCode="_-* #,##0.00_-;\-* #,##0.00_-;_-* &quot;-&quot;??_-;_-@"/>
    <numFmt numFmtId="168" formatCode="_-&quot;Rp&quot;* #,##0.00_-;\-&quot;Rp&quot;* #,##0.00_-;_-&quot;Rp&quot;* &quot;-&quot;??_-;_-@"/>
    <numFmt numFmtId="169" formatCode="dd\-mm\-yyyy"/>
    <numFmt numFmtId="170" formatCode="d\-m\-yyyy"/>
    <numFmt numFmtId="171" formatCode="_-* #,##0_-;\-* #,##0_-;_-* &quot;-&quot;??_-;_-@_-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name val="Calibri"/>
    </font>
    <font>
      <sz val="10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b/>
      <sz val="11"/>
      <color theme="0"/>
      <name val="Calibri"/>
    </font>
    <font>
      <sz val="11"/>
      <color rgb="FFFFFF00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Calibri"/>
      <family val="2"/>
      <scheme val="minor"/>
    </font>
    <font>
      <sz val="8"/>
      <name val="Calibri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rgb="FF007BB8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Arial Narrow"/>
      <family val="2"/>
      <charset val="1"/>
    </font>
    <font>
      <b/>
      <sz val="11"/>
      <name val="Arial"/>
      <family val="2"/>
    </font>
    <font>
      <b/>
      <sz val="9"/>
      <color indexed="81"/>
      <name val="Tahoma"/>
      <charset val="1"/>
    </font>
    <font>
      <sz val="11"/>
      <color rgb="FF007BB8"/>
      <name val="Calibri"/>
      <scheme val="minor"/>
    </font>
    <font>
      <b/>
      <sz val="11"/>
      <color rgb="FFFFFF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6C3FF"/>
        <bgColor rgb="FFF6C3FF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DA5EA"/>
        <bgColor rgb="FFFDA5EA"/>
      </patternFill>
    </fill>
    <fill>
      <patternFill patternType="solid">
        <fgColor rgb="FFFED6ED"/>
        <bgColor rgb="FFFED6ED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6C3FF"/>
      </patternFill>
    </fill>
    <fill>
      <patternFill patternType="solid">
        <fgColor rgb="FFFF0000"/>
        <bgColor rgb="FFFFFF00"/>
      </patternFill>
    </fill>
    <fill>
      <patternFill patternType="solid">
        <fgColor rgb="FFF6C3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6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13" fillId="0" borderId="5"/>
    <xf numFmtId="43" fontId="15" fillId="0" borderId="5" applyFont="0" applyFill="0" applyBorder="0" applyAlignment="0" applyProtection="0"/>
    <xf numFmtId="0" fontId="15" fillId="0" borderId="5"/>
    <xf numFmtId="41" fontId="15" fillId="0" borderId="5" applyFont="0" applyFill="0" applyBorder="0" applyAlignment="0" applyProtection="0"/>
  </cellStyleXfs>
  <cellXfs count="237">
    <xf numFmtId="0" fontId="0" fillId="0" borderId="0" xfId="0"/>
    <xf numFmtId="0" fontId="6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6" fillId="0" borderId="1" xfId="0" applyFont="1" applyBorder="1" applyAlignment="1">
      <alignment wrapText="1"/>
    </xf>
    <xf numFmtId="165" fontId="6" fillId="0" borderId="0" xfId="0" applyNumberFormat="1" applyFont="1"/>
    <xf numFmtId="14" fontId="6" fillId="0" borderId="0" xfId="0" applyNumberFormat="1" applyFont="1"/>
    <xf numFmtId="0" fontId="7" fillId="2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/>
    <xf numFmtId="0" fontId="6" fillId="0" borderId="1" xfId="0" applyFont="1" applyBorder="1" applyAlignment="1">
      <alignment horizontal="right"/>
    </xf>
    <xf numFmtId="14" fontId="6" fillId="0" borderId="1" xfId="0" applyNumberFormat="1" applyFont="1" applyBorder="1"/>
    <xf numFmtId="14" fontId="6" fillId="0" borderId="1" xfId="0" applyNumberFormat="1" applyFont="1" applyBorder="1" applyAlignment="1">
      <alignment horizontal="right"/>
    </xf>
    <xf numFmtId="167" fontId="6" fillId="0" borderId="0" xfId="0" applyNumberFormat="1" applyFont="1"/>
    <xf numFmtId="0" fontId="6" fillId="3" borderId="3" xfId="0" applyFont="1" applyFill="1" applyBorder="1"/>
    <xf numFmtId="14" fontId="2" fillId="0" borderId="1" xfId="0" applyNumberFormat="1" applyFont="1" applyBorder="1"/>
    <xf numFmtId="168" fontId="6" fillId="0" borderId="0" xfId="0" applyNumberFormat="1" applyFont="1"/>
    <xf numFmtId="169" fontId="6" fillId="0" borderId="1" xfId="0" applyNumberFormat="1" applyFont="1" applyBorder="1"/>
    <xf numFmtId="170" fontId="6" fillId="0" borderId="1" xfId="0" applyNumberFormat="1" applyFont="1" applyBorder="1"/>
    <xf numFmtId="0" fontId="6" fillId="0" borderId="0" xfId="0" applyFont="1" applyAlignment="1">
      <alignment horizontal="center"/>
    </xf>
    <xf numFmtId="0" fontId="6" fillId="2" borderId="3" xfId="0" applyFont="1" applyFill="1" applyBorder="1"/>
    <xf numFmtId="165" fontId="6" fillId="7" borderId="3" xfId="0" applyNumberFormat="1" applyFont="1" applyFill="1" applyBorder="1"/>
    <xf numFmtId="0" fontId="7" fillId="0" borderId="0" xfId="0" applyFont="1"/>
    <xf numFmtId="165" fontId="6" fillId="0" borderId="0" xfId="0" applyNumberFormat="1" applyFont="1" applyAlignment="1">
      <alignment horizontal="center"/>
    </xf>
    <xf numFmtId="165" fontId="6" fillId="7" borderId="3" xfId="0" applyNumberFormat="1" applyFont="1" applyFill="1" applyBorder="1" applyAlignment="1">
      <alignment horizontal="left"/>
    </xf>
    <xf numFmtId="165" fontId="6" fillId="0" borderId="0" xfId="0" applyNumberFormat="1" applyFont="1" applyAlignment="1">
      <alignment horizontal="left"/>
    </xf>
    <xf numFmtId="165" fontId="6" fillId="0" borderId="7" xfId="0" applyNumberFormat="1" applyFont="1" applyBorder="1" applyAlignment="1">
      <alignment horizontal="center"/>
    </xf>
    <xf numFmtId="165" fontId="6" fillId="0" borderId="8" xfId="0" applyNumberFormat="1" applyFont="1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65" fontId="6" fillId="0" borderId="8" xfId="0" applyNumberFormat="1" applyFont="1" applyBorder="1" applyAlignment="1">
      <alignment horizontal="center"/>
    </xf>
    <xf numFmtId="165" fontId="6" fillId="2" borderId="3" xfId="0" applyNumberFormat="1" applyFont="1" applyFill="1" applyBorder="1"/>
    <xf numFmtId="0" fontId="6" fillId="8" borderId="11" xfId="0" applyFont="1" applyFill="1" applyBorder="1"/>
    <xf numFmtId="0" fontId="6" fillId="0" borderId="14" xfId="0" applyFont="1" applyBorder="1"/>
    <xf numFmtId="0" fontId="7" fillId="8" borderId="11" xfId="0" applyFont="1" applyFill="1" applyBorder="1"/>
    <xf numFmtId="0" fontId="7" fillId="8" borderId="3" xfId="0" applyFont="1" applyFill="1" applyBorder="1"/>
    <xf numFmtId="0" fontId="6" fillId="8" borderId="3" xfId="0" applyFont="1" applyFill="1" applyBorder="1"/>
    <xf numFmtId="165" fontId="6" fillId="8" borderId="3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7" fontId="2" fillId="0" borderId="0" xfId="0" applyNumberFormat="1" applyFont="1"/>
    <xf numFmtId="3" fontId="2" fillId="0" borderId="0" xfId="0" applyNumberFormat="1" applyFont="1"/>
    <xf numFmtId="3" fontId="8" fillId="2" borderId="3" xfId="0" applyNumberFormat="1" applyFont="1" applyFill="1" applyBorder="1"/>
    <xf numFmtId="0" fontId="10" fillId="0" borderId="0" xfId="0" applyFont="1"/>
    <xf numFmtId="165" fontId="6" fillId="0" borderId="1" xfId="0" applyNumberFormat="1" applyFont="1" applyBorder="1" applyAlignment="1">
      <alignment horizontal="center"/>
    </xf>
    <xf numFmtId="0" fontId="6" fillId="0" borderId="17" xfId="0" applyFont="1" applyBorder="1"/>
    <xf numFmtId="0" fontId="2" fillId="0" borderId="0" xfId="0" applyFont="1"/>
    <xf numFmtId="165" fontId="2" fillId="0" borderId="0" xfId="0" applyNumberFormat="1" applyFont="1"/>
    <xf numFmtId="165" fontId="8" fillId="0" borderId="0" xfId="0" applyNumberFormat="1" applyFont="1"/>
    <xf numFmtId="3" fontId="8" fillId="0" borderId="0" xfId="0" applyNumberFormat="1" applyFont="1"/>
    <xf numFmtId="0" fontId="7" fillId="0" borderId="8" xfId="0" applyFont="1" applyBorder="1"/>
    <xf numFmtId="0" fontId="6" fillId="0" borderId="8" xfId="0" applyFont="1" applyBorder="1"/>
    <xf numFmtId="0" fontId="6" fillId="0" borderId="8" xfId="0" applyFont="1" applyBorder="1" applyAlignment="1">
      <alignment horizontal="left"/>
    </xf>
    <xf numFmtId="0" fontId="13" fillId="0" borderId="5" xfId="2"/>
    <xf numFmtId="171" fontId="13" fillId="0" borderId="5" xfId="3" applyNumberFormat="1" applyFont="1"/>
    <xf numFmtId="0" fontId="15" fillId="0" borderId="5" xfId="2" applyFont="1"/>
    <xf numFmtId="171" fontId="17" fillId="11" borderId="5" xfId="3" applyNumberFormat="1" applyFont="1" applyFill="1" applyAlignment="1">
      <alignment horizontal="center"/>
    </xf>
    <xf numFmtId="0" fontId="15" fillId="0" borderId="5" xfId="4"/>
    <xf numFmtId="0" fontId="21" fillId="0" borderId="23" xfId="2" applyFont="1" applyBorder="1"/>
    <xf numFmtId="171" fontId="12" fillId="0" borderId="5" xfId="3" applyNumberFormat="1" applyFont="1"/>
    <xf numFmtId="171" fontId="0" fillId="0" borderId="5" xfId="3" applyNumberFormat="1" applyFont="1"/>
    <xf numFmtId="0" fontId="16" fillId="0" borderId="5" xfId="2" applyFont="1"/>
    <xf numFmtId="0" fontId="15" fillId="0" borderId="23" xfId="2" applyFont="1" applyBorder="1"/>
    <xf numFmtId="0" fontId="6" fillId="0" borderId="6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1" applyNumberFormat="1" applyFont="1"/>
    <xf numFmtId="171" fontId="0" fillId="0" borderId="0" xfId="0" applyNumberFormat="1"/>
    <xf numFmtId="171" fontId="6" fillId="0" borderId="0" xfId="1" applyNumberFormat="1" applyFont="1"/>
    <xf numFmtId="171" fontId="7" fillId="2" borderId="1" xfId="1" applyNumberFormat="1" applyFont="1" applyFill="1" applyBorder="1" applyAlignment="1">
      <alignment horizontal="center"/>
    </xf>
    <xf numFmtId="171" fontId="8" fillId="4" borderId="6" xfId="1" applyNumberFormat="1" applyFont="1" applyFill="1" applyBorder="1" applyAlignment="1">
      <alignment horizontal="center"/>
    </xf>
    <xf numFmtId="171" fontId="6" fillId="0" borderId="1" xfId="1" applyNumberFormat="1" applyFont="1" applyBorder="1" applyAlignment="1">
      <alignment horizontal="center"/>
    </xf>
    <xf numFmtId="171" fontId="5" fillId="0" borderId="1" xfId="1" applyNumberFormat="1" applyFont="1" applyBorder="1" applyAlignment="1">
      <alignment horizontal="right" wrapText="1"/>
    </xf>
    <xf numFmtId="171" fontId="6" fillId="0" borderId="1" xfId="1" applyNumberFormat="1" applyFont="1" applyBorder="1"/>
    <xf numFmtId="171" fontId="6" fillId="0" borderId="1" xfId="1" applyNumberFormat="1" applyFont="1" applyBorder="1" applyAlignment="1">
      <alignment horizontal="right"/>
    </xf>
    <xf numFmtId="171" fontId="6" fillId="2" borderId="1" xfId="1" applyNumberFormat="1" applyFont="1" applyFill="1" applyBorder="1"/>
    <xf numFmtId="171" fontId="2" fillId="0" borderId="1" xfId="1" applyNumberFormat="1" applyFont="1" applyBorder="1"/>
    <xf numFmtId="171" fontId="2" fillId="0" borderId="1" xfId="1" applyNumberFormat="1" applyFont="1" applyBorder="1" applyAlignment="1">
      <alignment horizontal="right"/>
    </xf>
    <xf numFmtId="171" fontId="8" fillId="0" borderId="1" xfId="1" applyNumberFormat="1" applyFont="1" applyBorder="1"/>
    <xf numFmtId="171" fontId="6" fillId="8" borderId="1" xfId="1" applyNumberFormat="1" applyFont="1" applyFill="1" applyBorder="1"/>
    <xf numFmtId="171" fontId="6" fillId="0" borderId="1" xfId="1" applyNumberFormat="1" applyFont="1" applyFill="1" applyBorder="1"/>
    <xf numFmtId="0" fontId="2" fillId="0" borderId="5" xfId="0" applyFont="1" applyBorder="1"/>
    <xf numFmtId="171" fontId="2" fillId="0" borderId="1" xfId="1" applyNumberFormat="1" applyFont="1" applyFill="1" applyBorder="1" applyAlignment="1">
      <alignment horizontal="right"/>
    </xf>
    <xf numFmtId="0" fontId="7" fillId="0" borderId="1" xfId="0" applyFont="1" applyBorder="1"/>
    <xf numFmtId="0" fontId="23" fillId="0" borderId="1" xfId="0" applyFont="1" applyBorder="1"/>
    <xf numFmtId="171" fontId="23" fillId="0" borderId="1" xfId="1" applyNumberFormat="1" applyFont="1" applyFill="1" applyBorder="1"/>
    <xf numFmtId="0" fontId="23" fillId="0" borderId="2" xfId="0" applyFont="1" applyBorder="1"/>
    <xf numFmtId="171" fontId="24" fillId="0" borderId="1" xfId="1" applyNumberFormat="1" applyFont="1" applyFill="1" applyBorder="1"/>
    <xf numFmtId="171" fontId="23" fillId="0" borderId="1" xfId="1" applyNumberFormat="1" applyFont="1" applyFill="1" applyBorder="1" applyAlignment="1">
      <alignment horizontal="right"/>
    </xf>
    <xf numFmtId="171" fontId="25" fillId="0" borderId="1" xfId="1" applyNumberFormat="1" applyFont="1" applyFill="1" applyBorder="1" applyAlignment="1">
      <alignment horizontal="right" wrapText="1"/>
    </xf>
    <xf numFmtId="0" fontId="26" fillId="0" borderId="1" xfId="0" applyFont="1" applyBorder="1"/>
    <xf numFmtId="0" fontId="26" fillId="0" borderId="2" xfId="0" applyFont="1" applyBorder="1"/>
    <xf numFmtId="0" fontId="20" fillId="0" borderId="21" xfId="3" applyNumberFormat="1" applyFont="1" applyBorder="1" applyAlignment="1">
      <alignment horizontal="center" vertical="center"/>
    </xf>
    <xf numFmtId="166" fontId="15" fillId="0" borderId="23" xfId="2" applyNumberFormat="1" applyFont="1" applyBorder="1" applyAlignment="1">
      <alignment horizontal="left" vertical="center"/>
    </xf>
    <xf numFmtId="0" fontId="15" fillId="0" borderId="23" xfId="2" applyFont="1" applyBorder="1" applyAlignment="1">
      <alignment horizontal="center" vertical="center"/>
    </xf>
    <xf numFmtId="0" fontId="15" fillId="0" borderId="5" xfId="2" applyFont="1" applyAlignment="1">
      <alignment vertical="center"/>
    </xf>
    <xf numFmtId="171" fontId="15" fillId="0" borderId="23" xfId="0" applyNumberFormat="1" applyFont="1" applyBorder="1"/>
    <xf numFmtId="171" fontId="15" fillId="0" borderId="23" xfId="3" applyNumberFormat="1" applyFont="1" applyBorder="1"/>
    <xf numFmtId="171" fontId="27" fillId="0" borderId="23" xfId="3" applyNumberFormat="1" applyFont="1" applyBorder="1"/>
    <xf numFmtId="0" fontId="27" fillId="0" borderId="5" xfId="2" applyFont="1"/>
    <xf numFmtId="171" fontId="15" fillId="0" borderId="5" xfId="3" applyNumberFormat="1" applyFont="1"/>
    <xf numFmtId="171" fontId="15" fillId="0" borderId="5" xfId="2" applyNumberFormat="1" applyFont="1"/>
    <xf numFmtId="171" fontId="19" fillId="0" borderId="5" xfId="3" applyNumberFormat="1" applyFont="1"/>
    <xf numFmtId="171" fontId="19" fillId="0" borderId="23" xfId="3" applyNumberFormat="1" applyFont="1" applyBorder="1" applyAlignment="1">
      <alignment horizontal="center" vertical="center"/>
    </xf>
    <xf numFmtId="171" fontId="28" fillId="0" borderId="23" xfId="3" applyNumberFormat="1" applyFont="1" applyBorder="1" applyAlignment="1">
      <alignment vertical="center"/>
    </xf>
    <xf numFmtId="171" fontId="21" fillId="0" borderId="23" xfId="3" applyNumberFormat="1" applyFont="1" applyBorder="1" applyAlignment="1">
      <alignment vertical="center"/>
    </xf>
    <xf numFmtId="171" fontId="28" fillId="0" borderId="23" xfId="3" applyNumberFormat="1" applyFont="1" applyFill="1" applyBorder="1" applyAlignment="1">
      <alignment vertical="center"/>
    </xf>
    <xf numFmtId="171" fontId="19" fillId="0" borderId="23" xfId="3" applyNumberFormat="1" applyFont="1" applyFill="1" applyBorder="1" applyAlignment="1">
      <alignment horizontal="center" vertical="center" wrapText="1"/>
    </xf>
    <xf numFmtId="171" fontId="15" fillId="0" borderId="5" xfId="3" applyNumberFormat="1" applyFont="1" applyAlignment="1">
      <alignment vertical="center"/>
    </xf>
    <xf numFmtId="171" fontId="15" fillId="0" borderId="5" xfId="2" applyNumberFormat="1" applyFont="1" applyAlignment="1">
      <alignment vertical="center"/>
    </xf>
    <xf numFmtId="0" fontId="27" fillId="0" borderId="23" xfId="2" applyFont="1" applyBorder="1" applyAlignment="1">
      <alignment vertical="center"/>
    </xf>
    <xf numFmtId="171" fontId="28" fillId="12" borderId="24" xfId="3" applyNumberFormat="1" applyFont="1" applyFill="1" applyBorder="1"/>
    <xf numFmtId="171" fontId="28" fillId="13" borderId="24" xfId="3" applyNumberFormat="1" applyFont="1" applyFill="1" applyBorder="1"/>
    <xf numFmtId="0" fontId="28" fillId="13" borderId="23" xfId="2" applyFont="1" applyFill="1" applyBorder="1"/>
    <xf numFmtId="0" fontId="26" fillId="0" borderId="0" xfId="0" applyFont="1"/>
    <xf numFmtId="0" fontId="14" fillId="2" borderId="1" xfId="0" applyFont="1" applyFill="1" applyBorder="1" applyAlignment="1">
      <alignment horizontal="center"/>
    </xf>
    <xf numFmtId="14" fontId="0" fillId="0" borderId="0" xfId="0" applyNumberFormat="1"/>
    <xf numFmtId="171" fontId="0" fillId="15" borderId="0" xfId="1" applyNumberFormat="1" applyFont="1" applyFill="1"/>
    <xf numFmtId="171" fontId="15" fillId="14" borderId="23" xfId="0" applyNumberFormat="1" applyFont="1" applyFill="1" applyBorder="1"/>
    <xf numFmtId="171" fontId="21" fillId="14" borderId="23" xfId="3" applyNumberFormat="1" applyFont="1" applyFill="1" applyBorder="1" applyAlignment="1">
      <alignment vertical="center"/>
    </xf>
    <xf numFmtId="0" fontId="15" fillId="0" borderId="0" xfId="0" applyFont="1"/>
    <xf numFmtId="171" fontId="19" fillId="15" borderId="0" xfId="1" applyNumberFormat="1" applyFont="1" applyFill="1"/>
    <xf numFmtId="0" fontId="27" fillId="0" borderId="23" xfId="2" applyFont="1" applyBorder="1"/>
    <xf numFmtId="171" fontId="19" fillId="0" borderId="26" xfId="3" applyNumberFormat="1" applyFont="1" applyBorder="1" applyAlignment="1">
      <alignment horizontal="center" vertical="center"/>
    </xf>
    <xf numFmtId="171" fontId="28" fillId="12" borderId="27" xfId="3" applyNumberFormat="1" applyFont="1" applyFill="1" applyBorder="1"/>
    <xf numFmtId="0" fontId="28" fillId="0" borderId="23" xfId="2" applyFont="1" applyBorder="1"/>
    <xf numFmtId="0" fontId="19" fillId="0" borderId="0" xfId="0" applyFont="1"/>
    <xf numFmtId="171" fontId="28" fillId="14" borderId="23" xfId="3" applyNumberFormat="1" applyFont="1" applyFill="1" applyBorder="1" applyAlignment="1">
      <alignment vertical="center"/>
    </xf>
    <xf numFmtId="171" fontId="0" fillId="0" borderId="0" xfId="1" applyNumberFormat="1" applyFont="1" applyFill="1"/>
    <xf numFmtId="171" fontId="0" fillId="16" borderId="0" xfId="1" applyNumberFormat="1" applyFont="1" applyFill="1"/>
    <xf numFmtId="171" fontId="0" fillId="14" borderId="0" xfId="1" applyNumberFormat="1" applyFont="1" applyFill="1"/>
    <xf numFmtId="171" fontId="2" fillId="0" borderId="4" xfId="1" applyNumberFormat="1" applyFont="1" applyBorder="1"/>
    <xf numFmtId="171" fontId="6" fillId="3" borderId="3" xfId="1" applyNumberFormat="1" applyFont="1" applyFill="1" applyBorder="1"/>
    <xf numFmtId="171" fontId="8" fillId="0" borderId="0" xfId="1" applyNumberFormat="1" applyFont="1"/>
    <xf numFmtId="171" fontId="6" fillId="16" borderId="0" xfId="1" applyNumberFormat="1" applyFont="1" applyFill="1"/>
    <xf numFmtId="171" fontId="29" fillId="0" borderId="0" xfId="1" applyNumberFormat="1" applyFont="1"/>
    <xf numFmtId="171" fontId="2" fillId="0" borderId="0" xfId="1" applyNumberFormat="1" applyFont="1"/>
    <xf numFmtId="171" fontId="8" fillId="2" borderId="3" xfId="1" applyNumberFormat="1" applyFont="1" applyFill="1" applyBorder="1"/>
    <xf numFmtId="0" fontId="29" fillId="4" borderId="3" xfId="0" applyFont="1" applyFill="1" applyBorder="1"/>
    <xf numFmtId="17" fontId="6" fillId="0" borderId="1" xfId="0" applyNumberFormat="1" applyFont="1" applyBorder="1"/>
    <xf numFmtId="0" fontId="30" fillId="0" borderId="0" xfId="0" applyFont="1"/>
    <xf numFmtId="171" fontId="6" fillId="17" borderId="1" xfId="1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171" fontId="15" fillId="0" borderId="23" xfId="3" applyNumberFormat="1" applyFont="1" applyBorder="1" applyAlignment="1">
      <alignment horizontal="center" vertical="center"/>
    </xf>
    <xf numFmtId="171" fontId="21" fillId="16" borderId="23" xfId="3" applyNumberFormat="1" applyFont="1" applyFill="1" applyBorder="1" applyAlignment="1">
      <alignment vertical="center"/>
    </xf>
    <xf numFmtId="171" fontId="6" fillId="14" borderId="0" xfId="1" applyNumberFormat="1" applyFont="1" applyFill="1"/>
    <xf numFmtId="0" fontId="6" fillId="15" borderId="0" xfId="0" applyFont="1" applyFill="1"/>
    <xf numFmtId="171" fontId="28" fillId="16" borderId="23" xfId="3" applyNumberFormat="1" applyFont="1" applyFill="1" applyBorder="1" applyAlignment="1">
      <alignment vertical="center"/>
    </xf>
    <xf numFmtId="171" fontId="0" fillId="14" borderId="23" xfId="0" applyNumberFormat="1" applyFill="1" applyBorder="1"/>
    <xf numFmtId="171" fontId="30" fillId="14" borderId="23" xfId="0" applyNumberFormat="1" applyFont="1" applyFill="1" applyBorder="1"/>
    <xf numFmtId="171" fontId="28" fillId="0" borderId="20" xfId="3" applyNumberFormat="1" applyFont="1" applyBorder="1" applyAlignment="1">
      <alignment vertical="center"/>
    </xf>
    <xf numFmtId="171" fontId="0" fillId="15" borderId="0" xfId="0" applyNumberFormat="1" applyFill="1"/>
    <xf numFmtId="171" fontId="15" fillId="14" borderId="23" xfId="3" applyNumberFormat="1" applyFont="1" applyFill="1" applyBorder="1" applyAlignment="1">
      <alignment horizontal="center" vertical="center"/>
    </xf>
    <xf numFmtId="171" fontId="21" fillId="20" borderId="23" xfId="3" applyNumberFormat="1" applyFont="1" applyFill="1" applyBorder="1" applyAlignment="1">
      <alignment vertical="center"/>
    </xf>
    <xf numFmtId="171" fontId="20" fillId="12" borderId="20" xfId="3" applyNumberFormat="1" applyFont="1" applyFill="1" applyBorder="1" applyAlignment="1">
      <alignment horizontal="center" vertical="center"/>
    </xf>
    <xf numFmtId="171" fontId="33" fillId="0" borderId="20" xfId="3" applyNumberFormat="1" applyFont="1" applyFill="1" applyBorder="1" applyAlignment="1">
      <alignment horizontal="center" vertical="center" wrapText="1"/>
    </xf>
    <xf numFmtId="0" fontId="20" fillId="0" borderId="6" xfId="2" applyFont="1" applyBorder="1" applyAlignment="1">
      <alignment horizontal="left" vertical="center"/>
    </xf>
    <xf numFmtId="0" fontId="28" fillId="0" borderId="6" xfId="2" applyFont="1" applyBorder="1" applyAlignment="1">
      <alignment horizontal="left" vertical="center"/>
    </xf>
    <xf numFmtId="0" fontId="28" fillId="0" borderId="25" xfId="2" applyFont="1" applyBorder="1" applyAlignment="1">
      <alignment horizontal="left" vertical="center"/>
    </xf>
    <xf numFmtId="0" fontId="28" fillId="0" borderId="23" xfId="2" applyFont="1" applyBorder="1" applyAlignment="1">
      <alignment horizontal="left" vertical="center"/>
    </xf>
    <xf numFmtId="171" fontId="32" fillId="12" borderId="20" xfId="3" applyNumberFormat="1" applyFont="1" applyFill="1" applyBorder="1" applyAlignment="1">
      <alignment horizontal="left" vertical="center"/>
    </xf>
    <xf numFmtId="171" fontId="20" fillId="12" borderId="20" xfId="3" applyNumberFormat="1" applyFont="1" applyFill="1" applyBorder="1" applyAlignment="1">
      <alignment horizontal="left" vertical="center"/>
    </xf>
    <xf numFmtId="171" fontId="16" fillId="0" borderId="5" xfId="3" applyNumberFormat="1" applyFont="1" applyAlignment="1">
      <alignment horizontal="left" vertical="center"/>
    </xf>
    <xf numFmtId="0" fontId="16" fillId="0" borderId="5" xfId="2" applyFont="1" applyAlignment="1">
      <alignment horizontal="left" vertical="center"/>
    </xf>
    <xf numFmtId="0" fontId="20" fillId="0" borderId="22" xfId="3" applyNumberFormat="1" applyFont="1" applyBorder="1" applyAlignment="1">
      <alignment horizontal="center" vertical="center"/>
    </xf>
    <xf numFmtId="171" fontId="6" fillId="0" borderId="28" xfId="1" applyNumberFormat="1" applyFont="1" applyBorder="1"/>
    <xf numFmtId="171" fontId="6" fillId="0" borderId="5" xfId="1" applyNumberFormat="1" applyFont="1" applyBorder="1"/>
    <xf numFmtId="0" fontId="26" fillId="0" borderId="1" xfId="0" quotePrefix="1" applyFont="1" applyBorder="1"/>
    <xf numFmtId="0" fontId="26" fillId="0" borderId="2" xfId="0" quotePrefix="1" applyFont="1" applyBorder="1"/>
    <xf numFmtId="0" fontId="6" fillId="0" borderId="1" xfId="0" quotePrefix="1" applyFont="1" applyBorder="1"/>
    <xf numFmtId="0" fontId="35" fillId="0" borderId="0" xfId="0" applyFont="1" applyAlignment="1">
      <alignment horizontal="left"/>
    </xf>
    <xf numFmtId="171" fontId="35" fillId="0" borderId="0" xfId="0" applyNumberFormat="1" applyFont="1"/>
    <xf numFmtId="166" fontId="1" fillId="0" borderId="23" xfId="2" applyNumberFormat="1" applyFont="1" applyBorder="1" applyAlignment="1">
      <alignment horizontal="left" vertical="center"/>
    </xf>
    <xf numFmtId="0" fontId="14" fillId="0" borderId="17" xfId="0" applyFont="1" applyBorder="1"/>
    <xf numFmtId="0" fontId="6" fillId="0" borderId="5" xfId="0" applyFont="1" applyBorder="1"/>
    <xf numFmtId="0" fontId="14" fillId="8" borderId="29" xfId="0" applyFont="1" applyFill="1" applyBorder="1"/>
    <xf numFmtId="0" fontId="6" fillId="8" borderId="29" xfId="0" applyFont="1" applyFill="1" applyBorder="1"/>
    <xf numFmtId="0" fontId="6" fillId="0" borderId="30" xfId="0" applyFont="1" applyBorder="1"/>
    <xf numFmtId="171" fontId="27" fillId="0" borderId="5" xfId="3" applyNumberFormat="1" applyFont="1"/>
    <xf numFmtId="165" fontId="6" fillId="0" borderId="0" xfId="0" applyNumberFormat="1" applyFont="1" applyAlignment="1">
      <alignment horizontal="center"/>
    </xf>
    <xf numFmtId="0" fontId="0" fillId="0" borderId="0" xfId="0"/>
    <xf numFmtId="165" fontId="6" fillId="0" borderId="8" xfId="0" applyNumberFormat="1" applyFont="1" applyBorder="1" applyAlignment="1">
      <alignment horizontal="center"/>
    </xf>
    <xf numFmtId="0" fontId="4" fillId="0" borderId="8" xfId="0" applyFont="1" applyBorder="1"/>
    <xf numFmtId="165" fontId="6" fillId="8" borderId="9" xfId="0" applyNumberFormat="1" applyFont="1" applyFill="1" applyBorder="1" applyAlignment="1">
      <alignment horizontal="center"/>
    </xf>
    <xf numFmtId="0" fontId="4" fillId="0" borderId="10" xfId="0" applyFont="1" applyBorder="1"/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17" xfId="0" applyFont="1" applyBorder="1" applyAlignment="1">
      <alignment horizontal="center"/>
    </xf>
    <xf numFmtId="0" fontId="4" fillId="0" borderId="17" xfId="0" applyFont="1" applyBorder="1"/>
    <xf numFmtId="165" fontId="29" fillId="0" borderId="8" xfId="0" applyNumberFormat="1" applyFont="1" applyBorder="1" applyAlignment="1">
      <alignment horizontal="center"/>
    </xf>
    <xf numFmtId="0" fontId="29" fillId="0" borderId="8" xfId="0" applyFont="1" applyBorder="1"/>
    <xf numFmtId="165" fontId="6" fillId="8" borderId="15" xfId="0" applyNumberFormat="1" applyFont="1" applyFill="1" applyBorder="1" applyAlignment="1">
      <alignment horizontal="center"/>
    </xf>
    <xf numFmtId="0" fontId="4" fillId="0" borderId="16" xfId="0" applyFont="1" applyBorder="1"/>
    <xf numFmtId="165" fontId="7" fillId="2" borderId="15" xfId="0" applyNumberFormat="1" applyFont="1" applyFill="1" applyBorder="1" applyAlignment="1">
      <alignment horizontal="center"/>
    </xf>
    <xf numFmtId="171" fontId="18" fillId="11" borderId="19" xfId="3" applyNumberFormat="1" applyFont="1" applyFill="1" applyBorder="1" applyAlignment="1">
      <alignment horizontal="center"/>
    </xf>
    <xf numFmtId="171" fontId="14" fillId="19" borderId="19" xfId="3" applyNumberFormat="1" applyFont="1" applyFill="1" applyBorder="1" applyAlignment="1">
      <alignment horizontal="center"/>
    </xf>
    <xf numFmtId="0" fontId="19" fillId="13" borderId="23" xfId="2" applyFont="1" applyFill="1" applyBorder="1" applyAlignment="1">
      <alignment horizontal="center"/>
    </xf>
    <xf numFmtId="0" fontId="28" fillId="13" borderId="23" xfId="2" applyFont="1" applyFill="1" applyBorder="1"/>
    <xf numFmtId="0" fontId="14" fillId="0" borderId="5" xfId="2" applyFont="1" applyAlignment="1">
      <alignment horizontal="center"/>
    </xf>
    <xf numFmtId="0" fontId="13" fillId="0" borderId="5" xfId="2"/>
    <xf numFmtId="0" fontId="14" fillId="0" borderId="2" xfId="2" applyFont="1" applyBorder="1" applyAlignment="1">
      <alignment horizontal="center"/>
    </xf>
    <xf numFmtId="0" fontId="16" fillId="0" borderId="4" xfId="2" applyFont="1" applyBorder="1"/>
    <xf numFmtId="171" fontId="18" fillId="21" borderId="19" xfId="3" applyNumberFormat="1" applyFont="1" applyFill="1" applyBorder="1" applyAlignment="1">
      <alignment horizontal="center" vertical="center"/>
    </xf>
    <xf numFmtId="171" fontId="36" fillId="21" borderId="19" xfId="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0" fontId="4" fillId="0" borderId="7" xfId="0" applyFont="1" applyBorder="1"/>
    <xf numFmtId="165" fontId="7" fillId="5" borderId="9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6" fillId="0" borderId="0" xfId="0" applyFont="1"/>
    <xf numFmtId="165" fontId="6" fillId="5" borderId="9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5" fontId="7" fillId="0" borderId="0" xfId="0" applyNumberFormat="1" applyFont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4" fillId="0" borderId="13" xfId="0" applyFont="1" applyBorder="1"/>
    <xf numFmtId="165" fontId="6" fillId="10" borderId="0" xfId="0" applyNumberFormat="1" applyFont="1" applyFill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4" fillId="9" borderId="17" xfId="0" applyFont="1" applyFill="1" applyBorder="1"/>
    <xf numFmtId="0" fontId="8" fillId="0" borderId="0" xfId="0" applyFont="1"/>
    <xf numFmtId="165" fontId="6" fillId="6" borderId="14" xfId="0" applyNumberFormat="1" applyFont="1" applyFill="1" applyBorder="1" applyAlignment="1">
      <alignment horizontal="center"/>
    </xf>
    <xf numFmtId="0" fontId="4" fillId="6" borderId="14" xfId="0" applyFont="1" applyFill="1" applyBorder="1"/>
    <xf numFmtId="165" fontId="6" fillId="6" borderId="0" xfId="0" applyNumberFormat="1" applyFont="1" applyFill="1" applyAlignment="1">
      <alignment horizontal="center"/>
    </xf>
    <xf numFmtId="0" fontId="2" fillId="0" borderId="0" xfId="0" applyFont="1"/>
    <xf numFmtId="165" fontId="14" fillId="2" borderId="9" xfId="0" applyNumberFormat="1" applyFont="1" applyFill="1" applyBorder="1" applyAlignment="1">
      <alignment horizontal="center"/>
    </xf>
    <xf numFmtId="0" fontId="18" fillId="0" borderId="10" xfId="0" applyFont="1" applyBorder="1"/>
    <xf numFmtId="165" fontId="6" fillId="3" borderId="9" xfId="0" applyNumberFormat="1" applyFont="1" applyFill="1" applyBorder="1" applyAlignment="1">
      <alignment horizontal="center"/>
    </xf>
    <xf numFmtId="165" fontId="8" fillId="0" borderId="18" xfId="0" applyNumberFormat="1" applyFont="1" applyBorder="1" applyAlignment="1">
      <alignment horizontal="center"/>
    </xf>
    <xf numFmtId="0" fontId="4" fillId="0" borderId="18" xfId="0" applyFont="1" applyBorder="1"/>
    <xf numFmtId="165" fontId="6" fillId="0" borderId="18" xfId="0" applyNumberFormat="1" applyFont="1" applyBorder="1" applyAlignment="1">
      <alignment horizontal="center"/>
    </xf>
  </cellXfs>
  <cellStyles count="6">
    <cellStyle name="Comma" xfId="1" builtinId="3"/>
    <cellStyle name="Comma [0] 2" xfId="5" xr:uid="{BEC18154-531F-4F8B-AEB8-7F15054C943C}"/>
    <cellStyle name="Comma 2" xfId="3" xr:uid="{39A694AE-730B-4A14-907C-FEF4A16B9773}"/>
    <cellStyle name="Normal" xfId="0" builtinId="0"/>
    <cellStyle name="Normal 2" xfId="4" xr:uid="{8C08B0DA-7171-4909-BB26-75ED21B43B10}"/>
    <cellStyle name="Normal 2 2" xfId="2" xr:uid="{F31344DE-0150-45D5-B64E-683BB0BC088A}"/>
  </cellStyles>
  <dxfs count="23"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font>
        <color rgb="FF007BB8"/>
      </font>
    </dxf>
    <dxf>
      <numFmt numFmtId="171" formatCode="_-* #,##0_-;\-* #,##0_-;_-* &quot;-&quot;??_-;_-@_-"/>
    </dxf>
    <dxf>
      <numFmt numFmtId="171" formatCode="_-* #,##0_-;\-* #,##0_-;_-* &quot;-&quot;??_-;_-@_-"/>
    </dxf>
    <dxf>
      <numFmt numFmtId="171" formatCode="_-* #,##0_-;\-* #,##0_-;_-* &quot;-&quot;??_-;_-@_-"/>
    </dxf>
    <dxf>
      <numFmt numFmtId="171" formatCode="_-* #,##0_-;\-* #,##0_-;_-* &quot;-&quot;??_-;_-@_-"/>
    </dxf>
  </dxfs>
  <tableStyles count="0" defaultTableStyle="TableStyleMedium2" defaultPivotStyle="PivotStyleLight16"/>
  <colors>
    <mruColors>
      <color rgb="FFFF66FF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ianto budiaji" refreshedDate="46151.815965277776" createdVersion="8" refreshedVersion="8" minRefreshableVersion="3" recordCount="1579" xr:uid="{CA95DB25-6C1F-478D-A0E5-ED03E8071AE3}">
  <cacheSource type="worksheet">
    <worksheetSource ref="A7:L1586" sheet="JURNAL_26"/>
  </cacheSource>
  <cacheFields count="12">
    <cacheField name="No." numFmtId="0">
      <sharedItems containsSemiMixedTypes="0" containsString="0" containsNumber="1" containsInteger="1" minValue="1" maxValue="1578"/>
    </cacheField>
    <cacheField name="Tanggal" numFmtId="0">
      <sharedItems containsNonDate="0" containsDate="1" containsString="0" containsBlank="1" minDate="2026-01-01T00:00:00" maxDate="2026-05-08T00:00:00"/>
    </cacheField>
    <cacheField name="Month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SD" numFmtId="0">
      <sharedItems containsString="0" containsBlank="1" containsNumber="1" containsInteger="1" minValue="5" maxValue="5"/>
    </cacheField>
    <cacheField name="MS BYR" numFmtId="0">
      <sharedItems containsDate="1" containsBlank="1" containsMixedTypes="1" minDate="1899-12-31T04:01:03" maxDate="2025-12-02T00:00:00" count="27">
        <m/>
        <n v="1"/>
        <n v="2"/>
        <n v="3"/>
        <n v="4"/>
        <n v="5"/>
        <n v="6"/>
        <n v="7"/>
        <n v="8"/>
        <n v="9"/>
        <n v="10"/>
        <n v="11"/>
        <n v="12"/>
        <s v="0125"/>
        <s v="0225"/>
        <s v="0325"/>
        <s v="0425"/>
        <s v="0525"/>
        <s v="0625"/>
        <s v="0725"/>
        <s v="0825"/>
        <s v="0925"/>
        <s v="1025"/>
        <s v="1125"/>
        <s v="1225"/>
        <d v="2025-12-01T00:00:00" u="1"/>
        <d v="2025-11-01T00:00:00" u="1"/>
      </sharedItems>
    </cacheField>
    <cacheField name="ACC" numFmtId="0">
      <sharedItems containsString="0" containsBlank="1" containsNumber="1" containsInteger="1" minValue="12" maxValue="60"/>
    </cacheField>
    <cacheField name="ACC NAME" numFmtId="0">
      <sharedItems containsMixedTypes="1" containsNumber="1" containsInteger="1" minValue="0" maxValue="0"/>
    </cacheField>
    <cacheField name="URAIAN TRANSAKSI" numFmtId="0">
      <sharedItems containsBlank="1"/>
    </cacheField>
    <cacheField name="Blok" numFmtId="0">
      <sharedItems containsBlank="1" count="61">
        <m/>
        <s v="A-27"/>
        <s v="B-11B"/>
        <s v="A-14"/>
        <s v="A-16"/>
        <s v="D-01"/>
        <s v="B-04"/>
        <s v="B-20&amp;22"/>
        <s v="B-21"/>
        <s v="B-23"/>
        <s v="C-11"/>
        <s v="A-20"/>
        <s v="A-12"/>
        <s v="D-02"/>
        <s v="B-33"/>
        <s v="A-05"/>
        <s v="B-02A"/>
        <s v="A-07"/>
        <s v="B-07"/>
        <s v="B-03"/>
        <s v="B-01"/>
        <s v="A-34"/>
        <s v="A-30"/>
        <s v="B-11"/>
        <s v="A-06"/>
        <s v="A-15"/>
        <s v="A-02"/>
        <s v="A-24"/>
        <s v="A-38"/>
        <s v="A-26"/>
        <s v="A-17"/>
        <s v="A-03"/>
        <s v="C-07"/>
        <s v="A-39"/>
        <s v="A-35"/>
        <s v="C-01"/>
        <s v="C-06"/>
        <s v="A-23"/>
        <s v="A-40"/>
        <s v="A-19"/>
        <s v="A-22"/>
        <s v="A-29"/>
        <s v="B-10"/>
        <s v="B-06"/>
        <s v="A-09"/>
        <s v="A-11"/>
        <s v="C-09"/>
        <s v="B-02B"/>
        <s v="B-31"/>
        <s v="C-04"/>
        <s v="A-35A"/>
        <s v="C-10"/>
        <s v="B-11A"/>
        <s v="A-37"/>
        <s v="C-08"/>
        <s v="B-15"/>
        <s v="B-18"/>
        <s v="A-36"/>
        <s v="A-04"/>
        <s v="B-22" u="1"/>
        <s v="B-20" u="1"/>
      </sharedItems>
    </cacheField>
    <cacheField name="Dr" numFmtId="171">
      <sharedItems containsString="0" containsBlank="1" containsNumber="1" containsInteger="1" minValue="20000" maxValue="500000"/>
    </cacheField>
    <cacheField name="Cr" numFmtId="171">
      <sharedItems containsString="0" containsBlank="1" containsNumber="1" containsInteger="1" minValue="325" maxValue="2000000"/>
    </cacheField>
    <cacheField name="Saldo" numFmtId="171">
      <sharedItems containsSemiMixedTypes="0" containsString="0" containsNumber="1" containsInteger="1" minValue="2343000" maxValue="163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9">
  <r>
    <n v="1"/>
    <d v="2026-01-01T00:00:00"/>
    <x v="0"/>
    <n v="5"/>
    <x v="0"/>
    <m/>
    <s v="Saldo awal "/>
    <m/>
    <x v="0"/>
    <m/>
    <m/>
    <n v="8260500"/>
  </r>
  <r>
    <n v="1"/>
    <d v="2026-01-01T00:00:00"/>
    <x v="0"/>
    <n v="5"/>
    <x v="1"/>
    <n v="40"/>
    <s v="Penerimaan Iuran Warga"/>
    <s v="Iuran Pak Kafid"/>
    <x v="1"/>
    <n v="100000"/>
    <m/>
    <n v="8360500"/>
  </r>
  <r>
    <n v="2"/>
    <d v="2026-01-01T00:00:00"/>
    <x v="0"/>
    <n v="5"/>
    <x v="1"/>
    <n v="40"/>
    <s v="Penerimaan Iuran Warga"/>
    <s v="Iuran Pak Afrijal"/>
    <x v="2"/>
    <n v="100000"/>
    <m/>
    <n v="8460500"/>
  </r>
  <r>
    <n v="3"/>
    <d v="2026-01-01T00:00:00"/>
    <x v="0"/>
    <n v="5"/>
    <x v="1"/>
    <n v="40"/>
    <s v="Penerimaan Iuran Warga"/>
    <m/>
    <x v="3"/>
    <n v="100000"/>
    <m/>
    <n v="8560500"/>
  </r>
  <r>
    <n v="4"/>
    <d v="2026-01-01T00:00:00"/>
    <x v="0"/>
    <n v="5"/>
    <x v="1"/>
    <n v="40"/>
    <s v="Penerimaan Iuran Warga"/>
    <m/>
    <x v="4"/>
    <n v="100000"/>
    <m/>
    <n v="8660500"/>
  </r>
  <r>
    <n v="5"/>
    <d v="2026-01-04T00:00:00"/>
    <x v="0"/>
    <n v="5"/>
    <x v="1"/>
    <n v="40"/>
    <s v="Penerimaan Iuran Warga"/>
    <m/>
    <x v="5"/>
    <n v="100000"/>
    <m/>
    <n v="8760500"/>
  </r>
  <r>
    <n v="6"/>
    <d v="2026-01-04T00:00:00"/>
    <x v="0"/>
    <n v="5"/>
    <x v="2"/>
    <n v="40"/>
    <s v="Penerimaan Iuran Warga"/>
    <m/>
    <x v="5"/>
    <n v="100000"/>
    <m/>
    <n v="8860500"/>
  </r>
  <r>
    <n v="7"/>
    <d v="2026-01-04T00:00:00"/>
    <x v="0"/>
    <n v="5"/>
    <x v="3"/>
    <n v="40"/>
    <s v="Penerimaan Iuran Warga"/>
    <m/>
    <x v="5"/>
    <n v="100000"/>
    <m/>
    <n v="8960500"/>
  </r>
  <r>
    <n v="8"/>
    <d v="2026-01-04T00:00:00"/>
    <x v="0"/>
    <n v="5"/>
    <x v="4"/>
    <n v="40"/>
    <s v="Penerimaan Iuran Warga"/>
    <m/>
    <x v="5"/>
    <n v="100000"/>
    <m/>
    <n v="9060500"/>
  </r>
  <r>
    <n v="9"/>
    <d v="2026-01-04T00:00:00"/>
    <x v="0"/>
    <n v="5"/>
    <x v="5"/>
    <n v="40"/>
    <s v="Penerimaan Iuran Warga"/>
    <m/>
    <x v="5"/>
    <n v="100000"/>
    <m/>
    <n v="9160500"/>
  </r>
  <r>
    <n v="10"/>
    <d v="2026-01-04T00:00:00"/>
    <x v="0"/>
    <n v="5"/>
    <x v="6"/>
    <n v="20"/>
    <s v="Iuran Warga Diterima di muka"/>
    <m/>
    <x v="5"/>
    <n v="100000"/>
    <m/>
    <n v="9260500"/>
  </r>
  <r>
    <n v="11"/>
    <d v="2026-01-04T00:00:00"/>
    <x v="0"/>
    <n v="5"/>
    <x v="7"/>
    <n v="20"/>
    <s v="Iuran Warga Diterima di muka"/>
    <m/>
    <x v="5"/>
    <n v="100000"/>
    <m/>
    <n v="9360500"/>
  </r>
  <r>
    <n v="12"/>
    <d v="2026-01-04T00:00:00"/>
    <x v="0"/>
    <n v="5"/>
    <x v="8"/>
    <n v="20"/>
    <s v="Iuran Warga Diterima di muka"/>
    <m/>
    <x v="5"/>
    <n v="100000"/>
    <m/>
    <n v="9460500"/>
  </r>
  <r>
    <n v="13"/>
    <d v="2026-01-04T00:00:00"/>
    <x v="0"/>
    <n v="5"/>
    <x v="9"/>
    <n v="20"/>
    <s v="Iuran Warga Diterima di muka"/>
    <m/>
    <x v="5"/>
    <n v="100000"/>
    <m/>
    <n v="9560500"/>
  </r>
  <r>
    <n v="14"/>
    <d v="2026-01-04T00:00:00"/>
    <x v="0"/>
    <n v="5"/>
    <x v="10"/>
    <n v="20"/>
    <s v="Iuran Warga Diterima di muka"/>
    <m/>
    <x v="5"/>
    <n v="100000"/>
    <m/>
    <n v="9660500"/>
  </r>
  <r>
    <n v="15"/>
    <d v="2026-01-04T00:00:00"/>
    <x v="0"/>
    <n v="5"/>
    <x v="11"/>
    <n v="20"/>
    <s v="Iuran Warga Diterima di muka"/>
    <m/>
    <x v="5"/>
    <n v="100000"/>
    <m/>
    <n v="9760500"/>
  </r>
  <r>
    <n v="16"/>
    <d v="2026-01-04T00:00:00"/>
    <x v="0"/>
    <n v="5"/>
    <x v="12"/>
    <n v="20"/>
    <s v="Iuran Warga Diterima di muka"/>
    <m/>
    <x v="5"/>
    <n v="100000"/>
    <m/>
    <n v="9860500"/>
  </r>
  <r>
    <n v="17"/>
    <d v="2026-01-04T00:00:00"/>
    <x v="0"/>
    <n v="5"/>
    <x v="1"/>
    <n v="40"/>
    <s v="Penerimaan Iuran Warga"/>
    <m/>
    <x v="6"/>
    <n v="100000"/>
    <m/>
    <n v="9960500"/>
  </r>
  <r>
    <n v="18"/>
    <d v="2026-01-04T00:00:00"/>
    <x v="0"/>
    <n v="5"/>
    <x v="2"/>
    <n v="40"/>
    <s v="Penerimaan Iuran Warga"/>
    <m/>
    <x v="6"/>
    <n v="100000"/>
    <m/>
    <n v="10060500"/>
  </r>
  <r>
    <n v="19"/>
    <d v="2026-01-04T00:00:00"/>
    <x v="0"/>
    <n v="5"/>
    <x v="3"/>
    <n v="40"/>
    <s v="Penerimaan Iuran Warga"/>
    <m/>
    <x v="6"/>
    <n v="100000"/>
    <m/>
    <n v="10160500"/>
  </r>
  <r>
    <n v="20"/>
    <d v="2026-01-04T00:00:00"/>
    <x v="0"/>
    <n v="5"/>
    <x v="4"/>
    <n v="40"/>
    <s v="Penerimaan Iuran Warga"/>
    <m/>
    <x v="6"/>
    <n v="100000"/>
    <m/>
    <n v="10260500"/>
  </r>
  <r>
    <n v="21"/>
    <d v="2026-01-04T00:00:00"/>
    <x v="0"/>
    <n v="5"/>
    <x v="5"/>
    <n v="40"/>
    <s v="Penerimaan Iuran Warga"/>
    <m/>
    <x v="6"/>
    <n v="100000"/>
    <m/>
    <n v="10360500"/>
  </r>
  <r>
    <n v="22"/>
    <d v="2026-01-04T00:00:00"/>
    <x v="0"/>
    <n v="5"/>
    <x v="6"/>
    <n v="20"/>
    <s v="Iuran Warga Diterima di muka"/>
    <m/>
    <x v="6"/>
    <n v="100000"/>
    <m/>
    <n v="10460500"/>
  </r>
  <r>
    <n v="23"/>
    <d v="2026-01-04T00:00:00"/>
    <x v="0"/>
    <n v="5"/>
    <x v="1"/>
    <n v="40"/>
    <s v="Penerimaan Iuran Warga"/>
    <m/>
    <x v="7"/>
    <n v="100000"/>
    <m/>
    <n v="10560500"/>
  </r>
  <r>
    <n v="24"/>
    <d v="2026-01-04T00:00:00"/>
    <x v="0"/>
    <n v="5"/>
    <x v="2"/>
    <n v="40"/>
    <s v="Penerimaan Iuran Warga"/>
    <m/>
    <x v="7"/>
    <n v="165000"/>
    <m/>
    <n v="10725500"/>
  </r>
  <r>
    <n v="25"/>
    <d v="2026-01-04T00:00:00"/>
    <x v="0"/>
    <n v="5"/>
    <x v="1"/>
    <n v="40"/>
    <s v="Penerimaan Iuran Warga"/>
    <m/>
    <x v="8"/>
    <n v="100000"/>
    <m/>
    <n v="10825500"/>
  </r>
  <r>
    <n v="26"/>
    <d v="2026-01-04T00:00:00"/>
    <x v="0"/>
    <n v="5"/>
    <x v="1"/>
    <n v="40"/>
    <s v="Penerimaan Iuran Warga"/>
    <m/>
    <x v="9"/>
    <n v="100000"/>
    <m/>
    <n v="10925500"/>
  </r>
  <r>
    <n v="27"/>
    <d v="2026-01-04T00:00:00"/>
    <x v="0"/>
    <n v="5"/>
    <x v="1"/>
    <n v="40"/>
    <s v="Penerimaan Iuran Warga"/>
    <m/>
    <x v="10"/>
    <n v="100000"/>
    <m/>
    <n v="11025500"/>
  </r>
  <r>
    <n v="28"/>
    <d v="2026-01-04T00:00:00"/>
    <x v="0"/>
    <n v="5"/>
    <x v="2"/>
    <n v="40"/>
    <s v="Penerimaan Iuran Warga"/>
    <m/>
    <x v="11"/>
    <n v="100000"/>
    <m/>
    <n v="11125500"/>
  </r>
  <r>
    <n v="29"/>
    <d v="2026-01-05T00:00:00"/>
    <x v="0"/>
    <n v="5"/>
    <x v="1"/>
    <n v="40"/>
    <s v="Penerimaan Iuran Warga"/>
    <m/>
    <x v="11"/>
    <n v="100000"/>
    <m/>
    <n v="11225500"/>
  </r>
  <r>
    <n v="30"/>
    <d v="2026-01-06T00:00:00"/>
    <x v="0"/>
    <n v="5"/>
    <x v="1"/>
    <n v="40"/>
    <s v="Penerimaan Iuran Warga"/>
    <m/>
    <x v="12"/>
    <n v="100000"/>
    <m/>
    <n v="11325500"/>
  </r>
  <r>
    <n v="31"/>
    <d v="2026-01-06T00:00:00"/>
    <x v="0"/>
    <n v="5"/>
    <x v="2"/>
    <n v="40"/>
    <s v="Penerimaan Iuran Warga"/>
    <m/>
    <x v="12"/>
    <n v="100000"/>
    <m/>
    <n v="11425500"/>
  </r>
  <r>
    <n v="32"/>
    <d v="2026-01-06T00:00:00"/>
    <x v="0"/>
    <n v="5"/>
    <x v="3"/>
    <n v="40"/>
    <s v="Penerimaan Iuran Warga"/>
    <m/>
    <x v="12"/>
    <n v="100000"/>
    <m/>
    <n v="11525500"/>
  </r>
  <r>
    <n v="33"/>
    <d v="2026-01-06T00:00:00"/>
    <x v="0"/>
    <n v="5"/>
    <x v="4"/>
    <n v="40"/>
    <s v="Penerimaan Iuran Warga"/>
    <m/>
    <x v="12"/>
    <n v="100000"/>
    <m/>
    <n v="11625500"/>
  </r>
  <r>
    <n v="34"/>
    <d v="2026-01-06T00:00:00"/>
    <x v="0"/>
    <n v="5"/>
    <x v="5"/>
    <n v="40"/>
    <s v="Penerimaan Iuran Warga"/>
    <m/>
    <x v="12"/>
    <n v="100000"/>
    <m/>
    <n v="11725500"/>
  </r>
  <r>
    <n v="35"/>
    <d v="2026-01-06T00:00:00"/>
    <x v="0"/>
    <n v="5"/>
    <x v="6"/>
    <n v="20"/>
    <s v="Iuran Warga Diterima di muka"/>
    <m/>
    <x v="12"/>
    <n v="100000"/>
    <m/>
    <n v="11825500"/>
  </r>
  <r>
    <n v="36"/>
    <d v="2026-01-08T00:00:00"/>
    <x v="0"/>
    <n v="5"/>
    <x v="1"/>
    <n v="40"/>
    <s v="Penerimaan Iuran Warga"/>
    <m/>
    <x v="13"/>
    <n v="190000"/>
    <m/>
    <n v="12015500"/>
  </r>
  <r>
    <n v="37"/>
    <d v="2026-01-09T00:00:00"/>
    <x v="0"/>
    <n v="5"/>
    <x v="1"/>
    <n v="40"/>
    <s v="Penerimaan Iuran Warga"/>
    <m/>
    <x v="14"/>
    <n v="100000"/>
    <m/>
    <n v="12115500"/>
  </r>
  <r>
    <n v="38"/>
    <d v="2026-01-15T00:00:00"/>
    <x v="0"/>
    <n v="5"/>
    <x v="1"/>
    <n v="40"/>
    <s v="Penerimaan Iuran Warga"/>
    <m/>
    <x v="15"/>
    <n v="100000"/>
    <m/>
    <n v="12215500"/>
  </r>
  <r>
    <n v="39"/>
    <d v="2026-01-19T00:00:00"/>
    <x v="0"/>
    <n v="5"/>
    <x v="1"/>
    <n v="40"/>
    <s v="Penerimaan Iuran Warga"/>
    <m/>
    <x v="16"/>
    <n v="100000"/>
    <m/>
    <n v="12315500"/>
  </r>
  <r>
    <n v="40"/>
    <d v="2026-01-19T00:00:00"/>
    <x v="0"/>
    <n v="5"/>
    <x v="2"/>
    <n v="40"/>
    <s v="Penerimaan Iuran Warga"/>
    <m/>
    <x v="16"/>
    <n v="100000"/>
    <m/>
    <n v="12415500"/>
  </r>
  <r>
    <n v="41"/>
    <d v="2026-01-20T00:00:00"/>
    <x v="0"/>
    <n v="5"/>
    <x v="1"/>
    <n v="40"/>
    <s v="Penerimaan Iuran Warga"/>
    <m/>
    <x v="17"/>
    <n v="100000"/>
    <m/>
    <n v="12515500"/>
  </r>
  <r>
    <n v="42"/>
    <d v="2026-01-21T00:00:00"/>
    <x v="0"/>
    <n v="5"/>
    <x v="1"/>
    <n v="40"/>
    <s v="Penerimaan Iuran Warga"/>
    <m/>
    <x v="18"/>
    <n v="100000"/>
    <m/>
    <n v="12615500"/>
  </r>
  <r>
    <n v="43"/>
    <d v="2026-01-23T00:00:00"/>
    <x v="0"/>
    <n v="5"/>
    <x v="1"/>
    <n v="40"/>
    <s v="Penerimaan Iuran Warga"/>
    <m/>
    <x v="19"/>
    <n v="100000"/>
    <m/>
    <n v="12715500"/>
  </r>
  <r>
    <n v="44"/>
    <d v="2026-01-23T00:00:00"/>
    <x v="0"/>
    <n v="5"/>
    <x v="2"/>
    <n v="40"/>
    <s v="Penerimaan Iuran Warga"/>
    <m/>
    <x v="19"/>
    <n v="100000"/>
    <m/>
    <n v="12815500"/>
  </r>
  <r>
    <n v="45"/>
    <d v="2026-01-29T00:00:00"/>
    <x v="0"/>
    <n v="5"/>
    <x v="1"/>
    <n v="40"/>
    <s v="Penerimaan Iuran Warga"/>
    <m/>
    <x v="20"/>
    <n v="100000"/>
    <m/>
    <n v="12915500"/>
  </r>
  <r>
    <n v="46"/>
    <d v="2026-01-29T00:00:00"/>
    <x v="0"/>
    <n v="5"/>
    <x v="2"/>
    <n v="40"/>
    <s v="Penerimaan Iuran Warga"/>
    <m/>
    <x v="20"/>
    <n v="100000"/>
    <m/>
    <n v="13015500"/>
  </r>
  <r>
    <n v="47"/>
    <d v="2026-01-31T00:00:00"/>
    <x v="0"/>
    <n v="5"/>
    <x v="1"/>
    <n v="40"/>
    <s v="Penerimaan Iuran Warga"/>
    <m/>
    <x v="21"/>
    <n v="100000"/>
    <m/>
    <n v="13115500"/>
  </r>
  <r>
    <n v="48"/>
    <d v="2026-01-31T00:00:00"/>
    <x v="0"/>
    <n v="5"/>
    <x v="1"/>
    <n v="40"/>
    <s v="Penerimaan Iuran Warga"/>
    <m/>
    <x v="22"/>
    <n v="100000"/>
    <m/>
    <n v="13215500"/>
  </r>
  <r>
    <n v="49"/>
    <d v="2026-01-31T00:00:00"/>
    <x v="0"/>
    <n v="5"/>
    <x v="1"/>
    <n v="50"/>
    <s v="Biaya Gaji Satpam"/>
    <s v="Gaji Mas Haidir"/>
    <x v="0"/>
    <m/>
    <n v="1615500"/>
    <n v="11600000"/>
  </r>
  <r>
    <n v="50"/>
    <d v="2026-01-31T00:00:00"/>
    <x v="0"/>
    <n v="5"/>
    <x v="1"/>
    <n v="50"/>
    <s v="Biaya Gaji Satpam"/>
    <s v="Gaji Mas Saiful"/>
    <x v="0"/>
    <m/>
    <n v="1216000"/>
    <n v="10384000"/>
  </r>
  <r>
    <n v="51"/>
    <d v="2026-01-31T00:00:00"/>
    <x v="0"/>
    <n v="5"/>
    <x v="1"/>
    <n v="50"/>
    <s v="Biaya Gaji Satpam"/>
    <s v="Gaji Samsah"/>
    <x v="0"/>
    <m/>
    <n v="689000"/>
    <n v="9695000"/>
  </r>
  <r>
    <n v="52"/>
    <d v="2026-01-31T00:00:00"/>
    <x v="0"/>
    <n v="5"/>
    <x v="1"/>
    <n v="51"/>
    <s v="Biaya Gaji Sampah"/>
    <s v="Gaji Pak Santok"/>
    <x v="0"/>
    <m/>
    <n v="850000"/>
    <n v="8845000"/>
  </r>
  <r>
    <n v="53"/>
    <d v="2026-01-31T00:00:00"/>
    <x v="0"/>
    <n v="5"/>
    <x v="1"/>
    <n v="52"/>
    <s v="Biaya Gaji Marbot"/>
    <s v="Gaji Rofik"/>
    <x v="0"/>
    <m/>
    <n v="750000"/>
    <n v="8095000"/>
  </r>
  <r>
    <n v="54"/>
    <d v="2026-01-31T00:00:00"/>
    <x v="0"/>
    <n v="5"/>
    <x v="2"/>
    <n v="40"/>
    <s v="Penerimaan Iuran Warga"/>
    <m/>
    <x v="21"/>
    <n v="100000"/>
    <m/>
    <n v="8195000"/>
  </r>
  <r>
    <n v="55"/>
    <d v="2026-02-01T00:00:00"/>
    <x v="1"/>
    <n v="5"/>
    <x v="1"/>
    <n v="40"/>
    <s v="Penerimaan Iuran Warga"/>
    <m/>
    <x v="23"/>
    <n v="100000"/>
    <m/>
    <n v="8295000"/>
  </r>
  <r>
    <n v="56"/>
    <d v="2026-02-01T00:00:00"/>
    <x v="1"/>
    <n v="5"/>
    <x v="2"/>
    <n v="40"/>
    <s v="Penerimaan Iuran Warga"/>
    <m/>
    <x v="23"/>
    <n v="100000"/>
    <m/>
    <n v="8395000"/>
  </r>
  <r>
    <n v="57"/>
    <d v="2026-02-01T00:00:00"/>
    <x v="1"/>
    <n v="5"/>
    <x v="3"/>
    <n v="40"/>
    <s v="Penerimaan Iuran Warga"/>
    <m/>
    <x v="23"/>
    <n v="100000"/>
    <m/>
    <n v="8495000"/>
  </r>
  <r>
    <n v="58"/>
    <d v="2026-02-01T00:00:00"/>
    <x v="1"/>
    <n v="5"/>
    <x v="2"/>
    <n v="40"/>
    <s v="Penerimaan Iuran Warga"/>
    <s v="Iuran Pak Afrijal"/>
    <x v="2"/>
    <n v="100000"/>
    <m/>
    <n v="8595000"/>
  </r>
  <r>
    <n v="59"/>
    <d v="2026-02-01T00:00:00"/>
    <x v="1"/>
    <n v="5"/>
    <x v="2"/>
    <n v="40"/>
    <s v="Penerimaan Iuran Warga"/>
    <m/>
    <x v="3"/>
    <n v="100000"/>
    <m/>
    <n v="8695000"/>
  </r>
  <r>
    <n v="60"/>
    <d v="2026-02-02T00:00:00"/>
    <x v="1"/>
    <n v="5"/>
    <x v="2"/>
    <n v="40"/>
    <s v="Penerimaan Iuran Warga"/>
    <s v="Iuran Pak Kafid"/>
    <x v="1"/>
    <n v="100000"/>
    <m/>
    <n v="8795000"/>
  </r>
  <r>
    <n v="61"/>
    <d v="2026-02-02T00:00:00"/>
    <x v="1"/>
    <n v="5"/>
    <x v="1"/>
    <n v="40"/>
    <s v="Penerimaan Iuran Warga"/>
    <m/>
    <x v="24"/>
    <n v="100000"/>
    <m/>
    <n v="8895000"/>
  </r>
  <r>
    <n v="62"/>
    <d v="2026-02-02T00:00:00"/>
    <x v="1"/>
    <n v="5"/>
    <x v="2"/>
    <n v="40"/>
    <s v="Penerimaan Iuran Warga"/>
    <m/>
    <x v="24"/>
    <n v="100000"/>
    <m/>
    <n v="8995000"/>
  </r>
  <r>
    <n v="63"/>
    <d v="2026-02-02T00:00:00"/>
    <x v="1"/>
    <n v="5"/>
    <x v="3"/>
    <n v="40"/>
    <s v="Penerimaan Iuran Warga"/>
    <m/>
    <x v="24"/>
    <n v="100000"/>
    <m/>
    <n v="9095000"/>
  </r>
  <r>
    <n v="64"/>
    <d v="2026-02-02T00:00:00"/>
    <x v="1"/>
    <n v="5"/>
    <x v="4"/>
    <n v="40"/>
    <s v="Penerimaan Iuran Warga"/>
    <m/>
    <x v="24"/>
    <n v="100000"/>
    <m/>
    <n v="9195000"/>
  </r>
  <r>
    <n v="65"/>
    <d v="2026-02-02T00:00:00"/>
    <x v="1"/>
    <n v="5"/>
    <x v="5"/>
    <n v="40"/>
    <s v="Penerimaan Iuran Warga"/>
    <m/>
    <x v="24"/>
    <n v="100000"/>
    <m/>
    <n v="9295000"/>
  </r>
  <r>
    <n v="66"/>
    <d v="2026-02-02T00:00:00"/>
    <x v="1"/>
    <n v="5"/>
    <x v="6"/>
    <n v="20"/>
    <s v="Iuran Warga Diterima di muka"/>
    <m/>
    <x v="24"/>
    <n v="100000"/>
    <m/>
    <n v="9395000"/>
  </r>
  <r>
    <n v="67"/>
    <d v="2026-02-02T00:00:00"/>
    <x v="1"/>
    <n v="5"/>
    <x v="7"/>
    <n v="20"/>
    <s v="Iuran Warga Diterima di muka"/>
    <m/>
    <x v="24"/>
    <n v="100000"/>
    <m/>
    <n v="9495000"/>
  </r>
  <r>
    <n v="68"/>
    <d v="2026-02-02T00:00:00"/>
    <x v="1"/>
    <n v="5"/>
    <x v="8"/>
    <n v="20"/>
    <s v="Iuran Warga Diterima di muka"/>
    <m/>
    <x v="24"/>
    <n v="100000"/>
    <m/>
    <n v="9595000"/>
  </r>
  <r>
    <n v="69"/>
    <d v="2026-02-02T00:00:00"/>
    <x v="1"/>
    <n v="5"/>
    <x v="9"/>
    <n v="20"/>
    <s v="Iuran Warga Diterima di muka"/>
    <m/>
    <x v="24"/>
    <n v="100000"/>
    <m/>
    <n v="9695000"/>
  </r>
  <r>
    <n v="70"/>
    <d v="2026-02-02T00:00:00"/>
    <x v="1"/>
    <n v="5"/>
    <x v="10"/>
    <n v="20"/>
    <s v="Iuran Warga Diterima di muka"/>
    <m/>
    <x v="24"/>
    <n v="100000"/>
    <m/>
    <n v="9795000"/>
  </r>
  <r>
    <n v="71"/>
    <d v="2026-02-02T00:00:00"/>
    <x v="1"/>
    <n v="5"/>
    <x v="11"/>
    <n v="20"/>
    <s v="Iuran Warga Diterima di muka"/>
    <m/>
    <x v="24"/>
    <n v="100000"/>
    <m/>
    <n v="9895000"/>
  </r>
  <r>
    <n v="72"/>
    <d v="2026-02-02T00:00:00"/>
    <x v="1"/>
    <n v="5"/>
    <x v="12"/>
    <n v="20"/>
    <s v="Iuran Warga Diterima di muka"/>
    <m/>
    <x v="24"/>
    <n v="100000"/>
    <m/>
    <n v="9995000"/>
  </r>
  <r>
    <n v="73"/>
    <d v="2026-02-02T00:00:00"/>
    <x v="1"/>
    <n v="5"/>
    <x v="2"/>
    <n v="40"/>
    <s v="Penerimaan Iuran Warga"/>
    <m/>
    <x v="9"/>
    <n v="100000"/>
    <m/>
    <n v="10095000"/>
  </r>
  <r>
    <n v="74"/>
    <d v="2026-02-02T00:00:00"/>
    <x v="1"/>
    <n v="5"/>
    <x v="1"/>
    <n v="40"/>
    <s v="Penerimaan Iuran Warga"/>
    <m/>
    <x v="25"/>
    <n v="100000"/>
    <m/>
    <n v="10195000"/>
  </r>
  <r>
    <n v="75"/>
    <d v="2026-02-02T00:00:00"/>
    <x v="1"/>
    <n v="5"/>
    <x v="2"/>
    <n v="40"/>
    <s v="Penerimaan Iuran Warga"/>
    <m/>
    <x v="25"/>
    <n v="100000"/>
    <m/>
    <n v="10295000"/>
  </r>
  <r>
    <n v="76"/>
    <d v="2026-02-02T00:00:00"/>
    <x v="1"/>
    <n v="5"/>
    <x v="3"/>
    <n v="40"/>
    <s v="Penerimaan Iuran Warga"/>
    <m/>
    <x v="25"/>
    <n v="100000"/>
    <m/>
    <n v="10395000"/>
  </r>
  <r>
    <n v="77"/>
    <d v="2026-02-02T00:00:00"/>
    <x v="1"/>
    <n v="5"/>
    <x v="2"/>
    <n v="40"/>
    <s v="Penerimaan Iuran Warga"/>
    <m/>
    <x v="4"/>
    <n v="100000"/>
    <m/>
    <n v="10495000"/>
  </r>
  <r>
    <n v="78"/>
    <d v="2026-02-03T00:00:00"/>
    <x v="1"/>
    <n v="5"/>
    <x v="2"/>
    <n v="40"/>
    <s v="Penerimaan Iuran Warga"/>
    <m/>
    <x v="13"/>
    <n v="190000"/>
    <m/>
    <n v="10685000"/>
  </r>
  <r>
    <n v="79"/>
    <d v="2026-02-03T00:00:00"/>
    <x v="1"/>
    <n v="5"/>
    <x v="3"/>
    <n v="40"/>
    <s v="Penerimaan Iuran Warga"/>
    <m/>
    <x v="7"/>
    <n v="165000"/>
    <m/>
    <n v="10850000"/>
  </r>
  <r>
    <n v="80"/>
    <d v="2026-02-03T00:00:00"/>
    <x v="1"/>
    <n v="5"/>
    <x v="4"/>
    <n v="40"/>
    <s v="Penerimaan Iuran Warga"/>
    <m/>
    <x v="7"/>
    <n v="160000"/>
    <m/>
    <n v="11010000"/>
  </r>
  <r>
    <n v="81"/>
    <d v="2026-02-03T00:00:00"/>
    <x v="1"/>
    <n v="5"/>
    <x v="2"/>
    <n v="40"/>
    <s v="Penerimaan Iuran Warga"/>
    <m/>
    <x v="8"/>
    <n v="100000"/>
    <m/>
    <n v="11110000"/>
  </r>
  <r>
    <n v="82"/>
    <d v="2026-02-03T00:00:00"/>
    <x v="1"/>
    <n v="5"/>
    <x v="2"/>
    <n v="40"/>
    <s v="Penerimaan Iuran Warga"/>
    <m/>
    <x v="10"/>
    <n v="100000"/>
    <m/>
    <n v="11210000"/>
  </r>
  <r>
    <n v="83"/>
    <d v="2026-02-03T00:00:00"/>
    <x v="1"/>
    <n v="5"/>
    <x v="1"/>
    <n v="40"/>
    <s v="Penerimaan Iuran Warga"/>
    <m/>
    <x v="26"/>
    <n v="100000"/>
    <m/>
    <n v="11310000"/>
  </r>
  <r>
    <n v="84"/>
    <d v="2026-02-04T00:00:00"/>
    <x v="1"/>
    <n v="5"/>
    <x v="1"/>
    <n v="40"/>
    <s v="Penerimaan Iuran Warga"/>
    <s v="Iuran Pak Ghozaimi"/>
    <x v="27"/>
    <n v="100000"/>
    <m/>
    <n v="11410000"/>
  </r>
  <r>
    <n v="85"/>
    <d v="2026-02-04T00:00:00"/>
    <x v="1"/>
    <n v="5"/>
    <x v="2"/>
    <n v="40"/>
    <s v="Penerimaan Iuran Warga"/>
    <s v="Iuran Pak Ghozaimi"/>
    <x v="27"/>
    <n v="100000"/>
    <m/>
    <n v="11510000"/>
  </r>
  <r>
    <n v="86"/>
    <d v="2026-02-04T00:00:00"/>
    <x v="1"/>
    <n v="5"/>
    <x v="2"/>
    <n v="40"/>
    <s v="Penerimaan Iuran Warga"/>
    <m/>
    <x v="15"/>
    <n v="100000"/>
    <m/>
    <n v="11610000"/>
  </r>
  <r>
    <n v="87"/>
    <d v="2026-02-05T00:00:00"/>
    <x v="1"/>
    <n v="5"/>
    <x v="1"/>
    <n v="40"/>
    <s v="Penerimaan Iuran Warga"/>
    <m/>
    <x v="28"/>
    <n v="100000"/>
    <m/>
    <n v="11710000"/>
  </r>
  <r>
    <n v="88"/>
    <d v="2026-02-05T00:00:00"/>
    <x v="1"/>
    <n v="5"/>
    <x v="2"/>
    <n v="40"/>
    <s v="Penerimaan Iuran Warga"/>
    <m/>
    <x v="28"/>
    <n v="100000"/>
    <m/>
    <n v="11810000"/>
  </r>
  <r>
    <n v="89"/>
    <d v="2026-02-05T00:00:00"/>
    <x v="1"/>
    <n v="5"/>
    <x v="1"/>
    <n v="40"/>
    <s v="Penerimaan Iuran Warga"/>
    <m/>
    <x v="29"/>
    <n v="100000"/>
    <m/>
    <n v="11910000"/>
  </r>
  <r>
    <n v="90"/>
    <d v="2026-02-05T00:00:00"/>
    <x v="1"/>
    <n v="5"/>
    <x v="2"/>
    <n v="40"/>
    <s v="Penerimaan Iuran Warga"/>
    <m/>
    <x v="29"/>
    <n v="100000"/>
    <m/>
    <n v="12010000"/>
  </r>
  <r>
    <n v="91"/>
    <d v="2026-02-05T00:00:00"/>
    <x v="1"/>
    <n v="5"/>
    <x v="3"/>
    <n v="40"/>
    <s v="Penerimaan Iuran Warga"/>
    <m/>
    <x v="29"/>
    <n v="100000"/>
    <m/>
    <n v="12110000"/>
  </r>
  <r>
    <n v="92"/>
    <d v="2026-02-05T00:00:00"/>
    <x v="1"/>
    <n v="5"/>
    <x v="4"/>
    <n v="40"/>
    <s v="Penerimaan Iuran Warga"/>
    <m/>
    <x v="29"/>
    <n v="100000"/>
    <m/>
    <n v="12210000"/>
  </r>
  <r>
    <n v="93"/>
    <d v="2026-02-05T00:00:00"/>
    <x v="1"/>
    <n v="5"/>
    <x v="5"/>
    <n v="40"/>
    <s v="Penerimaan Iuran Warga"/>
    <m/>
    <x v="29"/>
    <n v="100000"/>
    <m/>
    <n v="12310000"/>
  </r>
  <r>
    <n v="94"/>
    <d v="2026-02-05T00:00:00"/>
    <x v="1"/>
    <n v="5"/>
    <x v="6"/>
    <n v="20"/>
    <s v="Iuran Warga Diterima di muka"/>
    <m/>
    <x v="29"/>
    <n v="100000"/>
    <m/>
    <n v="12410000"/>
  </r>
  <r>
    <n v="95"/>
    <d v="2026-02-05T00:00:00"/>
    <x v="1"/>
    <n v="5"/>
    <x v="7"/>
    <n v="20"/>
    <s v="Iuran Warga Diterima di muka"/>
    <m/>
    <x v="29"/>
    <n v="100000"/>
    <m/>
    <n v="12510000"/>
  </r>
  <r>
    <n v="96"/>
    <d v="2026-02-05T00:00:00"/>
    <x v="1"/>
    <n v="5"/>
    <x v="8"/>
    <n v="20"/>
    <s v="Iuran Warga Diterima di muka"/>
    <m/>
    <x v="29"/>
    <n v="100000"/>
    <m/>
    <n v="12610000"/>
  </r>
  <r>
    <n v="97"/>
    <d v="2026-02-05T00:00:00"/>
    <x v="1"/>
    <n v="5"/>
    <x v="9"/>
    <n v="20"/>
    <s v="Iuran Warga Diterima di muka"/>
    <m/>
    <x v="29"/>
    <n v="100000"/>
    <m/>
    <n v="12710000"/>
  </r>
  <r>
    <n v="98"/>
    <d v="2026-02-05T00:00:00"/>
    <x v="1"/>
    <n v="5"/>
    <x v="10"/>
    <n v="20"/>
    <s v="Iuran Warga Diterima di muka"/>
    <m/>
    <x v="29"/>
    <n v="100000"/>
    <m/>
    <n v="12810000"/>
  </r>
  <r>
    <n v="99"/>
    <d v="2026-02-05T00:00:00"/>
    <x v="1"/>
    <n v="5"/>
    <x v="11"/>
    <n v="20"/>
    <s v="Iuran Warga Diterima di muka"/>
    <m/>
    <x v="29"/>
    <n v="100000"/>
    <m/>
    <n v="12910000"/>
  </r>
  <r>
    <n v="100"/>
    <d v="2026-02-05T00:00:00"/>
    <x v="1"/>
    <n v="5"/>
    <x v="12"/>
    <n v="20"/>
    <s v="Iuran Warga Diterima di muka"/>
    <m/>
    <x v="29"/>
    <n v="100000"/>
    <m/>
    <n v="13010000"/>
  </r>
  <r>
    <n v="101"/>
    <d v="2026-02-05T00:00:00"/>
    <x v="1"/>
    <n v="5"/>
    <x v="1"/>
    <n v="40"/>
    <s v="Penerimaan Iuran Warga"/>
    <m/>
    <x v="30"/>
    <n v="100000"/>
    <m/>
    <n v="13110000"/>
  </r>
  <r>
    <n v="102"/>
    <d v="2026-02-05T00:00:00"/>
    <x v="1"/>
    <n v="5"/>
    <x v="2"/>
    <n v="40"/>
    <s v="Penerimaan Iuran Warga"/>
    <m/>
    <x v="30"/>
    <n v="100000"/>
    <m/>
    <n v="13210000"/>
  </r>
  <r>
    <n v="103"/>
    <d v="2026-02-05T00:00:00"/>
    <x v="1"/>
    <n v="5"/>
    <x v="3"/>
    <n v="40"/>
    <s v="Penerimaan Iuran Warga"/>
    <m/>
    <x v="30"/>
    <n v="100000"/>
    <m/>
    <n v="13310000"/>
  </r>
  <r>
    <n v="104"/>
    <d v="2026-02-05T00:00:00"/>
    <x v="1"/>
    <n v="5"/>
    <x v="4"/>
    <n v="40"/>
    <s v="Penerimaan Iuran Warga"/>
    <m/>
    <x v="30"/>
    <n v="100000"/>
    <m/>
    <n v="13410000"/>
  </r>
  <r>
    <n v="105"/>
    <d v="2026-02-05T00:00:00"/>
    <x v="1"/>
    <n v="5"/>
    <x v="5"/>
    <n v="40"/>
    <s v="Penerimaan Iuran Warga"/>
    <m/>
    <x v="30"/>
    <n v="100000"/>
    <m/>
    <n v="13510000"/>
  </r>
  <r>
    <n v="106"/>
    <d v="2026-02-05T00:00:00"/>
    <x v="1"/>
    <n v="5"/>
    <x v="6"/>
    <n v="20"/>
    <s v="Iuran Warga Diterima di muka"/>
    <m/>
    <x v="30"/>
    <n v="100000"/>
    <m/>
    <n v="13610000"/>
  </r>
  <r>
    <n v="107"/>
    <d v="2026-02-05T00:00:00"/>
    <x v="1"/>
    <n v="5"/>
    <x v="7"/>
    <n v="20"/>
    <s v="Iuran Warga Diterima di muka"/>
    <m/>
    <x v="30"/>
    <n v="100000"/>
    <m/>
    <n v="13710000"/>
  </r>
  <r>
    <n v="108"/>
    <d v="2026-02-05T00:00:00"/>
    <x v="1"/>
    <n v="5"/>
    <x v="8"/>
    <n v="20"/>
    <s v="Iuran Warga Diterima di muka"/>
    <m/>
    <x v="30"/>
    <n v="100000"/>
    <m/>
    <n v="13810000"/>
  </r>
  <r>
    <n v="109"/>
    <d v="2026-02-05T00:00:00"/>
    <x v="1"/>
    <n v="5"/>
    <x v="9"/>
    <n v="20"/>
    <s v="Iuran Warga Diterima di muka"/>
    <m/>
    <x v="30"/>
    <n v="100000"/>
    <m/>
    <n v="13910000"/>
  </r>
  <r>
    <n v="110"/>
    <d v="2026-02-05T00:00:00"/>
    <x v="1"/>
    <n v="5"/>
    <x v="10"/>
    <n v="20"/>
    <s v="Iuran Warga Diterima di muka"/>
    <m/>
    <x v="30"/>
    <n v="100000"/>
    <m/>
    <n v="14010000"/>
  </r>
  <r>
    <n v="111"/>
    <d v="2026-02-05T00:00:00"/>
    <x v="1"/>
    <n v="5"/>
    <x v="11"/>
    <n v="20"/>
    <s v="Iuran Warga Diterima di muka"/>
    <m/>
    <x v="30"/>
    <n v="100000"/>
    <m/>
    <n v="14110000"/>
  </r>
  <r>
    <n v="112"/>
    <d v="2026-02-05T00:00:00"/>
    <x v="1"/>
    <n v="5"/>
    <x v="12"/>
    <n v="20"/>
    <s v="Iuran Warga Diterima di muka"/>
    <m/>
    <x v="30"/>
    <n v="100000"/>
    <m/>
    <n v="14210000"/>
  </r>
  <r>
    <n v="113"/>
    <d v="2026-02-06T00:00:00"/>
    <x v="1"/>
    <n v="5"/>
    <x v="1"/>
    <n v="40"/>
    <s v="Penerimaan Iuran Warga"/>
    <m/>
    <x v="31"/>
    <n v="100000"/>
    <m/>
    <n v="14310000"/>
  </r>
  <r>
    <n v="114"/>
    <d v="2026-02-06T00:00:00"/>
    <x v="1"/>
    <n v="5"/>
    <x v="2"/>
    <n v="40"/>
    <s v="Penerimaan Iuran Warga"/>
    <m/>
    <x v="31"/>
    <n v="100000"/>
    <m/>
    <n v="14410000"/>
  </r>
  <r>
    <n v="115"/>
    <d v="2026-02-06T00:00:00"/>
    <x v="1"/>
    <n v="5"/>
    <x v="3"/>
    <n v="40"/>
    <s v="Penerimaan Iuran Warga"/>
    <m/>
    <x v="31"/>
    <n v="100000"/>
    <m/>
    <n v="14510000"/>
  </r>
  <r>
    <n v="116"/>
    <d v="2026-02-06T00:00:00"/>
    <x v="1"/>
    <n v="5"/>
    <x v="2"/>
    <n v="40"/>
    <s v="Penerimaan Iuran Warga"/>
    <m/>
    <x v="14"/>
    <n v="100000"/>
    <m/>
    <n v="14610000"/>
  </r>
  <r>
    <n v="117"/>
    <d v="2026-02-10T00:00:00"/>
    <x v="1"/>
    <n v="5"/>
    <x v="1"/>
    <n v="40"/>
    <s v="Penerimaan Iuran Warga"/>
    <m/>
    <x v="32"/>
    <n v="100000"/>
    <m/>
    <n v="14710000"/>
  </r>
  <r>
    <n v="118"/>
    <d v="2026-02-10T00:00:00"/>
    <x v="1"/>
    <n v="5"/>
    <x v="2"/>
    <n v="40"/>
    <s v="Penerimaan Iuran Warga"/>
    <m/>
    <x v="32"/>
    <n v="100000"/>
    <m/>
    <n v="14810000"/>
  </r>
  <r>
    <n v="119"/>
    <d v="2026-02-17T00:00:00"/>
    <x v="1"/>
    <n v="5"/>
    <x v="1"/>
    <n v="40"/>
    <s v="Penerimaan Iuran Warga"/>
    <m/>
    <x v="33"/>
    <n v="100000"/>
    <m/>
    <n v="14910000"/>
  </r>
  <r>
    <n v="120"/>
    <d v="2026-02-17T00:00:00"/>
    <x v="1"/>
    <n v="5"/>
    <x v="2"/>
    <n v="40"/>
    <s v="Penerimaan Iuran Warga"/>
    <m/>
    <x v="33"/>
    <n v="100000"/>
    <m/>
    <n v="15010000"/>
  </r>
  <r>
    <n v="121"/>
    <d v="2026-02-17T00:00:00"/>
    <x v="1"/>
    <n v="5"/>
    <x v="1"/>
    <n v="40"/>
    <s v="Penerimaan Iuran Warga"/>
    <m/>
    <x v="34"/>
    <n v="100000"/>
    <m/>
    <n v="15110000"/>
  </r>
  <r>
    <n v="122"/>
    <d v="2026-02-17T00:00:00"/>
    <x v="1"/>
    <n v="5"/>
    <x v="2"/>
    <n v="40"/>
    <s v="Penerimaan Iuran Warga"/>
    <m/>
    <x v="34"/>
    <n v="100000"/>
    <m/>
    <n v="15210000"/>
  </r>
  <r>
    <n v="123"/>
    <d v="2026-02-17T00:00:00"/>
    <x v="1"/>
    <n v="5"/>
    <x v="3"/>
    <n v="40"/>
    <s v="Penerimaan Iuran Warga"/>
    <m/>
    <x v="34"/>
    <n v="100000"/>
    <m/>
    <n v="15310000"/>
  </r>
  <r>
    <n v="124"/>
    <d v="2026-02-17T00:00:00"/>
    <x v="1"/>
    <n v="5"/>
    <x v="4"/>
    <n v="40"/>
    <s v="Penerimaan Iuran Warga"/>
    <m/>
    <x v="34"/>
    <n v="100000"/>
    <m/>
    <n v="15410000"/>
  </r>
  <r>
    <n v="125"/>
    <d v="2026-02-17T00:00:00"/>
    <x v="1"/>
    <n v="5"/>
    <x v="5"/>
    <n v="40"/>
    <s v="Penerimaan Iuran Warga"/>
    <m/>
    <x v="34"/>
    <n v="100000"/>
    <m/>
    <n v="15510000"/>
  </r>
  <r>
    <n v="126"/>
    <d v="2026-02-17T00:00:00"/>
    <x v="1"/>
    <n v="5"/>
    <x v="6"/>
    <n v="40"/>
    <s v="Penerimaan Iuran Warga"/>
    <m/>
    <x v="34"/>
    <n v="100000"/>
    <m/>
    <n v="15610000"/>
  </r>
  <r>
    <n v="127"/>
    <d v="2026-02-17T00:00:00"/>
    <x v="1"/>
    <n v="5"/>
    <x v="7"/>
    <n v="20"/>
    <s v="Iuran Warga Diterima di muka"/>
    <m/>
    <x v="34"/>
    <n v="100000"/>
    <m/>
    <n v="15710000"/>
  </r>
  <r>
    <n v="128"/>
    <d v="2026-02-17T00:00:00"/>
    <x v="1"/>
    <n v="5"/>
    <x v="8"/>
    <n v="20"/>
    <s v="Iuran Warga Diterima di muka"/>
    <m/>
    <x v="34"/>
    <n v="100000"/>
    <m/>
    <n v="15810000"/>
  </r>
  <r>
    <n v="129"/>
    <d v="2026-02-17T00:00:00"/>
    <x v="1"/>
    <n v="5"/>
    <x v="9"/>
    <n v="20"/>
    <s v="Iuran Warga Diterima di muka"/>
    <m/>
    <x v="34"/>
    <n v="100000"/>
    <m/>
    <n v="15910000"/>
  </r>
  <r>
    <n v="130"/>
    <d v="2026-02-17T00:00:00"/>
    <x v="1"/>
    <n v="5"/>
    <x v="10"/>
    <n v="20"/>
    <s v="Iuran Warga Diterima di muka"/>
    <m/>
    <x v="34"/>
    <n v="100000"/>
    <m/>
    <n v="16010000"/>
  </r>
  <r>
    <n v="131"/>
    <d v="2026-02-17T00:00:00"/>
    <x v="1"/>
    <n v="5"/>
    <x v="11"/>
    <n v="20"/>
    <s v="Iuran Warga Diterima di muka"/>
    <m/>
    <x v="34"/>
    <n v="100000"/>
    <m/>
    <n v="16110000"/>
  </r>
  <r>
    <n v="132"/>
    <d v="2026-02-17T00:00:00"/>
    <x v="1"/>
    <n v="5"/>
    <x v="12"/>
    <n v="20"/>
    <s v="Iuran Warga Diterima di muka"/>
    <m/>
    <x v="34"/>
    <n v="100000"/>
    <m/>
    <n v="16210000"/>
  </r>
  <r>
    <n v="133"/>
    <d v="2026-02-20T00:00:00"/>
    <x v="1"/>
    <n v="5"/>
    <x v="2"/>
    <n v="60"/>
    <s v="Biaya Logistik Satpam dan Musholla"/>
    <m/>
    <x v="0"/>
    <m/>
    <n v="450000"/>
    <n v="15760000"/>
  </r>
  <r>
    <n v="134"/>
    <d v="2026-02-20T00:00:00"/>
    <x v="1"/>
    <n v="5"/>
    <x v="2"/>
    <n v="40"/>
    <s v="Penerimaan Iuran Warga"/>
    <m/>
    <x v="17"/>
    <n v="100000"/>
    <m/>
    <n v="15860000"/>
  </r>
  <r>
    <n v="135"/>
    <d v="2026-02-23T00:00:00"/>
    <x v="1"/>
    <n v="5"/>
    <x v="2"/>
    <n v="40"/>
    <s v="Penerimaan Iuran Warga"/>
    <m/>
    <x v="18"/>
    <n v="100000"/>
    <m/>
    <n v="15960000"/>
  </r>
  <r>
    <n v="136"/>
    <d v="2026-02-28T00:00:00"/>
    <x v="1"/>
    <n v="5"/>
    <x v="1"/>
    <n v="40"/>
    <s v="Penerimaan Iuran Warga"/>
    <m/>
    <x v="35"/>
    <n v="100000"/>
    <m/>
    <n v="16060000"/>
  </r>
  <r>
    <n v="137"/>
    <d v="2026-02-28T00:00:00"/>
    <x v="1"/>
    <n v="5"/>
    <x v="2"/>
    <n v="40"/>
    <s v="Penerimaan Iuran Warga"/>
    <m/>
    <x v="35"/>
    <n v="100000"/>
    <m/>
    <n v="16160000"/>
  </r>
  <r>
    <n v="138"/>
    <d v="2026-02-28T00:00:00"/>
    <x v="1"/>
    <n v="5"/>
    <x v="3"/>
    <n v="40"/>
    <s v="Penerimaan Iuran Warga"/>
    <m/>
    <x v="35"/>
    <n v="100000"/>
    <m/>
    <n v="16260000"/>
  </r>
  <r>
    <n v="139"/>
    <d v="2026-02-28T00:00:00"/>
    <x v="1"/>
    <n v="5"/>
    <x v="4"/>
    <n v="40"/>
    <s v="Penerimaan Iuran Warga"/>
    <m/>
    <x v="35"/>
    <n v="100000"/>
    <m/>
    <n v="16360000"/>
  </r>
  <r>
    <n v="140"/>
    <d v="2026-02-28T00:00:00"/>
    <x v="1"/>
    <n v="5"/>
    <x v="2"/>
    <n v="50"/>
    <s v="Biaya Gaji Satpam"/>
    <s v="Gaji Mas Haidir"/>
    <x v="0"/>
    <m/>
    <n v="1593000"/>
    <n v="14767000"/>
  </r>
  <r>
    <n v="141"/>
    <d v="2026-02-28T00:00:00"/>
    <x v="1"/>
    <n v="5"/>
    <x v="2"/>
    <n v="50"/>
    <s v="Biaya Gaji Satpam"/>
    <s v="Gaji Mas Saiful"/>
    <x v="0"/>
    <m/>
    <n v="1609000"/>
    <n v="13158000"/>
  </r>
  <r>
    <n v="142"/>
    <d v="2026-02-28T00:00:00"/>
    <x v="1"/>
    <n v="5"/>
    <x v="2"/>
    <n v="51"/>
    <s v="Biaya Gaji Sampah"/>
    <s v="Gaji Pak Santok"/>
    <x v="0"/>
    <m/>
    <n v="850000"/>
    <n v="12308000"/>
  </r>
  <r>
    <n v="143"/>
    <d v="2026-02-28T00:00:00"/>
    <x v="1"/>
    <n v="5"/>
    <x v="2"/>
    <n v="52"/>
    <s v="Biaya Gaji Marbot"/>
    <s v="Gaji Rofik"/>
    <x v="0"/>
    <m/>
    <n v="750000"/>
    <n v="11558000"/>
  </r>
  <r>
    <n v="144"/>
    <d v="2026-03-01T00:00:00"/>
    <x v="2"/>
    <n v="5"/>
    <x v="3"/>
    <n v="60"/>
    <s v="Biaya Logistik Satpam dan Musholla"/>
    <s v="Uang sahur satpam dan marbot"/>
    <x v="0"/>
    <m/>
    <n v="450000"/>
    <n v="11108000"/>
  </r>
  <r>
    <n v="145"/>
    <d v="2026-03-01T00:00:00"/>
    <x v="2"/>
    <n v="5"/>
    <x v="3"/>
    <n v="40"/>
    <s v="Penerimaan Iuran Warga"/>
    <s v="Iuran Pak Kafid"/>
    <x v="1"/>
    <n v="100000"/>
    <m/>
    <n v="11208000"/>
  </r>
  <r>
    <n v="146"/>
    <d v="2026-03-01T00:00:00"/>
    <x v="2"/>
    <n v="5"/>
    <x v="3"/>
    <n v="40"/>
    <s v="Penerimaan Iuran Warga"/>
    <s v="Iuran Pak Afrijal"/>
    <x v="2"/>
    <n v="100000"/>
    <m/>
    <n v="11308000"/>
  </r>
  <r>
    <n v="147"/>
    <d v="2026-03-01T00:00:00"/>
    <x v="2"/>
    <n v="5"/>
    <x v="2"/>
    <n v="40"/>
    <s v="Penerimaan Iuran Warga"/>
    <m/>
    <x v="36"/>
    <n v="100000"/>
    <m/>
    <n v="11408000"/>
  </r>
  <r>
    <n v="148"/>
    <d v="2026-03-01T00:00:00"/>
    <x v="2"/>
    <n v="5"/>
    <x v="3"/>
    <n v="40"/>
    <s v="Penerimaan Iuran Warga"/>
    <m/>
    <x v="36"/>
    <n v="100000"/>
    <m/>
    <n v="11508000"/>
  </r>
  <r>
    <n v="149"/>
    <d v="2026-03-01T00:00:00"/>
    <x v="2"/>
    <n v="5"/>
    <x v="3"/>
    <n v="40"/>
    <s v="Penerimaan Iuran Warga"/>
    <m/>
    <x v="21"/>
    <n v="100000"/>
    <m/>
    <n v="11608000"/>
  </r>
  <r>
    <n v="150"/>
    <d v="2026-03-01T00:00:00"/>
    <x v="2"/>
    <n v="5"/>
    <x v="3"/>
    <n v="50"/>
    <s v="Biaya Gaji Satpam"/>
    <s v="Gaji Mas Haidir"/>
    <x v="0"/>
    <m/>
    <n v="944000"/>
    <n v="10664000"/>
  </r>
  <r>
    <n v="151"/>
    <d v="2026-03-01T00:00:00"/>
    <x v="2"/>
    <n v="5"/>
    <x v="3"/>
    <n v="50"/>
    <s v="Biaya Gaji Satpam"/>
    <s v="Gaji Mas Saiful"/>
    <x v="0"/>
    <m/>
    <n v="1732000"/>
    <n v="8932000"/>
  </r>
  <r>
    <n v="152"/>
    <d v="2026-03-01T00:00:00"/>
    <x v="2"/>
    <n v="5"/>
    <x v="3"/>
    <n v="50"/>
    <s v="Biaya Gaji Satpam"/>
    <s v="Gaji Rofik"/>
    <x v="0"/>
    <m/>
    <n v="600000"/>
    <n v="8332000"/>
  </r>
  <r>
    <n v="153"/>
    <d v="2026-03-01T00:00:00"/>
    <x v="2"/>
    <n v="5"/>
    <x v="3"/>
    <n v="52"/>
    <s v="Biaya Gaji Marbot"/>
    <s v="Gaji Marbot"/>
    <x v="0"/>
    <m/>
    <n v="750000"/>
    <n v="7582000"/>
  </r>
  <r>
    <n v="154"/>
    <d v="2026-03-01T00:00:00"/>
    <x v="2"/>
    <n v="5"/>
    <x v="3"/>
    <n v="51"/>
    <s v="Biaya Gaji Sampah"/>
    <s v="Gaji Pak Santok"/>
    <x v="0"/>
    <m/>
    <n v="850000"/>
    <n v="6732000"/>
  </r>
  <r>
    <n v="155"/>
    <d v="2026-03-01T00:00:00"/>
    <x v="2"/>
    <n v="5"/>
    <x v="4"/>
    <n v="40"/>
    <s v="Penerimaan Iuran Warga"/>
    <m/>
    <x v="21"/>
    <n v="100000"/>
    <m/>
    <n v="6832000"/>
  </r>
  <r>
    <n v="156"/>
    <d v="2026-03-02T00:00:00"/>
    <x v="2"/>
    <n v="5"/>
    <x v="1"/>
    <n v="40"/>
    <s v="Penerimaan Iuran Warga"/>
    <m/>
    <x v="37"/>
    <n v="100000"/>
    <m/>
    <n v="6932000"/>
  </r>
  <r>
    <n v="157"/>
    <d v="2026-03-02T00:00:00"/>
    <x v="2"/>
    <n v="5"/>
    <x v="2"/>
    <n v="40"/>
    <s v="Penerimaan Iuran Warga"/>
    <m/>
    <x v="37"/>
    <n v="100000"/>
    <m/>
    <n v="7032000"/>
  </r>
  <r>
    <n v="158"/>
    <d v="2026-03-02T00:00:00"/>
    <x v="2"/>
    <n v="5"/>
    <x v="3"/>
    <n v="40"/>
    <s v="Penerimaan Iuran Warga"/>
    <m/>
    <x v="37"/>
    <n v="100000"/>
    <m/>
    <n v="7132000"/>
  </r>
  <r>
    <n v="159"/>
    <d v="2026-03-02T00:00:00"/>
    <x v="2"/>
    <n v="5"/>
    <x v="4"/>
    <n v="40"/>
    <s v="Penerimaan Iuran Warga"/>
    <m/>
    <x v="37"/>
    <n v="100000"/>
    <m/>
    <n v="7232000"/>
  </r>
  <r>
    <n v="160"/>
    <d v="2026-03-02T00:00:00"/>
    <x v="2"/>
    <n v="5"/>
    <x v="5"/>
    <n v="40"/>
    <s v="Penerimaan Iuran Warga"/>
    <m/>
    <x v="37"/>
    <n v="100000"/>
    <m/>
    <n v="7332000"/>
  </r>
  <r>
    <n v="161"/>
    <d v="2026-03-02T00:00:00"/>
    <x v="2"/>
    <n v="5"/>
    <x v="6"/>
    <n v="20"/>
    <s v="Iuran Warga Diterima di muka"/>
    <m/>
    <x v="37"/>
    <n v="100000"/>
    <m/>
    <n v="7432000"/>
  </r>
  <r>
    <n v="162"/>
    <d v="2026-03-02T00:00:00"/>
    <x v="2"/>
    <n v="5"/>
    <x v="7"/>
    <n v="20"/>
    <s v="Iuran Warga Diterima di muka"/>
    <m/>
    <x v="37"/>
    <n v="100000"/>
    <m/>
    <n v="7532000"/>
  </r>
  <r>
    <n v="163"/>
    <d v="2026-03-02T00:00:00"/>
    <x v="2"/>
    <n v="5"/>
    <x v="8"/>
    <n v="20"/>
    <s v="Iuran Warga Diterima di muka"/>
    <m/>
    <x v="37"/>
    <n v="100000"/>
    <m/>
    <n v="7632000"/>
  </r>
  <r>
    <n v="164"/>
    <d v="2026-03-02T00:00:00"/>
    <x v="2"/>
    <n v="5"/>
    <x v="9"/>
    <n v="20"/>
    <s v="Iuran Warga Diterima di muka"/>
    <m/>
    <x v="37"/>
    <n v="100000"/>
    <m/>
    <n v="7732000"/>
  </r>
  <r>
    <n v="165"/>
    <d v="2026-03-02T00:00:00"/>
    <x v="2"/>
    <n v="5"/>
    <x v="10"/>
    <n v="20"/>
    <s v="Iuran Warga Diterima di muka"/>
    <m/>
    <x v="37"/>
    <n v="100000"/>
    <m/>
    <n v="7832000"/>
  </r>
  <r>
    <n v="166"/>
    <d v="2026-03-02T00:00:00"/>
    <x v="2"/>
    <n v="5"/>
    <x v="11"/>
    <n v="20"/>
    <s v="Iuran Warga Diterima di muka"/>
    <m/>
    <x v="37"/>
    <n v="100000"/>
    <m/>
    <n v="7932000"/>
  </r>
  <r>
    <n v="167"/>
    <d v="2026-03-02T00:00:00"/>
    <x v="2"/>
    <n v="5"/>
    <x v="12"/>
    <n v="20"/>
    <s v="Iuran Warga Diterima di muka"/>
    <m/>
    <x v="37"/>
    <n v="100000"/>
    <m/>
    <n v="8032000"/>
  </r>
  <r>
    <n v="168"/>
    <d v="2026-03-02T00:00:00"/>
    <x v="2"/>
    <n v="5"/>
    <x v="3"/>
    <n v="40"/>
    <s v="Penerimaan Iuran Warga"/>
    <m/>
    <x v="11"/>
    <n v="100000"/>
    <m/>
    <n v="8132000"/>
  </r>
  <r>
    <n v="169"/>
    <d v="2026-03-03T00:00:00"/>
    <x v="2"/>
    <n v="5"/>
    <x v="3"/>
    <n v="40"/>
    <s v="Penerimaan Iuran Warga"/>
    <m/>
    <x v="13"/>
    <n v="190000"/>
    <m/>
    <n v="8322000"/>
  </r>
  <r>
    <n v="170"/>
    <d v="2026-03-03T00:00:00"/>
    <x v="2"/>
    <n v="5"/>
    <x v="3"/>
    <n v="40"/>
    <s v="Penerimaan Iuran Warga"/>
    <m/>
    <x v="8"/>
    <n v="100000"/>
    <m/>
    <n v="8422000"/>
  </r>
  <r>
    <n v="171"/>
    <d v="2026-03-03T00:00:00"/>
    <x v="2"/>
    <n v="5"/>
    <x v="3"/>
    <n v="40"/>
    <s v="Penerimaan Iuran Warga"/>
    <m/>
    <x v="10"/>
    <n v="100000"/>
    <m/>
    <n v="8522000"/>
  </r>
  <r>
    <n v="172"/>
    <d v="2026-03-03T00:00:00"/>
    <x v="2"/>
    <n v="5"/>
    <x v="3"/>
    <n v="40"/>
    <s v="Penerimaan Iuran Warga"/>
    <m/>
    <x v="4"/>
    <n v="100000"/>
    <m/>
    <n v="8622000"/>
  </r>
  <r>
    <n v="173"/>
    <d v="2026-03-04T00:00:00"/>
    <x v="2"/>
    <n v="5"/>
    <x v="1"/>
    <n v="40"/>
    <s v="Penerimaan Iuran Warga"/>
    <m/>
    <x v="38"/>
    <n v="100000"/>
    <m/>
    <n v="8722000"/>
  </r>
  <r>
    <n v="174"/>
    <d v="2026-03-04T00:00:00"/>
    <x v="2"/>
    <n v="5"/>
    <x v="2"/>
    <n v="40"/>
    <s v="Penerimaan Iuran Warga"/>
    <m/>
    <x v="38"/>
    <n v="100000"/>
    <m/>
    <n v="8822000"/>
  </r>
  <r>
    <n v="175"/>
    <d v="2026-03-04T00:00:00"/>
    <x v="2"/>
    <n v="5"/>
    <x v="3"/>
    <n v="40"/>
    <s v="Penerimaan Iuran Warga"/>
    <m/>
    <x v="38"/>
    <n v="100000"/>
    <m/>
    <n v="8922000"/>
  </r>
  <r>
    <n v="176"/>
    <d v="2026-03-04T00:00:00"/>
    <x v="2"/>
    <n v="5"/>
    <x v="3"/>
    <n v="40"/>
    <s v="Penerimaan Iuran Warga"/>
    <m/>
    <x v="3"/>
    <n v="100000"/>
    <m/>
    <n v="9022000"/>
  </r>
  <r>
    <n v="177"/>
    <d v="2026-03-04T00:00:00"/>
    <x v="2"/>
    <n v="5"/>
    <x v="2"/>
    <n v="40"/>
    <s v="Penerimaan Iuran Warga"/>
    <m/>
    <x v="22"/>
    <n v="100000"/>
    <m/>
    <n v="9122000"/>
  </r>
  <r>
    <n v="178"/>
    <d v="2026-03-05T00:00:00"/>
    <x v="2"/>
    <n v="5"/>
    <x v="2"/>
    <n v="40"/>
    <s v="Penerimaan Iuran Warga"/>
    <m/>
    <x v="14"/>
    <n v="100000"/>
    <m/>
    <n v="9222000"/>
  </r>
  <r>
    <n v="179"/>
    <d v="2026-03-10T00:00:00"/>
    <x v="2"/>
    <n v="5"/>
    <x v="3"/>
    <n v="53"/>
    <s v="Biaya THR"/>
    <s v="THR Mas Haidir"/>
    <x v="0"/>
    <m/>
    <n v="1100000"/>
    <n v="8122000"/>
  </r>
  <r>
    <n v="180"/>
    <d v="2026-03-10T00:00:00"/>
    <x v="2"/>
    <n v="5"/>
    <x v="3"/>
    <n v="53"/>
    <s v="Biaya THR"/>
    <s v="THR Mas Saiful"/>
    <x v="0"/>
    <m/>
    <n v="1100000"/>
    <n v="7022000"/>
  </r>
  <r>
    <n v="181"/>
    <d v="2026-03-10T00:00:00"/>
    <x v="2"/>
    <n v="5"/>
    <x v="3"/>
    <n v="53"/>
    <s v="Biaya THR"/>
    <s v="THR Rofik"/>
    <x v="0"/>
    <m/>
    <n v="500000"/>
    <n v="6522000"/>
  </r>
  <r>
    <n v="182"/>
    <d v="2026-03-10T00:00:00"/>
    <x v="2"/>
    <n v="5"/>
    <x v="3"/>
    <n v="53"/>
    <s v="Biaya THR"/>
    <s v="THR Pak Santok"/>
    <x v="0"/>
    <m/>
    <n v="850000"/>
    <n v="5672000"/>
  </r>
  <r>
    <n v="183"/>
    <d v="2026-03-10T00:00:00"/>
    <x v="2"/>
    <n v="5"/>
    <x v="3"/>
    <n v="60"/>
    <s v="Biaya Logistik Satpam dan Musholla"/>
    <s v="Uang sahur satpam dan marbot"/>
    <x v="0"/>
    <m/>
    <n v="450000"/>
    <n v="5222000"/>
  </r>
  <r>
    <n v="184"/>
    <d v="2026-03-18T00:00:00"/>
    <x v="2"/>
    <n v="5"/>
    <x v="1"/>
    <n v="40"/>
    <s v="Penerimaan Iuran Warga"/>
    <m/>
    <x v="39"/>
    <n v="100000"/>
    <m/>
    <n v="5322000"/>
  </r>
  <r>
    <n v="185"/>
    <d v="2026-03-18T00:00:00"/>
    <x v="2"/>
    <n v="5"/>
    <x v="2"/>
    <n v="40"/>
    <s v="Penerimaan Iuran Warga"/>
    <m/>
    <x v="39"/>
    <n v="100000"/>
    <m/>
    <n v="5422000"/>
  </r>
  <r>
    <n v="186"/>
    <d v="2026-03-18T00:00:00"/>
    <x v="2"/>
    <n v="5"/>
    <x v="3"/>
    <n v="40"/>
    <s v="Penerimaan Iuran Warga"/>
    <m/>
    <x v="39"/>
    <n v="100000"/>
    <m/>
    <n v="5522000"/>
  </r>
  <r>
    <n v="187"/>
    <d v="2026-03-18T00:00:00"/>
    <x v="2"/>
    <n v="5"/>
    <x v="4"/>
    <n v="40"/>
    <s v="Penerimaan Iuran Warga"/>
    <m/>
    <x v="39"/>
    <n v="100000"/>
    <m/>
    <n v="5622000"/>
  </r>
  <r>
    <n v="188"/>
    <d v="2026-03-18T00:00:00"/>
    <x v="2"/>
    <n v="5"/>
    <x v="5"/>
    <n v="40"/>
    <s v="Penerimaan Iuran Warga"/>
    <m/>
    <x v="39"/>
    <n v="100000"/>
    <m/>
    <n v="5722000"/>
  </r>
  <r>
    <n v="189"/>
    <d v="2026-03-20T00:00:00"/>
    <x v="2"/>
    <n v="5"/>
    <x v="3"/>
    <n v="40"/>
    <s v="Penerimaan Iuran Warga"/>
    <m/>
    <x v="17"/>
    <n v="100000"/>
    <m/>
    <n v="5822000"/>
  </r>
  <r>
    <n v="190"/>
    <d v="2026-03-20T00:00:00"/>
    <x v="2"/>
    <n v="5"/>
    <x v="4"/>
    <n v="40"/>
    <s v="Penerimaan Iuran Warga"/>
    <m/>
    <x v="17"/>
    <n v="150000"/>
    <m/>
    <n v="5972000"/>
  </r>
  <r>
    <n v="191"/>
    <d v="2026-03-20T00:00:00"/>
    <x v="2"/>
    <n v="5"/>
    <x v="3"/>
    <n v="41"/>
    <s v="Penerimaan Lain-Lain"/>
    <s v="Penerimaan Parkir Feb-Apr"/>
    <x v="0"/>
    <n v="300000"/>
    <m/>
    <n v="6272000"/>
  </r>
  <r>
    <n v="192"/>
    <d v="2026-03-20T00:00:00"/>
    <x v="2"/>
    <n v="5"/>
    <x v="3"/>
    <n v="60"/>
    <s v="Biaya Logistik Satpam dan Musholla"/>
    <s v="Gas 3kg "/>
    <x v="0"/>
    <m/>
    <n v="20000"/>
    <n v="6252000"/>
  </r>
  <r>
    <n v="193"/>
    <d v="2026-03-20T00:00:00"/>
    <x v="2"/>
    <n v="5"/>
    <x v="3"/>
    <n v="60"/>
    <s v="Biaya Logistik Satpam dan Musholla"/>
    <s v="Galon 4 pcs"/>
    <x v="0"/>
    <m/>
    <n v="24000"/>
    <n v="6228000"/>
  </r>
  <r>
    <n v="194"/>
    <d v="2026-03-20T00:00:00"/>
    <x v="2"/>
    <n v="5"/>
    <x v="3"/>
    <n v="60"/>
    <s v="Biaya Logistik Satpam dan Musholla"/>
    <s v="Galon 4 pcs"/>
    <x v="0"/>
    <m/>
    <n v="24000"/>
    <n v="6204000"/>
  </r>
  <r>
    <n v="195"/>
    <d v="2026-03-20T00:00:00"/>
    <x v="2"/>
    <n v="5"/>
    <x v="3"/>
    <n v="60"/>
    <s v="Biaya Logistik Satpam dan Musholla"/>
    <s v="Gantungan baju musholla 2 pcs"/>
    <x v="0"/>
    <m/>
    <n v="20000"/>
    <n v="6184000"/>
  </r>
  <r>
    <n v="196"/>
    <d v="2026-03-20T00:00:00"/>
    <x v="2"/>
    <n v="5"/>
    <x v="3"/>
    <n v="60"/>
    <s v="Biaya Logistik Satpam dan Musholla"/>
    <s v="Gantungan sabun 3 pcs"/>
    <x v="0"/>
    <m/>
    <n v="75000"/>
    <n v="6109000"/>
  </r>
  <r>
    <n v="197"/>
    <d v="2026-03-20T00:00:00"/>
    <x v="2"/>
    <n v="5"/>
    <x v="3"/>
    <n v="60"/>
    <s v="Biaya Logistik Satpam dan Musholla"/>
    <s v="Galon 4 pcs"/>
    <x v="0"/>
    <m/>
    <n v="24000"/>
    <n v="6085000"/>
  </r>
  <r>
    <n v="198"/>
    <d v="2026-03-20T00:00:00"/>
    <x v="2"/>
    <n v="5"/>
    <x v="3"/>
    <n v="60"/>
    <s v="Biaya Logistik Satpam dan Musholla"/>
    <s v="Galon 4 pcs"/>
    <x v="0"/>
    <m/>
    <n v="24000"/>
    <n v="6061000"/>
  </r>
  <r>
    <n v="199"/>
    <d v="2026-03-20T00:00:00"/>
    <x v="2"/>
    <n v="5"/>
    <x v="3"/>
    <n v="60"/>
    <s v="Biaya Logistik Satpam dan Musholla"/>
    <s v="Gas 3kg "/>
    <x v="0"/>
    <m/>
    <n v="20000"/>
    <n v="6041000"/>
  </r>
  <r>
    <n v="200"/>
    <d v="2026-03-20T00:00:00"/>
    <x v="2"/>
    <n v="5"/>
    <x v="3"/>
    <n v="60"/>
    <s v="Biaya Logistik Satpam dan Musholla"/>
    <s v="Gas 3kg "/>
    <x v="0"/>
    <m/>
    <n v="20000"/>
    <n v="6021000"/>
  </r>
  <r>
    <n v="201"/>
    <d v="2026-03-20T00:00:00"/>
    <x v="2"/>
    <n v="5"/>
    <x v="3"/>
    <n v="60"/>
    <s v="Biaya Logistik Satpam dan Musholla"/>
    <s v="Galon 4 pcs"/>
    <x v="0"/>
    <m/>
    <n v="20000"/>
    <n v="6001000"/>
  </r>
  <r>
    <n v="202"/>
    <d v="2026-03-20T00:00:00"/>
    <x v="2"/>
    <n v="5"/>
    <x v="3"/>
    <n v="60"/>
    <s v="Biaya Logistik Satpam dan Musholla"/>
    <s v="Galon 5 pcs"/>
    <x v="0"/>
    <m/>
    <n v="30000"/>
    <n v="5971000"/>
  </r>
  <r>
    <n v="203"/>
    <d v="2026-03-20T00:00:00"/>
    <x v="2"/>
    <n v="5"/>
    <x v="3"/>
    <n v="60"/>
    <s v="Biaya Logistik Satpam dan Musholla"/>
    <s v="Galon 4 pcs"/>
    <x v="0"/>
    <m/>
    <n v="24000"/>
    <n v="5947000"/>
  </r>
  <r>
    <n v="204"/>
    <d v="2026-03-20T00:00:00"/>
    <x v="2"/>
    <n v="5"/>
    <x v="3"/>
    <n v="60"/>
    <s v="Biaya Logistik Satpam dan Musholla"/>
    <s v="Potong kertas"/>
    <x v="0"/>
    <m/>
    <n v="50000"/>
    <n v="5897000"/>
  </r>
  <r>
    <n v="205"/>
    <d v="2026-03-20T00:00:00"/>
    <x v="2"/>
    <n v="5"/>
    <x v="3"/>
    <n v="60"/>
    <s v="Biaya Logistik Satpam dan Musholla"/>
    <s v="Galon 4 pcs"/>
    <x v="0"/>
    <m/>
    <n v="24000"/>
    <n v="5873000"/>
  </r>
  <r>
    <n v="206"/>
    <d v="2026-04-01T00:00:00"/>
    <x v="3"/>
    <n v="5"/>
    <x v="4"/>
    <n v="40"/>
    <s v="Penerimaan Iuran Warga"/>
    <s v="Iuran Warga Pak Afrijal"/>
    <x v="2"/>
    <n v="100000"/>
    <m/>
    <n v="5973000"/>
  </r>
  <r>
    <n v="207"/>
    <d v="2026-04-01T00:00:00"/>
    <x v="3"/>
    <n v="5"/>
    <x v="4"/>
    <n v="40"/>
    <s v="Penerimaan Iuran Warga"/>
    <m/>
    <x v="3"/>
    <n v="100000"/>
    <m/>
    <n v="6073000"/>
  </r>
  <r>
    <n v="208"/>
    <d v="2026-04-01T00:00:00"/>
    <x v="3"/>
    <n v="5"/>
    <x v="4"/>
    <n v="56"/>
    <s v="Biaya WIFI Pos Jaga"/>
    <s v="Wifi"/>
    <x v="0"/>
    <m/>
    <n v="230000"/>
    <n v="5843000"/>
  </r>
  <r>
    <n v="209"/>
    <d v="2026-04-01T00:00:00"/>
    <x v="3"/>
    <n v="5"/>
    <x v="4"/>
    <n v="59"/>
    <s v="Biaya iuran RT"/>
    <s v="Iuran RT bulan Jan-Apr"/>
    <x v="0"/>
    <m/>
    <n v="1500000"/>
    <n v="4343000"/>
  </r>
  <r>
    <n v="210"/>
    <d v="2026-04-01T00:00:00"/>
    <x v="3"/>
    <n v="5"/>
    <x v="4"/>
    <n v="60"/>
    <s v="Biaya Logistik Satpam dan Musholla"/>
    <s v="Halal Bi  Halal"/>
    <x v="0"/>
    <m/>
    <n v="2000000"/>
    <n v="2343000"/>
  </r>
  <r>
    <n v="211"/>
    <d v="2026-04-01T00:00:00"/>
    <x v="3"/>
    <n v="5"/>
    <x v="3"/>
    <n v="40"/>
    <s v="Penerimaan Iuran Warga"/>
    <m/>
    <x v="15"/>
    <n v="100000"/>
    <m/>
    <n v="2443000"/>
  </r>
  <r>
    <n v="212"/>
    <d v="2026-04-02T00:00:00"/>
    <x v="3"/>
    <n v="5"/>
    <x v="4"/>
    <n v="40"/>
    <s v="Penerimaan Iuran Warga"/>
    <s v="Iuran Pak Kafid"/>
    <x v="1"/>
    <n v="100000"/>
    <m/>
    <n v="2543000"/>
  </r>
  <r>
    <n v="213"/>
    <d v="2026-04-02T00:00:00"/>
    <x v="3"/>
    <n v="5"/>
    <x v="4"/>
    <n v="40"/>
    <s v="Penerimaan Iuran Warga"/>
    <m/>
    <x v="36"/>
    <n v="100000"/>
    <m/>
    <n v="2643000"/>
  </r>
  <r>
    <n v="214"/>
    <d v="2026-04-04T00:00:00"/>
    <x v="3"/>
    <n v="5"/>
    <x v="4"/>
    <n v="40"/>
    <s v="Penerimaan Iuran Warga"/>
    <m/>
    <x v="13"/>
    <n v="190000"/>
    <m/>
    <n v="2833000"/>
  </r>
  <r>
    <n v="215"/>
    <d v="2026-04-06T00:00:00"/>
    <x v="3"/>
    <n v="5"/>
    <x v="4"/>
    <n v="40"/>
    <s v="Penerimaan Iuran Warga"/>
    <m/>
    <x v="10"/>
    <n v="100000"/>
    <m/>
    <n v="2933000"/>
  </r>
  <r>
    <n v="216"/>
    <d v="2026-04-07T00:00:00"/>
    <x v="3"/>
    <n v="5"/>
    <x v="4"/>
    <n v="40"/>
    <s v="Penerimaan Iuran Warga"/>
    <m/>
    <x v="8"/>
    <n v="100000"/>
    <m/>
    <n v="3033000"/>
  </r>
  <r>
    <n v="217"/>
    <d v="2026-04-08T00:00:00"/>
    <x v="3"/>
    <n v="5"/>
    <x v="4"/>
    <n v="40"/>
    <s v="Penerimaan Iuran Warga"/>
    <m/>
    <x v="14"/>
    <n v="100000"/>
    <m/>
    <n v="3133000"/>
  </r>
  <r>
    <n v="218"/>
    <d v="2026-04-08T00:00:00"/>
    <x v="3"/>
    <n v="5"/>
    <x v="4"/>
    <n v="40"/>
    <s v="Penerimaan Iuran Warga"/>
    <m/>
    <x v="11"/>
    <n v="100000"/>
    <m/>
    <n v="3233000"/>
  </r>
  <r>
    <n v="219"/>
    <d v="2026-04-08T00:00:00"/>
    <x v="3"/>
    <n v="5"/>
    <x v="4"/>
    <n v="40"/>
    <s v="Penerimaan Iuran Warga"/>
    <m/>
    <x v="15"/>
    <n v="100000"/>
    <m/>
    <n v="3333000"/>
  </r>
  <r>
    <n v="220"/>
    <d v="2026-04-18T00:00:00"/>
    <x v="3"/>
    <n v="5"/>
    <x v="4"/>
    <n v="40"/>
    <s v="Penerimaan Iuran Warga"/>
    <m/>
    <x v="25"/>
    <n v="100000"/>
    <m/>
    <n v="3433000"/>
  </r>
  <r>
    <n v="221"/>
    <d v="2026-04-18T00:00:00"/>
    <x v="3"/>
    <n v="5"/>
    <x v="5"/>
    <n v="40"/>
    <s v="Penerimaan Iuran Warga"/>
    <m/>
    <x v="25"/>
    <n v="100000"/>
    <m/>
    <n v="3533000"/>
  </r>
  <r>
    <n v="222"/>
    <d v="2026-04-18T00:00:00"/>
    <x v="3"/>
    <n v="5"/>
    <x v="6"/>
    <n v="20"/>
    <s v="Iuran Warga Diterima di muka"/>
    <m/>
    <x v="25"/>
    <n v="100000"/>
    <m/>
    <n v="3633000"/>
  </r>
  <r>
    <n v="223"/>
    <d v="2026-04-18T00:00:00"/>
    <x v="3"/>
    <n v="5"/>
    <x v="7"/>
    <n v="20"/>
    <s v="Iuran Warga Diterima di muka"/>
    <m/>
    <x v="25"/>
    <n v="100000"/>
    <m/>
    <n v="3733000"/>
  </r>
  <r>
    <n v="224"/>
    <d v="2026-04-18T00:00:00"/>
    <x v="3"/>
    <n v="5"/>
    <x v="8"/>
    <n v="20"/>
    <s v="Iuran Warga Diterima di muka"/>
    <m/>
    <x v="25"/>
    <n v="100000"/>
    <m/>
    <n v="3833000"/>
  </r>
  <r>
    <n v="225"/>
    <d v="2026-04-18T00:00:00"/>
    <x v="3"/>
    <n v="5"/>
    <x v="9"/>
    <n v="20"/>
    <s v="Iuran Warga Diterima di muka"/>
    <m/>
    <x v="25"/>
    <n v="100000"/>
    <m/>
    <n v="3933000"/>
  </r>
  <r>
    <n v="226"/>
    <d v="2026-04-24T00:00:00"/>
    <x v="3"/>
    <n v="5"/>
    <x v="3"/>
    <n v="40"/>
    <s v="Penerimaan Iuran Warga"/>
    <m/>
    <x v="22"/>
    <n v="100000"/>
    <m/>
    <n v="4033000"/>
  </r>
  <r>
    <n v="227"/>
    <d v="2026-04-24T00:00:00"/>
    <x v="3"/>
    <n v="5"/>
    <x v="4"/>
    <n v="40"/>
    <s v="Penerimaan Iuran Warga"/>
    <m/>
    <x v="22"/>
    <n v="100000"/>
    <m/>
    <n v="4133000"/>
  </r>
  <r>
    <n v="228"/>
    <d v="2026-04-25T00:00:00"/>
    <x v="3"/>
    <n v="5"/>
    <x v="3"/>
    <n v="40"/>
    <s v="Penerimaan Iuran Warga"/>
    <m/>
    <x v="18"/>
    <n v="100000"/>
    <m/>
    <n v="4233000"/>
  </r>
  <r>
    <n v="229"/>
    <d v="2026-04-25T00:00:00"/>
    <x v="3"/>
    <n v="5"/>
    <x v="4"/>
    <n v="40"/>
    <s v="Penerimaan Iuran Warga"/>
    <m/>
    <x v="18"/>
    <n v="100000"/>
    <m/>
    <n v="4333000"/>
  </r>
  <r>
    <n v="230"/>
    <d v="2026-04-25T00:00:00"/>
    <x v="3"/>
    <n v="5"/>
    <x v="1"/>
    <n v="40"/>
    <s v="Penerimaan Iuran Warga"/>
    <m/>
    <x v="40"/>
    <n v="100000"/>
    <m/>
    <n v="4433000"/>
  </r>
  <r>
    <n v="231"/>
    <d v="2026-04-25T00:00:00"/>
    <x v="3"/>
    <n v="5"/>
    <x v="2"/>
    <n v="40"/>
    <s v="Penerimaan Iuran Warga"/>
    <m/>
    <x v="40"/>
    <n v="100000"/>
    <m/>
    <n v="4533000"/>
  </r>
  <r>
    <n v="232"/>
    <d v="2026-04-25T00:00:00"/>
    <x v="3"/>
    <n v="5"/>
    <x v="3"/>
    <n v="40"/>
    <s v="Penerimaan Iuran Warga"/>
    <m/>
    <x v="40"/>
    <n v="100000"/>
    <m/>
    <n v="4633000"/>
  </r>
  <r>
    <n v="233"/>
    <d v="2026-04-25T00:00:00"/>
    <x v="3"/>
    <n v="5"/>
    <x v="4"/>
    <n v="40"/>
    <s v="Penerimaan Iuran Warga"/>
    <m/>
    <x v="40"/>
    <n v="100000"/>
    <m/>
    <n v="4733000"/>
  </r>
  <r>
    <n v="234"/>
    <d v="2026-04-25T00:00:00"/>
    <x v="3"/>
    <n v="5"/>
    <x v="1"/>
    <n v="40"/>
    <s v="Penerimaan Iuran Warga"/>
    <m/>
    <x v="41"/>
    <n v="100000"/>
    <m/>
    <n v="4833000"/>
  </r>
  <r>
    <n v="235"/>
    <d v="2026-04-25T00:00:00"/>
    <x v="3"/>
    <n v="5"/>
    <x v="2"/>
    <n v="40"/>
    <s v="Penerimaan Iuran Warga"/>
    <m/>
    <x v="41"/>
    <n v="100000"/>
    <m/>
    <n v="4933000"/>
  </r>
  <r>
    <n v="236"/>
    <d v="2026-04-25T00:00:00"/>
    <x v="3"/>
    <n v="5"/>
    <x v="3"/>
    <n v="40"/>
    <s v="Penerimaan Iuran Warga"/>
    <m/>
    <x v="41"/>
    <n v="100000"/>
    <m/>
    <n v="5033000"/>
  </r>
  <r>
    <n v="237"/>
    <d v="2026-04-25T00:00:00"/>
    <x v="3"/>
    <n v="5"/>
    <x v="4"/>
    <n v="40"/>
    <s v="Penerimaan Iuran Warga"/>
    <m/>
    <x v="41"/>
    <n v="100000"/>
    <m/>
    <n v="5133000"/>
  </r>
  <r>
    <n v="238"/>
    <d v="2026-04-25T00:00:00"/>
    <x v="3"/>
    <n v="5"/>
    <x v="1"/>
    <n v="40"/>
    <s v="Penerimaan Iuran Warga"/>
    <m/>
    <x v="42"/>
    <n v="100000"/>
    <m/>
    <n v="5233000"/>
  </r>
  <r>
    <n v="239"/>
    <d v="2026-04-25T00:00:00"/>
    <x v="3"/>
    <n v="5"/>
    <x v="2"/>
    <n v="40"/>
    <s v="Penerimaan Iuran Warga"/>
    <m/>
    <x v="42"/>
    <n v="100000"/>
    <m/>
    <n v="5333000"/>
  </r>
  <r>
    <n v="240"/>
    <d v="2026-04-25T00:00:00"/>
    <x v="3"/>
    <n v="5"/>
    <x v="3"/>
    <n v="40"/>
    <s v="Penerimaan Iuran Warga"/>
    <m/>
    <x v="42"/>
    <n v="100000"/>
    <m/>
    <n v="5433000"/>
  </r>
  <r>
    <n v="241"/>
    <d v="2026-04-25T00:00:00"/>
    <x v="3"/>
    <n v="5"/>
    <x v="4"/>
    <n v="40"/>
    <s v="Penerimaan Iuran Warga"/>
    <m/>
    <x v="42"/>
    <n v="100000"/>
    <m/>
    <n v="5533000"/>
  </r>
  <r>
    <n v="242"/>
    <d v="2026-04-25T00:00:00"/>
    <x v="3"/>
    <n v="5"/>
    <x v="5"/>
    <n v="40"/>
    <s v="Penerimaan Iuran Warga"/>
    <m/>
    <x v="42"/>
    <n v="100000"/>
    <m/>
    <n v="5633000"/>
  </r>
  <r>
    <n v="243"/>
    <d v="2026-04-25T00:00:00"/>
    <x v="3"/>
    <n v="5"/>
    <x v="6"/>
    <n v="20"/>
    <s v="Iuran Warga Diterima di muka"/>
    <m/>
    <x v="42"/>
    <n v="100000"/>
    <m/>
    <n v="5733000"/>
  </r>
  <r>
    <n v="244"/>
    <d v="2026-04-25T00:00:00"/>
    <x v="3"/>
    <n v="5"/>
    <x v="3"/>
    <n v="40"/>
    <s v="Penerimaan Iuran Warga"/>
    <m/>
    <x v="16"/>
    <n v="100000"/>
    <m/>
    <n v="5833000"/>
  </r>
  <r>
    <n v="245"/>
    <d v="2026-04-25T00:00:00"/>
    <x v="3"/>
    <n v="5"/>
    <x v="4"/>
    <n v="40"/>
    <s v="Penerimaan Iuran Warga"/>
    <m/>
    <x v="16"/>
    <n v="100000"/>
    <m/>
    <n v="5933000"/>
  </r>
  <r>
    <n v="246"/>
    <d v="2026-04-25T00:00:00"/>
    <x v="3"/>
    <n v="5"/>
    <x v="1"/>
    <n v="40"/>
    <s v="Penerimaan Iuran Warga"/>
    <m/>
    <x v="43"/>
    <n v="100000"/>
    <m/>
    <n v="6033000"/>
  </r>
  <r>
    <n v="247"/>
    <d v="2026-04-25T00:00:00"/>
    <x v="3"/>
    <n v="5"/>
    <x v="2"/>
    <n v="40"/>
    <s v="Penerimaan Iuran Warga"/>
    <m/>
    <x v="43"/>
    <n v="100000"/>
    <m/>
    <n v="6133000"/>
  </r>
  <r>
    <n v="248"/>
    <d v="2026-04-25T00:00:00"/>
    <x v="3"/>
    <n v="5"/>
    <x v="3"/>
    <n v="40"/>
    <s v="Penerimaan Iuran Warga"/>
    <m/>
    <x v="43"/>
    <n v="100000"/>
    <m/>
    <n v="6233000"/>
  </r>
  <r>
    <n v="249"/>
    <d v="2026-04-25T00:00:00"/>
    <x v="3"/>
    <n v="5"/>
    <x v="4"/>
    <n v="40"/>
    <s v="Penerimaan Iuran Warga"/>
    <m/>
    <x v="43"/>
    <n v="100000"/>
    <m/>
    <n v="6333000"/>
  </r>
  <r>
    <n v="250"/>
    <d v="2026-04-25T00:00:00"/>
    <x v="3"/>
    <n v="5"/>
    <x v="5"/>
    <n v="40"/>
    <s v="Penerimaan Iuran Warga"/>
    <m/>
    <x v="43"/>
    <n v="100000"/>
    <m/>
    <n v="6433000"/>
  </r>
  <r>
    <n v="251"/>
    <d v="2026-04-25T00:00:00"/>
    <x v="3"/>
    <n v="5"/>
    <x v="6"/>
    <n v="20"/>
    <s v="Iuran Warga Diterima di muka"/>
    <m/>
    <x v="43"/>
    <n v="100000"/>
    <m/>
    <n v="6533000"/>
  </r>
  <r>
    <n v="252"/>
    <d v="2026-04-25T00:00:00"/>
    <x v="3"/>
    <n v="5"/>
    <x v="7"/>
    <n v="20"/>
    <s v="Iuran Warga Diterima di muka"/>
    <m/>
    <x v="43"/>
    <n v="100000"/>
    <m/>
    <n v="6633000"/>
  </r>
  <r>
    <n v="253"/>
    <d v="2026-04-25T00:00:00"/>
    <x v="3"/>
    <n v="5"/>
    <x v="8"/>
    <n v="20"/>
    <s v="Iuran Warga Diterima di muka"/>
    <m/>
    <x v="43"/>
    <n v="100000"/>
    <m/>
    <n v="6733000"/>
  </r>
  <r>
    <n v="254"/>
    <d v="2026-04-25T00:00:00"/>
    <x v="3"/>
    <n v="5"/>
    <x v="9"/>
    <n v="20"/>
    <s v="Iuran Warga Diterima di muka"/>
    <m/>
    <x v="43"/>
    <n v="100000"/>
    <m/>
    <n v="6833000"/>
  </r>
  <r>
    <n v="255"/>
    <d v="2026-04-25T00:00:00"/>
    <x v="3"/>
    <n v="5"/>
    <x v="10"/>
    <n v="20"/>
    <s v="Iuran Warga Diterima di muka"/>
    <m/>
    <x v="43"/>
    <n v="100000"/>
    <m/>
    <n v="6933000"/>
  </r>
  <r>
    <n v="256"/>
    <d v="2026-04-25T00:00:00"/>
    <x v="3"/>
    <n v="5"/>
    <x v="11"/>
    <n v="20"/>
    <s v="Iuran Warga Diterima di muka"/>
    <m/>
    <x v="43"/>
    <n v="100000"/>
    <m/>
    <n v="7033000"/>
  </r>
  <r>
    <n v="257"/>
    <d v="2026-04-25T00:00:00"/>
    <x v="3"/>
    <n v="5"/>
    <x v="5"/>
    <n v="40"/>
    <s v="Penerimaan Iuran Warga"/>
    <m/>
    <x v="17"/>
    <n v="100000"/>
    <m/>
    <n v="7133000"/>
  </r>
  <r>
    <n v="258"/>
    <d v="2026-04-25T00:00:00"/>
    <x v="3"/>
    <n v="5"/>
    <x v="6"/>
    <n v="20"/>
    <s v="Iuran Warga Diterima di muka"/>
    <m/>
    <x v="17"/>
    <n v="100000"/>
    <m/>
    <n v="7233000"/>
  </r>
  <r>
    <n v="259"/>
    <d v="2026-04-25T00:00:00"/>
    <x v="3"/>
    <n v="5"/>
    <x v="7"/>
    <n v="20"/>
    <s v="Iuran Warga Diterima di muka"/>
    <m/>
    <x v="17"/>
    <n v="100000"/>
    <m/>
    <n v="7333000"/>
  </r>
  <r>
    <n v="260"/>
    <d v="2026-04-25T00:00:00"/>
    <x v="3"/>
    <n v="5"/>
    <x v="8"/>
    <n v="20"/>
    <s v="Iuran Warga Diterima di muka"/>
    <m/>
    <x v="17"/>
    <n v="100000"/>
    <m/>
    <n v="7433000"/>
  </r>
  <r>
    <n v="261"/>
    <d v="2026-04-25T00:00:00"/>
    <x v="3"/>
    <n v="5"/>
    <x v="9"/>
    <n v="20"/>
    <s v="Iuran Warga Diterima di muka"/>
    <m/>
    <x v="17"/>
    <n v="100000"/>
    <m/>
    <n v="7533000"/>
  </r>
  <r>
    <n v="262"/>
    <d v="2026-04-25T00:00:00"/>
    <x v="3"/>
    <n v="5"/>
    <x v="10"/>
    <n v="20"/>
    <s v="Iuran Warga Diterima di muka"/>
    <m/>
    <x v="17"/>
    <n v="100000"/>
    <m/>
    <n v="7633000"/>
  </r>
  <r>
    <n v="263"/>
    <d v="2026-04-25T00:00:00"/>
    <x v="3"/>
    <n v="5"/>
    <x v="11"/>
    <n v="20"/>
    <s v="Iuran Warga Diterima di muka"/>
    <m/>
    <x v="17"/>
    <n v="100000"/>
    <m/>
    <n v="7733000"/>
  </r>
  <r>
    <n v="264"/>
    <d v="2026-04-25T00:00:00"/>
    <x v="3"/>
    <n v="5"/>
    <x v="12"/>
    <n v="20"/>
    <s v="Iuran Warga Diterima di muka"/>
    <m/>
    <x v="17"/>
    <n v="100000"/>
    <m/>
    <n v="7833000"/>
  </r>
  <r>
    <n v="265"/>
    <d v="2026-04-25T00:00:00"/>
    <x v="3"/>
    <n v="5"/>
    <x v="1"/>
    <n v="40"/>
    <s v="Penerimaan Iuran Warga"/>
    <m/>
    <x v="44"/>
    <n v="100000"/>
    <m/>
    <n v="7933000"/>
  </r>
  <r>
    <n v="266"/>
    <d v="2026-04-25T00:00:00"/>
    <x v="3"/>
    <n v="5"/>
    <x v="2"/>
    <n v="40"/>
    <s v="Penerimaan Iuran Warga"/>
    <m/>
    <x v="44"/>
    <n v="100000"/>
    <m/>
    <n v="8033000"/>
  </r>
  <r>
    <n v="267"/>
    <d v="2026-04-25T00:00:00"/>
    <x v="3"/>
    <n v="5"/>
    <x v="3"/>
    <n v="40"/>
    <s v="Penerimaan Iuran Warga"/>
    <m/>
    <x v="44"/>
    <n v="100000"/>
    <m/>
    <n v="8133000"/>
  </r>
  <r>
    <n v="268"/>
    <d v="2026-04-25T00:00:00"/>
    <x v="3"/>
    <n v="5"/>
    <x v="4"/>
    <n v="40"/>
    <s v="Penerimaan Iuran Warga"/>
    <m/>
    <x v="44"/>
    <n v="100000"/>
    <m/>
    <n v="8233000"/>
  </r>
  <r>
    <n v="269"/>
    <d v="2026-04-25T00:00:00"/>
    <x v="3"/>
    <n v="5"/>
    <x v="3"/>
    <n v="40"/>
    <s v="Penerimaan Iuran Warga"/>
    <m/>
    <x v="45"/>
    <n v="100000"/>
    <m/>
    <n v="8333000"/>
  </r>
  <r>
    <n v="270"/>
    <d v="2026-04-25T00:00:00"/>
    <x v="3"/>
    <n v="5"/>
    <x v="4"/>
    <n v="40"/>
    <s v="Penerimaan Iuran Warga"/>
    <m/>
    <x v="45"/>
    <n v="100000"/>
    <m/>
    <n v="8433000"/>
  </r>
  <r>
    <n v="271"/>
    <d v="2026-04-25T00:00:00"/>
    <x v="3"/>
    <n v="5"/>
    <x v="3"/>
    <n v="40"/>
    <s v="Penerimaan Iuran Warga"/>
    <m/>
    <x v="20"/>
    <n v="100000"/>
    <m/>
    <n v="8533000"/>
  </r>
  <r>
    <n v="272"/>
    <d v="2026-04-25T00:00:00"/>
    <x v="3"/>
    <n v="5"/>
    <x v="4"/>
    <n v="40"/>
    <s v="Penerimaan Iuran Warga"/>
    <m/>
    <x v="20"/>
    <n v="100000"/>
    <m/>
    <n v="8633000"/>
  </r>
  <r>
    <n v="273"/>
    <d v="2026-04-25T00:00:00"/>
    <x v="3"/>
    <n v="5"/>
    <x v="5"/>
    <n v="40"/>
    <s v="Penerimaan Iuran Warga"/>
    <m/>
    <x v="20"/>
    <n v="100000"/>
    <m/>
    <n v="8733000"/>
  </r>
  <r>
    <n v="274"/>
    <d v="2026-04-25T00:00:00"/>
    <x v="3"/>
    <n v="5"/>
    <x v="3"/>
    <n v="40"/>
    <s v="Penerimaan Iuran Warga"/>
    <m/>
    <x v="19"/>
    <n v="100000"/>
    <m/>
    <n v="8833000"/>
  </r>
  <r>
    <n v="275"/>
    <d v="2026-04-25T00:00:00"/>
    <x v="3"/>
    <n v="5"/>
    <x v="4"/>
    <n v="40"/>
    <s v="Penerimaan Iuran Warga"/>
    <m/>
    <x v="19"/>
    <n v="100000"/>
    <m/>
    <n v="8933000"/>
  </r>
  <r>
    <n v="276"/>
    <d v="2026-04-25T00:00:00"/>
    <x v="3"/>
    <n v="5"/>
    <x v="5"/>
    <n v="40"/>
    <s v="Penerimaan Iuran Warga"/>
    <m/>
    <x v="19"/>
    <n v="100000"/>
    <m/>
    <n v="9033000"/>
  </r>
  <r>
    <n v="277"/>
    <d v="2026-04-25T00:00:00"/>
    <x v="3"/>
    <n v="5"/>
    <x v="4"/>
    <n v="40"/>
    <s v="Penerimaan Iuran Warga"/>
    <m/>
    <x v="23"/>
    <n v="100000"/>
    <m/>
    <n v="9133000"/>
  </r>
  <r>
    <n v="278"/>
    <d v="2026-04-25T00:00:00"/>
    <x v="3"/>
    <n v="5"/>
    <x v="5"/>
    <n v="40"/>
    <s v="Penerimaan Iuran Warga"/>
    <m/>
    <x v="23"/>
    <n v="100000"/>
    <m/>
    <n v="9233000"/>
  </r>
  <r>
    <n v="279"/>
    <d v="2026-04-25T00:00:00"/>
    <x v="3"/>
    <n v="5"/>
    <x v="6"/>
    <n v="20"/>
    <s v="Iuran Warga Diterima di muka"/>
    <m/>
    <x v="23"/>
    <n v="100000"/>
    <m/>
    <n v="9333000"/>
  </r>
  <r>
    <n v="280"/>
    <d v="2026-04-25T00:00:00"/>
    <x v="3"/>
    <n v="5"/>
    <x v="13"/>
    <n v="40"/>
    <s v="Penerimaan Iuran Warga"/>
    <s v="Iuran Amir"/>
    <x v="46"/>
    <n v="100000"/>
    <m/>
    <n v="9433000"/>
  </r>
  <r>
    <n v="281"/>
    <d v="2026-04-25T00:00:00"/>
    <x v="3"/>
    <n v="5"/>
    <x v="14"/>
    <n v="40"/>
    <s v="Penerimaan Iuran Warga"/>
    <s v="Iuran Amir"/>
    <x v="46"/>
    <n v="100000"/>
    <m/>
    <n v="9533000"/>
  </r>
  <r>
    <n v="282"/>
    <d v="2026-04-25T00:00:00"/>
    <x v="3"/>
    <n v="5"/>
    <x v="15"/>
    <n v="40"/>
    <s v="Penerimaan Iuran Warga"/>
    <s v="Iuran Amir"/>
    <x v="46"/>
    <n v="100000"/>
    <m/>
    <n v="9633000"/>
  </r>
  <r>
    <n v="283"/>
    <d v="2026-04-25T00:00:00"/>
    <x v="3"/>
    <n v="5"/>
    <x v="16"/>
    <n v="40"/>
    <s v="Penerimaan Iuran Warga"/>
    <s v="Iuran Amir"/>
    <x v="46"/>
    <n v="100000"/>
    <m/>
    <n v="9733000"/>
  </r>
  <r>
    <n v="284"/>
    <d v="2026-04-25T00:00:00"/>
    <x v="3"/>
    <n v="5"/>
    <x v="17"/>
    <n v="40"/>
    <s v="Penerimaan Iuran Warga"/>
    <s v="Iuran Amir"/>
    <x v="46"/>
    <n v="100000"/>
    <m/>
    <n v="9833000"/>
  </r>
  <r>
    <n v="285"/>
    <d v="2026-04-25T00:00:00"/>
    <x v="3"/>
    <n v="5"/>
    <x v="18"/>
    <n v="40"/>
    <s v="Penerimaan Iuran Warga"/>
    <s v="Iuran Amir"/>
    <x v="46"/>
    <n v="100000"/>
    <m/>
    <n v="9933000"/>
  </r>
  <r>
    <n v="286"/>
    <d v="2026-04-25T00:00:00"/>
    <x v="3"/>
    <n v="5"/>
    <x v="19"/>
    <n v="40"/>
    <s v="Penerimaan Iuran Warga"/>
    <s v="Iuran Amir"/>
    <x v="46"/>
    <n v="100000"/>
    <m/>
    <n v="10033000"/>
  </r>
  <r>
    <n v="287"/>
    <d v="2026-04-25T00:00:00"/>
    <x v="3"/>
    <n v="5"/>
    <x v="20"/>
    <n v="40"/>
    <s v="Penerimaan Iuran Warga"/>
    <s v="Iuran Amir"/>
    <x v="46"/>
    <n v="100000"/>
    <m/>
    <n v="10133000"/>
  </r>
  <r>
    <n v="288"/>
    <d v="2026-04-25T00:00:00"/>
    <x v="3"/>
    <n v="5"/>
    <x v="21"/>
    <n v="40"/>
    <s v="Penerimaan Iuran Warga"/>
    <s v="Iuran Amir"/>
    <x v="46"/>
    <n v="100000"/>
    <m/>
    <n v="10233000"/>
  </r>
  <r>
    <n v="289"/>
    <d v="2026-04-25T00:00:00"/>
    <x v="3"/>
    <n v="5"/>
    <x v="22"/>
    <n v="40"/>
    <s v="Penerimaan Iuran Warga"/>
    <s v="Iuran Amir"/>
    <x v="46"/>
    <n v="100000"/>
    <m/>
    <n v="10333000"/>
  </r>
  <r>
    <n v="290"/>
    <d v="2026-04-25T00:00:00"/>
    <x v="3"/>
    <n v="5"/>
    <x v="23"/>
    <n v="40"/>
    <s v="Penerimaan Iuran Warga"/>
    <s v="Iuran Amir"/>
    <x v="46"/>
    <n v="100000"/>
    <m/>
    <n v="10433000"/>
  </r>
  <r>
    <n v="291"/>
    <d v="2026-04-25T00:00:00"/>
    <x v="3"/>
    <n v="5"/>
    <x v="24"/>
    <n v="40"/>
    <s v="Penerimaan Iuran Warga"/>
    <s v="Iuran Amir"/>
    <x v="46"/>
    <n v="100000"/>
    <m/>
    <n v="10533000"/>
  </r>
  <r>
    <n v="292"/>
    <d v="2026-04-26T00:00:00"/>
    <x v="3"/>
    <n v="5"/>
    <x v="1"/>
    <n v="40"/>
    <s v="Penerimaan Iuran Warga"/>
    <m/>
    <x v="47"/>
    <n v="100000"/>
    <m/>
    <n v="10633000"/>
  </r>
  <r>
    <n v="293"/>
    <d v="2026-04-26T00:00:00"/>
    <x v="3"/>
    <n v="5"/>
    <x v="2"/>
    <n v="40"/>
    <s v="Penerimaan Iuran Warga"/>
    <m/>
    <x v="47"/>
    <n v="100000"/>
    <m/>
    <n v="10733000"/>
  </r>
  <r>
    <n v="294"/>
    <d v="2026-04-26T00:00:00"/>
    <x v="3"/>
    <n v="5"/>
    <x v="3"/>
    <n v="40"/>
    <s v="Penerimaan Iuran Warga"/>
    <m/>
    <x v="47"/>
    <n v="100000"/>
    <m/>
    <n v="10833000"/>
  </r>
  <r>
    <n v="295"/>
    <d v="2026-04-26T00:00:00"/>
    <x v="3"/>
    <n v="5"/>
    <x v="4"/>
    <n v="40"/>
    <s v="Penerimaan Iuran Warga"/>
    <m/>
    <x v="47"/>
    <n v="100000"/>
    <m/>
    <n v="10933000"/>
  </r>
  <r>
    <n v="296"/>
    <d v="2026-04-26T00:00:00"/>
    <x v="3"/>
    <n v="5"/>
    <x v="1"/>
    <n v="40"/>
    <s v="Penerimaan Iuran Warga"/>
    <m/>
    <x v="48"/>
    <n v="100000"/>
    <m/>
    <n v="11033000"/>
  </r>
  <r>
    <n v="297"/>
    <d v="2026-04-26T00:00:00"/>
    <x v="3"/>
    <n v="5"/>
    <x v="2"/>
    <n v="40"/>
    <s v="Penerimaan Iuran Warga"/>
    <m/>
    <x v="48"/>
    <n v="100000"/>
    <m/>
    <n v="11133000"/>
  </r>
  <r>
    <n v="298"/>
    <d v="2026-04-26T00:00:00"/>
    <x v="3"/>
    <n v="5"/>
    <x v="3"/>
    <n v="40"/>
    <s v="Penerimaan Iuran Warga"/>
    <m/>
    <x v="48"/>
    <n v="100000"/>
    <m/>
    <n v="11233000"/>
  </r>
  <r>
    <n v="299"/>
    <d v="2026-04-26T00:00:00"/>
    <x v="3"/>
    <n v="5"/>
    <x v="4"/>
    <n v="40"/>
    <s v="Penerimaan Iuran Warga"/>
    <m/>
    <x v="48"/>
    <n v="100000"/>
    <m/>
    <n v="11333000"/>
  </r>
  <r>
    <n v="300"/>
    <d v="2026-04-26T00:00:00"/>
    <x v="3"/>
    <n v="5"/>
    <x v="1"/>
    <n v="40"/>
    <s v="Penerimaan Iuran Warga"/>
    <m/>
    <x v="49"/>
    <n v="100000"/>
    <m/>
    <n v="11433000"/>
  </r>
  <r>
    <n v="301"/>
    <d v="2026-04-26T00:00:00"/>
    <x v="3"/>
    <n v="5"/>
    <x v="2"/>
    <n v="40"/>
    <s v="Penerimaan Iuran Warga"/>
    <m/>
    <x v="49"/>
    <n v="100000"/>
    <m/>
    <n v="11533000"/>
  </r>
  <r>
    <n v="302"/>
    <d v="2026-04-26T00:00:00"/>
    <x v="3"/>
    <n v="5"/>
    <x v="3"/>
    <n v="40"/>
    <s v="Penerimaan Iuran Warga"/>
    <m/>
    <x v="49"/>
    <n v="100000"/>
    <m/>
    <n v="11633000"/>
  </r>
  <r>
    <n v="303"/>
    <d v="2026-04-26T00:00:00"/>
    <x v="3"/>
    <n v="5"/>
    <x v="4"/>
    <n v="40"/>
    <s v="Penerimaan Iuran Warga"/>
    <m/>
    <x v="49"/>
    <n v="100000"/>
    <m/>
    <n v="11733000"/>
  </r>
  <r>
    <n v="304"/>
    <d v="2026-04-26T00:00:00"/>
    <x v="3"/>
    <n v="5"/>
    <x v="5"/>
    <n v="40"/>
    <s v="Penerimaan Iuran Warga"/>
    <m/>
    <x v="49"/>
    <n v="100000"/>
    <m/>
    <n v="11833000"/>
  </r>
  <r>
    <n v="305"/>
    <d v="2026-04-26T00:00:00"/>
    <x v="3"/>
    <n v="5"/>
    <x v="3"/>
    <n v="40"/>
    <s v="Penerimaan Iuran Warga"/>
    <m/>
    <x v="9"/>
    <n v="100000"/>
    <m/>
    <n v="11933000"/>
  </r>
  <r>
    <n v="306"/>
    <d v="2026-04-26T00:00:00"/>
    <x v="3"/>
    <n v="5"/>
    <x v="4"/>
    <n v="40"/>
    <s v="Penerimaan Iuran Warga"/>
    <m/>
    <x v="9"/>
    <n v="100000"/>
    <m/>
    <n v="12033000"/>
  </r>
  <r>
    <n v="307"/>
    <d v="2026-04-26T00:00:00"/>
    <x v="3"/>
    <n v="5"/>
    <x v="1"/>
    <n v="40"/>
    <s v="Penerimaan Iuran Warga"/>
    <s v="iuran pak Misbach"/>
    <x v="50"/>
    <n v="100000"/>
    <m/>
    <n v="12133000"/>
  </r>
  <r>
    <n v="308"/>
    <d v="2026-04-26T00:00:00"/>
    <x v="3"/>
    <n v="5"/>
    <x v="2"/>
    <n v="40"/>
    <s v="Penerimaan Iuran Warga"/>
    <s v="iuran pak Misbach"/>
    <x v="50"/>
    <n v="100000"/>
    <m/>
    <n v="12233000"/>
  </r>
  <r>
    <n v="309"/>
    <d v="2026-04-26T00:00:00"/>
    <x v="3"/>
    <n v="5"/>
    <x v="3"/>
    <n v="40"/>
    <s v="Penerimaan Iuran Warga"/>
    <s v="iuran pak Misbach"/>
    <x v="50"/>
    <n v="100000"/>
    <m/>
    <n v="12333000"/>
  </r>
  <r>
    <n v="310"/>
    <d v="2026-04-26T00:00:00"/>
    <x v="3"/>
    <n v="5"/>
    <x v="4"/>
    <n v="40"/>
    <s v="Penerimaan Iuran Warga"/>
    <s v="iuran pak Misbach"/>
    <x v="50"/>
    <n v="100000"/>
    <m/>
    <n v="12433000"/>
  </r>
  <r>
    <n v="311"/>
    <d v="2026-04-26T00:00:00"/>
    <x v="3"/>
    <n v="5"/>
    <x v="4"/>
    <n v="41"/>
    <s v="Penerimaan Lain-Lain"/>
    <s v="Setoran buka rekening BNI"/>
    <x v="0"/>
    <n v="20000"/>
    <m/>
    <n v="12453000"/>
  </r>
  <r>
    <n v="312"/>
    <d v="2026-04-30T00:00:00"/>
    <x v="3"/>
    <n v="5"/>
    <x v="4"/>
    <n v="12"/>
    <s v="Piutang Pembayaran Gaji"/>
    <s v="Mas Saiful Bon"/>
    <x v="0"/>
    <m/>
    <n v="500000"/>
    <n v="11953000"/>
  </r>
  <r>
    <n v="313"/>
    <d v="2026-05-01T00:00:00"/>
    <x v="4"/>
    <n v="5"/>
    <x v="5"/>
    <n v="40"/>
    <s v="Penerimaan Iuran Warga"/>
    <m/>
    <x v="3"/>
    <n v="100000"/>
    <m/>
    <n v="12053000"/>
  </r>
  <r>
    <n v="314"/>
    <d v="2026-05-01T00:00:00"/>
    <x v="4"/>
    <n v="5"/>
    <x v="2"/>
    <n v="40"/>
    <s v="Penerimaan Iuran Warga"/>
    <m/>
    <x v="26"/>
    <n v="100000"/>
    <m/>
    <n v="12153000"/>
  </r>
  <r>
    <n v="315"/>
    <d v="2026-05-01T00:00:00"/>
    <x v="4"/>
    <n v="5"/>
    <x v="3"/>
    <n v="40"/>
    <s v="Penerimaan Iuran Warga"/>
    <m/>
    <x v="26"/>
    <n v="100000"/>
    <m/>
    <n v="12253000"/>
  </r>
  <r>
    <n v="316"/>
    <d v="2026-05-01T00:00:00"/>
    <x v="4"/>
    <n v="5"/>
    <x v="4"/>
    <n v="40"/>
    <s v="Penerimaan Iuran Warga"/>
    <m/>
    <x v="26"/>
    <n v="100000"/>
    <m/>
    <n v="12353000"/>
  </r>
  <r>
    <n v="317"/>
    <d v="2026-05-01T00:00:00"/>
    <x v="4"/>
    <n v="5"/>
    <x v="5"/>
    <n v="40"/>
    <s v="Penerimaan Iuran Warga"/>
    <m/>
    <x v="26"/>
    <n v="100000"/>
    <m/>
    <n v="12453000"/>
  </r>
  <r>
    <n v="318"/>
    <d v="2026-05-01T00:00:00"/>
    <x v="4"/>
    <n v="5"/>
    <x v="1"/>
    <n v="40"/>
    <s v="Penerimaan Iuran Warga"/>
    <m/>
    <x v="51"/>
    <n v="110000"/>
    <m/>
    <n v="12563000"/>
  </r>
  <r>
    <n v="319"/>
    <d v="2026-05-01T00:00:00"/>
    <x v="4"/>
    <n v="5"/>
    <x v="2"/>
    <n v="40"/>
    <s v="Penerimaan Iuran Warga"/>
    <m/>
    <x v="51"/>
    <n v="110000"/>
    <m/>
    <n v="12673000"/>
  </r>
  <r>
    <n v="320"/>
    <d v="2026-05-01T00:00:00"/>
    <x v="4"/>
    <n v="5"/>
    <x v="3"/>
    <n v="40"/>
    <s v="Penerimaan Iuran Warga"/>
    <m/>
    <x v="51"/>
    <n v="110000"/>
    <m/>
    <n v="12783000"/>
  </r>
  <r>
    <n v="321"/>
    <d v="2026-05-01T00:00:00"/>
    <x v="4"/>
    <n v="5"/>
    <x v="4"/>
    <n v="40"/>
    <s v="Penerimaan Iuran Warga"/>
    <m/>
    <x v="51"/>
    <n v="110000"/>
    <m/>
    <n v="12893000"/>
  </r>
  <r>
    <n v="322"/>
    <d v="2026-05-01T00:00:00"/>
    <x v="4"/>
    <n v="5"/>
    <x v="5"/>
    <n v="40"/>
    <s v="Penerimaan Iuran Warga"/>
    <m/>
    <x v="51"/>
    <n v="110000"/>
    <m/>
    <n v="13003000"/>
  </r>
  <r>
    <n v="323"/>
    <d v="2026-05-01T00:00:00"/>
    <x v="4"/>
    <n v="5"/>
    <x v="6"/>
    <n v="40"/>
    <s v="Penerimaan Iuran Warga"/>
    <m/>
    <x v="51"/>
    <n v="110000"/>
    <m/>
    <n v="13113000"/>
  </r>
  <r>
    <n v="324"/>
    <d v="2026-05-01T00:00:00"/>
    <x v="4"/>
    <n v="5"/>
    <x v="7"/>
    <n v="40"/>
    <s v="Penerimaan Iuran Warga"/>
    <m/>
    <x v="51"/>
    <n v="110000"/>
    <m/>
    <n v="13223000"/>
  </r>
  <r>
    <n v="325"/>
    <d v="2026-05-01T00:00:00"/>
    <x v="4"/>
    <n v="5"/>
    <x v="8"/>
    <n v="40"/>
    <s v="Penerimaan Iuran Warga"/>
    <m/>
    <x v="51"/>
    <n v="110000"/>
    <m/>
    <n v="13333000"/>
  </r>
  <r>
    <n v="326"/>
    <d v="2026-05-01T00:00:00"/>
    <x v="4"/>
    <n v="5"/>
    <x v="9"/>
    <n v="40"/>
    <s v="Penerimaan Iuran Warga"/>
    <m/>
    <x v="51"/>
    <n v="110000"/>
    <m/>
    <n v="13443000"/>
  </r>
  <r>
    <n v="327"/>
    <d v="2026-05-01T00:00:00"/>
    <x v="4"/>
    <n v="5"/>
    <x v="10"/>
    <n v="40"/>
    <s v="Penerimaan Iuran Warga"/>
    <m/>
    <x v="51"/>
    <n v="110000"/>
    <m/>
    <n v="13553000"/>
  </r>
  <r>
    <n v="328"/>
    <d v="2026-05-01T00:00:00"/>
    <x v="4"/>
    <n v="5"/>
    <x v="11"/>
    <n v="40"/>
    <s v="Penerimaan Iuran Warga"/>
    <m/>
    <x v="51"/>
    <n v="110000"/>
    <m/>
    <n v="13663000"/>
  </r>
  <r>
    <n v="329"/>
    <d v="2026-05-01T00:00:00"/>
    <x v="4"/>
    <n v="5"/>
    <x v="12"/>
    <n v="40"/>
    <s v="Penerimaan Iuran Warga"/>
    <m/>
    <x v="51"/>
    <n v="110000"/>
    <m/>
    <n v="13773000"/>
  </r>
  <r>
    <n v="330"/>
    <d v="2026-05-01T00:00:00"/>
    <x v="4"/>
    <n v="5"/>
    <x v="5"/>
    <n v="54"/>
    <s v="Biaya Listrik"/>
    <s v="Listrik Musholla Az Zahra"/>
    <x v="0"/>
    <m/>
    <n v="39648"/>
    <n v="13733352"/>
  </r>
  <r>
    <n v="331"/>
    <d v="2026-05-01T00:00:00"/>
    <x v="4"/>
    <n v="5"/>
    <x v="5"/>
    <n v="58"/>
    <s v="Biaya adm bank"/>
    <s v="Listrik Musholla Az Zahra"/>
    <x v="0"/>
    <m/>
    <n v="3500"/>
    <n v="13729852"/>
  </r>
  <r>
    <n v="332"/>
    <d v="2026-05-01T00:00:00"/>
    <x v="4"/>
    <n v="5"/>
    <x v="5"/>
    <n v="55"/>
    <s v="Biaya PDAM"/>
    <s v="PDAM Musholla Az Zahra"/>
    <x v="0"/>
    <m/>
    <n v="12000"/>
    <n v="13717852"/>
  </r>
  <r>
    <n v="333"/>
    <d v="2026-05-01T00:00:00"/>
    <x v="4"/>
    <n v="5"/>
    <x v="5"/>
    <n v="58"/>
    <s v="Biaya adm bank"/>
    <s v="PDAM Musholla Az Zahra"/>
    <x v="0"/>
    <m/>
    <n v="2500"/>
    <n v="13715352"/>
  </r>
  <r>
    <n v="334"/>
    <d v="2026-05-01T00:00:00"/>
    <x v="4"/>
    <n v="5"/>
    <x v="4"/>
    <n v="50"/>
    <s v="Biaya Gaji Satpam"/>
    <s v="Gaji Mas Haidir"/>
    <x v="0"/>
    <m/>
    <n v="1180000"/>
    <n v="12535352"/>
  </r>
  <r>
    <n v="335"/>
    <d v="2026-05-01T00:00:00"/>
    <x v="4"/>
    <n v="5"/>
    <x v="4"/>
    <n v="50"/>
    <s v="Biaya Gaji Satpam"/>
    <s v="Gaji Mas Saiful"/>
    <x v="0"/>
    <m/>
    <n v="1060000"/>
    <n v="11475352"/>
  </r>
  <r>
    <n v="336"/>
    <d v="2026-05-01T00:00:00"/>
    <x v="4"/>
    <n v="5"/>
    <x v="5"/>
    <n v="12"/>
    <s v="Piutang Pembayaran Gaji"/>
    <s v="Reklas bon gaji Mas Saiful"/>
    <x v="0"/>
    <n v="500000"/>
    <m/>
    <n v="11975352"/>
  </r>
  <r>
    <n v="337"/>
    <d v="2026-05-01T00:00:00"/>
    <x v="4"/>
    <n v="5"/>
    <x v="5"/>
    <n v="41"/>
    <s v="Penerimaan Lain-Lain"/>
    <s v="Donasi listrik dan PDAM Musholla"/>
    <x v="0"/>
    <n v="100000"/>
    <m/>
    <n v="12075352"/>
  </r>
  <r>
    <n v="338"/>
    <d v="2026-05-01T00:00:00"/>
    <x v="4"/>
    <n v="5"/>
    <x v="3"/>
    <n v="40"/>
    <s v="Penerimaan Iuran Warga"/>
    <s v="Iuran Pak Ghozaimi"/>
    <x v="27"/>
    <n v="100000"/>
    <m/>
    <n v="12175352"/>
  </r>
  <r>
    <n v="339"/>
    <d v="2026-05-01T00:00:00"/>
    <x v="4"/>
    <n v="5"/>
    <x v="4"/>
    <n v="40"/>
    <s v="Penerimaan Iuran Warga"/>
    <s v="Iuran Pak Ghozaimi"/>
    <x v="27"/>
    <n v="100000"/>
    <m/>
    <n v="12275352"/>
  </r>
  <r>
    <n v="340"/>
    <d v="2026-05-01T00:00:00"/>
    <x v="4"/>
    <n v="5"/>
    <x v="5"/>
    <n v="40"/>
    <s v="Penerimaan Iuran Warga"/>
    <s v="Iuran Pak Afrijal"/>
    <x v="2"/>
    <n v="100000"/>
    <m/>
    <n v="12375352"/>
  </r>
  <r>
    <n v="341"/>
    <d v="2026-05-01T00:00:00"/>
    <x v="4"/>
    <n v="5"/>
    <x v="4"/>
    <n v="51"/>
    <s v="Biaya Gaji Sampah"/>
    <s v="Gaji Pak Santok"/>
    <x v="0"/>
    <m/>
    <n v="900000"/>
    <n v="11475352"/>
  </r>
  <r>
    <n v="342"/>
    <d v="2026-05-01T00:00:00"/>
    <x v="4"/>
    <n v="5"/>
    <x v="4"/>
    <n v="50"/>
    <s v="Biaya Gaji Satpam"/>
    <s v="Gaji Rofik"/>
    <x v="0"/>
    <m/>
    <n v="750000"/>
    <n v="10725352"/>
  </r>
  <r>
    <n v="343"/>
    <d v="2026-05-01T00:00:00"/>
    <x v="4"/>
    <n v="5"/>
    <x v="4"/>
    <n v="52"/>
    <s v="Biaya Gaji Marbot"/>
    <s v="Gaji Marbot"/>
    <x v="0"/>
    <m/>
    <n v="750000"/>
    <n v="9975352"/>
  </r>
  <r>
    <n v="344"/>
    <d v="2026-05-01T00:00:00"/>
    <x v="4"/>
    <n v="5"/>
    <x v="1"/>
    <n v="40"/>
    <s v="Penerimaan Iuran Warga"/>
    <s v="Iuran Pak Cahya"/>
    <x v="52"/>
    <n v="100000"/>
    <m/>
    <n v="10075352"/>
  </r>
  <r>
    <n v="345"/>
    <d v="2026-05-01T00:00:00"/>
    <x v="4"/>
    <n v="5"/>
    <x v="2"/>
    <n v="40"/>
    <s v="Penerimaan Iuran Warga"/>
    <s v="Iuran Pak Cahya"/>
    <x v="52"/>
    <n v="100000"/>
    <m/>
    <n v="10175352"/>
  </r>
  <r>
    <n v="346"/>
    <d v="2026-05-01T00:00:00"/>
    <x v="4"/>
    <n v="5"/>
    <x v="4"/>
    <n v="40"/>
    <s v="Penerimaan Iuran Warga"/>
    <s v="Iuran Pak Andri"/>
    <x v="4"/>
    <n v="100000"/>
    <m/>
    <n v="10275352"/>
  </r>
  <r>
    <n v="347"/>
    <d v="2026-05-01T00:00:00"/>
    <x v="4"/>
    <n v="5"/>
    <x v="5"/>
    <n v="40"/>
    <s v="Penerimaan Iuran Warga"/>
    <s v="Iuran Pak Andri"/>
    <x v="4"/>
    <n v="100000"/>
    <m/>
    <n v="10375352"/>
  </r>
  <r>
    <n v="348"/>
    <d v="2026-05-01T00:00:00"/>
    <x v="4"/>
    <n v="5"/>
    <x v="5"/>
    <n v="60"/>
    <s v="Biaya Logistik Satpam dan Musholla"/>
    <s v="Beli map dan dompet kas"/>
    <x v="0"/>
    <m/>
    <n v="19000"/>
    <n v="10356352"/>
  </r>
  <r>
    <n v="349"/>
    <d v="2026-05-01T00:00:00"/>
    <x v="4"/>
    <n v="5"/>
    <x v="5"/>
    <n v="40"/>
    <s v="Penerimaan Iuran Warga"/>
    <s v="Iuran Pak Kafid"/>
    <x v="1"/>
    <n v="100000"/>
    <m/>
    <n v="10456352"/>
  </r>
  <r>
    <n v="350"/>
    <d v="2026-05-01T00:00:00"/>
    <x v="4"/>
    <n v="5"/>
    <x v="5"/>
    <n v="60"/>
    <s v="Biaya Logistik Satpam dan Musholla"/>
    <s v="Service WIFI 2 titik"/>
    <x v="0"/>
    <m/>
    <n v="200000"/>
    <n v="10256352"/>
  </r>
  <r>
    <n v="351"/>
    <d v="2026-05-01T00:00:00"/>
    <x v="4"/>
    <n v="5"/>
    <x v="5"/>
    <n v="58"/>
    <s v="Biaya adm bank"/>
    <s v="Biaya transfer"/>
    <x v="0"/>
    <m/>
    <n v="6500"/>
    <n v="10249852"/>
  </r>
  <r>
    <n v="352"/>
    <d v="2026-05-01T00:00:00"/>
    <x v="4"/>
    <n v="5"/>
    <x v="1"/>
    <n v="40"/>
    <s v="Penerimaan Iuran Warga"/>
    <s v="Iuran Pak Sadam"/>
    <x v="53"/>
    <n v="100000"/>
    <m/>
    <n v="10349852"/>
  </r>
  <r>
    <n v="353"/>
    <d v="2026-05-01T00:00:00"/>
    <x v="4"/>
    <n v="5"/>
    <x v="2"/>
    <n v="40"/>
    <s v="Penerimaan Iuran Warga"/>
    <s v="Iuran Pak Sadam"/>
    <x v="53"/>
    <n v="100000"/>
    <m/>
    <n v="10449852"/>
  </r>
  <r>
    <n v="354"/>
    <d v="2026-05-01T00:00:00"/>
    <x v="4"/>
    <n v="5"/>
    <x v="3"/>
    <n v="40"/>
    <s v="Penerimaan Iuran Warga"/>
    <s v="Iuran Pak Sadam"/>
    <x v="53"/>
    <n v="100000"/>
    <m/>
    <n v="10549852"/>
  </r>
  <r>
    <n v="355"/>
    <d v="2026-05-01T00:00:00"/>
    <x v="4"/>
    <n v="5"/>
    <x v="4"/>
    <n v="40"/>
    <s v="Penerimaan Iuran Warga"/>
    <s v="Iuran Pak Sadam"/>
    <x v="53"/>
    <n v="100000"/>
    <m/>
    <n v="10649852"/>
  </r>
  <r>
    <n v="356"/>
    <d v="2026-05-01T00:00:00"/>
    <x v="4"/>
    <n v="5"/>
    <x v="5"/>
    <n v="40"/>
    <s v="Penerimaan Iuran Warga"/>
    <s v="Iuran Pak Sadam"/>
    <x v="53"/>
    <n v="100000"/>
    <m/>
    <n v="10749852"/>
  </r>
  <r>
    <n v="357"/>
    <d v="2026-05-01T00:00:00"/>
    <x v="4"/>
    <n v="5"/>
    <x v="23"/>
    <n v="40"/>
    <s v="Penerimaan Iuran Warga"/>
    <s v="Iuran Pak Sadam"/>
    <x v="53"/>
    <n v="100000"/>
    <m/>
    <n v="10849852"/>
  </r>
  <r>
    <n v="358"/>
    <d v="2026-05-01T00:00:00"/>
    <x v="4"/>
    <n v="5"/>
    <x v="24"/>
    <n v="40"/>
    <s v="Penerimaan Iuran Warga"/>
    <s v="Iuran Pak Sadam"/>
    <x v="53"/>
    <n v="100000"/>
    <m/>
    <n v="10949852"/>
  </r>
  <r>
    <n v="359"/>
    <d v="2026-05-01T00:00:00"/>
    <x v="4"/>
    <n v="5"/>
    <x v="5"/>
    <n v="40"/>
    <s v="Penerimaan Iuran Warga"/>
    <s v="Iuran Pak Hakim"/>
    <x v="10"/>
    <n v="100000"/>
    <m/>
    <n v="11049852"/>
  </r>
  <r>
    <n v="360"/>
    <d v="2026-05-01T00:00:00"/>
    <x v="4"/>
    <n v="5"/>
    <x v="5"/>
    <n v="40"/>
    <s v="Penerimaan Iuran Warga"/>
    <m/>
    <x v="35"/>
    <n v="100000"/>
    <m/>
    <n v="11149852"/>
  </r>
  <r>
    <n v="361"/>
    <d v="2026-05-01T00:00:00"/>
    <x v="4"/>
    <n v="5"/>
    <x v="6"/>
    <n v="20"/>
    <s v="Iuran Warga Diterima di muka"/>
    <m/>
    <x v="35"/>
    <n v="100000"/>
    <m/>
    <n v="11249852"/>
  </r>
  <r>
    <n v="362"/>
    <d v="2026-05-01T00:00:00"/>
    <x v="4"/>
    <n v="5"/>
    <x v="7"/>
    <n v="20"/>
    <s v="Iuran Warga Diterima di muka"/>
    <m/>
    <x v="35"/>
    <n v="100000"/>
    <m/>
    <n v="11349852"/>
  </r>
  <r>
    <n v="363"/>
    <d v="2026-05-01T00:00:00"/>
    <x v="4"/>
    <n v="5"/>
    <x v="5"/>
    <n v="40"/>
    <s v="Penerimaan Iuran Warga"/>
    <m/>
    <x v="48"/>
    <n v="100000"/>
    <m/>
    <n v="11449852"/>
  </r>
  <r>
    <n v="364"/>
    <d v="2026-05-02T00:00:00"/>
    <x v="4"/>
    <n v="5"/>
    <x v="5"/>
    <n v="40"/>
    <s v="Penerimaan Iuran Warga"/>
    <s v="Iuran Pak Husni/Dian"/>
    <x v="21"/>
    <n v="100000"/>
    <m/>
    <n v="11549852"/>
  </r>
  <r>
    <n v="365"/>
    <d v="2026-05-02T00:00:00"/>
    <x v="4"/>
    <n v="5"/>
    <x v="6"/>
    <n v="20"/>
    <s v="Iuran Warga Diterima di muka"/>
    <s v="Iuran Pak Husni/Dian"/>
    <x v="21"/>
    <n v="100000"/>
    <m/>
    <n v="11649852"/>
  </r>
  <r>
    <n v="366"/>
    <d v="2026-05-02T00:00:00"/>
    <x v="4"/>
    <n v="5"/>
    <x v="1"/>
    <n v="40"/>
    <s v="Penerimaan Iuran Warga"/>
    <s v="Iuran Muhammad Reyhan"/>
    <x v="54"/>
    <n v="100000"/>
    <m/>
    <n v="11749852"/>
  </r>
  <r>
    <n v="367"/>
    <d v="2026-05-02T00:00:00"/>
    <x v="4"/>
    <n v="5"/>
    <x v="21"/>
    <n v="40"/>
    <s v="Penerimaan Iuran Warga"/>
    <s v="Iuran Muhammad Reyhan"/>
    <x v="54"/>
    <n v="100000"/>
    <m/>
    <n v="11849852"/>
  </r>
  <r>
    <n v="368"/>
    <d v="2026-05-02T00:00:00"/>
    <x v="4"/>
    <n v="5"/>
    <x v="22"/>
    <n v="40"/>
    <s v="Penerimaan Iuran Warga"/>
    <s v="Iuran Muhammad Reyhan"/>
    <x v="54"/>
    <n v="100000"/>
    <m/>
    <n v="11949852"/>
  </r>
  <r>
    <n v="369"/>
    <d v="2026-05-02T00:00:00"/>
    <x v="4"/>
    <n v="5"/>
    <x v="23"/>
    <n v="40"/>
    <s v="Penerimaan Iuran Warga"/>
    <s v="Iuran Muhammad Reyhan"/>
    <x v="54"/>
    <n v="100000"/>
    <m/>
    <n v="12049852"/>
  </r>
  <r>
    <n v="370"/>
    <d v="2026-05-02T00:00:00"/>
    <x v="4"/>
    <n v="5"/>
    <x v="24"/>
    <n v="40"/>
    <s v="Penerimaan Iuran Warga"/>
    <s v="Iuran Muhammad Reyhan"/>
    <x v="54"/>
    <n v="100000"/>
    <m/>
    <n v="12149852"/>
  </r>
  <r>
    <n v="371"/>
    <d v="2026-05-02T00:00:00"/>
    <x v="4"/>
    <n v="5"/>
    <x v="5"/>
    <n v="40"/>
    <s v="Penerimaan Iuran Warga"/>
    <m/>
    <x v="36"/>
    <n v="100000"/>
    <m/>
    <n v="12249852"/>
  </r>
  <r>
    <n v="372"/>
    <d v="2026-05-02T00:00:00"/>
    <x v="4"/>
    <n v="5"/>
    <x v="1"/>
    <n v="40"/>
    <s v="Penerimaan Iuran Warga"/>
    <m/>
    <x v="55"/>
    <n v="100000"/>
    <m/>
    <n v="12349852"/>
  </r>
  <r>
    <n v="373"/>
    <d v="2026-05-02T00:00:00"/>
    <x v="4"/>
    <n v="5"/>
    <x v="2"/>
    <n v="40"/>
    <s v="Penerimaan Iuran Warga"/>
    <m/>
    <x v="55"/>
    <n v="100000"/>
    <m/>
    <n v="12449852"/>
  </r>
  <r>
    <n v="374"/>
    <d v="2026-05-02T00:00:00"/>
    <x v="4"/>
    <n v="5"/>
    <x v="3"/>
    <n v="40"/>
    <s v="Penerimaan Iuran Warga"/>
    <m/>
    <x v="55"/>
    <n v="100000"/>
    <m/>
    <n v="12549852"/>
  </r>
  <r>
    <n v="375"/>
    <d v="2026-05-02T00:00:00"/>
    <x v="4"/>
    <n v="5"/>
    <x v="4"/>
    <n v="40"/>
    <s v="Penerimaan Iuran Warga"/>
    <m/>
    <x v="55"/>
    <n v="100000"/>
    <m/>
    <n v="12649852"/>
  </r>
  <r>
    <n v="376"/>
    <d v="2026-05-03T00:00:00"/>
    <x v="4"/>
    <n v="5"/>
    <x v="5"/>
    <n v="56"/>
    <s v="Biaya WIFI Pos Jaga"/>
    <s v="Service WIFI 2 titik belakang"/>
    <x v="0"/>
    <m/>
    <n v="840000"/>
    <n v="11809852"/>
  </r>
  <r>
    <n v="377"/>
    <d v="2026-05-03T00:00:00"/>
    <x v="4"/>
    <n v="5"/>
    <x v="5"/>
    <n v="58"/>
    <s v="Biaya adm bank"/>
    <s v="Biaya transfer flip"/>
    <x v="0"/>
    <m/>
    <n v="325"/>
    <n v="11809527"/>
  </r>
  <r>
    <n v="378"/>
    <d v="2026-05-03T00:00:00"/>
    <x v="4"/>
    <n v="5"/>
    <x v="5"/>
    <n v="50"/>
    <s v="Biaya Gaji Satpam"/>
    <s v="Upah pungut 8 rumah"/>
    <x v="0"/>
    <m/>
    <n v="40000"/>
    <n v="11769527"/>
  </r>
  <r>
    <n v="379"/>
    <d v="2026-05-03T00:00:00"/>
    <x v="4"/>
    <n v="5"/>
    <x v="5"/>
    <n v="58"/>
    <s v="Biaya adm bank"/>
    <s v="Biaya transfer flip"/>
    <x v="0"/>
    <m/>
    <n v="327"/>
    <n v="11769200"/>
  </r>
  <r>
    <n v="380"/>
    <d v="2026-05-04T00:00:00"/>
    <x v="4"/>
    <n v="5"/>
    <x v="4"/>
    <n v="40"/>
    <s v="Penerimaan Iuran Warga"/>
    <s v="Iuran Iwan Budi"/>
    <x v="56"/>
    <n v="100000"/>
    <m/>
    <n v="11869200"/>
  </r>
  <r>
    <n v="381"/>
    <d v="2026-05-04T00:00:00"/>
    <x v="4"/>
    <n v="5"/>
    <x v="5"/>
    <n v="40"/>
    <s v="Penerimaan Iuran Warga"/>
    <s v="Iuran Iwan Budi"/>
    <x v="56"/>
    <n v="100000"/>
    <m/>
    <n v="11969200"/>
  </r>
  <r>
    <n v="382"/>
    <d v="2026-05-05T00:00:00"/>
    <x v="4"/>
    <n v="5"/>
    <x v="5"/>
    <n v="40"/>
    <s v="Penerimaan Iuran Warga"/>
    <s v="Iuran El Fatoni"/>
    <x v="14"/>
    <n v="100000"/>
    <m/>
    <n v="12069200"/>
  </r>
  <r>
    <n v="383"/>
    <d v="2026-05-06T00:00:00"/>
    <x v="4"/>
    <n v="5"/>
    <x v="1"/>
    <n v="40"/>
    <s v="Penerimaan Iuran Warga"/>
    <s v="Iuran Bulana Ida Sulistyowati"/>
    <x v="57"/>
    <n v="100000"/>
    <m/>
    <n v="12169200"/>
  </r>
  <r>
    <n v="384"/>
    <d v="2026-05-06T00:00:00"/>
    <x v="4"/>
    <n v="5"/>
    <x v="2"/>
    <n v="40"/>
    <s v="Penerimaan Iuran Warga"/>
    <s v="Iuran Bulana Ida Sulistyowati"/>
    <x v="57"/>
    <n v="100000"/>
    <m/>
    <n v="12269200"/>
  </r>
  <r>
    <n v="385"/>
    <d v="2026-05-06T00:00:00"/>
    <x v="4"/>
    <n v="5"/>
    <x v="3"/>
    <n v="40"/>
    <s v="Penerimaan Iuran Warga"/>
    <s v="Iuran Bulana Ida Sulistyowati"/>
    <x v="57"/>
    <n v="100000"/>
    <m/>
    <n v="12369200"/>
  </r>
  <r>
    <n v="386"/>
    <d v="2026-05-06T00:00:00"/>
    <x v="4"/>
    <n v="5"/>
    <x v="4"/>
    <n v="40"/>
    <s v="Penerimaan Iuran Warga"/>
    <s v="Iuran Bulana Ida Sulistyowati"/>
    <x v="57"/>
    <n v="100000"/>
    <m/>
    <n v="12469200"/>
  </r>
  <r>
    <n v="387"/>
    <d v="2026-05-06T00:00:00"/>
    <x v="4"/>
    <n v="5"/>
    <x v="5"/>
    <n v="40"/>
    <s v="Penerimaan Iuran Warga"/>
    <s v="Iuran Bulana Ida Sulistyowati"/>
    <x v="57"/>
    <n v="100000"/>
    <m/>
    <n v="12569200"/>
  </r>
  <r>
    <n v="388"/>
    <d v="2026-05-07T00:00:00"/>
    <x v="4"/>
    <n v="5"/>
    <x v="5"/>
    <n v="56"/>
    <s v="Biaya WIFI Pos Jaga"/>
    <s v="Iuran WIFI Mei"/>
    <x v="0"/>
    <m/>
    <n v="230000"/>
    <n v="12339200"/>
  </r>
  <r>
    <n v="389"/>
    <d v="2026-05-07T00:00:00"/>
    <x v="4"/>
    <n v="5"/>
    <x v="5"/>
    <n v="58"/>
    <s v="Biaya adm bank"/>
    <s v="Biaya transfer"/>
    <x v="0"/>
    <m/>
    <n v="2500"/>
    <n v="12336700"/>
  </r>
  <r>
    <n v="390"/>
    <d v="2026-05-07T00:00:00"/>
    <x v="4"/>
    <n v="5"/>
    <x v="1"/>
    <n v="40"/>
    <s v="Penerimaan Iuran Warga"/>
    <s v="Iuran bulanan Sutiaji"/>
    <x v="58"/>
    <n v="100000"/>
    <m/>
    <n v="12436700"/>
  </r>
  <r>
    <n v="391"/>
    <d v="2026-05-07T00:00:00"/>
    <x v="4"/>
    <n v="5"/>
    <x v="2"/>
    <n v="40"/>
    <s v="Penerimaan Iuran Warga"/>
    <s v="Iuran bulanan Sutiaji"/>
    <x v="58"/>
    <n v="100000"/>
    <m/>
    <n v="12536700"/>
  </r>
  <r>
    <n v="392"/>
    <d v="2026-05-07T00:00:00"/>
    <x v="4"/>
    <n v="5"/>
    <x v="3"/>
    <n v="40"/>
    <s v="Penerimaan Iuran Warga"/>
    <s v="Iuran bulanan Sutiaji"/>
    <x v="58"/>
    <n v="100000"/>
    <m/>
    <n v="12636700"/>
  </r>
  <r>
    <n v="393"/>
    <d v="2026-05-07T00:00:00"/>
    <x v="4"/>
    <n v="5"/>
    <x v="4"/>
    <n v="40"/>
    <s v="Penerimaan Iuran Warga"/>
    <s v="Iuran bulanan Sutiaji"/>
    <x v="58"/>
    <n v="100000"/>
    <m/>
    <n v="12736700"/>
  </r>
  <r>
    <n v="394"/>
    <d v="2026-05-07T00:00:00"/>
    <x v="4"/>
    <n v="5"/>
    <x v="5"/>
    <n v="40"/>
    <s v="Penerimaan Iuran Warga"/>
    <s v="Iuran bulanan Sutiaji"/>
    <x v="58"/>
    <n v="100000"/>
    <m/>
    <n v="12836700"/>
  </r>
  <r>
    <n v="395"/>
    <d v="2026-05-07T00:00:00"/>
    <x v="4"/>
    <n v="5"/>
    <x v="5"/>
    <n v="40"/>
    <s v="Penerimaan Iuran Warga"/>
    <s v="Iuran bulanan sahriyah"/>
    <x v="13"/>
    <n v="190000"/>
    <m/>
    <n v="13026700"/>
  </r>
  <r>
    <n v="396"/>
    <d v="2026-05-07T00:00:00"/>
    <x v="4"/>
    <n v="5"/>
    <x v="5"/>
    <n v="40"/>
    <s v="Penerimaan Iuran Warga"/>
    <s v="Iuran bulanan Yudi Hari Utomo"/>
    <x v="55"/>
    <n v="100000"/>
    <m/>
    <n v="13126700"/>
  </r>
  <r>
    <n v="397"/>
    <m/>
    <x v="0"/>
    <n v="5"/>
    <x v="5"/>
    <m/>
    <n v="0"/>
    <m/>
    <x v="0"/>
    <m/>
    <m/>
    <n v="13126700"/>
  </r>
  <r>
    <n v="398"/>
    <m/>
    <x v="0"/>
    <n v="5"/>
    <x v="5"/>
    <m/>
    <n v="0"/>
    <m/>
    <x v="0"/>
    <m/>
    <m/>
    <n v="13126700"/>
  </r>
  <r>
    <n v="399"/>
    <m/>
    <x v="0"/>
    <n v="5"/>
    <x v="5"/>
    <m/>
    <n v="0"/>
    <m/>
    <x v="0"/>
    <m/>
    <m/>
    <n v="13126700"/>
  </r>
  <r>
    <n v="400"/>
    <m/>
    <x v="0"/>
    <n v="5"/>
    <x v="5"/>
    <m/>
    <n v="0"/>
    <m/>
    <x v="0"/>
    <m/>
    <m/>
    <n v="13126700"/>
  </r>
  <r>
    <n v="401"/>
    <m/>
    <x v="0"/>
    <n v="5"/>
    <x v="0"/>
    <m/>
    <n v="0"/>
    <m/>
    <x v="0"/>
    <m/>
    <m/>
    <n v="13126700"/>
  </r>
  <r>
    <n v="402"/>
    <m/>
    <x v="0"/>
    <n v="5"/>
    <x v="0"/>
    <m/>
    <n v="0"/>
    <m/>
    <x v="0"/>
    <m/>
    <m/>
    <n v="13126700"/>
  </r>
  <r>
    <n v="403"/>
    <m/>
    <x v="0"/>
    <n v="5"/>
    <x v="0"/>
    <m/>
    <n v="0"/>
    <m/>
    <x v="0"/>
    <m/>
    <m/>
    <n v="13126700"/>
  </r>
  <r>
    <n v="404"/>
    <m/>
    <x v="0"/>
    <n v="5"/>
    <x v="0"/>
    <m/>
    <n v="0"/>
    <m/>
    <x v="0"/>
    <m/>
    <m/>
    <n v="13126700"/>
  </r>
  <r>
    <n v="405"/>
    <m/>
    <x v="0"/>
    <n v="5"/>
    <x v="0"/>
    <m/>
    <n v="0"/>
    <m/>
    <x v="0"/>
    <m/>
    <m/>
    <n v="13126700"/>
  </r>
  <r>
    <n v="406"/>
    <m/>
    <x v="0"/>
    <n v="5"/>
    <x v="0"/>
    <m/>
    <n v="0"/>
    <m/>
    <x v="0"/>
    <m/>
    <m/>
    <n v="13126700"/>
  </r>
  <r>
    <n v="407"/>
    <m/>
    <x v="0"/>
    <n v="5"/>
    <x v="0"/>
    <m/>
    <n v="0"/>
    <m/>
    <x v="0"/>
    <m/>
    <m/>
    <n v="13126700"/>
  </r>
  <r>
    <n v="408"/>
    <m/>
    <x v="0"/>
    <n v="5"/>
    <x v="0"/>
    <m/>
    <n v="0"/>
    <m/>
    <x v="0"/>
    <m/>
    <m/>
    <n v="13126700"/>
  </r>
  <r>
    <n v="409"/>
    <m/>
    <x v="0"/>
    <n v="5"/>
    <x v="0"/>
    <m/>
    <n v="0"/>
    <m/>
    <x v="0"/>
    <m/>
    <m/>
    <n v="13126700"/>
  </r>
  <r>
    <n v="410"/>
    <m/>
    <x v="0"/>
    <n v="5"/>
    <x v="0"/>
    <m/>
    <n v="0"/>
    <m/>
    <x v="0"/>
    <m/>
    <m/>
    <n v="13126700"/>
  </r>
  <r>
    <n v="411"/>
    <m/>
    <x v="0"/>
    <n v="5"/>
    <x v="0"/>
    <m/>
    <n v="0"/>
    <m/>
    <x v="0"/>
    <m/>
    <m/>
    <n v="13126700"/>
  </r>
  <r>
    <n v="412"/>
    <m/>
    <x v="0"/>
    <n v="5"/>
    <x v="0"/>
    <m/>
    <n v="0"/>
    <m/>
    <x v="0"/>
    <m/>
    <m/>
    <n v="13126700"/>
  </r>
  <r>
    <n v="413"/>
    <m/>
    <x v="0"/>
    <n v="5"/>
    <x v="0"/>
    <m/>
    <n v="0"/>
    <m/>
    <x v="0"/>
    <m/>
    <m/>
    <n v="13126700"/>
  </r>
  <r>
    <n v="414"/>
    <m/>
    <x v="0"/>
    <n v="5"/>
    <x v="0"/>
    <m/>
    <n v="0"/>
    <m/>
    <x v="0"/>
    <m/>
    <m/>
    <n v="13126700"/>
  </r>
  <r>
    <n v="415"/>
    <m/>
    <x v="0"/>
    <n v="5"/>
    <x v="0"/>
    <m/>
    <n v="0"/>
    <m/>
    <x v="0"/>
    <m/>
    <m/>
    <n v="13126700"/>
  </r>
  <r>
    <n v="416"/>
    <m/>
    <x v="0"/>
    <n v="5"/>
    <x v="0"/>
    <m/>
    <n v="0"/>
    <m/>
    <x v="0"/>
    <m/>
    <m/>
    <n v="13126700"/>
  </r>
  <r>
    <n v="417"/>
    <m/>
    <x v="0"/>
    <n v="5"/>
    <x v="0"/>
    <m/>
    <n v="0"/>
    <m/>
    <x v="0"/>
    <m/>
    <m/>
    <n v="13126700"/>
  </r>
  <r>
    <n v="418"/>
    <m/>
    <x v="0"/>
    <n v="5"/>
    <x v="0"/>
    <m/>
    <n v="0"/>
    <m/>
    <x v="0"/>
    <m/>
    <m/>
    <n v="13126700"/>
  </r>
  <r>
    <n v="419"/>
    <m/>
    <x v="0"/>
    <n v="5"/>
    <x v="0"/>
    <m/>
    <n v="0"/>
    <m/>
    <x v="0"/>
    <m/>
    <m/>
    <n v="13126700"/>
  </r>
  <r>
    <n v="420"/>
    <m/>
    <x v="0"/>
    <n v="5"/>
    <x v="0"/>
    <m/>
    <n v="0"/>
    <m/>
    <x v="0"/>
    <m/>
    <m/>
    <n v="13126700"/>
  </r>
  <r>
    <n v="421"/>
    <m/>
    <x v="0"/>
    <n v="5"/>
    <x v="0"/>
    <m/>
    <n v="0"/>
    <m/>
    <x v="0"/>
    <m/>
    <m/>
    <n v="13126700"/>
  </r>
  <r>
    <n v="422"/>
    <m/>
    <x v="0"/>
    <n v="5"/>
    <x v="0"/>
    <m/>
    <n v="0"/>
    <m/>
    <x v="0"/>
    <m/>
    <m/>
    <n v="13126700"/>
  </r>
  <r>
    <n v="423"/>
    <m/>
    <x v="0"/>
    <n v="5"/>
    <x v="0"/>
    <m/>
    <n v="0"/>
    <m/>
    <x v="0"/>
    <m/>
    <m/>
    <n v="13126700"/>
  </r>
  <r>
    <n v="424"/>
    <m/>
    <x v="0"/>
    <n v="5"/>
    <x v="0"/>
    <m/>
    <n v="0"/>
    <m/>
    <x v="0"/>
    <m/>
    <m/>
    <n v="13126700"/>
  </r>
  <r>
    <n v="425"/>
    <m/>
    <x v="0"/>
    <n v="5"/>
    <x v="0"/>
    <m/>
    <n v="0"/>
    <m/>
    <x v="0"/>
    <m/>
    <m/>
    <n v="13126700"/>
  </r>
  <r>
    <n v="426"/>
    <m/>
    <x v="0"/>
    <n v="5"/>
    <x v="0"/>
    <m/>
    <n v="0"/>
    <m/>
    <x v="0"/>
    <m/>
    <m/>
    <n v="13126700"/>
  </r>
  <r>
    <n v="427"/>
    <m/>
    <x v="0"/>
    <m/>
    <x v="0"/>
    <m/>
    <n v="0"/>
    <m/>
    <x v="0"/>
    <m/>
    <m/>
    <n v="13126700"/>
  </r>
  <r>
    <n v="428"/>
    <m/>
    <x v="0"/>
    <m/>
    <x v="0"/>
    <m/>
    <n v="0"/>
    <m/>
    <x v="0"/>
    <m/>
    <m/>
    <n v="13126700"/>
  </r>
  <r>
    <n v="429"/>
    <m/>
    <x v="0"/>
    <m/>
    <x v="0"/>
    <m/>
    <n v="0"/>
    <m/>
    <x v="0"/>
    <m/>
    <m/>
    <n v="13126700"/>
  </r>
  <r>
    <n v="430"/>
    <m/>
    <x v="0"/>
    <m/>
    <x v="0"/>
    <m/>
    <n v="0"/>
    <m/>
    <x v="0"/>
    <m/>
    <m/>
    <n v="13126700"/>
  </r>
  <r>
    <n v="431"/>
    <m/>
    <x v="0"/>
    <m/>
    <x v="0"/>
    <m/>
    <n v="0"/>
    <m/>
    <x v="0"/>
    <m/>
    <m/>
    <n v="13126700"/>
  </r>
  <r>
    <n v="432"/>
    <m/>
    <x v="0"/>
    <m/>
    <x v="0"/>
    <m/>
    <n v="0"/>
    <m/>
    <x v="0"/>
    <m/>
    <m/>
    <n v="13126700"/>
  </r>
  <r>
    <n v="433"/>
    <m/>
    <x v="0"/>
    <m/>
    <x v="0"/>
    <m/>
    <n v="0"/>
    <m/>
    <x v="0"/>
    <m/>
    <m/>
    <n v="13126700"/>
  </r>
  <r>
    <n v="434"/>
    <m/>
    <x v="0"/>
    <m/>
    <x v="0"/>
    <m/>
    <n v="0"/>
    <m/>
    <x v="0"/>
    <m/>
    <m/>
    <n v="13126700"/>
  </r>
  <r>
    <n v="435"/>
    <m/>
    <x v="0"/>
    <m/>
    <x v="0"/>
    <m/>
    <n v="0"/>
    <m/>
    <x v="0"/>
    <m/>
    <m/>
    <n v="13126700"/>
  </r>
  <r>
    <n v="436"/>
    <m/>
    <x v="0"/>
    <m/>
    <x v="0"/>
    <m/>
    <n v="0"/>
    <m/>
    <x v="0"/>
    <m/>
    <m/>
    <n v="13126700"/>
  </r>
  <r>
    <n v="437"/>
    <m/>
    <x v="0"/>
    <m/>
    <x v="0"/>
    <m/>
    <n v="0"/>
    <m/>
    <x v="0"/>
    <m/>
    <m/>
    <n v="13126700"/>
  </r>
  <r>
    <n v="438"/>
    <m/>
    <x v="0"/>
    <m/>
    <x v="0"/>
    <m/>
    <n v="0"/>
    <m/>
    <x v="0"/>
    <m/>
    <m/>
    <n v="13126700"/>
  </r>
  <r>
    <n v="439"/>
    <m/>
    <x v="0"/>
    <m/>
    <x v="0"/>
    <m/>
    <n v="0"/>
    <m/>
    <x v="0"/>
    <m/>
    <m/>
    <n v="13126700"/>
  </r>
  <r>
    <n v="440"/>
    <m/>
    <x v="0"/>
    <m/>
    <x v="0"/>
    <m/>
    <n v="0"/>
    <m/>
    <x v="0"/>
    <m/>
    <m/>
    <n v="13126700"/>
  </r>
  <r>
    <n v="441"/>
    <m/>
    <x v="0"/>
    <m/>
    <x v="0"/>
    <m/>
    <n v="0"/>
    <m/>
    <x v="0"/>
    <m/>
    <m/>
    <n v="13126700"/>
  </r>
  <r>
    <n v="442"/>
    <m/>
    <x v="0"/>
    <m/>
    <x v="0"/>
    <m/>
    <n v="0"/>
    <m/>
    <x v="0"/>
    <m/>
    <m/>
    <n v="13126700"/>
  </r>
  <r>
    <n v="443"/>
    <m/>
    <x v="0"/>
    <m/>
    <x v="0"/>
    <m/>
    <n v="0"/>
    <m/>
    <x v="0"/>
    <m/>
    <m/>
    <n v="13126700"/>
  </r>
  <r>
    <n v="444"/>
    <m/>
    <x v="0"/>
    <m/>
    <x v="0"/>
    <m/>
    <n v="0"/>
    <m/>
    <x v="0"/>
    <m/>
    <m/>
    <n v="13126700"/>
  </r>
  <r>
    <n v="445"/>
    <m/>
    <x v="0"/>
    <m/>
    <x v="0"/>
    <m/>
    <n v="0"/>
    <m/>
    <x v="0"/>
    <m/>
    <m/>
    <n v="13126700"/>
  </r>
  <r>
    <n v="446"/>
    <m/>
    <x v="0"/>
    <m/>
    <x v="0"/>
    <m/>
    <n v="0"/>
    <m/>
    <x v="0"/>
    <m/>
    <m/>
    <n v="13126700"/>
  </r>
  <r>
    <n v="447"/>
    <m/>
    <x v="0"/>
    <m/>
    <x v="0"/>
    <m/>
    <n v="0"/>
    <m/>
    <x v="0"/>
    <m/>
    <m/>
    <n v="13126700"/>
  </r>
  <r>
    <n v="448"/>
    <m/>
    <x v="0"/>
    <m/>
    <x v="0"/>
    <m/>
    <n v="0"/>
    <m/>
    <x v="0"/>
    <m/>
    <m/>
    <n v="13126700"/>
  </r>
  <r>
    <n v="449"/>
    <m/>
    <x v="0"/>
    <m/>
    <x v="0"/>
    <m/>
    <n v="0"/>
    <m/>
    <x v="0"/>
    <m/>
    <m/>
    <n v="13126700"/>
  </r>
  <r>
    <n v="450"/>
    <m/>
    <x v="0"/>
    <m/>
    <x v="0"/>
    <m/>
    <n v="0"/>
    <m/>
    <x v="0"/>
    <m/>
    <m/>
    <n v="13126700"/>
  </r>
  <r>
    <n v="451"/>
    <m/>
    <x v="0"/>
    <m/>
    <x v="0"/>
    <m/>
    <n v="0"/>
    <m/>
    <x v="0"/>
    <m/>
    <m/>
    <n v="13126700"/>
  </r>
  <r>
    <n v="452"/>
    <m/>
    <x v="0"/>
    <m/>
    <x v="0"/>
    <m/>
    <n v="0"/>
    <m/>
    <x v="0"/>
    <m/>
    <m/>
    <n v="13126700"/>
  </r>
  <r>
    <n v="453"/>
    <m/>
    <x v="0"/>
    <m/>
    <x v="0"/>
    <m/>
    <n v="0"/>
    <m/>
    <x v="0"/>
    <m/>
    <m/>
    <n v="13126700"/>
  </r>
  <r>
    <n v="454"/>
    <m/>
    <x v="0"/>
    <m/>
    <x v="0"/>
    <m/>
    <n v="0"/>
    <m/>
    <x v="0"/>
    <m/>
    <m/>
    <n v="13126700"/>
  </r>
  <r>
    <n v="455"/>
    <m/>
    <x v="0"/>
    <m/>
    <x v="0"/>
    <m/>
    <n v="0"/>
    <m/>
    <x v="0"/>
    <m/>
    <m/>
    <n v="13126700"/>
  </r>
  <r>
    <n v="456"/>
    <m/>
    <x v="0"/>
    <m/>
    <x v="0"/>
    <m/>
    <n v="0"/>
    <m/>
    <x v="0"/>
    <m/>
    <m/>
    <n v="13126700"/>
  </r>
  <r>
    <n v="457"/>
    <m/>
    <x v="0"/>
    <m/>
    <x v="0"/>
    <m/>
    <n v="0"/>
    <m/>
    <x v="0"/>
    <m/>
    <m/>
    <n v="13126700"/>
  </r>
  <r>
    <n v="458"/>
    <m/>
    <x v="0"/>
    <m/>
    <x v="0"/>
    <m/>
    <n v="0"/>
    <m/>
    <x v="0"/>
    <m/>
    <m/>
    <n v="13126700"/>
  </r>
  <r>
    <n v="459"/>
    <m/>
    <x v="0"/>
    <m/>
    <x v="0"/>
    <m/>
    <n v="0"/>
    <m/>
    <x v="0"/>
    <m/>
    <m/>
    <n v="13126700"/>
  </r>
  <r>
    <n v="460"/>
    <m/>
    <x v="0"/>
    <m/>
    <x v="0"/>
    <m/>
    <n v="0"/>
    <m/>
    <x v="0"/>
    <m/>
    <m/>
    <n v="13126700"/>
  </r>
  <r>
    <n v="461"/>
    <m/>
    <x v="0"/>
    <m/>
    <x v="0"/>
    <m/>
    <n v="0"/>
    <m/>
    <x v="0"/>
    <m/>
    <m/>
    <n v="13126700"/>
  </r>
  <r>
    <n v="462"/>
    <m/>
    <x v="0"/>
    <m/>
    <x v="0"/>
    <m/>
    <n v="0"/>
    <m/>
    <x v="0"/>
    <m/>
    <m/>
    <n v="13126700"/>
  </r>
  <r>
    <n v="463"/>
    <m/>
    <x v="0"/>
    <m/>
    <x v="0"/>
    <m/>
    <n v="0"/>
    <m/>
    <x v="0"/>
    <m/>
    <m/>
    <n v="13126700"/>
  </r>
  <r>
    <n v="464"/>
    <m/>
    <x v="0"/>
    <m/>
    <x v="0"/>
    <m/>
    <n v="0"/>
    <m/>
    <x v="0"/>
    <m/>
    <m/>
    <n v="13126700"/>
  </r>
  <r>
    <n v="465"/>
    <m/>
    <x v="0"/>
    <m/>
    <x v="0"/>
    <m/>
    <n v="0"/>
    <m/>
    <x v="0"/>
    <m/>
    <m/>
    <n v="13126700"/>
  </r>
  <r>
    <n v="466"/>
    <m/>
    <x v="0"/>
    <m/>
    <x v="0"/>
    <m/>
    <n v="0"/>
    <m/>
    <x v="0"/>
    <m/>
    <m/>
    <n v="13126700"/>
  </r>
  <r>
    <n v="467"/>
    <m/>
    <x v="0"/>
    <m/>
    <x v="0"/>
    <m/>
    <n v="0"/>
    <m/>
    <x v="0"/>
    <m/>
    <m/>
    <n v="13126700"/>
  </r>
  <r>
    <n v="468"/>
    <m/>
    <x v="0"/>
    <m/>
    <x v="0"/>
    <m/>
    <n v="0"/>
    <m/>
    <x v="0"/>
    <m/>
    <m/>
    <n v="13126700"/>
  </r>
  <r>
    <n v="469"/>
    <m/>
    <x v="0"/>
    <m/>
    <x v="0"/>
    <m/>
    <n v="0"/>
    <m/>
    <x v="0"/>
    <m/>
    <m/>
    <n v="13126700"/>
  </r>
  <r>
    <n v="470"/>
    <m/>
    <x v="0"/>
    <m/>
    <x v="0"/>
    <m/>
    <n v="0"/>
    <m/>
    <x v="0"/>
    <m/>
    <m/>
    <n v="13126700"/>
  </r>
  <r>
    <n v="471"/>
    <m/>
    <x v="0"/>
    <m/>
    <x v="0"/>
    <m/>
    <n v="0"/>
    <m/>
    <x v="0"/>
    <m/>
    <m/>
    <n v="13126700"/>
  </r>
  <r>
    <n v="472"/>
    <m/>
    <x v="0"/>
    <m/>
    <x v="0"/>
    <m/>
    <n v="0"/>
    <m/>
    <x v="0"/>
    <m/>
    <m/>
    <n v="13126700"/>
  </r>
  <r>
    <n v="473"/>
    <m/>
    <x v="0"/>
    <m/>
    <x v="0"/>
    <m/>
    <n v="0"/>
    <m/>
    <x v="0"/>
    <m/>
    <m/>
    <n v="13126700"/>
  </r>
  <r>
    <n v="474"/>
    <m/>
    <x v="0"/>
    <m/>
    <x v="0"/>
    <m/>
    <n v="0"/>
    <m/>
    <x v="0"/>
    <m/>
    <m/>
    <n v="13126700"/>
  </r>
  <r>
    <n v="475"/>
    <m/>
    <x v="0"/>
    <m/>
    <x v="0"/>
    <m/>
    <n v="0"/>
    <m/>
    <x v="0"/>
    <m/>
    <m/>
    <n v="13126700"/>
  </r>
  <r>
    <n v="476"/>
    <m/>
    <x v="0"/>
    <m/>
    <x v="0"/>
    <m/>
    <n v="0"/>
    <m/>
    <x v="0"/>
    <m/>
    <m/>
    <n v="13126700"/>
  </r>
  <r>
    <n v="477"/>
    <m/>
    <x v="0"/>
    <m/>
    <x v="0"/>
    <m/>
    <n v="0"/>
    <m/>
    <x v="0"/>
    <m/>
    <m/>
    <n v="13126700"/>
  </r>
  <r>
    <n v="478"/>
    <m/>
    <x v="0"/>
    <m/>
    <x v="0"/>
    <m/>
    <n v="0"/>
    <m/>
    <x v="0"/>
    <m/>
    <m/>
    <n v="13126700"/>
  </r>
  <r>
    <n v="479"/>
    <m/>
    <x v="0"/>
    <m/>
    <x v="0"/>
    <m/>
    <n v="0"/>
    <m/>
    <x v="0"/>
    <m/>
    <m/>
    <n v="13126700"/>
  </r>
  <r>
    <n v="480"/>
    <m/>
    <x v="0"/>
    <m/>
    <x v="0"/>
    <m/>
    <n v="0"/>
    <m/>
    <x v="0"/>
    <m/>
    <m/>
    <n v="13126700"/>
  </r>
  <r>
    <n v="481"/>
    <m/>
    <x v="0"/>
    <m/>
    <x v="0"/>
    <m/>
    <n v="0"/>
    <m/>
    <x v="0"/>
    <m/>
    <m/>
    <n v="13126700"/>
  </r>
  <r>
    <n v="482"/>
    <m/>
    <x v="0"/>
    <m/>
    <x v="0"/>
    <m/>
    <n v="0"/>
    <m/>
    <x v="0"/>
    <m/>
    <m/>
    <n v="13126700"/>
  </r>
  <r>
    <n v="483"/>
    <m/>
    <x v="0"/>
    <m/>
    <x v="0"/>
    <m/>
    <n v="0"/>
    <m/>
    <x v="0"/>
    <m/>
    <m/>
    <n v="13126700"/>
  </r>
  <r>
    <n v="484"/>
    <m/>
    <x v="0"/>
    <m/>
    <x v="0"/>
    <m/>
    <n v="0"/>
    <m/>
    <x v="0"/>
    <m/>
    <m/>
    <n v="13126700"/>
  </r>
  <r>
    <n v="485"/>
    <m/>
    <x v="0"/>
    <m/>
    <x v="0"/>
    <m/>
    <n v="0"/>
    <m/>
    <x v="0"/>
    <m/>
    <m/>
    <n v="13126700"/>
  </r>
  <r>
    <n v="486"/>
    <m/>
    <x v="0"/>
    <m/>
    <x v="0"/>
    <m/>
    <n v="0"/>
    <m/>
    <x v="0"/>
    <m/>
    <m/>
    <n v="13126700"/>
  </r>
  <r>
    <n v="487"/>
    <m/>
    <x v="0"/>
    <m/>
    <x v="0"/>
    <m/>
    <n v="0"/>
    <m/>
    <x v="0"/>
    <m/>
    <m/>
    <n v="13126700"/>
  </r>
  <r>
    <n v="488"/>
    <m/>
    <x v="0"/>
    <m/>
    <x v="0"/>
    <m/>
    <n v="0"/>
    <m/>
    <x v="0"/>
    <m/>
    <m/>
    <n v="13126700"/>
  </r>
  <r>
    <n v="489"/>
    <m/>
    <x v="0"/>
    <m/>
    <x v="0"/>
    <m/>
    <n v="0"/>
    <m/>
    <x v="0"/>
    <m/>
    <m/>
    <n v="13126700"/>
  </r>
  <r>
    <n v="490"/>
    <m/>
    <x v="0"/>
    <m/>
    <x v="0"/>
    <m/>
    <n v="0"/>
    <m/>
    <x v="0"/>
    <m/>
    <m/>
    <n v="13126700"/>
  </r>
  <r>
    <n v="491"/>
    <m/>
    <x v="0"/>
    <m/>
    <x v="0"/>
    <m/>
    <n v="0"/>
    <m/>
    <x v="0"/>
    <m/>
    <m/>
    <n v="13126700"/>
  </r>
  <r>
    <n v="492"/>
    <m/>
    <x v="0"/>
    <m/>
    <x v="0"/>
    <m/>
    <n v="0"/>
    <m/>
    <x v="0"/>
    <m/>
    <m/>
    <n v="13126700"/>
  </r>
  <r>
    <n v="493"/>
    <m/>
    <x v="0"/>
    <m/>
    <x v="0"/>
    <m/>
    <n v="0"/>
    <m/>
    <x v="0"/>
    <m/>
    <m/>
    <n v="13126700"/>
  </r>
  <r>
    <n v="494"/>
    <m/>
    <x v="0"/>
    <m/>
    <x v="0"/>
    <m/>
    <n v="0"/>
    <m/>
    <x v="0"/>
    <m/>
    <m/>
    <n v="13126700"/>
  </r>
  <r>
    <n v="495"/>
    <m/>
    <x v="0"/>
    <m/>
    <x v="0"/>
    <m/>
    <n v="0"/>
    <m/>
    <x v="0"/>
    <m/>
    <m/>
    <n v="13126700"/>
  </r>
  <r>
    <n v="496"/>
    <m/>
    <x v="0"/>
    <m/>
    <x v="0"/>
    <m/>
    <n v="0"/>
    <m/>
    <x v="0"/>
    <m/>
    <m/>
    <n v="13126700"/>
  </r>
  <r>
    <n v="497"/>
    <m/>
    <x v="0"/>
    <m/>
    <x v="0"/>
    <m/>
    <n v="0"/>
    <m/>
    <x v="0"/>
    <m/>
    <m/>
    <n v="13126700"/>
  </r>
  <r>
    <n v="498"/>
    <m/>
    <x v="0"/>
    <m/>
    <x v="0"/>
    <m/>
    <n v="0"/>
    <m/>
    <x v="0"/>
    <m/>
    <m/>
    <n v="13126700"/>
  </r>
  <r>
    <n v="499"/>
    <m/>
    <x v="0"/>
    <m/>
    <x v="0"/>
    <m/>
    <n v="0"/>
    <m/>
    <x v="0"/>
    <m/>
    <m/>
    <n v="13126700"/>
  </r>
  <r>
    <n v="500"/>
    <m/>
    <x v="0"/>
    <m/>
    <x v="0"/>
    <m/>
    <n v="0"/>
    <m/>
    <x v="0"/>
    <m/>
    <m/>
    <n v="13126700"/>
  </r>
  <r>
    <n v="501"/>
    <m/>
    <x v="0"/>
    <m/>
    <x v="0"/>
    <m/>
    <n v="0"/>
    <m/>
    <x v="0"/>
    <m/>
    <m/>
    <n v="13126700"/>
  </r>
  <r>
    <n v="502"/>
    <m/>
    <x v="0"/>
    <m/>
    <x v="0"/>
    <m/>
    <n v="0"/>
    <m/>
    <x v="0"/>
    <m/>
    <m/>
    <n v="13126700"/>
  </r>
  <r>
    <n v="503"/>
    <m/>
    <x v="0"/>
    <m/>
    <x v="0"/>
    <m/>
    <n v="0"/>
    <m/>
    <x v="0"/>
    <m/>
    <m/>
    <n v="13126700"/>
  </r>
  <r>
    <n v="504"/>
    <m/>
    <x v="0"/>
    <m/>
    <x v="0"/>
    <m/>
    <n v="0"/>
    <m/>
    <x v="0"/>
    <m/>
    <m/>
    <n v="13126700"/>
  </r>
  <r>
    <n v="505"/>
    <m/>
    <x v="0"/>
    <m/>
    <x v="0"/>
    <m/>
    <n v="0"/>
    <m/>
    <x v="0"/>
    <m/>
    <m/>
    <n v="13126700"/>
  </r>
  <r>
    <n v="506"/>
    <m/>
    <x v="0"/>
    <m/>
    <x v="0"/>
    <m/>
    <n v="0"/>
    <m/>
    <x v="0"/>
    <m/>
    <m/>
    <n v="13126700"/>
  </r>
  <r>
    <n v="507"/>
    <m/>
    <x v="0"/>
    <m/>
    <x v="0"/>
    <m/>
    <n v="0"/>
    <m/>
    <x v="0"/>
    <m/>
    <m/>
    <n v="13126700"/>
  </r>
  <r>
    <n v="508"/>
    <m/>
    <x v="0"/>
    <m/>
    <x v="0"/>
    <m/>
    <n v="0"/>
    <m/>
    <x v="0"/>
    <m/>
    <m/>
    <n v="13126700"/>
  </r>
  <r>
    <n v="509"/>
    <m/>
    <x v="0"/>
    <m/>
    <x v="0"/>
    <m/>
    <n v="0"/>
    <m/>
    <x v="0"/>
    <m/>
    <m/>
    <n v="13126700"/>
  </r>
  <r>
    <n v="510"/>
    <m/>
    <x v="0"/>
    <m/>
    <x v="0"/>
    <m/>
    <n v="0"/>
    <m/>
    <x v="0"/>
    <m/>
    <m/>
    <n v="13126700"/>
  </r>
  <r>
    <n v="511"/>
    <m/>
    <x v="0"/>
    <m/>
    <x v="0"/>
    <m/>
    <n v="0"/>
    <m/>
    <x v="0"/>
    <m/>
    <m/>
    <n v="13126700"/>
  </r>
  <r>
    <n v="512"/>
    <m/>
    <x v="0"/>
    <m/>
    <x v="0"/>
    <m/>
    <n v="0"/>
    <m/>
    <x v="0"/>
    <m/>
    <m/>
    <n v="13126700"/>
  </r>
  <r>
    <n v="513"/>
    <m/>
    <x v="0"/>
    <m/>
    <x v="0"/>
    <m/>
    <n v="0"/>
    <m/>
    <x v="0"/>
    <m/>
    <m/>
    <n v="13126700"/>
  </r>
  <r>
    <n v="514"/>
    <m/>
    <x v="0"/>
    <m/>
    <x v="0"/>
    <m/>
    <n v="0"/>
    <m/>
    <x v="0"/>
    <m/>
    <m/>
    <n v="13126700"/>
  </r>
  <r>
    <n v="515"/>
    <m/>
    <x v="0"/>
    <m/>
    <x v="0"/>
    <m/>
    <n v="0"/>
    <m/>
    <x v="0"/>
    <m/>
    <m/>
    <n v="13126700"/>
  </r>
  <r>
    <n v="516"/>
    <m/>
    <x v="0"/>
    <m/>
    <x v="0"/>
    <m/>
    <n v="0"/>
    <m/>
    <x v="0"/>
    <m/>
    <m/>
    <n v="13126700"/>
  </r>
  <r>
    <n v="517"/>
    <m/>
    <x v="0"/>
    <m/>
    <x v="0"/>
    <m/>
    <n v="0"/>
    <m/>
    <x v="0"/>
    <m/>
    <m/>
    <n v="13126700"/>
  </r>
  <r>
    <n v="518"/>
    <m/>
    <x v="0"/>
    <m/>
    <x v="0"/>
    <m/>
    <n v="0"/>
    <m/>
    <x v="0"/>
    <m/>
    <m/>
    <n v="13126700"/>
  </r>
  <r>
    <n v="519"/>
    <m/>
    <x v="0"/>
    <m/>
    <x v="0"/>
    <m/>
    <n v="0"/>
    <m/>
    <x v="0"/>
    <m/>
    <m/>
    <n v="13126700"/>
  </r>
  <r>
    <n v="520"/>
    <m/>
    <x v="0"/>
    <m/>
    <x v="0"/>
    <m/>
    <n v="0"/>
    <m/>
    <x v="0"/>
    <m/>
    <m/>
    <n v="13126700"/>
  </r>
  <r>
    <n v="521"/>
    <m/>
    <x v="0"/>
    <m/>
    <x v="0"/>
    <m/>
    <n v="0"/>
    <m/>
    <x v="0"/>
    <m/>
    <m/>
    <n v="13126700"/>
  </r>
  <r>
    <n v="522"/>
    <m/>
    <x v="0"/>
    <m/>
    <x v="0"/>
    <m/>
    <n v="0"/>
    <m/>
    <x v="0"/>
    <m/>
    <m/>
    <n v="13126700"/>
  </r>
  <r>
    <n v="523"/>
    <m/>
    <x v="0"/>
    <m/>
    <x v="0"/>
    <m/>
    <n v="0"/>
    <m/>
    <x v="0"/>
    <m/>
    <m/>
    <n v="13126700"/>
  </r>
  <r>
    <n v="524"/>
    <m/>
    <x v="0"/>
    <m/>
    <x v="0"/>
    <m/>
    <n v="0"/>
    <m/>
    <x v="0"/>
    <m/>
    <m/>
    <n v="13126700"/>
  </r>
  <r>
    <n v="525"/>
    <m/>
    <x v="0"/>
    <m/>
    <x v="0"/>
    <m/>
    <n v="0"/>
    <m/>
    <x v="0"/>
    <m/>
    <m/>
    <n v="13126700"/>
  </r>
  <r>
    <n v="526"/>
    <m/>
    <x v="0"/>
    <m/>
    <x v="0"/>
    <m/>
    <n v="0"/>
    <m/>
    <x v="0"/>
    <m/>
    <m/>
    <n v="13126700"/>
  </r>
  <r>
    <n v="527"/>
    <m/>
    <x v="0"/>
    <m/>
    <x v="0"/>
    <m/>
    <n v="0"/>
    <m/>
    <x v="0"/>
    <m/>
    <m/>
    <n v="13126700"/>
  </r>
  <r>
    <n v="528"/>
    <m/>
    <x v="0"/>
    <m/>
    <x v="0"/>
    <m/>
    <n v="0"/>
    <m/>
    <x v="0"/>
    <m/>
    <m/>
    <n v="13126700"/>
  </r>
  <r>
    <n v="529"/>
    <m/>
    <x v="0"/>
    <m/>
    <x v="0"/>
    <m/>
    <n v="0"/>
    <m/>
    <x v="0"/>
    <m/>
    <m/>
    <n v="13126700"/>
  </r>
  <r>
    <n v="530"/>
    <m/>
    <x v="0"/>
    <m/>
    <x v="0"/>
    <m/>
    <n v="0"/>
    <m/>
    <x v="0"/>
    <m/>
    <m/>
    <n v="13126700"/>
  </r>
  <r>
    <n v="531"/>
    <m/>
    <x v="0"/>
    <m/>
    <x v="0"/>
    <m/>
    <n v="0"/>
    <m/>
    <x v="0"/>
    <m/>
    <m/>
    <n v="13126700"/>
  </r>
  <r>
    <n v="532"/>
    <m/>
    <x v="0"/>
    <m/>
    <x v="0"/>
    <m/>
    <n v="0"/>
    <m/>
    <x v="0"/>
    <m/>
    <m/>
    <n v="13126700"/>
  </r>
  <r>
    <n v="533"/>
    <m/>
    <x v="0"/>
    <m/>
    <x v="0"/>
    <m/>
    <n v="0"/>
    <m/>
    <x v="0"/>
    <m/>
    <m/>
    <n v="13126700"/>
  </r>
  <r>
    <n v="534"/>
    <m/>
    <x v="0"/>
    <m/>
    <x v="0"/>
    <m/>
    <n v="0"/>
    <m/>
    <x v="0"/>
    <m/>
    <m/>
    <n v="13126700"/>
  </r>
  <r>
    <n v="535"/>
    <m/>
    <x v="0"/>
    <m/>
    <x v="0"/>
    <m/>
    <n v="0"/>
    <m/>
    <x v="0"/>
    <m/>
    <m/>
    <n v="13126700"/>
  </r>
  <r>
    <n v="536"/>
    <m/>
    <x v="0"/>
    <m/>
    <x v="0"/>
    <m/>
    <n v="0"/>
    <m/>
    <x v="0"/>
    <m/>
    <m/>
    <n v="13126700"/>
  </r>
  <r>
    <n v="537"/>
    <m/>
    <x v="0"/>
    <m/>
    <x v="0"/>
    <m/>
    <n v="0"/>
    <m/>
    <x v="0"/>
    <m/>
    <m/>
    <n v="13126700"/>
  </r>
  <r>
    <n v="538"/>
    <m/>
    <x v="0"/>
    <m/>
    <x v="0"/>
    <m/>
    <n v="0"/>
    <m/>
    <x v="0"/>
    <m/>
    <m/>
    <n v="13126700"/>
  </r>
  <r>
    <n v="539"/>
    <m/>
    <x v="0"/>
    <m/>
    <x v="0"/>
    <m/>
    <n v="0"/>
    <m/>
    <x v="0"/>
    <m/>
    <m/>
    <n v="13126700"/>
  </r>
  <r>
    <n v="540"/>
    <m/>
    <x v="0"/>
    <m/>
    <x v="0"/>
    <m/>
    <n v="0"/>
    <m/>
    <x v="0"/>
    <m/>
    <m/>
    <n v="13126700"/>
  </r>
  <r>
    <n v="541"/>
    <m/>
    <x v="0"/>
    <m/>
    <x v="0"/>
    <m/>
    <n v="0"/>
    <m/>
    <x v="0"/>
    <m/>
    <m/>
    <n v="13126700"/>
  </r>
  <r>
    <n v="542"/>
    <m/>
    <x v="0"/>
    <m/>
    <x v="0"/>
    <m/>
    <n v="0"/>
    <m/>
    <x v="0"/>
    <m/>
    <m/>
    <n v="13126700"/>
  </r>
  <r>
    <n v="543"/>
    <m/>
    <x v="0"/>
    <m/>
    <x v="0"/>
    <m/>
    <n v="0"/>
    <m/>
    <x v="0"/>
    <m/>
    <m/>
    <n v="13126700"/>
  </r>
  <r>
    <n v="544"/>
    <m/>
    <x v="0"/>
    <m/>
    <x v="0"/>
    <m/>
    <n v="0"/>
    <m/>
    <x v="0"/>
    <m/>
    <m/>
    <n v="13126700"/>
  </r>
  <r>
    <n v="545"/>
    <m/>
    <x v="0"/>
    <m/>
    <x v="0"/>
    <m/>
    <n v="0"/>
    <m/>
    <x v="0"/>
    <m/>
    <m/>
    <n v="13126700"/>
  </r>
  <r>
    <n v="546"/>
    <m/>
    <x v="0"/>
    <m/>
    <x v="0"/>
    <m/>
    <n v="0"/>
    <m/>
    <x v="0"/>
    <m/>
    <m/>
    <n v="13126700"/>
  </r>
  <r>
    <n v="547"/>
    <m/>
    <x v="0"/>
    <m/>
    <x v="0"/>
    <m/>
    <n v="0"/>
    <m/>
    <x v="0"/>
    <m/>
    <m/>
    <n v="13126700"/>
  </r>
  <r>
    <n v="548"/>
    <m/>
    <x v="0"/>
    <m/>
    <x v="0"/>
    <m/>
    <n v="0"/>
    <m/>
    <x v="0"/>
    <m/>
    <m/>
    <n v="13126700"/>
  </r>
  <r>
    <n v="549"/>
    <m/>
    <x v="0"/>
    <m/>
    <x v="0"/>
    <m/>
    <n v="0"/>
    <m/>
    <x v="0"/>
    <m/>
    <m/>
    <n v="13126700"/>
  </r>
  <r>
    <n v="550"/>
    <m/>
    <x v="0"/>
    <m/>
    <x v="0"/>
    <m/>
    <n v="0"/>
    <m/>
    <x v="0"/>
    <m/>
    <m/>
    <n v="13126700"/>
  </r>
  <r>
    <n v="551"/>
    <m/>
    <x v="0"/>
    <m/>
    <x v="0"/>
    <m/>
    <n v="0"/>
    <m/>
    <x v="0"/>
    <m/>
    <m/>
    <n v="13126700"/>
  </r>
  <r>
    <n v="552"/>
    <m/>
    <x v="0"/>
    <m/>
    <x v="0"/>
    <m/>
    <n v="0"/>
    <m/>
    <x v="0"/>
    <m/>
    <m/>
    <n v="13126700"/>
  </r>
  <r>
    <n v="553"/>
    <m/>
    <x v="0"/>
    <m/>
    <x v="0"/>
    <m/>
    <n v="0"/>
    <m/>
    <x v="0"/>
    <m/>
    <m/>
    <n v="13126700"/>
  </r>
  <r>
    <n v="554"/>
    <m/>
    <x v="0"/>
    <m/>
    <x v="0"/>
    <m/>
    <n v="0"/>
    <m/>
    <x v="0"/>
    <m/>
    <m/>
    <n v="13126700"/>
  </r>
  <r>
    <n v="555"/>
    <m/>
    <x v="0"/>
    <m/>
    <x v="0"/>
    <m/>
    <n v="0"/>
    <m/>
    <x v="0"/>
    <m/>
    <m/>
    <n v="13126700"/>
  </r>
  <r>
    <n v="556"/>
    <m/>
    <x v="0"/>
    <m/>
    <x v="0"/>
    <m/>
    <n v="0"/>
    <m/>
    <x v="0"/>
    <m/>
    <m/>
    <n v="13126700"/>
  </r>
  <r>
    <n v="557"/>
    <m/>
    <x v="0"/>
    <m/>
    <x v="0"/>
    <m/>
    <n v="0"/>
    <m/>
    <x v="0"/>
    <m/>
    <m/>
    <n v="13126700"/>
  </r>
  <r>
    <n v="558"/>
    <m/>
    <x v="0"/>
    <m/>
    <x v="0"/>
    <m/>
    <n v="0"/>
    <m/>
    <x v="0"/>
    <m/>
    <m/>
    <n v="13126700"/>
  </r>
  <r>
    <n v="559"/>
    <m/>
    <x v="0"/>
    <m/>
    <x v="0"/>
    <m/>
    <n v="0"/>
    <m/>
    <x v="0"/>
    <m/>
    <m/>
    <n v="13126700"/>
  </r>
  <r>
    <n v="560"/>
    <m/>
    <x v="0"/>
    <m/>
    <x v="0"/>
    <m/>
    <n v="0"/>
    <m/>
    <x v="0"/>
    <m/>
    <m/>
    <n v="13126700"/>
  </r>
  <r>
    <n v="561"/>
    <m/>
    <x v="0"/>
    <m/>
    <x v="0"/>
    <m/>
    <n v="0"/>
    <m/>
    <x v="0"/>
    <m/>
    <m/>
    <n v="13126700"/>
  </r>
  <r>
    <n v="562"/>
    <m/>
    <x v="0"/>
    <m/>
    <x v="0"/>
    <m/>
    <n v="0"/>
    <m/>
    <x v="0"/>
    <m/>
    <m/>
    <n v="13126700"/>
  </r>
  <r>
    <n v="563"/>
    <m/>
    <x v="0"/>
    <m/>
    <x v="0"/>
    <m/>
    <n v="0"/>
    <m/>
    <x v="0"/>
    <m/>
    <m/>
    <n v="13126700"/>
  </r>
  <r>
    <n v="564"/>
    <m/>
    <x v="0"/>
    <m/>
    <x v="0"/>
    <m/>
    <n v="0"/>
    <m/>
    <x v="0"/>
    <m/>
    <m/>
    <n v="13126700"/>
  </r>
  <r>
    <n v="565"/>
    <m/>
    <x v="0"/>
    <m/>
    <x v="0"/>
    <m/>
    <n v="0"/>
    <m/>
    <x v="0"/>
    <m/>
    <m/>
    <n v="13126700"/>
  </r>
  <r>
    <n v="566"/>
    <m/>
    <x v="0"/>
    <m/>
    <x v="0"/>
    <m/>
    <n v="0"/>
    <m/>
    <x v="0"/>
    <m/>
    <m/>
    <n v="13126700"/>
  </r>
  <r>
    <n v="567"/>
    <m/>
    <x v="0"/>
    <m/>
    <x v="0"/>
    <m/>
    <n v="0"/>
    <m/>
    <x v="0"/>
    <m/>
    <m/>
    <n v="13126700"/>
  </r>
  <r>
    <n v="568"/>
    <m/>
    <x v="0"/>
    <m/>
    <x v="0"/>
    <m/>
    <n v="0"/>
    <m/>
    <x v="0"/>
    <m/>
    <m/>
    <n v="13126700"/>
  </r>
  <r>
    <n v="569"/>
    <m/>
    <x v="0"/>
    <m/>
    <x v="0"/>
    <m/>
    <n v="0"/>
    <m/>
    <x v="0"/>
    <m/>
    <m/>
    <n v="13126700"/>
  </r>
  <r>
    <n v="570"/>
    <m/>
    <x v="0"/>
    <m/>
    <x v="0"/>
    <m/>
    <n v="0"/>
    <m/>
    <x v="0"/>
    <m/>
    <m/>
    <n v="13126700"/>
  </r>
  <r>
    <n v="571"/>
    <m/>
    <x v="0"/>
    <m/>
    <x v="0"/>
    <m/>
    <n v="0"/>
    <m/>
    <x v="0"/>
    <m/>
    <m/>
    <n v="13126700"/>
  </r>
  <r>
    <n v="572"/>
    <m/>
    <x v="0"/>
    <m/>
    <x v="0"/>
    <m/>
    <n v="0"/>
    <m/>
    <x v="0"/>
    <m/>
    <m/>
    <n v="13126700"/>
  </r>
  <r>
    <n v="573"/>
    <m/>
    <x v="0"/>
    <m/>
    <x v="0"/>
    <m/>
    <n v="0"/>
    <m/>
    <x v="0"/>
    <m/>
    <m/>
    <n v="13126700"/>
  </r>
  <r>
    <n v="574"/>
    <m/>
    <x v="0"/>
    <m/>
    <x v="0"/>
    <m/>
    <n v="0"/>
    <m/>
    <x v="0"/>
    <m/>
    <m/>
    <n v="13126700"/>
  </r>
  <r>
    <n v="575"/>
    <m/>
    <x v="0"/>
    <m/>
    <x v="0"/>
    <m/>
    <n v="0"/>
    <m/>
    <x v="0"/>
    <m/>
    <m/>
    <n v="13126700"/>
  </r>
  <r>
    <n v="576"/>
    <m/>
    <x v="0"/>
    <m/>
    <x v="0"/>
    <m/>
    <n v="0"/>
    <m/>
    <x v="0"/>
    <m/>
    <m/>
    <n v="13126700"/>
  </r>
  <r>
    <n v="577"/>
    <m/>
    <x v="0"/>
    <m/>
    <x v="0"/>
    <m/>
    <n v="0"/>
    <m/>
    <x v="0"/>
    <m/>
    <m/>
    <n v="13126700"/>
  </r>
  <r>
    <n v="578"/>
    <m/>
    <x v="0"/>
    <m/>
    <x v="0"/>
    <m/>
    <n v="0"/>
    <m/>
    <x v="0"/>
    <m/>
    <m/>
    <n v="13126700"/>
  </r>
  <r>
    <n v="579"/>
    <m/>
    <x v="0"/>
    <m/>
    <x v="0"/>
    <m/>
    <n v="0"/>
    <m/>
    <x v="0"/>
    <m/>
    <m/>
    <n v="13126700"/>
  </r>
  <r>
    <n v="580"/>
    <m/>
    <x v="0"/>
    <m/>
    <x v="0"/>
    <m/>
    <n v="0"/>
    <m/>
    <x v="0"/>
    <m/>
    <m/>
    <n v="13126700"/>
  </r>
  <r>
    <n v="581"/>
    <m/>
    <x v="0"/>
    <m/>
    <x v="0"/>
    <m/>
    <n v="0"/>
    <m/>
    <x v="0"/>
    <m/>
    <m/>
    <n v="13126700"/>
  </r>
  <r>
    <n v="582"/>
    <m/>
    <x v="0"/>
    <m/>
    <x v="0"/>
    <m/>
    <n v="0"/>
    <m/>
    <x v="0"/>
    <m/>
    <m/>
    <n v="13126700"/>
  </r>
  <r>
    <n v="583"/>
    <m/>
    <x v="0"/>
    <m/>
    <x v="0"/>
    <m/>
    <n v="0"/>
    <m/>
    <x v="0"/>
    <m/>
    <m/>
    <n v="13126700"/>
  </r>
  <r>
    <n v="584"/>
    <m/>
    <x v="0"/>
    <m/>
    <x v="0"/>
    <m/>
    <n v="0"/>
    <m/>
    <x v="0"/>
    <m/>
    <m/>
    <n v="13126700"/>
  </r>
  <r>
    <n v="585"/>
    <m/>
    <x v="0"/>
    <m/>
    <x v="0"/>
    <m/>
    <n v="0"/>
    <m/>
    <x v="0"/>
    <m/>
    <m/>
    <n v="13126700"/>
  </r>
  <r>
    <n v="586"/>
    <m/>
    <x v="0"/>
    <m/>
    <x v="0"/>
    <m/>
    <n v="0"/>
    <m/>
    <x v="0"/>
    <m/>
    <m/>
    <n v="13126700"/>
  </r>
  <r>
    <n v="587"/>
    <m/>
    <x v="0"/>
    <m/>
    <x v="0"/>
    <m/>
    <n v="0"/>
    <m/>
    <x v="0"/>
    <m/>
    <m/>
    <n v="13126700"/>
  </r>
  <r>
    <n v="588"/>
    <m/>
    <x v="0"/>
    <m/>
    <x v="0"/>
    <m/>
    <n v="0"/>
    <m/>
    <x v="0"/>
    <m/>
    <m/>
    <n v="13126700"/>
  </r>
  <r>
    <n v="589"/>
    <m/>
    <x v="0"/>
    <m/>
    <x v="0"/>
    <m/>
    <n v="0"/>
    <m/>
    <x v="0"/>
    <m/>
    <m/>
    <n v="13126700"/>
  </r>
  <r>
    <n v="590"/>
    <m/>
    <x v="0"/>
    <m/>
    <x v="0"/>
    <m/>
    <n v="0"/>
    <m/>
    <x v="0"/>
    <m/>
    <m/>
    <n v="13126700"/>
  </r>
  <r>
    <n v="591"/>
    <m/>
    <x v="0"/>
    <m/>
    <x v="0"/>
    <m/>
    <n v="0"/>
    <m/>
    <x v="0"/>
    <m/>
    <m/>
    <n v="13126700"/>
  </r>
  <r>
    <n v="592"/>
    <m/>
    <x v="0"/>
    <m/>
    <x v="0"/>
    <m/>
    <n v="0"/>
    <m/>
    <x v="0"/>
    <m/>
    <m/>
    <n v="13126700"/>
  </r>
  <r>
    <n v="593"/>
    <m/>
    <x v="0"/>
    <m/>
    <x v="0"/>
    <m/>
    <n v="0"/>
    <m/>
    <x v="0"/>
    <m/>
    <m/>
    <n v="13126700"/>
  </r>
  <r>
    <n v="594"/>
    <m/>
    <x v="0"/>
    <m/>
    <x v="0"/>
    <m/>
    <n v="0"/>
    <m/>
    <x v="0"/>
    <m/>
    <m/>
    <n v="13126700"/>
  </r>
  <r>
    <n v="595"/>
    <m/>
    <x v="0"/>
    <m/>
    <x v="0"/>
    <m/>
    <n v="0"/>
    <m/>
    <x v="0"/>
    <m/>
    <m/>
    <n v="13126700"/>
  </r>
  <r>
    <n v="596"/>
    <m/>
    <x v="0"/>
    <m/>
    <x v="0"/>
    <m/>
    <n v="0"/>
    <m/>
    <x v="0"/>
    <m/>
    <m/>
    <n v="13126700"/>
  </r>
  <r>
    <n v="597"/>
    <m/>
    <x v="0"/>
    <m/>
    <x v="0"/>
    <m/>
    <n v="0"/>
    <m/>
    <x v="0"/>
    <m/>
    <m/>
    <n v="13126700"/>
  </r>
  <r>
    <n v="598"/>
    <m/>
    <x v="0"/>
    <m/>
    <x v="0"/>
    <m/>
    <n v="0"/>
    <m/>
    <x v="0"/>
    <m/>
    <m/>
    <n v="13126700"/>
  </r>
  <r>
    <n v="599"/>
    <m/>
    <x v="0"/>
    <m/>
    <x v="0"/>
    <m/>
    <n v="0"/>
    <m/>
    <x v="0"/>
    <m/>
    <m/>
    <n v="13126700"/>
  </r>
  <r>
    <n v="600"/>
    <m/>
    <x v="0"/>
    <m/>
    <x v="0"/>
    <m/>
    <n v="0"/>
    <m/>
    <x v="0"/>
    <m/>
    <m/>
    <n v="13126700"/>
  </r>
  <r>
    <n v="601"/>
    <m/>
    <x v="0"/>
    <m/>
    <x v="0"/>
    <m/>
    <n v="0"/>
    <m/>
    <x v="0"/>
    <m/>
    <m/>
    <n v="13126700"/>
  </r>
  <r>
    <n v="602"/>
    <m/>
    <x v="0"/>
    <m/>
    <x v="0"/>
    <m/>
    <n v="0"/>
    <m/>
    <x v="0"/>
    <m/>
    <m/>
    <n v="13126700"/>
  </r>
  <r>
    <n v="603"/>
    <m/>
    <x v="0"/>
    <m/>
    <x v="0"/>
    <m/>
    <n v="0"/>
    <m/>
    <x v="0"/>
    <m/>
    <m/>
    <n v="13126700"/>
  </r>
  <r>
    <n v="604"/>
    <m/>
    <x v="0"/>
    <m/>
    <x v="0"/>
    <m/>
    <n v="0"/>
    <m/>
    <x v="0"/>
    <m/>
    <m/>
    <n v="13126700"/>
  </r>
  <r>
    <n v="605"/>
    <m/>
    <x v="0"/>
    <m/>
    <x v="0"/>
    <m/>
    <n v="0"/>
    <m/>
    <x v="0"/>
    <m/>
    <m/>
    <n v="13126700"/>
  </r>
  <r>
    <n v="606"/>
    <m/>
    <x v="0"/>
    <m/>
    <x v="0"/>
    <m/>
    <n v="0"/>
    <m/>
    <x v="0"/>
    <m/>
    <m/>
    <n v="13126700"/>
  </r>
  <r>
    <n v="607"/>
    <m/>
    <x v="0"/>
    <m/>
    <x v="0"/>
    <m/>
    <n v="0"/>
    <m/>
    <x v="0"/>
    <m/>
    <m/>
    <n v="13126700"/>
  </r>
  <r>
    <n v="608"/>
    <m/>
    <x v="0"/>
    <m/>
    <x v="0"/>
    <m/>
    <n v="0"/>
    <m/>
    <x v="0"/>
    <m/>
    <m/>
    <n v="13126700"/>
  </r>
  <r>
    <n v="609"/>
    <m/>
    <x v="0"/>
    <m/>
    <x v="0"/>
    <m/>
    <n v="0"/>
    <m/>
    <x v="0"/>
    <m/>
    <m/>
    <n v="13126700"/>
  </r>
  <r>
    <n v="610"/>
    <m/>
    <x v="0"/>
    <m/>
    <x v="0"/>
    <m/>
    <n v="0"/>
    <m/>
    <x v="0"/>
    <m/>
    <m/>
    <n v="13126700"/>
  </r>
  <r>
    <n v="611"/>
    <m/>
    <x v="0"/>
    <m/>
    <x v="0"/>
    <m/>
    <n v="0"/>
    <m/>
    <x v="0"/>
    <m/>
    <m/>
    <n v="13126700"/>
  </r>
  <r>
    <n v="612"/>
    <m/>
    <x v="0"/>
    <m/>
    <x v="0"/>
    <m/>
    <n v="0"/>
    <m/>
    <x v="0"/>
    <m/>
    <m/>
    <n v="13126700"/>
  </r>
  <r>
    <n v="613"/>
    <m/>
    <x v="0"/>
    <m/>
    <x v="0"/>
    <m/>
    <n v="0"/>
    <m/>
    <x v="0"/>
    <m/>
    <m/>
    <n v="13126700"/>
  </r>
  <r>
    <n v="614"/>
    <m/>
    <x v="0"/>
    <m/>
    <x v="0"/>
    <m/>
    <n v="0"/>
    <m/>
    <x v="0"/>
    <m/>
    <m/>
    <n v="13126700"/>
  </r>
  <r>
    <n v="615"/>
    <m/>
    <x v="0"/>
    <m/>
    <x v="0"/>
    <m/>
    <n v="0"/>
    <m/>
    <x v="0"/>
    <m/>
    <m/>
    <n v="13126700"/>
  </r>
  <r>
    <n v="616"/>
    <m/>
    <x v="0"/>
    <m/>
    <x v="0"/>
    <m/>
    <n v="0"/>
    <m/>
    <x v="0"/>
    <m/>
    <m/>
    <n v="13126700"/>
  </r>
  <r>
    <n v="617"/>
    <m/>
    <x v="0"/>
    <m/>
    <x v="0"/>
    <m/>
    <n v="0"/>
    <m/>
    <x v="0"/>
    <m/>
    <m/>
    <n v="13126700"/>
  </r>
  <r>
    <n v="618"/>
    <m/>
    <x v="0"/>
    <m/>
    <x v="0"/>
    <m/>
    <n v="0"/>
    <m/>
    <x v="0"/>
    <m/>
    <m/>
    <n v="13126700"/>
  </r>
  <r>
    <n v="619"/>
    <m/>
    <x v="0"/>
    <m/>
    <x v="0"/>
    <m/>
    <n v="0"/>
    <m/>
    <x v="0"/>
    <m/>
    <m/>
    <n v="13126700"/>
  </r>
  <r>
    <n v="620"/>
    <m/>
    <x v="0"/>
    <m/>
    <x v="0"/>
    <m/>
    <n v="0"/>
    <m/>
    <x v="0"/>
    <m/>
    <m/>
    <n v="13126700"/>
  </r>
  <r>
    <n v="621"/>
    <m/>
    <x v="0"/>
    <m/>
    <x v="0"/>
    <m/>
    <n v="0"/>
    <m/>
    <x v="0"/>
    <m/>
    <m/>
    <n v="13126700"/>
  </r>
  <r>
    <n v="622"/>
    <m/>
    <x v="0"/>
    <m/>
    <x v="0"/>
    <m/>
    <n v="0"/>
    <m/>
    <x v="0"/>
    <m/>
    <m/>
    <n v="13126700"/>
  </r>
  <r>
    <n v="623"/>
    <m/>
    <x v="0"/>
    <m/>
    <x v="0"/>
    <m/>
    <n v="0"/>
    <m/>
    <x v="0"/>
    <m/>
    <m/>
    <n v="13126700"/>
  </r>
  <r>
    <n v="624"/>
    <m/>
    <x v="0"/>
    <m/>
    <x v="0"/>
    <m/>
    <n v="0"/>
    <m/>
    <x v="0"/>
    <m/>
    <m/>
    <n v="13126700"/>
  </r>
  <r>
    <n v="625"/>
    <m/>
    <x v="0"/>
    <m/>
    <x v="0"/>
    <m/>
    <n v="0"/>
    <m/>
    <x v="0"/>
    <m/>
    <m/>
    <n v="13126700"/>
  </r>
  <r>
    <n v="626"/>
    <m/>
    <x v="0"/>
    <m/>
    <x v="0"/>
    <m/>
    <n v="0"/>
    <m/>
    <x v="0"/>
    <m/>
    <m/>
    <n v="13126700"/>
  </r>
  <r>
    <n v="627"/>
    <m/>
    <x v="0"/>
    <m/>
    <x v="0"/>
    <m/>
    <n v="0"/>
    <m/>
    <x v="0"/>
    <m/>
    <m/>
    <n v="13126700"/>
  </r>
  <r>
    <n v="628"/>
    <m/>
    <x v="0"/>
    <m/>
    <x v="0"/>
    <m/>
    <n v="0"/>
    <m/>
    <x v="0"/>
    <m/>
    <m/>
    <n v="13126700"/>
  </r>
  <r>
    <n v="629"/>
    <m/>
    <x v="0"/>
    <m/>
    <x v="0"/>
    <m/>
    <n v="0"/>
    <m/>
    <x v="0"/>
    <m/>
    <m/>
    <n v="13126700"/>
  </r>
  <r>
    <n v="630"/>
    <m/>
    <x v="0"/>
    <m/>
    <x v="0"/>
    <m/>
    <n v="0"/>
    <m/>
    <x v="0"/>
    <m/>
    <m/>
    <n v="13126700"/>
  </r>
  <r>
    <n v="631"/>
    <m/>
    <x v="0"/>
    <m/>
    <x v="0"/>
    <m/>
    <n v="0"/>
    <m/>
    <x v="0"/>
    <m/>
    <m/>
    <n v="13126700"/>
  </r>
  <r>
    <n v="632"/>
    <m/>
    <x v="0"/>
    <m/>
    <x v="0"/>
    <m/>
    <n v="0"/>
    <m/>
    <x v="0"/>
    <m/>
    <m/>
    <n v="13126700"/>
  </r>
  <r>
    <n v="633"/>
    <m/>
    <x v="0"/>
    <m/>
    <x v="0"/>
    <m/>
    <n v="0"/>
    <m/>
    <x v="0"/>
    <m/>
    <m/>
    <n v="13126700"/>
  </r>
  <r>
    <n v="634"/>
    <m/>
    <x v="0"/>
    <m/>
    <x v="0"/>
    <m/>
    <n v="0"/>
    <m/>
    <x v="0"/>
    <m/>
    <m/>
    <n v="13126700"/>
  </r>
  <r>
    <n v="635"/>
    <m/>
    <x v="0"/>
    <m/>
    <x v="0"/>
    <m/>
    <n v="0"/>
    <m/>
    <x v="0"/>
    <m/>
    <m/>
    <n v="13126700"/>
  </r>
  <r>
    <n v="636"/>
    <m/>
    <x v="0"/>
    <m/>
    <x v="0"/>
    <m/>
    <n v="0"/>
    <m/>
    <x v="0"/>
    <m/>
    <m/>
    <n v="13126700"/>
  </r>
  <r>
    <n v="637"/>
    <m/>
    <x v="0"/>
    <m/>
    <x v="0"/>
    <m/>
    <n v="0"/>
    <m/>
    <x v="0"/>
    <m/>
    <m/>
    <n v="13126700"/>
  </r>
  <r>
    <n v="638"/>
    <m/>
    <x v="0"/>
    <m/>
    <x v="0"/>
    <m/>
    <n v="0"/>
    <m/>
    <x v="0"/>
    <m/>
    <m/>
    <n v="13126700"/>
  </r>
  <r>
    <n v="639"/>
    <m/>
    <x v="0"/>
    <m/>
    <x v="0"/>
    <m/>
    <n v="0"/>
    <m/>
    <x v="0"/>
    <m/>
    <m/>
    <n v="13126700"/>
  </r>
  <r>
    <n v="640"/>
    <m/>
    <x v="0"/>
    <m/>
    <x v="0"/>
    <m/>
    <n v="0"/>
    <m/>
    <x v="0"/>
    <m/>
    <m/>
    <n v="13126700"/>
  </r>
  <r>
    <n v="641"/>
    <m/>
    <x v="0"/>
    <m/>
    <x v="0"/>
    <m/>
    <n v="0"/>
    <m/>
    <x v="0"/>
    <m/>
    <m/>
    <n v="13126700"/>
  </r>
  <r>
    <n v="642"/>
    <m/>
    <x v="0"/>
    <m/>
    <x v="0"/>
    <m/>
    <n v="0"/>
    <m/>
    <x v="0"/>
    <m/>
    <m/>
    <n v="13126700"/>
  </r>
  <r>
    <n v="643"/>
    <m/>
    <x v="0"/>
    <m/>
    <x v="0"/>
    <m/>
    <n v="0"/>
    <m/>
    <x v="0"/>
    <m/>
    <m/>
    <n v="13126700"/>
  </r>
  <r>
    <n v="644"/>
    <m/>
    <x v="0"/>
    <m/>
    <x v="0"/>
    <m/>
    <n v="0"/>
    <m/>
    <x v="0"/>
    <m/>
    <m/>
    <n v="13126700"/>
  </r>
  <r>
    <n v="645"/>
    <m/>
    <x v="0"/>
    <m/>
    <x v="0"/>
    <m/>
    <n v="0"/>
    <m/>
    <x v="0"/>
    <m/>
    <m/>
    <n v="13126700"/>
  </r>
  <r>
    <n v="646"/>
    <m/>
    <x v="0"/>
    <m/>
    <x v="0"/>
    <m/>
    <n v="0"/>
    <m/>
    <x v="0"/>
    <m/>
    <m/>
    <n v="13126700"/>
  </r>
  <r>
    <n v="647"/>
    <m/>
    <x v="0"/>
    <m/>
    <x v="0"/>
    <m/>
    <n v="0"/>
    <m/>
    <x v="0"/>
    <m/>
    <m/>
    <n v="13126700"/>
  </r>
  <r>
    <n v="648"/>
    <m/>
    <x v="0"/>
    <m/>
    <x v="0"/>
    <m/>
    <n v="0"/>
    <m/>
    <x v="0"/>
    <m/>
    <m/>
    <n v="13126700"/>
  </r>
  <r>
    <n v="649"/>
    <m/>
    <x v="0"/>
    <m/>
    <x v="0"/>
    <m/>
    <n v="0"/>
    <m/>
    <x v="0"/>
    <m/>
    <m/>
    <n v="13126700"/>
  </r>
  <r>
    <n v="650"/>
    <m/>
    <x v="0"/>
    <m/>
    <x v="0"/>
    <m/>
    <n v="0"/>
    <m/>
    <x v="0"/>
    <m/>
    <m/>
    <n v="13126700"/>
  </r>
  <r>
    <n v="651"/>
    <m/>
    <x v="0"/>
    <m/>
    <x v="0"/>
    <m/>
    <n v="0"/>
    <m/>
    <x v="0"/>
    <m/>
    <m/>
    <n v="13126700"/>
  </r>
  <r>
    <n v="652"/>
    <m/>
    <x v="0"/>
    <m/>
    <x v="0"/>
    <m/>
    <n v="0"/>
    <m/>
    <x v="0"/>
    <m/>
    <m/>
    <n v="13126700"/>
  </r>
  <r>
    <n v="653"/>
    <m/>
    <x v="0"/>
    <m/>
    <x v="0"/>
    <m/>
    <n v="0"/>
    <m/>
    <x v="0"/>
    <m/>
    <m/>
    <n v="13126700"/>
  </r>
  <r>
    <n v="654"/>
    <m/>
    <x v="0"/>
    <m/>
    <x v="0"/>
    <m/>
    <n v="0"/>
    <m/>
    <x v="0"/>
    <m/>
    <m/>
    <n v="13126700"/>
  </r>
  <r>
    <n v="655"/>
    <m/>
    <x v="0"/>
    <m/>
    <x v="0"/>
    <m/>
    <n v="0"/>
    <m/>
    <x v="0"/>
    <m/>
    <m/>
    <n v="13126700"/>
  </r>
  <r>
    <n v="656"/>
    <m/>
    <x v="0"/>
    <m/>
    <x v="0"/>
    <m/>
    <n v="0"/>
    <m/>
    <x v="0"/>
    <m/>
    <m/>
    <n v="13126700"/>
  </r>
  <r>
    <n v="657"/>
    <m/>
    <x v="0"/>
    <m/>
    <x v="0"/>
    <m/>
    <n v="0"/>
    <m/>
    <x v="0"/>
    <m/>
    <m/>
    <n v="13126700"/>
  </r>
  <r>
    <n v="658"/>
    <m/>
    <x v="0"/>
    <m/>
    <x v="0"/>
    <m/>
    <n v="0"/>
    <m/>
    <x v="0"/>
    <m/>
    <m/>
    <n v="13126700"/>
  </r>
  <r>
    <n v="659"/>
    <m/>
    <x v="0"/>
    <m/>
    <x v="0"/>
    <m/>
    <n v="0"/>
    <m/>
    <x v="0"/>
    <m/>
    <m/>
    <n v="13126700"/>
  </r>
  <r>
    <n v="660"/>
    <m/>
    <x v="0"/>
    <m/>
    <x v="0"/>
    <m/>
    <n v="0"/>
    <m/>
    <x v="0"/>
    <m/>
    <m/>
    <n v="13126700"/>
  </r>
  <r>
    <n v="661"/>
    <m/>
    <x v="0"/>
    <m/>
    <x v="0"/>
    <m/>
    <n v="0"/>
    <m/>
    <x v="0"/>
    <m/>
    <m/>
    <n v="13126700"/>
  </r>
  <r>
    <n v="662"/>
    <m/>
    <x v="0"/>
    <m/>
    <x v="0"/>
    <m/>
    <n v="0"/>
    <m/>
    <x v="0"/>
    <m/>
    <m/>
    <n v="13126700"/>
  </r>
  <r>
    <n v="663"/>
    <m/>
    <x v="0"/>
    <m/>
    <x v="0"/>
    <m/>
    <n v="0"/>
    <m/>
    <x v="0"/>
    <m/>
    <m/>
    <n v="13126700"/>
  </r>
  <r>
    <n v="664"/>
    <m/>
    <x v="0"/>
    <m/>
    <x v="0"/>
    <m/>
    <n v="0"/>
    <m/>
    <x v="0"/>
    <m/>
    <m/>
    <n v="13126700"/>
  </r>
  <r>
    <n v="665"/>
    <m/>
    <x v="0"/>
    <m/>
    <x v="0"/>
    <m/>
    <n v="0"/>
    <m/>
    <x v="0"/>
    <m/>
    <m/>
    <n v="13126700"/>
  </r>
  <r>
    <n v="666"/>
    <m/>
    <x v="0"/>
    <m/>
    <x v="0"/>
    <m/>
    <n v="0"/>
    <m/>
    <x v="0"/>
    <m/>
    <m/>
    <n v="13126700"/>
  </r>
  <r>
    <n v="667"/>
    <m/>
    <x v="0"/>
    <m/>
    <x v="0"/>
    <m/>
    <n v="0"/>
    <m/>
    <x v="0"/>
    <m/>
    <m/>
    <n v="13126700"/>
  </r>
  <r>
    <n v="668"/>
    <m/>
    <x v="0"/>
    <m/>
    <x v="0"/>
    <m/>
    <n v="0"/>
    <m/>
    <x v="0"/>
    <m/>
    <m/>
    <n v="13126700"/>
  </r>
  <r>
    <n v="669"/>
    <m/>
    <x v="0"/>
    <m/>
    <x v="0"/>
    <m/>
    <n v="0"/>
    <m/>
    <x v="0"/>
    <m/>
    <m/>
    <n v="13126700"/>
  </r>
  <r>
    <n v="670"/>
    <m/>
    <x v="0"/>
    <m/>
    <x v="0"/>
    <m/>
    <n v="0"/>
    <m/>
    <x v="0"/>
    <m/>
    <m/>
    <n v="13126700"/>
  </r>
  <r>
    <n v="671"/>
    <m/>
    <x v="0"/>
    <m/>
    <x v="0"/>
    <m/>
    <n v="0"/>
    <m/>
    <x v="0"/>
    <m/>
    <m/>
    <n v="13126700"/>
  </r>
  <r>
    <n v="672"/>
    <m/>
    <x v="0"/>
    <m/>
    <x v="0"/>
    <m/>
    <n v="0"/>
    <m/>
    <x v="0"/>
    <m/>
    <m/>
    <n v="13126700"/>
  </r>
  <r>
    <n v="673"/>
    <m/>
    <x v="0"/>
    <m/>
    <x v="0"/>
    <m/>
    <n v="0"/>
    <m/>
    <x v="0"/>
    <m/>
    <m/>
    <n v="13126700"/>
  </r>
  <r>
    <n v="674"/>
    <m/>
    <x v="0"/>
    <m/>
    <x v="0"/>
    <m/>
    <n v="0"/>
    <m/>
    <x v="0"/>
    <m/>
    <m/>
    <n v="13126700"/>
  </r>
  <r>
    <n v="675"/>
    <m/>
    <x v="0"/>
    <m/>
    <x v="0"/>
    <m/>
    <n v="0"/>
    <m/>
    <x v="0"/>
    <m/>
    <m/>
    <n v="13126700"/>
  </r>
  <r>
    <n v="676"/>
    <m/>
    <x v="0"/>
    <m/>
    <x v="0"/>
    <m/>
    <n v="0"/>
    <m/>
    <x v="0"/>
    <m/>
    <m/>
    <n v="13126700"/>
  </r>
  <r>
    <n v="677"/>
    <m/>
    <x v="0"/>
    <m/>
    <x v="0"/>
    <m/>
    <n v="0"/>
    <m/>
    <x v="0"/>
    <m/>
    <m/>
    <n v="13126700"/>
  </r>
  <r>
    <n v="678"/>
    <m/>
    <x v="0"/>
    <m/>
    <x v="0"/>
    <m/>
    <n v="0"/>
    <m/>
    <x v="0"/>
    <m/>
    <m/>
    <n v="13126700"/>
  </r>
  <r>
    <n v="679"/>
    <m/>
    <x v="0"/>
    <m/>
    <x v="0"/>
    <m/>
    <n v="0"/>
    <m/>
    <x v="0"/>
    <m/>
    <m/>
    <n v="13126700"/>
  </r>
  <r>
    <n v="680"/>
    <m/>
    <x v="0"/>
    <m/>
    <x v="0"/>
    <m/>
    <n v="0"/>
    <m/>
    <x v="0"/>
    <m/>
    <m/>
    <n v="13126700"/>
  </r>
  <r>
    <n v="681"/>
    <m/>
    <x v="0"/>
    <m/>
    <x v="0"/>
    <m/>
    <n v="0"/>
    <m/>
    <x v="0"/>
    <m/>
    <m/>
    <n v="13126700"/>
  </r>
  <r>
    <n v="682"/>
    <m/>
    <x v="0"/>
    <m/>
    <x v="0"/>
    <m/>
    <n v="0"/>
    <m/>
    <x v="0"/>
    <m/>
    <m/>
    <n v="13126700"/>
  </r>
  <r>
    <n v="683"/>
    <m/>
    <x v="0"/>
    <m/>
    <x v="0"/>
    <m/>
    <n v="0"/>
    <m/>
    <x v="0"/>
    <m/>
    <m/>
    <n v="13126700"/>
  </r>
  <r>
    <n v="684"/>
    <m/>
    <x v="0"/>
    <m/>
    <x v="0"/>
    <m/>
    <n v="0"/>
    <m/>
    <x v="0"/>
    <m/>
    <m/>
    <n v="13126700"/>
  </r>
  <r>
    <n v="685"/>
    <m/>
    <x v="0"/>
    <m/>
    <x v="0"/>
    <m/>
    <n v="0"/>
    <m/>
    <x v="0"/>
    <m/>
    <m/>
    <n v="13126700"/>
  </r>
  <r>
    <n v="686"/>
    <m/>
    <x v="0"/>
    <m/>
    <x v="0"/>
    <m/>
    <n v="0"/>
    <m/>
    <x v="0"/>
    <m/>
    <m/>
    <n v="13126700"/>
  </r>
  <r>
    <n v="687"/>
    <m/>
    <x v="0"/>
    <m/>
    <x v="0"/>
    <m/>
    <n v="0"/>
    <m/>
    <x v="0"/>
    <m/>
    <m/>
    <n v="13126700"/>
  </r>
  <r>
    <n v="688"/>
    <m/>
    <x v="0"/>
    <m/>
    <x v="0"/>
    <m/>
    <n v="0"/>
    <m/>
    <x v="0"/>
    <m/>
    <m/>
    <n v="13126700"/>
  </r>
  <r>
    <n v="689"/>
    <m/>
    <x v="0"/>
    <m/>
    <x v="0"/>
    <m/>
    <n v="0"/>
    <m/>
    <x v="0"/>
    <m/>
    <m/>
    <n v="13126700"/>
  </r>
  <r>
    <n v="690"/>
    <m/>
    <x v="0"/>
    <m/>
    <x v="0"/>
    <m/>
    <n v="0"/>
    <m/>
    <x v="0"/>
    <m/>
    <m/>
    <n v="13126700"/>
  </r>
  <r>
    <n v="691"/>
    <m/>
    <x v="0"/>
    <m/>
    <x v="0"/>
    <m/>
    <n v="0"/>
    <m/>
    <x v="0"/>
    <m/>
    <m/>
    <n v="13126700"/>
  </r>
  <r>
    <n v="692"/>
    <m/>
    <x v="0"/>
    <m/>
    <x v="0"/>
    <m/>
    <n v="0"/>
    <m/>
    <x v="0"/>
    <m/>
    <m/>
    <n v="13126700"/>
  </r>
  <r>
    <n v="693"/>
    <m/>
    <x v="0"/>
    <m/>
    <x v="0"/>
    <m/>
    <n v="0"/>
    <m/>
    <x v="0"/>
    <m/>
    <m/>
    <n v="13126700"/>
  </r>
  <r>
    <n v="694"/>
    <m/>
    <x v="0"/>
    <m/>
    <x v="0"/>
    <m/>
    <n v="0"/>
    <m/>
    <x v="0"/>
    <m/>
    <m/>
    <n v="13126700"/>
  </r>
  <r>
    <n v="695"/>
    <m/>
    <x v="0"/>
    <m/>
    <x v="0"/>
    <m/>
    <n v="0"/>
    <m/>
    <x v="0"/>
    <m/>
    <m/>
    <n v="13126700"/>
  </r>
  <r>
    <n v="696"/>
    <m/>
    <x v="0"/>
    <m/>
    <x v="0"/>
    <m/>
    <n v="0"/>
    <m/>
    <x v="0"/>
    <m/>
    <m/>
    <n v="13126700"/>
  </r>
  <r>
    <n v="697"/>
    <m/>
    <x v="0"/>
    <m/>
    <x v="0"/>
    <m/>
    <n v="0"/>
    <m/>
    <x v="0"/>
    <m/>
    <m/>
    <n v="13126700"/>
  </r>
  <r>
    <n v="698"/>
    <m/>
    <x v="0"/>
    <m/>
    <x v="0"/>
    <m/>
    <n v="0"/>
    <m/>
    <x v="0"/>
    <m/>
    <m/>
    <n v="13126700"/>
  </r>
  <r>
    <n v="699"/>
    <m/>
    <x v="0"/>
    <m/>
    <x v="0"/>
    <m/>
    <n v="0"/>
    <m/>
    <x v="0"/>
    <m/>
    <m/>
    <n v="13126700"/>
  </r>
  <r>
    <n v="700"/>
    <m/>
    <x v="0"/>
    <m/>
    <x v="0"/>
    <m/>
    <n v="0"/>
    <m/>
    <x v="0"/>
    <m/>
    <m/>
    <n v="13126700"/>
  </r>
  <r>
    <n v="701"/>
    <m/>
    <x v="0"/>
    <m/>
    <x v="0"/>
    <m/>
    <n v="0"/>
    <m/>
    <x v="0"/>
    <m/>
    <m/>
    <n v="13126700"/>
  </r>
  <r>
    <n v="702"/>
    <m/>
    <x v="0"/>
    <m/>
    <x v="0"/>
    <m/>
    <n v="0"/>
    <m/>
    <x v="0"/>
    <m/>
    <m/>
    <n v="13126700"/>
  </r>
  <r>
    <n v="703"/>
    <m/>
    <x v="0"/>
    <m/>
    <x v="0"/>
    <m/>
    <n v="0"/>
    <m/>
    <x v="0"/>
    <m/>
    <m/>
    <n v="13126700"/>
  </r>
  <r>
    <n v="704"/>
    <m/>
    <x v="0"/>
    <m/>
    <x v="0"/>
    <m/>
    <n v="0"/>
    <m/>
    <x v="0"/>
    <m/>
    <m/>
    <n v="13126700"/>
  </r>
  <r>
    <n v="705"/>
    <m/>
    <x v="0"/>
    <m/>
    <x v="0"/>
    <m/>
    <n v="0"/>
    <m/>
    <x v="0"/>
    <m/>
    <m/>
    <n v="13126700"/>
  </r>
  <r>
    <n v="706"/>
    <m/>
    <x v="0"/>
    <m/>
    <x v="0"/>
    <m/>
    <n v="0"/>
    <m/>
    <x v="0"/>
    <m/>
    <m/>
    <n v="13126700"/>
  </r>
  <r>
    <n v="707"/>
    <m/>
    <x v="0"/>
    <m/>
    <x v="0"/>
    <m/>
    <n v="0"/>
    <m/>
    <x v="0"/>
    <m/>
    <m/>
    <n v="13126700"/>
  </r>
  <r>
    <n v="708"/>
    <m/>
    <x v="0"/>
    <m/>
    <x v="0"/>
    <m/>
    <n v="0"/>
    <m/>
    <x v="0"/>
    <m/>
    <m/>
    <n v="13126700"/>
  </r>
  <r>
    <n v="709"/>
    <m/>
    <x v="0"/>
    <m/>
    <x v="0"/>
    <m/>
    <n v="0"/>
    <m/>
    <x v="0"/>
    <m/>
    <m/>
    <n v="13126700"/>
  </r>
  <r>
    <n v="710"/>
    <m/>
    <x v="0"/>
    <m/>
    <x v="0"/>
    <m/>
    <n v="0"/>
    <m/>
    <x v="0"/>
    <m/>
    <m/>
    <n v="13126700"/>
  </r>
  <r>
    <n v="711"/>
    <m/>
    <x v="0"/>
    <m/>
    <x v="0"/>
    <m/>
    <n v="0"/>
    <m/>
    <x v="0"/>
    <m/>
    <m/>
    <n v="13126700"/>
  </r>
  <r>
    <n v="712"/>
    <m/>
    <x v="0"/>
    <m/>
    <x v="0"/>
    <m/>
    <n v="0"/>
    <m/>
    <x v="0"/>
    <m/>
    <m/>
    <n v="13126700"/>
  </r>
  <r>
    <n v="713"/>
    <m/>
    <x v="0"/>
    <m/>
    <x v="0"/>
    <m/>
    <n v="0"/>
    <m/>
    <x v="0"/>
    <m/>
    <m/>
    <n v="13126700"/>
  </r>
  <r>
    <n v="714"/>
    <m/>
    <x v="0"/>
    <m/>
    <x v="0"/>
    <m/>
    <n v="0"/>
    <m/>
    <x v="0"/>
    <m/>
    <m/>
    <n v="13126700"/>
  </r>
  <r>
    <n v="715"/>
    <m/>
    <x v="0"/>
    <m/>
    <x v="0"/>
    <m/>
    <n v="0"/>
    <m/>
    <x v="0"/>
    <m/>
    <m/>
    <n v="13126700"/>
  </r>
  <r>
    <n v="716"/>
    <m/>
    <x v="0"/>
    <m/>
    <x v="0"/>
    <m/>
    <n v="0"/>
    <m/>
    <x v="0"/>
    <m/>
    <m/>
    <n v="13126700"/>
  </r>
  <r>
    <n v="717"/>
    <m/>
    <x v="0"/>
    <m/>
    <x v="0"/>
    <m/>
    <n v="0"/>
    <m/>
    <x v="0"/>
    <m/>
    <m/>
    <n v="13126700"/>
  </r>
  <r>
    <n v="718"/>
    <m/>
    <x v="0"/>
    <m/>
    <x v="0"/>
    <m/>
    <n v="0"/>
    <m/>
    <x v="0"/>
    <m/>
    <m/>
    <n v="13126700"/>
  </r>
  <r>
    <n v="719"/>
    <m/>
    <x v="0"/>
    <m/>
    <x v="0"/>
    <m/>
    <n v="0"/>
    <m/>
    <x v="0"/>
    <m/>
    <m/>
    <n v="13126700"/>
  </r>
  <r>
    <n v="720"/>
    <m/>
    <x v="0"/>
    <m/>
    <x v="0"/>
    <m/>
    <n v="0"/>
    <m/>
    <x v="0"/>
    <m/>
    <m/>
    <n v="13126700"/>
  </r>
  <r>
    <n v="721"/>
    <m/>
    <x v="0"/>
    <m/>
    <x v="0"/>
    <m/>
    <n v="0"/>
    <m/>
    <x v="0"/>
    <m/>
    <m/>
    <n v="13126700"/>
  </r>
  <r>
    <n v="722"/>
    <m/>
    <x v="0"/>
    <m/>
    <x v="0"/>
    <m/>
    <n v="0"/>
    <m/>
    <x v="0"/>
    <m/>
    <m/>
    <n v="13126700"/>
  </r>
  <r>
    <n v="723"/>
    <m/>
    <x v="0"/>
    <m/>
    <x v="0"/>
    <m/>
    <n v="0"/>
    <m/>
    <x v="0"/>
    <m/>
    <m/>
    <n v="13126700"/>
  </r>
  <r>
    <n v="724"/>
    <m/>
    <x v="0"/>
    <m/>
    <x v="0"/>
    <m/>
    <n v="0"/>
    <m/>
    <x v="0"/>
    <m/>
    <m/>
    <n v="13126700"/>
  </r>
  <r>
    <n v="725"/>
    <m/>
    <x v="0"/>
    <m/>
    <x v="0"/>
    <m/>
    <n v="0"/>
    <m/>
    <x v="0"/>
    <m/>
    <m/>
    <n v="13126700"/>
  </r>
  <r>
    <n v="726"/>
    <m/>
    <x v="0"/>
    <m/>
    <x v="0"/>
    <m/>
    <n v="0"/>
    <m/>
    <x v="0"/>
    <m/>
    <m/>
    <n v="13126700"/>
  </r>
  <r>
    <n v="727"/>
    <m/>
    <x v="0"/>
    <m/>
    <x v="0"/>
    <m/>
    <n v="0"/>
    <m/>
    <x v="0"/>
    <m/>
    <m/>
    <n v="13126700"/>
  </r>
  <r>
    <n v="728"/>
    <m/>
    <x v="0"/>
    <m/>
    <x v="0"/>
    <m/>
    <n v="0"/>
    <m/>
    <x v="0"/>
    <m/>
    <m/>
    <n v="13126700"/>
  </r>
  <r>
    <n v="729"/>
    <m/>
    <x v="0"/>
    <m/>
    <x v="0"/>
    <m/>
    <n v="0"/>
    <m/>
    <x v="0"/>
    <m/>
    <m/>
    <n v="13126700"/>
  </r>
  <r>
    <n v="730"/>
    <m/>
    <x v="0"/>
    <m/>
    <x v="0"/>
    <m/>
    <n v="0"/>
    <m/>
    <x v="0"/>
    <m/>
    <m/>
    <n v="13126700"/>
  </r>
  <r>
    <n v="731"/>
    <m/>
    <x v="0"/>
    <m/>
    <x v="0"/>
    <m/>
    <n v="0"/>
    <m/>
    <x v="0"/>
    <m/>
    <m/>
    <n v="13126700"/>
  </r>
  <r>
    <n v="732"/>
    <m/>
    <x v="0"/>
    <m/>
    <x v="0"/>
    <m/>
    <n v="0"/>
    <m/>
    <x v="0"/>
    <m/>
    <m/>
    <n v="13126700"/>
  </r>
  <r>
    <n v="733"/>
    <m/>
    <x v="0"/>
    <m/>
    <x v="0"/>
    <m/>
    <n v="0"/>
    <m/>
    <x v="0"/>
    <m/>
    <m/>
    <n v="13126700"/>
  </r>
  <r>
    <n v="734"/>
    <m/>
    <x v="0"/>
    <m/>
    <x v="0"/>
    <m/>
    <n v="0"/>
    <m/>
    <x v="0"/>
    <m/>
    <m/>
    <n v="13126700"/>
  </r>
  <r>
    <n v="735"/>
    <m/>
    <x v="0"/>
    <m/>
    <x v="0"/>
    <m/>
    <n v="0"/>
    <m/>
    <x v="0"/>
    <m/>
    <m/>
    <n v="13126700"/>
  </r>
  <r>
    <n v="736"/>
    <m/>
    <x v="0"/>
    <m/>
    <x v="0"/>
    <m/>
    <n v="0"/>
    <m/>
    <x v="0"/>
    <m/>
    <m/>
    <n v="13126700"/>
  </r>
  <r>
    <n v="737"/>
    <m/>
    <x v="0"/>
    <m/>
    <x v="0"/>
    <m/>
    <n v="0"/>
    <m/>
    <x v="0"/>
    <m/>
    <m/>
    <n v="13126700"/>
  </r>
  <r>
    <n v="738"/>
    <m/>
    <x v="0"/>
    <m/>
    <x v="0"/>
    <m/>
    <n v="0"/>
    <m/>
    <x v="0"/>
    <m/>
    <m/>
    <n v="13126700"/>
  </r>
  <r>
    <n v="739"/>
    <m/>
    <x v="0"/>
    <m/>
    <x v="0"/>
    <m/>
    <n v="0"/>
    <m/>
    <x v="0"/>
    <m/>
    <m/>
    <n v="13126700"/>
  </r>
  <r>
    <n v="740"/>
    <m/>
    <x v="0"/>
    <m/>
    <x v="0"/>
    <m/>
    <n v="0"/>
    <m/>
    <x v="0"/>
    <m/>
    <m/>
    <n v="13126700"/>
  </r>
  <r>
    <n v="741"/>
    <m/>
    <x v="0"/>
    <m/>
    <x v="0"/>
    <m/>
    <n v="0"/>
    <m/>
    <x v="0"/>
    <m/>
    <m/>
    <n v="13126700"/>
  </r>
  <r>
    <n v="742"/>
    <m/>
    <x v="0"/>
    <m/>
    <x v="0"/>
    <m/>
    <n v="0"/>
    <m/>
    <x v="0"/>
    <m/>
    <m/>
    <n v="13126700"/>
  </r>
  <r>
    <n v="743"/>
    <m/>
    <x v="0"/>
    <m/>
    <x v="0"/>
    <m/>
    <n v="0"/>
    <m/>
    <x v="0"/>
    <m/>
    <m/>
    <n v="13126700"/>
  </r>
  <r>
    <n v="744"/>
    <m/>
    <x v="0"/>
    <m/>
    <x v="0"/>
    <m/>
    <n v="0"/>
    <m/>
    <x v="0"/>
    <m/>
    <m/>
    <n v="13126700"/>
  </r>
  <r>
    <n v="745"/>
    <m/>
    <x v="0"/>
    <m/>
    <x v="0"/>
    <m/>
    <n v="0"/>
    <m/>
    <x v="0"/>
    <m/>
    <m/>
    <n v="13126700"/>
  </r>
  <r>
    <n v="746"/>
    <m/>
    <x v="0"/>
    <m/>
    <x v="0"/>
    <m/>
    <n v="0"/>
    <m/>
    <x v="0"/>
    <m/>
    <m/>
    <n v="13126700"/>
  </r>
  <r>
    <n v="747"/>
    <m/>
    <x v="0"/>
    <m/>
    <x v="0"/>
    <m/>
    <n v="0"/>
    <m/>
    <x v="0"/>
    <m/>
    <m/>
    <n v="13126700"/>
  </r>
  <r>
    <n v="748"/>
    <m/>
    <x v="0"/>
    <m/>
    <x v="0"/>
    <m/>
    <n v="0"/>
    <m/>
    <x v="0"/>
    <m/>
    <m/>
    <n v="13126700"/>
  </r>
  <r>
    <n v="749"/>
    <m/>
    <x v="0"/>
    <m/>
    <x v="0"/>
    <m/>
    <n v="0"/>
    <m/>
    <x v="0"/>
    <m/>
    <m/>
    <n v="13126700"/>
  </r>
  <r>
    <n v="750"/>
    <m/>
    <x v="0"/>
    <m/>
    <x v="0"/>
    <m/>
    <n v="0"/>
    <m/>
    <x v="0"/>
    <m/>
    <m/>
    <n v="13126700"/>
  </r>
  <r>
    <n v="751"/>
    <m/>
    <x v="0"/>
    <m/>
    <x v="0"/>
    <m/>
    <n v="0"/>
    <m/>
    <x v="0"/>
    <m/>
    <m/>
    <n v="13126700"/>
  </r>
  <r>
    <n v="752"/>
    <m/>
    <x v="0"/>
    <m/>
    <x v="0"/>
    <m/>
    <n v="0"/>
    <m/>
    <x v="0"/>
    <m/>
    <m/>
    <n v="13126700"/>
  </r>
  <r>
    <n v="753"/>
    <m/>
    <x v="0"/>
    <m/>
    <x v="0"/>
    <m/>
    <n v="0"/>
    <m/>
    <x v="0"/>
    <m/>
    <m/>
    <n v="13126700"/>
  </r>
  <r>
    <n v="754"/>
    <m/>
    <x v="0"/>
    <m/>
    <x v="0"/>
    <m/>
    <n v="0"/>
    <m/>
    <x v="0"/>
    <m/>
    <m/>
    <n v="13126700"/>
  </r>
  <r>
    <n v="755"/>
    <m/>
    <x v="0"/>
    <m/>
    <x v="0"/>
    <m/>
    <n v="0"/>
    <m/>
    <x v="0"/>
    <m/>
    <m/>
    <n v="13126700"/>
  </r>
  <r>
    <n v="756"/>
    <m/>
    <x v="0"/>
    <m/>
    <x v="0"/>
    <m/>
    <n v="0"/>
    <m/>
    <x v="0"/>
    <m/>
    <m/>
    <n v="13126700"/>
  </r>
  <r>
    <n v="757"/>
    <m/>
    <x v="0"/>
    <m/>
    <x v="0"/>
    <m/>
    <n v="0"/>
    <m/>
    <x v="0"/>
    <m/>
    <m/>
    <n v="13126700"/>
  </r>
  <r>
    <n v="758"/>
    <m/>
    <x v="0"/>
    <m/>
    <x v="0"/>
    <m/>
    <n v="0"/>
    <m/>
    <x v="0"/>
    <m/>
    <m/>
    <n v="13126700"/>
  </r>
  <r>
    <n v="759"/>
    <m/>
    <x v="0"/>
    <m/>
    <x v="0"/>
    <m/>
    <n v="0"/>
    <m/>
    <x v="0"/>
    <m/>
    <m/>
    <n v="13126700"/>
  </r>
  <r>
    <n v="760"/>
    <m/>
    <x v="0"/>
    <m/>
    <x v="0"/>
    <m/>
    <n v="0"/>
    <m/>
    <x v="0"/>
    <m/>
    <m/>
    <n v="13126700"/>
  </r>
  <r>
    <n v="761"/>
    <m/>
    <x v="0"/>
    <m/>
    <x v="0"/>
    <m/>
    <n v="0"/>
    <m/>
    <x v="0"/>
    <m/>
    <m/>
    <n v="13126700"/>
  </r>
  <r>
    <n v="762"/>
    <m/>
    <x v="0"/>
    <m/>
    <x v="0"/>
    <m/>
    <n v="0"/>
    <m/>
    <x v="0"/>
    <m/>
    <m/>
    <n v="13126700"/>
  </r>
  <r>
    <n v="763"/>
    <m/>
    <x v="0"/>
    <m/>
    <x v="0"/>
    <m/>
    <n v="0"/>
    <m/>
    <x v="0"/>
    <m/>
    <m/>
    <n v="13126700"/>
  </r>
  <r>
    <n v="764"/>
    <m/>
    <x v="0"/>
    <m/>
    <x v="0"/>
    <m/>
    <n v="0"/>
    <m/>
    <x v="0"/>
    <m/>
    <m/>
    <n v="13126700"/>
  </r>
  <r>
    <n v="765"/>
    <m/>
    <x v="0"/>
    <m/>
    <x v="0"/>
    <m/>
    <n v="0"/>
    <m/>
    <x v="0"/>
    <m/>
    <m/>
    <n v="13126700"/>
  </r>
  <r>
    <n v="766"/>
    <m/>
    <x v="0"/>
    <m/>
    <x v="0"/>
    <m/>
    <n v="0"/>
    <m/>
    <x v="0"/>
    <m/>
    <m/>
    <n v="13126700"/>
  </r>
  <r>
    <n v="767"/>
    <m/>
    <x v="0"/>
    <m/>
    <x v="0"/>
    <m/>
    <n v="0"/>
    <m/>
    <x v="0"/>
    <m/>
    <m/>
    <n v="13126700"/>
  </r>
  <r>
    <n v="768"/>
    <m/>
    <x v="0"/>
    <m/>
    <x v="0"/>
    <m/>
    <n v="0"/>
    <m/>
    <x v="0"/>
    <m/>
    <m/>
    <n v="13126700"/>
  </r>
  <r>
    <n v="769"/>
    <m/>
    <x v="0"/>
    <m/>
    <x v="0"/>
    <m/>
    <n v="0"/>
    <m/>
    <x v="0"/>
    <m/>
    <m/>
    <n v="13126700"/>
  </r>
  <r>
    <n v="770"/>
    <m/>
    <x v="0"/>
    <m/>
    <x v="0"/>
    <m/>
    <n v="0"/>
    <m/>
    <x v="0"/>
    <m/>
    <m/>
    <n v="13126700"/>
  </r>
  <r>
    <n v="771"/>
    <m/>
    <x v="0"/>
    <m/>
    <x v="0"/>
    <m/>
    <n v="0"/>
    <m/>
    <x v="0"/>
    <m/>
    <m/>
    <n v="13126700"/>
  </r>
  <r>
    <n v="772"/>
    <m/>
    <x v="0"/>
    <m/>
    <x v="0"/>
    <m/>
    <n v="0"/>
    <m/>
    <x v="0"/>
    <m/>
    <m/>
    <n v="13126700"/>
  </r>
  <r>
    <n v="773"/>
    <m/>
    <x v="0"/>
    <m/>
    <x v="0"/>
    <m/>
    <n v="0"/>
    <m/>
    <x v="0"/>
    <m/>
    <m/>
    <n v="13126700"/>
  </r>
  <r>
    <n v="774"/>
    <m/>
    <x v="0"/>
    <m/>
    <x v="0"/>
    <m/>
    <n v="0"/>
    <m/>
    <x v="0"/>
    <m/>
    <m/>
    <n v="13126700"/>
  </r>
  <r>
    <n v="775"/>
    <m/>
    <x v="0"/>
    <m/>
    <x v="0"/>
    <m/>
    <n v="0"/>
    <m/>
    <x v="0"/>
    <m/>
    <m/>
    <n v="13126700"/>
  </r>
  <r>
    <n v="776"/>
    <m/>
    <x v="0"/>
    <m/>
    <x v="0"/>
    <m/>
    <n v="0"/>
    <m/>
    <x v="0"/>
    <m/>
    <m/>
    <n v="13126700"/>
  </r>
  <r>
    <n v="777"/>
    <m/>
    <x v="0"/>
    <m/>
    <x v="0"/>
    <m/>
    <n v="0"/>
    <m/>
    <x v="0"/>
    <m/>
    <m/>
    <n v="13126700"/>
  </r>
  <r>
    <n v="778"/>
    <m/>
    <x v="0"/>
    <m/>
    <x v="0"/>
    <m/>
    <n v="0"/>
    <m/>
    <x v="0"/>
    <m/>
    <m/>
    <n v="13126700"/>
  </r>
  <r>
    <n v="779"/>
    <m/>
    <x v="0"/>
    <m/>
    <x v="0"/>
    <m/>
    <n v="0"/>
    <m/>
    <x v="0"/>
    <m/>
    <m/>
    <n v="13126700"/>
  </r>
  <r>
    <n v="780"/>
    <m/>
    <x v="0"/>
    <m/>
    <x v="0"/>
    <m/>
    <n v="0"/>
    <m/>
    <x v="0"/>
    <m/>
    <m/>
    <n v="13126700"/>
  </r>
  <r>
    <n v="781"/>
    <m/>
    <x v="0"/>
    <m/>
    <x v="0"/>
    <m/>
    <n v="0"/>
    <m/>
    <x v="0"/>
    <m/>
    <m/>
    <n v="13126700"/>
  </r>
  <r>
    <n v="782"/>
    <m/>
    <x v="0"/>
    <m/>
    <x v="0"/>
    <m/>
    <n v="0"/>
    <m/>
    <x v="0"/>
    <m/>
    <m/>
    <n v="13126700"/>
  </r>
  <r>
    <n v="783"/>
    <m/>
    <x v="0"/>
    <m/>
    <x v="0"/>
    <m/>
    <n v="0"/>
    <m/>
    <x v="0"/>
    <m/>
    <m/>
    <n v="13126700"/>
  </r>
  <r>
    <n v="784"/>
    <m/>
    <x v="0"/>
    <m/>
    <x v="0"/>
    <m/>
    <n v="0"/>
    <m/>
    <x v="0"/>
    <m/>
    <m/>
    <n v="13126700"/>
  </r>
  <r>
    <n v="785"/>
    <m/>
    <x v="0"/>
    <m/>
    <x v="0"/>
    <m/>
    <n v="0"/>
    <m/>
    <x v="0"/>
    <m/>
    <m/>
    <n v="13126700"/>
  </r>
  <r>
    <n v="786"/>
    <m/>
    <x v="0"/>
    <m/>
    <x v="0"/>
    <m/>
    <n v="0"/>
    <m/>
    <x v="0"/>
    <m/>
    <m/>
    <n v="13126700"/>
  </r>
  <r>
    <n v="787"/>
    <m/>
    <x v="0"/>
    <m/>
    <x v="0"/>
    <m/>
    <n v="0"/>
    <m/>
    <x v="0"/>
    <m/>
    <m/>
    <n v="13126700"/>
  </r>
  <r>
    <n v="788"/>
    <m/>
    <x v="0"/>
    <m/>
    <x v="0"/>
    <m/>
    <n v="0"/>
    <m/>
    <x v="0"/>
    <m/>
    <m/>
    <n v="13126700"/>
  </r>
  <r>
    <n v="789"/>
    <m/>
    <x v="0"/>
    <m/>
    <x v="0"/>
    <m/>
    <n v="0"/>
    <m/>
    <x v="0"/>
    <m/>
    <m/>
    <n v="13126700"/>
  </r>
  <r>
    <n v="790"/>
    <m/>
    <x v="0"/>
    <m/>
    <x v="0"/>
    <m/>
    <n v="0"/>
    <m/>
    <x v="0"/>
    <m/>
    <m/>
    <n v="13126700"/>
  </r>
  <r>
    <n v="791"/>
    <m/>
    <x v="0"/>
    <m/>
    <x v="0"/>
    <m/>
    <n v="0"/>
    <m/>
    <x v="0"/>
    <m/>
    <m/>
    <n v="13126700"/>
  </r>
  <r>
    <n v="792"/>
    <m/>
    <x v="0"/>
    <m/>
    <x v="0"/>
    <m/>
    <n v="0"/>
    <m/>
    <x v="0"/>
    <m/>
    <m/>
    <n v="13126700"/>
  </r>
  <r>
    <n v="793"/>
    <m/>
    <x v="0"/>
    <m/>
    <x v="0"/>
    <m/>
    <n v="0"/>
    <m/>
    <x v="0"/>
    <m/>
    <m/>
    <n v="13126700"/>
  </r>
  <r>
    <n v="794"/>
    <m/>
    <x v="0"/>
    <m/>
    <x v="0"/>
    <m/>
    <n v="0"/>
    <m/>
    <x v="0"/>
    <m/>
    <m/>
    <n v="13126700"/>
  </r>
  <r>
    <n v="795"/>
    <m/>
    <x v="0"/>
    <m/>
    <x v="0"/>
    <m/>
    <n v="0"/>
    <m/>
    <x v="0"/>
    <m/>
    <m/>
    <n v="13126700"/>
  </r>
  <r>
    <n v="796"/>
    <m/>
    <x v="0"/>
    <m/>
    <x v="0"/>
    <m/>
    <n v="0"/>
    <m/>
    <x v="0"/>
    <m/>
    <m/>
    <n v="13126700"/>
  </r>
  <r>
    <n v="797"/>
    <m/>
    <x v="0"/>
    <m/>
    <x v="0"/>
    <m/>
    <n v="0"/>
    <m/>
    <x v="0"/>
    <m/>
    <m/>
    <n v="13126700"/>
  </r>
  <r>
    <n v="798"/>
    <m/>
    <x v="0"/>
    <m/>
    <x v="0"/>
    <m/>
    <n v="0"/>
    <m/>
    <x v="0"/>
    <m/>
    <m/>
    <n v="13126700"/>
  </r>
  <r>
    <n v="799"/>
    <m/>
    <x v="0"/>
    <m/>
    <x v="0"/>
    <m/>
    <n v="0"/>
    <m/>
    <x v="0"/>
    <m/>
    <m/>
    <n v="13126700"/>
  </r>
  <r>
    <n v="800"/>
    <m/>
    <x v="0"/>
    <m/>
    <x v="0"/>
    <m/>
    <n v="0"/>
    <m/>
    <x v="0"/>
    <m/>
    <m/>
    <n v="13126700"/>
  </r>
  <r>
    <n v="801"/>
    <m/>
    <x v="0"/>
    <m/>
    <x v="0"/>
    <m/>
    <n v="0"/>
    <m/>
    <x v="0"/>
    <m/>
    <m/>
    <n v="13126700"/>
  </r>
  <r>
    <n v="802"/>
    <m/>
    <x v="0"/>
    <m/>
    <x v="0"/>
    <m/>
    <n v="0"/>
    <m/>
    <x v="0"/>
    <m/>
    <m/>
    <n v="13126700"/>
  </r>
  <r>
    <n v="803"/>
    <m/>
    <x v="0"/>
    <m/>
    <x v="0"/>
    <m/>
    <n v="0"/>
    <m/>
    <x v="0"/>
    <m/>
    <m/>
    <n v="13126700"/>
  </r>
  <r>
    <n v="804"/>
    <m/>
    <x v="0"/>
    <m/>
    <x v="0"/>
    <m/>
    <n v="0"/>
    <m/>
    <x v="0"/>
    <m/>
    <m/>
    <n v="13126700"/>
  </r>
  <r>
    <n v="805"/>
    <m/>
    <x v="0"/>
    <m/>
    <x v="0"/>
    <m/>
    <n v="0"/>
    <m/>
    <x v="0"/>
    <m/>
    <m/>
    <n v="13126700"/>
  </r>
  <r>
    <n v="806"/>
    <m/>
    <x v="0"/>
    <m/>
    <x v="0"/>
    <m/>
    <n v="0"/>
    <m/>
    <x v="0"/>
    <m/>
    <m/>
    <n v="13126700"/>
  </r>
  <r>
    <n v="807"/>
    <m/>
    <x v="0"/>
    <m/>
    <x v="0"/>
    <m/>
    <n v="0"/>
    <m/>
    <x v="0"/>
    <m/>
    <m/>
    <n v="13126700"/>
  </r>
  <r>
    <n v="808"/>
    <m/>
    <x v="0"/>
    <m/>
    <x v="0"/>
    <m/>
    <n v="0"/>
    <m/>
    <x v="0"/>
    <m/>
    <m/>
    <n v="13126700"/>
  </r>
  <r>
    <n v="809"/>
    <m/>
    <x v="0"/>
    <m/>
    <x v="0"/>
    <m/>
    <n v="0"/>
    <m/>
    <x v="0"/>
    <m/>
    <m/>
    <n v="13126700"/>
  </r>
  <r>
    <n v="810"/>
    <m/>
    <x v="0"/>
    <m/>
    <x v="0"/>
    <m/>
    <n v="0"/>
    <m/>
    <x v="0"/>
    <m/>
    <m/>
    <n v="13126700"/>
  </r>
  <r>
    <n v="811"/>
    <m/>
    <x v="0"/>
    <m/>
    <x v="0"/>
    <m/>
    <n v="0"/>
    <m/>
    <x v="0"/>
    <m/>
    <m/>
    <n v="13126700"/>
  </r>
  <r>
    <n v="812"/>
    <m/>
    <x v="0"/>
    <m/>
    <x v="0"/>
    <m/>
    <n v="0"/>
    <m/>
    <x v="0"/>
    <m/>
    <m/>
    <n v="13126700"/>
  </r>
  <r>
    <n v="813"/>
    <m/>
    <x v="0"/>
    <m/>
    <x v="0"/>
    <m/>
    <n v="0"/>
    <m/>
    <x v="0"/>
    <m/>
    <m/>
    <n v="13126700"/>
  </r>
  <r>
    <n v="814"/>
    <m/>
    <x v="0"/>
    <m/>
    <x v="0"/>
    <m/>
    <n v="0"/>
    <m/>
    <x v="0"/>
    <m/>
    <m/>
    <n v="13126700"/>
  </r>
  <r>
    <n v="815"/>
    <m/>
    <x v="0"/>
    <m/>
    <x v="0"/>
    <m/>
    <n v="0"/>
    <m/>
    <x v="0"/>
    <m/>
    <m/>
    <n v="13126700"/>
  </r>
  <r>
    <n v="816"/>
    <m/>
    <x v="0"/>
    <m/>
    <x v="0"/>
    <m/>
    <n v="0"/>
    <m/>
    <x v="0"/>
    <m/>
    <m/>
    <n v="13126700"/>
  </r>
  <r>
    <n v="817"/>
    <m/>
    <x v="0"/>
    <m/>
    <x v="0"/>
    <m/>
    <n v="0"/>
    <m/>
    <x v="0"/>
    <m/>
    <m/>
    <n v="13126700"/>
  </r>
  <r>
    <n v="818"/>
    <m/>
    <x v="0"/>
    <m/>
    <x v="0"/>
    <m/>
    <n v="0"/>
    <m/>
    <x v="0"/>
    <m/>
    <m/>
    <n v="13126700"/>
  </r>
  <r>
    <n v="819"/>
    <m/>
    <x v="0"/>
    <m/>
    <x v="0"/>
    <m/>
    <n v="0"/>
    <m/>
    <x v="0"/>
    <m/>
    <m/>
    <n v="13126700"/>
  </r>
  <r>
    <n v="820"/>
    <m/>
    <x v="0"/>
    <m/>
    <x v="0"/>
    <m/>
    <n v="0"/>
    <m/>
    <x v="0"/>
    <m/>
    <m/>
    <n v="13126700"/>
  </r>
  <r>
    <n v="821"/>
    <m/>
    <x v="0"/>
    <m/>
    <x v="0"/>
    <m/>
    <n v="0"/>
    <m/>
    <x v="0"/>
    <m/>
    <m/>
    <n v="13126700"/>
  </r>
  <r>
    <n v="822"/>
    <m/>
    <x v="0"/>
    <m/>
    <x v="0"/>
    <m/>
    <n v="0"/>
    <m/>
    <x v="0"/>
    <m/>
    <m/>
    <n v="13126700"/>
  </r>
  <r>
    <n v="823"/>
    <m/>
    <x v="0"/>
    <m/>
    <x v="0"/>
    <m/>
    <n v="0"/>
    <m/>
    <x v="0"/>
    <m/>
    <m/>
    <n v="13126700"/>
  </r>
  <r>
    <n v="824"/>
    <m/>
    <x v="0"/>
    <m/>
    <x v="0"/>
    <m/>
    <n v="0"/>
    <m/>
    <x v="0"/>
    <m/>
    <m/>
    <n v="13126700"/>
  </r>
  <r>
    <n v="825"/>
    <m/>
    <x v="0"/>
    <m/>
    <x v="0"/>
    <m/>
    <n v="0"/>
    <m/>
    <x v="0"/>
    <m/>
    <m/>
    <n v="13126700"/>
  </r>
  <r>
    <n v="826"/>
    <m/>
    <x v="0"/>
    <m/>
    <x v="0"/>
    <m/>
    <n v="0"/>
    <m/>
    <x v="0"/>
    <m/>
    <m/>
    <n v="13126700"/>
  </r>
  <r>
    <n v="827"/>
    <m/>
    <x v="0"/>
    <m/>
    <x v="0"/>
    <m/>
    <n v="0"/>
    <m/>
    <x v="0"/>
    <m/>
    <m/>
    <n v="13126700"/>
  </r>
  <r>
    <n v="828"/>
    <m/>
    <x v="0"/>
    <m/>
    <x v="0"/>
    <m/>
    <n v="0"/>
    <m/>
    <x v="0"/>
    <m/>
    <m/>
    <n v="13126700"/>
  </r>
  <r>
    <n v="829"/>
    <m/>
    <x v="0"/>
    <m/>
    <x v="0"/>
    <m/>
    <n v="0"/>
    <m/>
    <x v="0"/>
    <m/>
    <m/>
    <n v="13126700"/>
  </r>
  <r>
    <n v="830"/>
    <m/>
    <x v="0"/>
    <m/>
    <x v="0"/>
    <m/>
    <n v="0"/>
    <m/>
    <x v="0"/>
    <m/>
    <m/>
    <n v="13126700"/>
  </r>
  <r>
    <n v="831"/>
    <m/>
    <x v="0"/>
    <m/>
    <x v="0"/>
    <m/>
    <n v="0"/>
    <m/>
    <x v="0"/>
    <m/>
    <m/>
    <n v="13126700"/>
  </r>
  <r>
    <n v="832"/>
    <m/>
    <x v="0"/>
    <m/>
    <x v="0"/>
    <m/>
    <n v="0"/>
    <m/>
    <x v="0"/>
    <m/>
    <m/>
    <n v="13126700"/>
  </r>
  <r>
    <n v="833"/>
    <m/>
    <x v="0"/>
    <m/>
    <x v="0"/>
    <m/>
    <n v="0"/>
    <m/>
    <x v="0"/>
    <m/>
    <m/>
    <n v="13126700"/>
  </r>
  <r>
    <n v="834"/>
    <m/>
    <x v="0"/>
    <m/>
    <x v="0"/>
    <m/>
    <n v="0"/>
    <m/>
    <x v="0"/>
    <m/>
    <m/>
    <n v="13126700"/>
  </r>
  <r>
    <n v="835"/>
    <m/>
    <x v="0"/>
    <m/>
    <x v="0"/>
    <m/>
    <n v="0"/>
    <m/>
    <x v="0"/>
    <m/>
    <m/>
    <n v="13126700"/>
  </r>
  <r>
    <n v="836"/>
    <m/>
    <x v="0"/>
    <m/>
    <x v="0"/>
    <m/>
    <n v="0"/>
    <m/>
    <x v="0"/>
    <m/>
    <m/>
    <n v="13126700"/>
  </r>
  <r>
    <n v="837"/>
    <m/>
    <x v="0"/>
    <m/>
    <x v="0"/>
    <m/>
    <n v="0"/>
    <m/>
    <x v="0"/>
    <m/>
    <m/>
    <n v="13126700"/>
  </r>
  <r>
    <n v="838"/>
    <m/>
    <x v="0"/>
    <m/>
    <x v="0"/>
    <m/>
    <n v="0"/>
    <m/>
    <x v="0"/>
    <m/>
    <m/>
    <n v="13126700"/>
  </r>
  <r>
    <n v="839"/>
    <m/>
    <x v="0"/>
    <m/>
    <x v="0"/>
    <m/>
    <n v="0"/>
    <m/>
    <x v="0"/>
    <m/>
    <m/>
    <n v="13126700"/>
  </r>
  <r>
    <n v="840"/>
    <m/>
    <x v="0"/>
    <m/>
    <x v="0"/>
    <m/>
    <n v="0"/>
    <m/>
    <x v="0"/>
    <m/>
    <m/>
    <n v="13126700"/>
  </r>
  <r>
    <n v="841"/>
    <m/>
    <x v="0"/>
    <m/>
    <x v="0"/>
    <m/>
    <n v="0"/>
    <m/>
    <x v="0"/>
    <m/>
    <m/>
    <n v="13126700"/>
  </r>
  <r>
    <n v="842"/>
    <m/>
    <x v="0"/>
    <m/>
    <x v="0"/>
    <m/>
    <n v="0"/>
    <m/>
    <x v="0"/>
    <m/>
    <m/>
    <n v="13126700"/>
  </r>
  <r>
    <n v="843"/>
    <m/>
    <x v="0"/>
    <m/>
    <x v="0"/>
    <m/>
    <n v="0"/>
    <m/>
    <x v="0"/>
    <m/>
    <m/>
    <n v="13126700"/>
  </r>
  <r>
    <n v="844"/>
    <m/>
    <x v="0"/>
    <m/>
    <x v="0"/>
    <m/>
    <n v="0"/>
    <m/>
    <x v="0"/>
    <m/>
    <m/>
    <n v="13126700"/>
  </r>
  <r>
    <n v="845"/>
    <m/>
    <x v="0"/>
    <m/>
    <x v="0"/>
    <m/>
    <n v="0"/>
    <m/>
    <x v="0"/>
    <m/>
    <m/>
    <n v="13126700"/>
  </r>
  <r>
    <n v="846"/>
    <m/>
    <x v="0"/>
    <m/>
    <x v="0"/>
    <m/>
    <n v="0"/>
    <m/>
    <x v="0"/>
    <m/>
    <m/>
    <n v="13126700"/>
  </r>
  <r>
    <n v="847"/>
    <m/>
    <x v="0"/>
    <m/>
    <x v="0"/>
    <m/>
    <n v="0"/>
    <m/>
    <x v="0"/>
    <m/>
    <m/>
    <n v="13126700"/>
  </r>
  <r>
    <n v="848"/>
    <m/>
    <x v="0"/>
    <m/>
    <x v="0"/>
    <m/>
    <n v="0"/>
    <m/>
    <x v="0"/>
    <m/>
    <m/>
    <n v="13126700"/>
  </r>
  <r>
    <n v="849"/>
    <m/>
    <x v="0"/>
    <m/>
    <x v="0"/>
    <m/>
    <n v="0"/>
    <m/>
    <x v="0"/>
    <m/>
    <m/>
    <n v="13126700"/>
  </r>
  <r>
    <n v="850"/>
    <m/>
    <x v="0"/>
    <m/>
    <x v="0"/>
    <m/>
    <n v="0"/>
    <m/>
    <x v="0"/>
    <m/>
    <m/>
    <n v="13126700"/>
  </r>
  <r>
    <n v="851"/>
    <m/>
    <x v="0"/>
    <m/>
    <x v="0"/>
    <m/>
    <n v="0"/>
    <m/>
    <x v="0"/>
    <m/>
    <m/>
    <n v="13126700"/>
  </r>
  <r>
    <n v="852"/>
    <m/>
    <x v="0"/>
    <m/>
    <x v="0"/>
    <m/>
    <n v="0"/>
    <m/>
    <x v="0"/>
    <m/>
    <m/>
    <n v="13126700"/>
  </r>
  <r>
    <n v="853"/>
    <m/>
    <x v="0"/>
    <m/>
    <x v="0"/>
    <m/>
    <n v="0"/>
    <m/>
    <x v="0"/>
    <m/>
    <m/>
    <n v="13126700"/>
  </r>
  <r>
    <n v="854"/>
    <m/>
    <x v="0"/>
    <m/>
    <x v="0"/>
    <m/>
    <n v="0"/>
    <m/>
    <x v="0"/>
    <m/>
    <m/>
    <n v="13126700"/>
  </r>
  <r>
    <n v="855"/>
    <m/>
    <x v="0"/>
    <m/>
    <x v="0"/>
    <m/>
    <n v="0"/>
    <m/>
    <x v="0"/>
    <m/>
    <m/>
    <n v="13126700"/>
  </r>
  <r>
    <n v="856"/>
    <m/>
    <x v="0"/>
    <m/>
    <x v="0"/>
    <m/>
    <n v="0"/>
    <m/>
    <x v="0"/>
    <m/>
    <m/>
    <n v="13126700"/>
  </r>
  <r>
    <n v="857"/>
    <m/>
    <x v="0"/>
    <m/>
    <x v="0"/>
    <m/>
    <n v="0"/>
    <m/>
    <x v="0"/>
    <m/>
    <m/>
    <n v="13126700"/>
  </r>
  <r>
    <n v="858"/>
    <m/>
    <x v="0"/>
    <m/>
    <x v="0"/>
    <m/>
    <n v="0"/>
    <m/>
    <x v="0"/>
    <m/>
    <m/>
    <n v="13126700"/>
  </r>
  <r>
    <n v="859"/>
    <m/>
    <x v="0"/>
    <m/>
    <x v="0"/>
    <m/>
    <n v="0"/>
    <m/>
    <x v="0"/>
    <m/>
    <m/>
    <n v="13126700"/>
  </r>
  <r>
    <n v="860"/>
    <m/>
    <x v="0"/>
    <m/>
    <x v="0"/>
    <m/>
    <n v="0"/>
    <m/>
    <x v="0"/>
    <m/>
    <m/>
    <n v="13126700"/>
  </r>
  <r>
    <n v="861"/>
    <m/>
    <x v="0"/>
    <m/>
    <x v="0"/>
    <m/>
    <n v="0"/>
    <m/>
    <x v="0"/>
    <m/>
    <m/>
    <n v="13126700"/>
  </r>
  <r>
    <n v="862"/>
    <m/>
    <x v="0"/>
    <m/>
    <x v="0"/>
    <m/>
    <n v="0"/>
    <m/>
    <x v="0"/>
    <m/>
    <m/>
    <n v="13126700"/>
  </r>
  <r>
    <n v="863"/>
    <m/>
    <x v="0"/>
    <m/>
    <x v="0"/>
    <m/>
    <n v="0"/>
    <m/>
    <x v="0"/>
    <m/>
    <m/>
    <n v="13126700"/>
  </r>
  <r>
    <n v="864"/>
    <m/>
    <x v="0"/>
    <m/>
    <x v="0"/>
    <m/>
    <n v="0"/>
    <m/>
    <x v="0"/>
    <m/>
    <m/>
    <n v="13126700"/>
  </r>
  <r>
    <n v="865"/>
    <m/>
    <x v="0"/>
    <m/>
    <x v="0"/>
    <m/>
    <n v="0"/>
    <m/>
    <x v="0"/>
    <m/>
    <m/>
    <n v="13126700"/>
  </r>
  <r>
    <n v="866"/>
    <m/>
    <x v="0"/>
    <m/>
    <x v="0"/>
    <m/>
    <n v="0"/>
    <m/>
    <x v="0"/>
    <m/>
    <m/>
    <n v="13126700"/>
  </r>
  <r>
    <n v="867"/>
    <m/>
    <x v="0"/>
    <m/>
    <x v="0"/>
    <m/>
    <n v="0"/>
    <m/>
    <x v="0"/>
    <m/>
    <m/>
    <n v="13126700"/>
  </r>
  <r>
    <n v="868"/>
    <m/>
    <x v="0"/>
    <m/>
    <x v="0"/>
    <m/>
    <n v="0"/>
    <m/>
    <x v="0"/>
    <m/>
    <m/>
    <n v="13126700"/>
  </r>
  <r>
    <n v="869"/>
    <m/>
    <x v="0"/>
    <m/>
    <x v="0"/>
    <m/>
    <n v="0"/>
    <m/>
    <x v="0"/>
    <m/>
    <m/>
    <n v="13126700"/>
  </r>
  <r>
    <n v="870"/>
    <m/>
    <x v="0"/>
    <m/>
    <x v="0"/>
    <m/>
    <n v="0"/>
    <m/>
    <x v="0"/>
    <m/>
    <m/>
    <n v="13126700"/>
  </r>
  <r>
    <n v="871"/>
    <m/>
    <x v="0"/>
    <m/>
    <x v="0"/>
    <m/>
    <n v="0"/>
    <m/>
    <x v="0"/>
    <m/>
    <m/>
    <n v="13126700"/>
  </r>
  <r>
    <n v="872"/>
    <m/>
    <x v="0"/>
    <m/>
    <x v="0"/>
    <m/>
    <n v="0"/>
    <m/>
    <x v="0"/>
    <m/>
    <m/>
    <n v="13126700"/>
  </r>
  <r>
    <n v="873"/>
    <m/>
    <x v="0"/>
    <m/>
    <x v="0"/>
    <m/>
    <n v="0"/>
    <m/>
    <x v="0"/>
    <m/>
    <m/>
    <n v="13126700"/>
  </r>
  <r>
    <n v="874"/>
    <m/>
    <x v="0"/>
    <m/>
    <x v="0"/>
    <m/>
    <n v="0"/>
    <m/>
    <x v="0"/>
    <m/>
    <m/>
    <n v="13126700"/>
  </r>
  <r>
    <n v="875"/>
    <m/>
    <x v="0"/>
    <m/>
    <x v="0"/>
    <m/>
    <n v="0"/>
    <m/>
    <x v="0"/>
    <m/>
    <m/>
    <n v="13126700"/>
  </r>
  <r>
    <n v="876"/>
    <m/>
    <x v="0"/>
    <m/>
    <x v="0"/>
    <m/>
    <n v="0"/>
    <m/>
    <x v="0"/>
    <m/>
    <m/>
    <n v="13126700"/>
  </r>
  <r>
    <n v="877"/>
    <m/>
    <x v="0"/>
    <m/>
    <x v="0"/>
    <m/>
    <n v="0"/>
    <m/>
    <x v="0"/>
    <m/>
    <m/>
    <n v="13126700"/>
  </r>
  <r>
    <n v="878"/>
    <m/>
    <x v="0"/>
    <m/>
    <x v="0"/>
    <m/>
    <n v="0"/>
    <m/>
    <x v="0"/>
    <m/>
    <m/>
    <n v="13126700"/>
  </r>
  <r>
    <n v="879"/>
    <m/>
    <x v="0"/>
    <m/>
    <x v="0"/>
    <m/>
    <n v="0"/>
    <m/>
    <x v="0"/>
    <m/>
    <m/>
    <n v="13126700"/>
  </r>
  <r>
    <n v="880"/>
    <m/>
    <x v="0"/>
    <m/>
    <x v="0"/>
    <m/>
    <n v="0"/>
    <m/>
    <x v="0"/>
    <m/>
    <m/>
    <n v="13126700"/>
  </r>
  <r>
    <n v="881"/>
    <m/>
    <x v="0"/>
    <m/>
    <x v="0"/>
    <m/>
    <n v="0"/>
    <m/>
    <x v="0"/>
    <m/>
    <m/>
    <n v="13126700"/>
  </r>
  <r>
    <n v="882"/>
    <m/>
    <x v="0"/>
    <m/>
    <x v="0"/>
    <m/>
    <n v="0"/>
    <m/>
    <x v="0"/>
    <m/>
    <m/>
    <n v="13126700"/>
  </r>
  <r>
    <n v="883"/>
    <m/>
    <x v="0"/>
    <m/>
    <x v="0"/>
    <m/>
    <n v="0"/>
    <m/>
    <x v="0"/>
    <m/>
    <m/>
    <n v="13126700"/>
  </r>
  <r>
    <n v="884"/>
    <m/>
    <x v="0"/>
    <m/>
    <x v="0"/>
    <m/>
    <n v="0"/>
    <m/>
    <x v="0"/>
    <m/>
    <m/>
    <n v="13126700"/>
  </r>
  <r>
    <n v="885"/>
    <m/>
    <x v="0"/>
    <m/>
    <x v="0"/>
    <m/>
    <n v="0"/>
    <m/>
    <x v="0"/>
    <m/>
    <m/>
    <n v="13126700"/>
  </r>
  <r>
    <n v="886"/>
    <m/>
    <x v="0"/>
    <m/>
    <x v="0"/>
    <m/>
    <n v="0"/>
    <m/>
    <x v="0"/>
    <m/>
    <m/>
    <n v="13126700"/>
  </r>
  <r>
    <n v="887"/>
    <m/>
    <x v="0"/>
    <m/>
    <x v="0"/>
    <m/>
    <n v="0"/>
    <m/>
    <x v="0"/>
    <m/>
    <m/>
    <n v="13126700"/>
  </r>
  <r>
    <n v="888"/>
    <m/>
    <x v="0"/>
    <m/>
    <x v="0"/>
    <m/>
    <n v="0"/>
    <m/>
    <x v="0"/>
    <m/>
    <m/>
    <n v="13126700"/>
  </r>
  <r>
    <n v="889"/>
    <m/>
    <x v="0"/>
    <m/>
    <x v="0"/>
    <m/>
    <n v="0"/>
    <m/>
    <x v="0"/>
    <m/>
    <m/>
    <n v="13126700"/>
  </r>
  <r>
    <n v="890"/>
    <m/>
    <x v="0"/>
    <m/>
    <x v="0"/>
    <m/>
    <n v="0"/>
    <m/>
    <x v="0"/>
    <m/>
    <m/>
    <n v="13126700"/>
  </r>
  <r>
    <n v="891"/>
    <m/>
    <x v="0"/>
    <m/>
    <x v="0"/>
    <m/>
    <n v="0"/>
    <m/>
    <x v="0"/>
    <m/>
    <m/>
    <n v="13126700"/>
  </r>
  <r>
    <n v="892"/>
    <m/>
    <x v="0"/>
    <m/>
    <x v="0"/>
    <m/>
    <n v="0"/>
    <m/>
    <x v="0"/>
    <m/>
    <m/>
    <n v="13126700"/>
  </r>
  <r>
    <n v="893"/>
    <m/>
    <x v="0"/>
    <m/>
    <x v="0"/>
    <m/>
    <n v="0"/>
    <m/>
    <x v="0"/>
    <m/>
    <m/>
    <n v="13126700"/>
  </r>
  <r>
    <n v="894"/>
    <m/>
    <x v="0"/>
    <m/>
    <x v="0"/>
    <m/>
    <n v="0"/>
    <m/>
    <x v="0"/>
    <m/>
    <m/>
    <n v="13126700"/>
  </r>
  <r>
    <n v="895"/>
    <m/>
    <x v="0"/>
    <m/>
    <x v="0"/>
    <m/>
    <n v="0"/>
    <m/>
    <x v="0"/>
    <m/>
    <m/>
    <n v="13126700"/>
  </r>
  <r>
    <n v="896"/>
    <m/>
    <x v="0"/>
    <m/>
    <x v="0"/>
    <m/>
    <n v="0"/>
    <m/>
    <x v="0"/>
    <m/>
    <m/>
    <n v="13126700"/>
  </r>
  <r>
    <n v="897"/>
    <m/>
    <x v="0"/>
    <m/>
    <x v="0"/>
    <m/>
    <n v="0"/>
    <m/>
    <x v="0"/>
    <m/>
    <m/>
    <n v="13126700"/>
  </r>
  <r>
    <n v="898"/>
    <m/>
    <x v="0"/>
    <m/>
    <x v="0"/>
    <m/>
    <n v="0"/>
    <m/>
    <x v="0"/>
    <m/>
    <m/>
    <n v="13126700"/>
  </r>
  <r>
    <n v="899"/>
    <m/>
    <x v="0"/>
    <m/>
    <x v="0"/>
    <m/>
    <n v="0"/>
    <m/>
    <x v="0"/>
    <m/>
    <m/>
    <n v="13126700"/>
  </r>
  <r>
    <n v="900"/>
    <m/>
    <x v="0"/>
    <m/>
    <x v="0"/>
    <m/>
    <n v="0"/>
    <m/>
    <x v="0"/>
    <m/>
    <m/>
    <n v="13126700"/>
  </r>
  <r>
    <n v="901"/>
    <m/>
    <x v="0"/>
    <m/>
    <x v="0"/>
    <m/>
    <n v="0"/>
    <m/>
    <x v="0"/>
    <m/>
    <m/>
    <n v="13126700"/>
  </r>
  <r>
    <n v="902"/>
    <m/>
    <x v="0"/>
    <m/>
    <x v="0"/>
    <m/>
    <n v="0"/>
    <m/>
    <x v="0"/>
    <m/>
    <m/>
    <n v="13126700"/>
  </r>
  <r>
    <n v="903"/>
    <m/>
    <x v="0"/>
    <m/>
    <x v="0"/>
    <m/>
    <n v="0"/>
    <m/>
    <x v="0"/>
    <m/>
    <m/>
    <n v="13126700"/>
  </r>
  <r>
    <n v="904"/>
    <m/>
    <x v="0"/>
    <m/>
    <x v="0"/>
    <m/>
    <n v="0"/>
    <m/>
    <x v="0"/>
    <m/>
    <m/>
    <n v="13126700"/>
  </r>
  <r>
    <n v="905"/>
    <m/>
    <x v="0"/>
    <m/>
    <x v="0"/>
    <m/>
    <n v="0"/>
    <m/>
    <x v="0"/>
    <m/>
    <m/>
    <n v="13126700"/>
  </r>
  <r>
    <n v="906"/>
    <m/>
    <x v="0"/>
    <m/>
    <x v="0"/>
    <m/>
    <n v="0"/>
    <m/>
    <x v="0"/>
    <m/>
    <m/>
    <n v="13126700"/>
  </r>
  <r>
    <n v="907"/>
    <m/>
    <x v="0"/>
    <m/>
    <x v="0"/>
    <m/>
    <n v="0"/>
    <m/>
    <x v="0"/>
    <m/>
    <m/>
    <n v="13126700"/>
  </r>
  <r>
    <n v="908"/>
    <m/>
    <x v="0"/>
    <m/>
    <x v="0"/>
    <m/>
    <n v="0"/>
    <m/>
    <x v="0"/>
    <m/>
    <m/>
    <n v="13126700"/>
  </r>
  <r>
    <n v="909"/>
    <m/>
    <x v="0"/>
    <m/>
    <x v="0"/>
    <m/>
    <n v="0"/>
    <m/>
    <x v="0"/>
    <m/>
    <m/>
    <n v="13126700"/>
  </r>
  <r>
    <n v="910"/>
    <m/>
    <x v="0"/>
    <m/>
    <x v="0"/>
    <m/>
    <n v="0"/>
    <m/>
    <x v="0"/>
    <m/>
    <m/>
    <n v="13126700"/>
  </r>
  <r>
    <n v="911"/>
    <m/>
    <x v="0"/>
    <m/>
    <x v="0"/>
    <m/>
    <n v="0"/>
    <m/>
    <x v="0"/>
    <m/>
    <m/>
    <n v="13126700"/>
  </r>
  <r>
    <n v="912"/>
    <m/>
    <x v="0"/>
    <m/>
    <x v="0"/>
    <m/>
    <n v="0"/>
    <m/>
    <x v="0"/>
    <m/>
    <m/>
    <n v="13126700"/>
  </r>
  <r>
    <n v="913"/>
    <m/>
    <x v="0"/>
    <m/>
    <x v="0"/>
    <m/>
    <n v="0"/>
    <m/>
    <x v="0"/>
    <m/>
    <m/>
    <n v="13126700"/>
  </r>
  <r>
    <n v="914"/>
    <m/>
    <x v="0"/>
    <m/>
    <x v="0"/>
    <m/>
    <n v="0"/>
    <m/>
    <x v="0"/>
    <m/>
    <m/>
    <n v="13126700"/>
  </r>
  <r>
    <n v="915"/>
    <m/>
    <x v="0"/>
    <m/>
    <x v="0"/>
    <m/>
    <n v="0"/>
    <m/>
    <x v="0"/>
    <m/>
    <m/>
    <n v="13126700"/>
  </r>
  <r>
    <n v="916"/>
    <m/>
    <x v="0"/>
    <m/>
    <x v="0"/>
    <m/>
    <n v="0"/>
    <m/>
    <x v="0"/>
    <m/>
    <m/>
    <n v="13126700"/>
  </r>
  <r>
    <n v="917"/>
    <m/>
    <x v="0"/>
    <m/>
    <x v="0"/>
    <m/>
    <n v="0"/>
    <m/>
    <x v="0"/>
    <m/>
    <m/>
    <n v="13126700"/>
  </r>
  <r>
    <n v="918"/>
    <m/>
    <x v="0"/>
    <m/>
    <x v="0"/>
    <m/>
    <n v="0"/>
    <m/>
    <x v="0"/>
    <m/>
    <m/>
    <n v="13126700"/>
  </r>
  <r>
    <n v="919"/>
    <m/>
    <x v="0"/>
    <m/>
    <x v="0"/>
    <m/>
    <n v="0"/>
    <m/>
    <x v="0"/>
    <m/>
    <m/>
    <n v="13126700"/>
  </r>
  <r>
    <n v="920"/>
    <m/>
    <x v="0"/>
    <m/>
    <x v="0"/>
    <m/>
    <n v="0"/>
    <m/>
    <x v="0"/>
    <m/>
    <m/>
    <n v="13126700"/>
  </r>
  <r>
    <n v="921"/>
    <m/>
    <x v="0"/>
    <m/>
    <x v="0"/>
    <m/>
    <n v="0"/>
    <m/>
    <x v="0"/>
    <m/>
    <m/>
    <n v="13126700"/>
  </r>
  <r>
    <n v="922"/>
    <m/>
    <x v="0"/>
    <m/>
    <x v="0"/>
    <m/>
    <n v="0"/>
    <m/>
    <x v="0"/>
    <m/>
    <m/>
    <n v="13126700"/>
  </r>
  <r>
    <n v="923"/>
    <m/>
    <x v="0"/>
    <m/>
    <x v="0"/>
    <m/>
    <n v="0"/>
    <m/>
    <x v="0"/>
    <m/>
    <m/>
    <n v="13126700"/>
  </r>
  <r>
    <n v="924"/>
    <m/>
    <x v="0"/>
    <m/>
    <x v="0"/>
    <m/>
    <n v="0"/>
    <m/>
    <x v="0"/>
    <m/>
    <m/>
    <n v="13126700"/>
  </r>
  <r>
    <n v="925"/>
    <m/>
    <x v="0"/>
    <m/>
    <x v="0"/>
    <m/>
    <n v="0"/>
    <m/>
    <x v="0"/>
    <m/>
    <m/>
    <n v="13126700"/>
  </r>
  <r>
    <n v="926"/>
    <m/>
    <x v="0"/>
    <m/>
    <x v="0"/>
    <m/>
    <n v="0"/>
    <m/>
    <x v="0"/>
    <m/>
    <m/>
    <n v="13126700"/>
  </r>
  <r>
    <n v="927"/>
    <m/>
    <x v="0"/>
    <m/>
    <x v="0"/>
    <m/>
    <n v="0"/>
    <m/>
    <x v="0"/>
    <m/>
    <m/>
    <n v="13126700"/>
  </r>
  <r>
    <n v="928"/>
    <m/>
    <x v="0"/>
    <m/>
    <x v="0"/>
    <m/>
    <n v="0"/>
    <m/>
    <x v="0"/>
    <m/>
    <m/>
    <n v="13126700"/>
  </r>
  <r>
    <n v="929"/>
    <m/>
    <x v="0"/>
    <m/>
    <x v="0"/>
    <m/>
    <n v="0"/>
    <m/>
    <x v="0"/>
    <m/>
    <m/>
    <n v="13126700"/>
  </r>
  <r>
    <n v="930"/>
    <m/>
    <x v="0"/>
    <m/>
    <x v="0"/>
    <m/>
    <n v="0"/>
    <m/>
    <x v="0"/>
    <m/>
    <m/>
    <n v="13126700"/>
  </r>
  <r>
    <n v="931"/>
    <m/>
    <x v="0"/>
    <m/>
    <x v="0"/>
    <m/>
    <n v="0"/>
    <m/>
    <x v="0"/>
    <m/>
    <m/>
    <n v="13126700"/>
  </r>
  <r>
    <n v="932"/>
    <m/>
    <x v="0"/>
    <m/>
    <x v="0"/>
    <m/>
    <n v="0"/>
    <m/>
    <x v="0"/>
    <m/>
    <m/>
    <n v="13126700"/>
  </r>
  <r>
    <n v="933"/>
    <m/>
    <x v="0"/>
    <m/>
    <x v="0"/>
    <m/>
    <n v="0"/>
    <m/>
    <x v="0"/>
    <m/>
    <m/>
    <n v="13126700"/>
  </r>
  <r>
    <n v="934"/>
    <m/>
    <x v="0"/>
    <m/>
    <x v="0"/>
    <m/>
    <n v="0"/>
    <m/>
    <x v="0"/>
    <m/>
    <m/>
    <n v="13126700"/>
  </r>
  <r>
    <n v="935"/>
    <m/>
    <x v="0"/>
    <m/>
    <x v="0"/>
    <m/>
    <n v="0"/>
    <m/>
    <x v="0"/>
    <m/>
    <m/>
    <n v="13126700"/>
  </r>
  <r>
    <n v="936"/>
    <m/>
    <x v="0"/>
    <m/>
    <x v="0"/>
    <m/>
    <n v="0"/>
    <m/>
    <x v="0"/>
    <m/>
    <m/>
    <n v="13126700"/>
  </r>
  <r>
    <n v="937"/>
    <m/>
    <x v="0"/>
    <m/>
    <x v="0"/>
    <m/>
    <n v="0"/>
    <m/>
    <x v="0"/>
    <m/>
    <m/>
    <n v="13126700"/>
  </r>
  <r>
    <n v="938"/>
    <m/>
    <x v="0"/>
    <m/>
    <x v="0"/>
    <m/>
    <n v="0"/>
    <m/>
    <x v="0"/>
    <m/>
    <m/>
    <n v="13126700"/>
  </r>
  <r>
    <n v="939"/>
    <m/>
    <x v="0"/>
    <m/>
    <x v="0"/>
    <m/>
    <n v="0"/>
    <m/>
    <x v="0"/>
    <m/>
    <m/>
    <n v="13126700"/>
  </r>
  <r>
    <n v="940"/>
    <m/>
    <x v="0"/>
    <m/>
    <x v="0"/>
    <m/>
    <n v="0"/>
    <m/>
    <x v="0"/>
    <m/>
    <m/>
    <n v="13126700"/>
  </r>
  <r>
    <n v="941"/>
    <m/>
    <x v="0"/>
    <m/>
    <x v="0"/>
    <m/>
    <n v="0"/>
    <m/>
    <x v="0"/>
    <m/>
    <m/>
    <n v="13126700"/>
  </r>
  <r>
    <n v="942"/>
    <m/>
    <x v="0"/>
    <m/>
    <x v="0"/>
    <m/>
    <n v="0"/>
    <m/>
    <x v="0"/>
    <m/>
    <m/>
    <n v="13126700"/>
  </r>
  <r>
    <n v="943"/>
    <m/>
    <x v="0"/>
    <m/>
    <x v="0"/>
    <m/>
    <n v="0"/>
    <m/>
    <x v="0"/>
    <m/>
    <m/>
    <n v="13126700"/>
  </r>
  <r>
    <n v="944"/>
    <m/>
    <x v="0"/>
    <m/>
    <x v="0"/>
    <m/>
    <n v="0"/>
    <m/>
    <x v="0"/>
    <m/>
    <m/>
    <n v="13126700"/>
  </r>
  <r>
    <n v="945"/>
    <m/>
    <x v="0"/>
    <m/>
    <x v="0"/>
    <m/>
    <n v="0"/>
    <m/>
    <x v="0"/>
    <m/>
    <m/>
    <n v="13126700"/>
  </r>
  <r>
    <n v="946"/>
    <m/>
    <x v="0"/>
    <m/>
    <x v="0"/>
    <m/>
    <n v="0"/>
    <m/>
    <x v="0"/>
    <m/>
    <m/>
    <n v="13126700"/>
  </r>
  <r>
    <n v="947"/>
    <m/>
    <x v="0"/>
    <m/>
    <x v="0"/>
    <m/>
    <n v="0"/>
    <m/>
    <x v="0"/>
    <m/>
    <m/>
    <n v="13126700"/>
  </r>
  <r>
    <n v="948"/>
    <m/>
    <x v="0"/>
    <m/>
    <x v="0"/>
    <m/>
    <n v="0"/>
    <m/>
    <x v="0"/>
    <m/>
    <m/>
    <n v="13126700"/>
  </r>
  <r>
    <n v="949"/>
    <m/>
    <x v="0"/>
    <m/>
    <x v="0"/>
    <m/>
    <n v="0"/>
    <m/>
    <x v="0"/>
    <m/>
    <m/>
    <n v="13126700"/>
  </r>
  <r>
    <n v="950"/>
    <m/>
    <x v="0"/>
    <m/>
    <x v="0"/>
    <m/>
    <n v="0"/>
    <m/>
    <x v="0"/>
    <m/>
    <m/>
    <n v="13126700"/>
  </r>
  <r>
    <n v="951"/>
    <m/>
    <x v="0"/>
    <m/>
    <x v="0"/>
    <m/>
    <n v="0"/>
    <m/>
    <x v="0"/>
    <m/>
    <m/>
    <n v="13126700"/>
  </r>
  <r>
    <n v="952"/>
    <m/>
    <x v="0"/>
    <m/>
    <x v="0"/>
    <m/>
    <n v="0"/>
    <m/>
    <x v="0"/>
    <m/>
    <m/>
    <n v="13126700"/>
  </r>
  <r>
    <n v="953"/>
    <m/>
    <x v="0"/>
    <m/>
    <x v="0"/>
    <m/>
    <n v="0"/>
    <m/>
    <x v="0"/>
    <m/>
    <m/>
    <n v="13126700"/>
  </r>
  <r>
    <n v="954"/>
    <m/>
    <x v="0"/>
    <m/>
    <x v="0"/>
    <m/>
    <n v="0"/>
    <m/>
    <x v="0"/>
    <m/>
    <m/>
    <n v="13126700"/>
  </r>
  <r>
    <n v="955"/>
    <m/>
    <x v="0"/>
    <m/>
    <x v="0"/>
    <m/>
    <n v="0"/>
    <m/>
    <x v="0"/>
    <m/>
    <m/>
    <n v="13126700"/>
  </r>
  <r>
    <n v="956"/>
    <m/>
    <x v="0"/>
    <m/>
    <x v="0"/>
    <m/>
    <n v="0"/>
    <m/>
    <x v="0"/>
    <m/>
    <m/>
    <n v="13126700"/>
  </r>
  <r>
    <n v="957"/>
    <m/>
    <x v="0"/>
    <m/>
    <x v="0"/>
    <m/>
    <n v="0"/>
    <m/>
    <x v="0"/>
    <m/>
    <m/>
    <n v="13126700"/>
  </r>
  <r>
    <n v="958"/>
    <m/>
    <x v="0"/>
    <m/>
    <x v="0"/>
    <m/>
    <n v="0"/>
    <m/>
    <x v="0"/>
    <m/>
    <m/>
    <n v="13126700"/>
  </r>
  <r>
    <n v="959"/>
    <m/>
    <x v="0"/>
    <m/>
    <x v="0"/>
    <m/>
    <n v="0"/>
    <m/>
    <x v="0"/>
    <m/>
    <m/>
    <n v="13126700"/>
  </r>
  <r>
    <n v="960"/>
    <m/>
    <x v="0"/>
    <m/>
    <x v="0"/>
    <m/>
    <n v="0"/>
    <m/>
    <x v="0"/>
    <m/>
    <m/>
    <n v="13126700"/>
  </r>
  <r>
    <n v="961"/>
    <m/>
    <x v="0"/>
    <m/>
    <x v="0"/>
    <m/>
    <n v="0"/>
    <m/>
    <x v="0"/>
    <m/>
    <m/>
    <n v="13126700"/>
  </r>
  <r>
    <n v="962"/>
    <m/>
    <x v="0"/>
    <m/>
    <x v="0"/>
    <m/>
    <n v="0"/>
    <m/>
    <x v="0"/>
    <m/>
    <m/>
    <n v="13126700"/>
  </r>
  <r>
    <n v="963"/>
    <m/>
    <x v="0"/>
    <m/>
    <x v="0"/>
    <m/>
    <n v="0"/>
    <m/>
    <x v="0"/>
    <m/>
    <m/>
    <n v="13126700"/>
  </r>
  <r>
    <n v="964"/>
    <m/>
    <x v="0"/>
    <m/>
    <x v="0"/>
    <m/>
    <n v="0"/>
    <m/>
    <x v="0"/>
    <m/>
    <m/>
    <n v="13126700"/>
  </r>
  <r>
    <n v="965"/>
    <m/>
    <x v="0"/>
    <m/>
    <x v="0"/>
    <m/>
    <n v="0"/>
    <m/>
    <x v="0"/>
    <m/>
    <m/>
    <n v="13126700"/>
  </r>
  <r>
    <n v="966"/>
    <m/>
    <x v="0"/>
    <m/>
    <x v="0"/>
    <m/>
    <n v="0"/>
    <m/>
    <x v="0"/>
    <m/>
    <m/>
    <n v="13126700"/>
  </r>
  <r>
    <n v="967"/>
    <m/>
    <x v="0"/>
    <m/>
    <x v="0"/>
    <m/>
    <n v="0"/>
    <m/>
    <x v="0"/>
    <m/>
    <m/>
    <n v="13126700"/>
  </r>
  <r>
    <n v="968"/>
    <m/>
    <x v="0"/>
    <m/>
    <x v="0"/>
    <m/>
    <n v="0"/>
    <m/>
    <x v="0"/>
    <m/>
    <m/>
    <n v="13126700"/>
  </r>
  <r>
    <n v="969"/>
    <m/>
    <x v="0"/>
    <m/>
    <x v="0"/>
    <m/>
    <n v="0"/>
    <m/>
    <x v="0"/>
    <m/>
    <m/>
    <n v="13126700"/>
  </r>
  <r>
    <n v="970"/>
    <m/>
    <x v="0"/>
    <m/>
    <x v="0"/>
    <m/>
    <n v="0"/>
    <m/>
    <x v="0"/>
    <m/>
    <m/>
    <n v="13126700"/>
  </r>
  <r>
    <n v="971"/>
    <m/>
    <x v="0"/>
    <m/>
    <x v="0"/>
    <m/>
    <n v="0"/>
    <m/>
    <x v="0"/>
    <m/>
    <m/>
    <n v="13126700"/>
  </r>
  <r>
    <n v="972"/>
    <m/>
    <x v="0"/>
    <m/>
    <x v="0"/>
    <m/>
    <n v="0"/>
    <m/>
    <x v="0"/>
    <m/>
    <m/>
    <n v="13126700"/>
  </r>
  <r>
    <n v="973"/>
    <m/>
    <x v="0"/>
    <m/>
    <x v="0"/>
    <m/>
    <n v="0"/>
    <m/>
    <x v="0"/>
    <m/>
    <m/>
    <n v="13126700"/>
  </r>
  <r>
    <n v="974"/>
    <m/>
    <x v="0"/>
    <m/>
    <x v="0"/>
    <m/>
    <n v="0"/>
    <m/>
    <x v="0"/>
    <m/>
    <m/>
    <n v="13126700"/>
  </r>
  <r>
    <n v="975"/>
    <m/>
    <x v="0"/>
    <m/>
    <x v="0"/>
    <m/>
    <n v="0"/>
    <m/>
    <x v="0"/>
    <m/>
    <m/>
    <n v="13126700"/>
  </r>
  <r>
    <n v="976"/>
    <m/>
    <x v="0"/>
    <m/>
    <x v="0"/>
    <m/>
    <n v="0"/>
    <m/>
    <x v="0"/>
    <m/>
    <m/>
    <n v="13126700"/>
  </r>
  <r>
    <n v="977"/>
    <m/>
    <x v="0"/>
    <m/>
    <x v="0"/>
    <m/>
    <n v="0"/>
    <m/>
    <x v="0"/>
    <m/>
    <m/>
    <n v="13126700"/>
  </r>
  <r>
    <n v="978"/>
    <m/>
    <x v="0"/>
    <m/>
    <x v="0"/>
    <m/>
    <n v="0"/>
    <m/>
    <x v="0"/>
    <m/>
    <m/>
    <n v="13126700"/>
  </r>
  <r>
    <n v="979"/>
    <m/>
    <x v="0"/>
    <m/>
    <x v="0"/>
    <m/>
    <n v="0"/>
    <m/>
    <x v="0"/>
    <m/>
    <m/>
    <n v="13126700"/>
  </r>
  <r>
    <n v="980"/>
    <m/>
    <x v="0"/>
    <m/>
    <x v="0"/>
    <m/>
    <n v="0"/>
    <m/>
    <x v="0"/>
    <m/>
    <m/>
    <n v="13126700"/>
  </r>
  <r>
    <n v="981"/>
    <m/>
    <x v="0"/>
    <m/>
    <x v="0"/>
    <m/>
    <n v="0"/>
    <m/>
    <x v="0"/>
    <m/>
    <m/>
    <n v="13126700"/>
  </r>
  <r>
    <n v="982"/>
    <m/>
    <x v="0"/>
    <m/>
    <x v="0"/>
    <m/>
    <n v="0"/>
    <m/>
    <x v="0"/>
    <m/>
    <m/>
    <n v="13126700"/>
  </r>
  <r>
    <n v="983"/>
    <m/>
    <x v="0"/>
    <m/>
    <x v="0"/>
    <m/>
    <n v="0"/>
    <m/>
    <x v="0"/>
    <m/>
    <m/>
    <n v="13126700"/>
  </r>
  <r>
    <n v="984"/>
    <m/>
    <x v="0"/>
    <m/>
    <x v="0"/>
    <m/>
    <n v="0"/>
    <m/>
    <x v="0"/>
    <m/>
    <m/>
    <n v="13126700"/>
  </r>
  <r>
    <n v="985"/>
    <m/>
    <x v="0"/>
    <m/>
    <x v="0"/>
    <m/>
    <n v="0"/>
    <m/>
    <x v="0"/>
    <m/>
    <m/>
    <n v="13126700"/>
  </r>
  <r>
    <n v="986"/>
    <m/>
    <x v="0"/>
    <m/>
    <x v="0"/>
    <m/>
    <n v="0"/>
    <m/>
    <x v="0"/>
    <m/>
    <m/>
    <n v="13126700"/>
  </r>
  <r>
    <n v="987"/>
    <m/>
    <x v="0"/>
    <m/>
    <x v="0"/>
    <m/>
    <n v="0"/>
    <m/>
    <x v="0"/>
    <m/>
    <m/>
    <n v="13126700"/>
  </r>
  <r>
    <n v="988"/>
    <m/>
    <x v="0"/>
    <m/>
    <x v="0"/>
    <m/>
    <n v="0"/>
    <m/>
    <x v="0"/>
    <m/>
    <m/>
    <n v="13126700"/>
  </r>
  <r>
    <n v="989"/>
    <m/>
    <x v="0"/>
    <m/>
    <x v="0"/>
    <m/>
    <n v="0"/>
    <m/>
    <x v="0"/>
    <m/>
    <m/>
    <n v="13126700"/>
  </r>
  <r>
    <n v="990"/>
    <m/>
    <x v="0"/>
    <m/>
    <x v="0"/>
    <m/>
    <n v="0"/>
    <m/>
    <x v="0"/>
    <m/>
    <m/>
    <n v="13126700"/>
  </r>
  <r>
    <n v="991"/>
    <m/>
    <x v="0"/>
    <m/>
    <x v="0"/>
    <m/>
    <n v="0"/>
    <m/>
    <x v="0"/>
    <m/>
    <m/>
    <n v="13126700"/>
  </r>
  <r>
    <n v="992"/>
    <m/>
    <x v="0"/>
    <m/>
    <x v="0"/>
    <m/>
    <n v="0"/>
    <m/>
    <x v="0"/>
    <m/>
    <m/>
    <n v="13126700"/>
  </r>
  <r>
    <n v="993"/>
    <m/>
    <x v="0"/>
    <m/>
    <x v="0"/>
    <m/>
    <n v="0"/>
    <m/>
    <x v="0"/>
    <m/>
    <m/>
    <n v="13126700"/>
  </r>
  <r>
    <n v="994"/>
    <m/>
    <x v="0"/>
    <m/>
    <x v="0"/>
    <m/>
    <n v="0"/>
    <m/>
    <x v="0"/>
    <m/>
    <m/>
    <n v="13126700"/>
  </r>
  <r>
    <n v="995"/>
    <m/>
    <x v="0"/>
    <m/>
    <x v="0"/>
    <m/>
    <n v="0"/>
    <m/>
    <x v="0"/>
    <m/>
    <m/>
    <n v="13126700"/>
  </r>
  <r>
    <n v="996"/>
    <m/>
    <x v="0"/>
    <m/>
    <x v="0"/>
    <m/>
    <n v="0"/>
    <m/>
    <x v="0"/>
    <m/>
    <m/>
    <n v="13126700"/>
  </r>
  <r>
    <n v="997"/>
    <m/>
    <x v="0"/>
    <m/>
    <x v="0"/>
    <m/>
    <n v="0"/>
    <m/>
    <x v="0"/>
    <m/>
    <m/>
    <n v="13126700"/>
  </r>
  <r>
    <n v="998"/>
    <m/>
    <x v="0"/>
    <m/>
    <x v="0"/>
    <m/>
    <n v="0"/>
    <m/>
    <x v="0"/>
    <m/>
    <m/>
    <n v="13126700"/>
  </r>
  <r>
    <n v="999"/>
    <m/>
    <x v="0"/>
    <m/>
    <x v="0"/>
    <m/>
    <n v="0"/>
    <m/>
    <x v="0"/>
    <m/>
    <m/>
    <n v="13126700"/>
  </r>
  <r>
    <n v="1000"/>
    <m/>
    <x v="0"/>
    <m/>
    <x v="0"/>
    <m/>
    <n v="0"/>
    <m/>
    <x v="0"/>
    <m/>
    <m/>
    <n v="13126700"/>
  </r>
  <r>
    <n v="1001"/>
    <m/>
    <x v="0"/>
    <m/>
    <x v="0"/>
    <m/>
    <n v="0"/>
    <m/>
    <x v="0"/>
    <m/>
    <m/>
    <n v="13126700"/>
  </r>
  <r>
    <n v="1002"/>
    <m/>
    <x v="0"/>
    <m/>
    <x v="0"/>
    <m/>
    <n v="0"/>
    <m/>
    <x v="0"/>
    <m/>
    <m/>
    <n v="13126700"/>
  </r>
  <r>
    <n v="1003"/>
    <m/>
    <x v="0"/>
    <m/>
    <x v="0"/>
    <m/>
    <n v="0"/>
    <m/>
    <x v="0"/>
    <m/>
    <m/>
    <n v="13126700"/>
  </r>
  <r>
    <n v="1004"/>
    <m/>
    <x v="0"/>
    <m/>
    <x v="0"/>
    <m/>
    <n v="0"/>
    <m/>
    <x v="0"/>
    <m/>
    <m/>
    <n v="13126700"/>
  </r>
  <r>
    <n v="1005"/>
    <m/>
    <x v="0"/>
    <m/>
    <x v="0"/>
    <m/>
    <n v="0"/>
    <m/>
    <x v="0"/>
    <m/>
    <m/>
    <n v="13126700"/>
  </r>
  <r>
    <n v="1006"/>
    <m/>
    <x v="0"/>
    <m/>
    <x v="0"/>
    <m/>
    <n v="0"/>
    <m/>
    <x v="0"/>
    <m/>
    <m/>
    <n v="13126700"/>
  </r>
  <r>
    <n v="1007"/>
    <m/>
    <x v="0"/>
    <m/>
    <x v="0"/>
    <m/>
    <n v="0"/>
    <m/>
    <x v="0"/>
    <m/>
    <m/>
    <n v="13126700"/>
  </r>
  <r>
    <n v="1008"/>
    <m/>
    <x v="0"/>
    <m/>
    <x v="0"/>
    <m/>
    <n v="0"/>
    <m/>
    <x v="0"/>
    <m/>
    <m/>
    <n v="13126700"/>
  </r>
  <r>
    <n v="1009"/>
    <m/>
    <x v="0"/>
    <m/>
    <x v="0"/>
    <m/>
    <n v="0"/>
    <m/>
    <x v="0"/>
    <m/>
    <m/>
    <n v="13126700"/>
  </r>
  <r>
    <n v="1010"/>
    <m/>
    <x v="0"/>
    <m/>
    <x v="0"/>
    <m/>
    <n v="0"/>
    <m/>
    <x v="0"/>
    <m/>
    <m/>
    <n v="13126700"/>
  </r>
  <r>
    <n v="1011"/>
    <m/>
    <x v="0"/>
    <m/>
    <x v="0"/>
    <m/>
    <n v="0"/>
    <m/>
    <x v="0"/>
    <m/>
    <m/>
    <n v="13126700"/>
  </r>
  <r>
    <n v="1012"/>
    <m/>
    <x v="0"/>
    <m/>
    <x v="0"/>
    <m/>
    <n v="0"/>
    <m/>
    <x v="0"/>
    <m/>
    <m/>
    <n v="13126700"/>
  </r>
  <r>
    <n v="1013"/>
    <m/>
    <x v="0"/>
    <m/>
    <x v="0"/>
    <m/>
    <n v="0"/>
    <m/>
    <x v="0"/>
    <m/>
    <m/>
    <n v="13126700"/>
  </r>
  <r>
    <n v="1014"/>
    <m/>
    <x v="0"/>
    <m/>
    <x v="0"/>
    <m/>
    <n v="0"/>
    <m/>
    <x v="0"/>
    <m/>
    <m/>
    <n v="13126700"/>
  </r>
  <r>
    <n v="1015"/>
    <m/>
    <x v="0"/>
    <m/>
    <x v="0"/>
    <m/>
    <n v="0"/>
    <m/>
    <x v="0"/>
    <m/>
    <m/>
    <n v="13126700"/>
  </r>
  <r>
    <n v="1016"/>
    <m/>
    <x v="0"/>
    <m/>
    <x v="0"/>
    <m/>
    <n v="0"/>
    <m/>
    <x v="0"/>
    <m/>
    <m/>
    <n v="13126700"/>
  </r>
  <r>
    <n v="1017"/>
    <m/>
    <x v="0"/>
    <m/>
    <x v="0"/>
    <m/>
    <n v="0"/>
    <m/>
    <x v="0"/>
    <m/>
    <m/>
    <n v="13126700"/>
  </r>
  <r>
    <n v="1018"/>
    <m/>
    <x v="0"/>
    <m/>
    <x v="0"/>
    <m/>
    <n v="0"/>
    <m/>
    <x v="0"/>
    <m/>
    <m/>
    <n v="13126700"/>
  </r>
  <r>
    <n v="1019"/>
    <m/>
    <x v="0"/>
    <m/>
    <x v="0"/>
    <m/>
    <n v="0"/>
    <m/>
    <x v="0"/>
    <m/>
    <m/>
    <n v="13126700"/>
  </r>
  <r>
    <n v="1020"/>
    <m/>
    <x v="0"/>
    <m/>
    <x v="0"/>
    <m/>
    <n v="0"/>
    <m/>
    <x v="0"/>
    <m/>
    <m/>
    <n v="13126700"/>
  </r>
  <r>
    <n v="1021"/>
    <m/>
    <x v="0"/>
    <m/>
    <x v="0"/>
    <m/>
    <n v="0"/>
    <m/>
    <x v="0"/>
    <m/>
    <m/>
    <n v="13126700"/>
  </r>
  <r>
    <n v="1022"/>
    <m/>
    <x v="0"/>
    <m/>
    <x v="0"/>
    <m/>
    <n v="0"/>
    <m/>
    <x v="0"/>
    <m/>
    <m/>
    <n v="13126700"/>
  </r>
  <r>
    <n v="1023"/>
    <m/>
    <x v="0"/>
    <m/>
    <x v="0"/>
    <m/>
    <n v="0"/>
    <m/>
    <x v="0"/>
    <m/>
    <m/>
    <n v="13126700"/>
  </r>
  <r>
    <n v="1024"/>
    <m/>
    <x v="0"/>
    <m/>
    <x v="0"/>
    <m/>
    <n v="0"/>
    <m/>
    <x v="0"/>
    <m/>
    <m/>
    <n v="13126700"/>
  </r>
  <r>
    <n v="1025"/>
    <m/>
    <x v="0"/>
    <m/>
    <x v="0"/>
    <m/>
    <n v="0"/>
    <m/>
    <x v="0"/>
    <m/>
    <m/>
    <n v="13126700"/>
  </r>
  <r>
    <n v="1026"/>
    <m/>
    <x v="0"/>
    <m/>
    <x v="0"/>
    <m/>
    <n v="0"/>
    <m/>
    <x v="0"/>
    <m/>
    <m/>
    <n v="13126700"/>
  </r>
  <r>
    <n v="1027"/>
    <m/>
    <x v="0"/>
    <m/>
    <x v="0"/>
    <m/>
    <n v="0"/>
    <m/>
    <x v="0"/>
    <m/>
    <m/>
    <n v="13126700"/>
  </r>
  <r>
    <n v="1028"/>
    <m/>
    <x v="0"/>
    <m/>
    <x v="0"/>
    <m/>
    <n v="0"/>
    <m/>
    <x v="0"/>
    <m/>
    <m/>
    <n v="13126700"/>
  </r>
  <r>
    <n v="1029"/>
    <m/>
    <x v="0"/>
    <m/>
    <x v="0"/>
    <m/>
    <n v="0"/>
    <m/>
    <x v="0"/>
    <m/>
    <m/>
    <n v="13126700"/>
  </r>
  <r>
    <n v="1030"/>
    <m/>
    <x v="0"/>
    <m/>
    <x v="0"/>
    <m/>
    <n v="0"/>
    <m/>
    <x v="0"/>
    <m/>
    <m/>
    <n v="13126700"/>
  </r>
  <r>
    <n v="1031"/>
    <m/>
    <x v="0"/>
    <m/>
    <x v="0"/>
    <m/>
    <n v="0"/>
    <m/>
    <x v="0"/>
    <m/>
    <m/>
    <n v="13126700"/>
  </r>
  <r>
    <n v="1032"/>
    <m/>
    <x v="0"/>
    <m/>
    <x v="0"/>
    <m/>
    <n v="0"/>
    <m/>
    <x v="0"/>
    <m/>
    <m/>
    <n v="13126700"/>
  </r>
  <r>
    <n v="1033"/>
    <m/>
    <x v="0"/>
    <m/>
    <x v="0"/>
    <m/>
    <n v="0"/>
    <m/>
    <x v="0"/>
    <m/>
    <m/>
    <n v="13126700"/>
  </r>
  <r>
    <n v="1034"/>
    <m/>
    <x v="0"/>
    <m/>
    <x v="0"/>
    <m/>
    <n v="0"/>
    <m/>
    <x v="0"/>
    <m/>
    <m/>
    <n v="13126700"/>
  </r>
  <r>
    <n v="1035"/>
    <m/>
    <x v="0"/>
    <m/>
    <x v="0"/>
    <m/>
    <n v="0"/>
    <m/>
    <x v="0"/>
    <m/>
    <m/>
    <n v="13126700"/>
  </r>
  <r>
    <n v="1036"/>
    <m/>
    <x v="0"/>
    <m/>
    <x v="0"/>
    <m/>
    <n v="0"/>
    <m/>
    <x v="0"/>
    <m/>
    <m/>
    <n v="13126700"/>
  </r>
  <r>
    <n v="1037"/>
    <m/>
    <x v="0"/>
    <m/>
    <x v="0"/>
    <m/>
    <n v="0"/>
    <m/>
    <x v="0"/>
    <m/>
    <m/>
    <n v="13126700"/>
  </r>
  <r>
    <n v="1038"/>
    <m/>
    <x v="0"/>
    <m/>
    <x v="0"/>
    <m/>
    <n v="0"/>
    <m/>
    <x v="0"/>
    <m/>
    <m/>
    <n v="13126700"/>
  </r>
  <r>
    <n v="1039"/>
    <m/>
    <x v="0"/>
    <m/>
    <x v="0"/>
    <m/>
    <n v="0"/>
    <m/>
    <x v="0"/>
    <m/>
    <m/>
    <n v="13126700"/>
  </r>
  <r>
    <n v="1040"/>
    <m/>
    <x v="0"/>
    <m/>
    <x v="0"/>
    <m/>
    <n v="0"/>
    <m/>
    <x v="0"/>
    <m/>
    <m/>
    <n v="13126700"/>
  </r>
  <r>
    <n v="1041"/>
    <m/>
    <x v="0"/>
    <m/>
    <x v="0"/>
    <m/>
    <n v="0"/>
    <m/>
    <x v="0"/>
    <m/>
    <m/>
    <n v="13126700"/>
  </r>
  <r>
    <n v="1042"/>
    <m/>
    <x v="0"/>
    <m/>
    <x v="0"/>
    <m/>
    <n v="0"/>
    <m/>
    <x v="0"/>
    <m/>
    <m/>
    <n v="13126700"/>
  </r>
  <r>
    <n v="1043"/>
    <m/>
    <x v="0"/>
    <m/>
    <x v="0"/>
    <m/>
    <n v="0"/>
    <m/>
    <x v="0"/>
    <m/>
    <m/>
    <n v="13126700"/>
  </r>
  <r>
    <n v="1044"/>
    <m/>
    <x v="0"/>
    <m/>
    <x v="0"/>
    <m/>
    <n v="0"/>
    <m/>
    <x v="0"/>
    <m/>
    <m/>
    <n v="13126700"/>
  </r>
  <r>
    <n v="1045"/>
    <m/>
    <x v="0"/>
    <m/>
    <x v="0"/>
    <m/>
    <n v="0"/>
    <m/>
    <x v="0"/>
    <m/>
    <m/>
    <n v="13126700"/>
  </r>
  <r>
    <n v="1046"/>
    <m/>
    <x v="0"/>
    <m/>
    <x v="0"/>
    <m/>
    <n v="0"/>
    <m/>
    <x v="0"/>
    <m/>
    <m/>
    <n v="13126700"/>
  </r>
  <r>
    <n v="1047"/>
    <m/>
    <x v="0"/>
    <m/>
    <x v="0"/>
    <m/>
    <n v="0"/>
    <m/>
    <x v="0"/>
    <m/>
    <m/>
    <n v="13126700"/>
  </r>
  <r>
    <n v="1048"/>
    <m/>
    <x v="0"/>
    <m/>
    <x v="0"/>
    <m/>
    <n v="0"/>
    <m/>
    <x v="0"/>
    <m/>
    <m/>
    <n v="13126700"/>
  </r>
  <r>
    <n v="1049"/>
    <m/>
    <x v="0"/>
    <m/>
    <x v="0"/>
    <m/>
    <n v="0"/>
    <m/>
    <x v="0"/>
    <m/>
    <m/>
    <n v="13126700"/>
  </r>
  <r>
    <n v="1050"/>
    <m/>
    <x v="0"/>
    <m/>
    <x v="0"/>
    <m/>
    <n v="0"/>
    <m/>
    <x v="0"/>
    <m/>
    <m/>
    <n v="13126700"/>
  </r>
  <r>
    <n v="1051"/>
    <m/>
    <x v="0"/>
    <m/>
    <x v="0"/>
    <m/>
    <n v="0"/>
    <m/>
    <x v="0"/>
    <m/>
    <m/>
    <n v="13126700"/>
  </r>
  <r>
    <n v="1052"/>
    <m/>
    <x v="0"/>
    <m/>
    <x v="0"/>
    <m/>
    <n v="0"/>
    <m/>
    <x v="0"/>
    <m/>
    <m/>
    <n v="13126700"/>
  </r>
  <r>
    <n v="1053"/>
    <m/>
    <x v="0"/>
    <m/>
    <x v="0"/>
    <m/>
    <n v="0"/>
    <m/>
    <x v="0"/>
    <m/>
    <m/>
    <n v="13126700"/>
  </r>
  <r>
    <n v="1054"/>
    <m/>
    <x v="0"/>
    <m/>
    <x v="0"/>
    <m/>
    <n v="0"/>
    <m/>
    <x v="0"/>
    <m/>
    <m/>
    <n v="13126700"/>
  </r>
  <r>
    <n v="1055"/>
    <m/>
    <x v="0"/>
    <m/>
    <x v="0"/>
    <m/>
    <n v="0"/>
    <m/>
    <x v="0"/>
    <m/>
    <m/>
    <n v="13126700"/>
  </r>
  <r>
    <n v="1056"/>
    <m/>
    <x v="0"/>
    <m/>
    <x v="0"/>
    <m/>
    <n v="0"/>
    <m/>
    <x v="0"/>
    <m/>
    <m/>
    <n v="13126700"/>
  </r>
  <r>
    <n v="1057"/>
    <m/>
    <x v="0"/>
    <m/>
    <x v="0"/>
    <m/>
    <n v="0"/>
    <m/>
    <x v="0"/>
    <m/>
    <m/>
    <n v="13126700"/>
  </r>
  <r>
    <n v="1058"/>
    <m/>
    <x v="0"/>
    <m/>
    <x v="0"/>
    <m/>
    <n v="0"/>
    <m/>
    <x v="0"/>
    <m/>
    <m/>
    <n v="13126700"/>
  </r>
  <r>
    <n v="1059"/>
    <m/>
    <x v="0"/>
    <m/>
    <x v="0"/>
    <m/>
    <n v="0"/>
    <m/>
    <x v="0"/>
    <m/>
    <m/>
    <n v="13126700"/>
  </r>
  <r>
    <n v="1060"/>
    <m/>
    <x v="0"/>
    <m/>
    <x v="0"/>
    <m/>
    <n v="0"/>
    <m/>
    <x v="0"/>
    <m/>
    <m/>
    <n v="13126700"/>
  </r>
  <r>
    <n v="1061"/>
    <m/>
    <x v="0"/>
    <m/>
    <x v="0"/>
    <m/>
    <n v="0"/>
    <m/>
    <x v="0"/>
    <m/>
    <m/>
    <n v="13126700"/>
  </r>
  <r>
    <n v="1062"/>
    <m/>
    <x v="0"/>
    <m/>
    <x v="0"/>
    <m/>
    <n v="0"/>
    <m/>
    <x v="0"/>
    <m/>
    <m/>
    <n v="13126700"/>
  </r>
  <r>
    <n v="1063"/>
    <m/>
    <x v="0"/>
    <m/>
    <x v="0"/>
    <m/>
    <n v="0"/>
    <m/>
    <x v="0"/>
    <m/>
    <m/>
    <n v="13126700"/>
  </r>
  <r>
    <n v="1064"/>
    <m/>
    <x v="0"/>
    <m/>
    <x v="0"/>
    <m/>
    <n v="0"/>
    <m/>
    <x v="0"/>
    <m/>
    <m/>
    <n v="13126700"/>
  </r>
  <r>
    <n v="1065"/>
    <m/>
    <x v="0"/>
    <m/>
    <x v="0"/>
    <m/>
    <n v="0"/>
    <m/>
    <x v="0"/>
    <m/>
    <m/>
    <n v="13126700"/>
  </r>
  <r>
    <n v="1066"/>
    <m/>
    <x v="0"/>
    <m/>
    <x v="0"/>
    <m/>
    <n v="0"/>
    <m/>
    <x v="0"/>
    <m/>
    <m/>
    <n v="13126700"/>
  </r>
  <r>
    <n v="1067"/>
    <m/>
    <x v="0"/>
    <m/>
    <x v="0"/>
    <m/>
    <n v="0"/>
    <m/>
    <x v="0"/>
    <m/>
    <m/>
    <n v="13126700"/>
  </r>
  <r>
    <n v="1068"/>
    <m/>
    <x v="0"/>
    <m/>
    <x v="0"/>
    <m/>
    <n v="0"/>
    <m/>
    <x v="0"/>
    <m/>
    <m/>
    <n v="13126700"/>
  </r>
  <r>
    <n v="1069"/>
    <m/>
    <x v="0"/>
    <m/>
    <x v="0"/>
    <m/>
    <n v="0"/>
    <m/>
    <x v="0"/>
    <m/>
    <m/>
    <n v="13126700"/>
  </r>
  <r>
    <n v="1070"/>
    <m/>
    <x v="0"/>
    <m/>
    <x v="0"/>
    <m/>
    <n v="0"/>
    <m/>
    <x v="0"/>
    <m/>
    <m/>
    <n v="13126700"/>
  </r>
  <r>
    <n v="1071"/>
    <m/>
    <x v="0"/>
    <m/>
    <x v="0"/>
    <m/>
    <n v="0"/>
    <m/>
    <x v="0"/>
    <m/>
    <m/>
    <n v="13126700"/>
  </r>
  <r>
    <n v="1072"/>
    <m/>
    <x v="0"/>
    <m/>
    <x v="0"/>
    <m/>
    <n v="0"/>
    <m/>
    <x v="0"/>
    <m/>
    <m/>
    <n v="13126700"/>
  </r>
  <r>
    <n v="1073"/>
    <m/>
    <x v="0"/>
    <m/>
    <x v="0"/>
    <m/>
    <n v="0"/>
    <m/>
    <x v="0"/>
    <m/>
    <m/>
    <n v="13126700"/>
  </r>
  <r>
    <n v="1074"/>
    <m/>
    <x v="0"/>
    <m/>
    <x v="0"/>
    <m/>
    <n v="0"/>
    <m/>
    <x v="0"/>
    <m/>
    <m/>
    <n v="13126700"/>
  </r>
  <r>
    <n v="1075"/>
    <m/>
    <x v="0"/>
    <m/>
    <x v="0"/>
    <m/>
    <n v="0"/>
    <m/>
    <x v="0"/>
    <m/>
    <m/>
    <n v="13126700"/>
  </r>
  <r>
    <n v="1076"/>
    <m/>
    <x v="0"/>
    <m/>
    <x v="0"/>
    <m/>
    <n v="0"/>
    <m/>
    <x v="0"/>
    <m/>
    <m/>
    <n v="13126700"/>
  </r>
  <r>
    <n v="1077"/>
    <m/>
    <x v="0"/>
    <m/>
    <x v="0"/>
    <m/>
    <n v="0"/>
    <m/>
    <x v="0"/>
    <m/>
    <m/>
    <n v="13126700"/>
  </r>
  <r>
    <n v="1078"/>
    <m/>
    <x v="0"/>
    <m/>
    <x v="0"/>
    <m/>
    <n v="0"/>
    <m/>
    <x v="0"/>
    <m/>
    <m/>
    <n v="13126700"/>
  </r>
  <r>
    <n v="1079"/>
    <m/>
    <x v="0"/>
    <m/>
    <x v="0"/>
    <m/>
    <n v="0"/>
    <m/>
    <x v="0"/>
    <m/>
    <m/>
    <n v="13126700"/>
  </r>
  <r>
    <n v="1080"/>
    <m/>
    <x v="0"/>
    <m/>
    <x v="0"/>
    <m/>
    <n v="0"/>
    <m/>
    <x v="0"/>
    <m/>
    <m/>
    <n v="13126700"/>
  </r>
  <r>
    <n v="1081"/>
    <m/>
    <x v="0"/>
    <m/>
    <x v="0"/>
    <m/>
    <n v="0"/>
    <m/>
    <x v="0"/>
    <m/>
    <m/>
    <n v="13126700"/>
  </r>
  <r>
    <n v="1082"/>
    <m/>
    <x v="0"/>
    <m/>
    <x v="0"/>
    <m/>
    <n v="0"/>
    <m/>
    <x v="0"/>
    <m/>
    <m/>
    <n v="13126700"/>
  </r>
  <r>
    <n v="1083"/>
    <m/>
    <x v="0"/>
    <m/>
    <x v="0"/>
    <m/>
    <n v="0"/>
    <m/>
    <x v="0"/>
    <m/>
    <m/>
    <n v="13126700"/>
  </r>
  <r>
    <n v="1084"/>
    <m/>
    <x v="0"/>
    <m/>
    <x v="0"/>
    <m/>
    <n v="0"/>
    <m/>
    <x v="0"/>
    <m/>
    <m/>
    <n v="13126700"/>
  </r>
  <r>
    <n v="1085"/>
    <m/>
    <x v="0"/>
    <m/>
    <x v="0"/>
    <m/>
    <n v="0"/>
    <m/>
    <x v="0"/>
    <m/>
    <m/>
    <n v="13126700"/>
  </r>
  <r>
    <n v="1086"/>
    <m/>
    <x v="0"/>
    <m/>
    <x v="0"/>
    <m/>
    <n v="0"/>
    <m/>
    <x v="0"/>
    <m/>
    <m/>
    <n v="13126700"/>
  </r>
  <r>
    <n v="1087"/>
    <m/>
    <x v="0"/>
    <m/>
    <x v="0"/>
    <m/>
    <n v="0"/>
    <m/>
    <x v="0"/>
    <m/>
    <m/>
    <n v="13126700"/>
  </r>
  <r>
    <n v="1088"/>
    <m/>
    <x v="0"/>
    <m/>
    <x v="0"/>
    <m/>
    <n v="0"/>
    <m/>
    <x v="0"/>
    <m/>
    <m/>
    <n v="13126700"/>
  </r>
  <r>
    <n v="1089"/>
    <m/>
    <x v="0"/>
    <m/>
    <x v="0"/>
    <m/>
    <n v="0"/>
    <m/>
    <x v="0"/>
    <m/>
    <m/>
    <n v="13126700"/>
  </r>
  <r>
    <n v="1090"/>
    <m/>
    <x v="0"/>
    <m/>
    <x v="0"/>
    <m/>
    <n v="0"/>
    <m/>
    <x v="0"/>
    <m/>
    <m/>
    <n v="13126700"/>
  </r>
  <r>
    <n v="1091"/>
    <m/>
    <x v="0"/>
    <m/>
    <x v="0"/>
    <m/>
    <n v="0"/>
    <m/>
    <x v="0"/>
    <m/>
    <m/>
    <n v="13126700"/>
  </r>
  <r>
    <n v="1092"/>
    <m/>
    <x v="0"/>
    <m/>
    <x v="0"/>
    <m/>
    <n v="0"/>
    <m/>
    <x v="0"/>
    <m/>
    <m/>
    <n v="13126700"/>
  </r>
  <r>
    <n v="1093"/>
    <m/>
    <x v="0"/>
    <m/>
    <x v="0"/>
    <m/>
    <n v="0"/>
    <m/>
    <x v="0"/>
    <m/>
    <m/>
    <n v="13126700"/>
  </r>
  <r>
    <n v="1094"/>
    <m/>
    <x v="0"/>
    <m/>
    <x v="0"/>
    <m/>
    <n v="0"/>
    <m/>
    <x v="0"/>
    <m/>
    <m/>
    <n v="13126700"/>
  </r>
  <r>
    <n v="1095"/>
    <m/>
    <x v="0"/>
    <m/>
    <x v="0"/>
    <m/>
    <n v="0"/>
    <m/>
    <x v="0"/>
    <m/>
    <m/>
    <n v="13126700"/>
  </r>
  <r>
    <n v="1096"/>
    <m/>
    <x v="0"/>
    <m/>
    <x v="0"/>
    <m/>
    <n v="0"/>
    <m/>
    <x v="0"/>
    <m/>
    <m/>
    <n v="13126700"/>
  </r>
  <r>
    <n v="1097"/>
    <m/>
    <x v="0"/>
    <m/>
    <x v="0"/>
    <m/>
    <n v="0"/>
    <m/>
    <x v="0"/>
    <m/>
    <m/>
    <n v="13126700"/>
  </r>
  <r>
    <n v="1098"/>
    <m/>
    <x v="0"/>
    <m/>
    <x v="0"/>
    <m/>
    <n v="0"/>
    <m/>
    <x v="0"/>
    <m/>
    <m/>
    <n v="13126700"/>
  </r>
  <r>
    <n v="1099"/>
    <m/>
    <x v="0"/>
    <m/>
    <x v="0"/>
    <m/>
    <n v="0"/>
    <m/>
    <x v="0"/>
    <m/>
    <m/>
    <n v="13126700"/>
  </r>
  <r>
    <n v="1100"/>
    <m/>
    <x v="0"/>
    <m/>
    <x v="0"/>
    <m/>
    <n v="0"/>
    <m/>
    <x v="0"/>
    <m/>
    <m/>
    <n v="13126700"/>
  </r>
  <r>
    <n v="1101"/>
    <m/>
    <x v="0"/>
    <m/>
    <x v="0"/>
    <m/>
    <n v="0"/>
    <m/>
    <x v="0"/>
    <m/>
    <m/>
    <n v="13126700"/>
  </r>
  <r>
    <n v="1102"/>
    <m/>
    <x v="0"/>
    <m/>
    <x v="0"/>
    <m/>
    <n v="0"/>
    <m/>
    <x v="0"/>
    <m/>
    <m/>
    <n v="13126700"/>
  </r>
  <r>
    <n v="1103"/>
    <m/>
    <x v="0"/>
    <m/>
    <x v="0"/>
    <m/>
    <n v="0"/>
    <m/>
    <x v="0"/>
    <m/>
    <m/>
    <n v="13126700"/>
  </r>
  <r>
    <n v="1104"/>
    <m/>
    <x v="0"/>
    <m/>
    <x v="0"/>
    <m/>
    <n v="0"/>
    <m/>
    <x v="0"/>
    <m/>
    <m/>
    <n v="13126700"/>
  </r>
  <r>
    <n v="1105"/>
    <m/>
    <x v="0"/>
    <m/>
    <x v="0"/>
    <m/>
    <n v="0"/>
    <m/>
    <x v="0"/>
    <m/>
    <m/>
    <n v="13126700"/>
  </r>
  <r>
    <n v="1106"/>
    <m/>
    <x v="0"/>
    <m/>
    <x v="0"/>
    <m/>
    <n v="0"/>
    <m/>
    <x v="0"/>
    <m/>
    <m/>
    <n v="13126700"/>
  </r>
  <r>
    <n v="1107"/>
    <m/>
    <x v="0"/>
    <m/>
    <x v="0"/>
    <m/>
    <n v="0"/>
    <m/>
    <x v="0"/>
    <m/>
    <m/>
    <n v="13126700"/>
  </r>
  <r>
    <n v="1108"/>
    <m/>
    <x v="0"/>
    <m/>
    <x v="0"/>
    <m/>
    <n v="0"/>
    <m/>
    <x v="0"/>
    <m/>
    <m/>
    <n v="13126700"/>
  </r>
  <r>
    <n v="1109"/>
    <m/>
    <x v="0"/>
    <m/>
    <x v="0"/>
    <m/>
    <n v="0"/>
    <m/>
    <x v="0"/>
    <m/>
    <m/>
    <n v="13126700"/>
  </r>
  <r>
    <n v="1110"/>
    <m/>
    <x v="0"/>
    <m/>
    <x v="0"/>
    <m/>
    <n v="0"/>
    <m/>
    <x v="0"/>
    <m/>
    <m/>
    <n v="13126700"/>
  </r>
  <r>
    <n v="1111"/>
    <m/>
    <x v="0"/>
    <m/>
    <x v="0"/>
    <m/>
    <n v="0"/>
    <m/>
    <x v="0"/>
    <m/>
    <m/>
    <n v="13126700"/>
  </r>
  <r>
    <n v="1112"/>
    <m/>
    <x v="0"/>
    <m/>
    <x v="0"/>
    <m/>
    <n v="0"/>
    <m/>
    <x v="0"/>
    <m/>
    <m/>
    <n v="13126700"/>
  </r>
  <r>
    <n v="1113"/>
    <m/>
    <x v="0"/>
    <m/>
    <x v="0"/>
    <m/>
    <n v="0"/>
    <m/>
    <x v="0"/>
    <m/>
    <m/>
    <n v="13126700"/>
  </r>
  <r>
    <n v="1114"/>
    <m/>
    <x v="0"/>
    <m/>
    <x v="0"/>
    <m/>
    <n v="0"/>
    <m/>
    <x v="0"/>
    <m/>
    <m/>
    <n v="13126700"/>
  </r>
  <r>
    <n v="1115"/>
    <m/>
    <x v="0"/>
    <m/>
    <x v="0"/>
    <m/>
    <n v="0"/>
    <m/>
    <x v="0"/>
    <m/>
    <m/>
    <n v="13126700"/>
  </r>
  <r>
    <n v="1116"/>
    <m/>
    <x v="0"/>
    <m/>
    <x v="0"/>
    <m/>
    <n v="0"/>
    <m/>
    <x v="0"/>
    <m/>
    <m/>
    <n v="13126700"/>
  </r>
  <r>
    <n v="1117"/>
    <m/>
    <x v="0"/>
    <m/>
    <x v="0"/>
    <m/>
    <n v="0"/>
    <m/>
    <x v="0"/>
    <m/>
    <m/>
    <n v="13126700"/>
  </r>
  <r>
    <n v="1118"/>
    <m/>
    <x v="0"/>
    <m/>
    <x v="0"/>
    <m/>
    <n v="0"/>
    <m/>
    <x v="0"/>
    <m/>
    <m/>
    <n v="13126700"/>
  </r>
  <r>
    <n v="1119"/>
    <m/>
    <x v="0"/>
    <m/>
    <x v="0"/>
    <m/>
    <n v="0"/>
    <m/>
    <x v="0"/>
    <m/>
    <m/>
    <n v="13126700"/>
  </r>
  <r>
    <n v="1120"/>
    <m/>
    <x v="0"/>
    <m/>
    <x v="0"/>
    <m/>
    <n v="0"/>
    <m/>
    <x v="0"/>
    <m/>
    <m/>
    <n v="13126700"/>
  </r>
  <r>
    <n v="1121"/>
    <m/>
    <x v="0"/>
    <m/>
    <x v="0"/>
    <m/>
    <n v="0"/>
    <m/>
    <x v="0"/>
    <m/>
    <m/>
    <n v="13126700"/>
  </r>
  <r>
    <n v="1122"/>
    <m/>
    <x v="0"/>
    <m/>
    <x v="0"/>
    <m/>
    <n v="0"/>
    <m/>
    <x v="0"/>
    <m/>
    <m/>
    <n v="13126700"/>
  </r>
  <r>
    <n v="1123"/>
    <m/>
    <x v="0"/>
    <m/>
    <x v="0"/>
    <m/>
    <n v="0"/>
    <m/>
    <x v="0"/>
    <m/>
    <m/>
    <n v="13126700"/>
  </r>
  <r>
    <n v="1124"/>
    <m/>
    <x v="0"/>
    <m/>
    <x v="0"/>
    <m/>
    <n v="0"/>
    <m/>
    <x v="0"/>
    <m/>
    <m/>
    <n v="13126700"/>
  </r>
  <r>
    <n v="1125"/>
    <m/>
    <x v="0"/>
    <m/>
    <x v="0"/>
    <m/>
    <n v="0"/>
    <m/>
    <x v="0"/>
    <m/>
    <m/>
    <n v="13126700"/>
  </r>
  <r>
    <n v="1126"/>
    <m/>
    <x v="0"/>
    <m/>
    <x v="0"/>
    <m/>
    <n v="0"/>
    <m/>
    <x v="0"/>
    <m/>
    <m/>
    <n v="13126700"/>
  </r>
  <r>
    <n v="1127"/>
    <m/>
    <x v="0"/>
    <m/>
    <x v="0"/>
    <m/>
    <n v="0"/>
    <m/>
    <x v="0"/>
    <m/>
    <m/>
    <n v="13126700"/>
  </r>
  <r>
    <n v="1128"/>
    <m/>
    <x v="0"/>
    <m/>
    <x v="0"/>
    <m/>
    <n v="0"/>
    <m/>
    <x v="0"/>
    <m/>
    <m/>
    <n v="13126700"/>
  </r>
  <r>
    <n v="1129"/>
    <m/>
    <x v="0"/>
    <m/>
    <x v="0"/>
    <m/>
    <n v="0"/>
    <m/>
    <x v="0"/>
    <m/>
    <m/>
    <n v="13126700"/>
  </r>
  <r>
    <n v="1130"/>
    <m/>
    <x v="0"/>
    <m/>
    <x v="0"/>
    <m/>
    <n v="0"/>
    <m/>
    <x v="0"/>
    <m/>
    <m/>
    <n v="13126700"/>
  </r>
  <r>
    <n v="1131"/>
    <m/>
    <x v="0"/>
    <m/>
    <x v="0"/>
    <m/>
    <n v="0"/>
    <m/>
    <x v="0"/>
    <m/>
    <m/>
    <n v="13126700"/>
  </r>
  <r>
    <n v="1132"/>
    <m/>
    <x v="0"/>
    <m/>
    <x v="0"/>
    <m/>
    <n v="0"/>
    <m/>
    <x v="0"/>
    <m/>
    <m/>
    <n v="13126700"/>
  </r>
  <r>
    <n v="1133"/>
    <m/>
    <x v="0"/>
    <m/>
    <x v="0"/>
    <m/>
    <n v="0"/>
    <m/>
    <x v="0"/>
    <m/>
    <m/>
    <n v="13126700"/>
  </r>
  <r>
    <n v="1134"/>
    <m/>
    <x v="0"/>
    <m/>
    <x v="0"/>
    <m/>
    <n v="0"/>
    <m/>
    <x v="0"/>
    <m/>
    <m/>
    <n v="13126700"/>
  </r>
  <r>
    <n v="1135"/>
    <m/>
    <x v="0"/>
    <m/>
    <x v="0"/>
    <m/>
    <n v="0"/>
    <m/>
    <x v="0"/>
    <m/>
    <m/>
    <n v="13126700"/>
  </r>
  <r>
    <n v="1136"/>
    <m/>
    <x v="0"/>
    <m/>
    <x v="0"/>
    <m/>
    <n v="0"/>
    <m/>
    <x v="0"/>
    <m/>
    <m/>
    <n v="13126700"/>
  </r>
  <r>
    <n v="1137"/>
    <m/>
    <x v="0"/>
    <m/>
    <x v="0"/>
    <m/>
    <n v="0"/>
    <m/>
    <x v="0"/>
    <m/>
    <m/>
    <n v="13126700"/>
  </r>
  <r>
    <n v="1138"/>
    <m/>
    <x v="0"/>
    <m/>
    <x v="0"/>
    <m/>
    <n v="0"/>
    <m/>
    <x v="0"/>
    <m/>
    <m/>
    <n v="13126700"/>
  </r>
  <r>
    <n v="1139"/>
    <m/>
    <x v="0"/>
    <m/>
    <x v="0"/>
    <m/>
    <n v="0"/>
    <m/>
    <x v="0"/>
    <m/>
    <m/>
    <n v="13126700"/>
  </r>
  <r>
    <n v="1140"/>
    <m/>
    <x v="0"/>
    <m/>
    <x v="0"/>
    <m/>
    <n v="0"/>
    <m/>
    <x v="0"/>
    <m/>
    <m/>
    <n v="13126700"/>
  </r>
  <r>
    <n v="1141"/>
    <m/>
    <x v="0"/>
    <m/>
    <x v="0"/>
    <m/>
    <n v="0"/>
    <m/>
    <x v="0"/>
    <m/>
    <m/>
    <n v="13126700"/>
  </r>
  <r>
    <n v="1142"/>
    <m/>
    <x v="0"/>
    <m/>
    <x v="0"/>
    <m/>
    <n v="0"/>
    <m/>
    <x v="0"/>
    <m/>
    <m/>
    <n v="13126700"/>
  </r>
  <r>
    <n v="1143"/>
    <m/>
    <x v="0"/>
    <m/>
    <x v="0"/>
    <m/>
    <n v="0"/>
    <m/>
    <x v="0"/>
    <m/>
    <m/>
    <n v="13126700"/>
  </r>
  <r>
    <n v="1144"/>
    <m/>
    <x v="0"/>
    <m/>
    <x v="0"/>
    <m/>
    <n v="0"/>
    <m/>
    <x v="0"/>
    <m/>
    <m/>
    <n v="13126700"/>
  </r>
  <r>
    <n v="1145"/>
    <m/>
    <x v="0"/>
    <m/>
    <x v="0"/>
    <m/>
    <n v="0"/>
    <m/>
    <x v="0"/>
    <m/>
    <m/>
    <n v="13126700"/>
  </r>
  <r>
    <n v="1146"/>
    <m/>
    <x v="0"/>
    <m/>
    <x v="0"/>
    <m/>
    <n v="0"/>
    <m/>
    <x v="0"/>
    <m/>
    <m/>
    <n v="13126700"/>
  </r>
  <r>
    <n v="1147"/>
    <m/>
    <x v="0"/>
    <m/>
    <x v="0"/>
    <m/>
    <n v="0"/>
    <m/>
    <x v="0"/>
    <m/>
    <m/>
    <n v="13126700"/>
  </r>
  <r>
    <n v="1148"/>
    <m/>
    <x v="0"/>
    <m/>
    <x v="0"/>
    <m/>
    <n v="0"/>
    <m/>
    <x v="0"/>
    <m/>
    <m/>
    <n v="13126700"/>
  </r>
  <r>
    <n v="1149"/>
    <m/>
    <x v="0"/>
    <m/>
    <x v="0"/>
    <m/>
    <n v="0"/>
    <m/>
    <x v="0"/>
    <m/>
    <m/>
    <n v="13126700"/>
  </r>
  <r>
    <n v="1150"/>
    <m/>
    <x v="0"/>
    <m/>
    <x v="0"/>
    <m/>
    <n v="0"/>
    <m/>
    <x v="0"/>
    <m/>
    <m/>
    <n v="13126700"/>
  </r>
  <r>
    <n v="1151"/>
    <m/>
    <x v="0"/>
    <m/>
    <x v="0"/>
    <m/>
    <n v="0"/>
    <m/>
    <x v="0"/>
    <m/>
    <m/>
    <n v="13126700"/>
  </r>
  <r>
    <n v="1152"/>
    <m/>
    <x v="0"/>
    <m/>
    <x v="0"/>
    <m/>
    <n v="0"/>
    <m/>
    <x v="0"/>
    <m/>
    <m/>
    <n v="13126700"/>
  </r>
  <r>
    <n v="1153"/>
    <m/>
    <x v="0"/>
    <m/>
    <x v="0"/>
    <m/>
    <n v="0"/>
    <m/>
    <x v="0"/>
    <m/>
    <m/>
    <n v="13126700"/>
  </r>
  <r>
    <n v="1154"/>
    <m/>
    <x v="0"/>
    <m/>
    <x v="0"/>
    <m/>
    <n v="0"/>
    <m/>
    <x v="0"/>
    <m/>
    <m/>
    <n v="13126700"/>
  </r>
  <r>
    <n v="1155"/>
    <m/>
    <x v="0"/>
    <m/>
    <x v="0"/>
    <m/>
    <n v="0"/>
    <m/>
    <x v="0"/>
    <m/>
    <m/>
    <n v="13126700"/>
  </r>
  <r>
    <n v="1156"/>
    <m/>
    <x v="0"/>
    <m/>
    <x v="0"/>
    <m/>
    <n v="0"/>
    <m/>
    <x v="0"/>
    <m/>
    <m/>
    <n v="13126700"/>
  </r>
  <r>
    <n v="1157"/>
    <m/>
    <x v="0"/>
    <m/>
    <x v="0"/>
    <m/>
    <n v="0"/>
    <m/>
    <x v="0"/>
    <m/>
    <m/>
    <n v="13126700"/>
  </r>
  <r>
    <n v="1158"/>
    <m/>
    <x v="0"/>
    <m/>
    <x v="0"/>
    <m/>
    <n v="0"/>
    <m/>
    <x v="0"/>
    <m/>
    <m/>
    <n v="13126700"/>
  </r>
  <r>
    <n v="1159"/>
    <m/>
    <x v="0"/>
    <m/>
    <x v="0"/>
    <m/>
    <n v="0"/>
    <m/>
    <x v="0"/>
    <m/>
    <m/>
    <n v="13126700"/>
  </r>
  <r>
    <n v="1160"/>
    <m/>
    <x v="0"/>
    <m/>
    <x v="0"/>
    <m/>
    <n v="0"/>
    <m/>
    <x v="0"/>
    <m/>
    <m/>
    <n v="13126700"/>
  </r>
  <r>
    <n v="1161"/>
    <m/>
    <x v="0"/>
    <m/>
    <x v="0"/>
    <m/>
    <n v="0"/>
    <m/>
    <x v="0"/>
    <m/>
    <m/>
    <n v="13126700"/>
  </r>
  <r>
    <n v="1162"/>
    <m/>
    <x v="0"/>
    <m/>
    <x v="0"/>
    <m/>
    <n v="0"/>
    <m/>
    <x v="0"/>
    <m/>
    <m/>
    <n v="13126700"/>
  </r>
  <r>
    <n v="1163"/>
    <m/>
    <x v="0"/>
    <m/>
    <x v="0"/>
    <m/>
    <n v="0"/>
    <m/>
    <x v="0"/>
    <m/>
    <m/>
    <n v="13126700"/>
  </r>
  <r>
    <n v="1164"/>
    <m/>
    <x v="0"/>
    <m/>
    <x v="0"/>
    <m/>
    <n v="0"/>
    <m/>
    <x v="0"/>
    <m/>
    <m/>
    <n v="13126700"/>
  </r>
  <r>
    <n v="1165"/>
    <m/>
    <x v="0"/>
    <m/>
    <x v="0"/>
    <m/>
    <n v="0"/>
    <m/>
    <x v="0"/>
    <m/>
    <m/>
    <n v="13126700"/>
  </r>
  <r>
    <n v="1166"/>
    <m/>
    <x v="0"/>
    <m/>
    <x v="0"/>
    <m/>
    <n v="0"/>
    <m/>
    <x v="0"/>
    <m/>
    <m/>
    <n v="13126700"/>
  </r>
  <r>
    <n v="1167"/>
    <m/>
    <x v="0"/>
    <m/>
    <x v="0"/>
    <m/>
    <n v="0"/>
    <m/>
    <x v="0"/>
    <m/>
    <m/>
    <n v="13126700"/>
  </r>
  <r>
    <n v="1168"/>
    <m/>
    <x v="0"/>
    <m/>
    <x v="0"/>
    <m/>
    <n v="0"/>
    <m/>
    <x v="0"/>
    <m/>
    <m/>
    <n v="13126700"/>
  </r>
  <r>
    <n v="1169"/>
    <m/>
    <x v="0"/>
    <m/>
    <x v="0"/>
    <m/>
    <n v="0"/>
    <m/>
    <x v="0"/>
    <m/>
    <m/>
    <n v="13126700"/>
  </r>
  <r>
    <n v="1170"/>
    <m/>
    <x v="0"/>
    <m/>
    <x v="0"/>
    <m/>
    <n v="0"/>
    <m/>
    <x v="0"/>
    <m/>
    <m/>
    <n v="13126700"/>
  </r>
  <r>
    <n v="1171"/>
    <m/>
    <x v="0"/>
    <m/>
    <x v="0"/>
    <m/>
    <n v="0"/>
    <m/>
    <x v="0"/>
    <m/>
    <m/>
    <n v="13126700"/>
  </r>
  <r>
    <n v="1172"/>
    <m/>
    <x v="0"/>
    <m/>
    <x v="0"/>
    <m/>
    <n v="0"/>
    <m/>
    <x v="0"/>
    <m/>
    <m/>
    <n v="13126700"/>
  </r>
  <r>
    <n v="1173"/>
    <m/>
    <x v="0"/>
    <m/>
    <x v="0"/>
    <m/>
    <n v="0"/>
    <m/>
    <x v="0"/>
    <m/>
    <m/>
    <n v="13126700"/>
  </r>
  <r>
    <n v="1174"/>
    <m/>
    <x v="0"/>
    <m/>
    <x v="0"/>
    <m/>
    <n v="0"/>
    <m/>
    <x v="0"/>
    <m/>
    <m/>
    <n v="13126700"/>
  </r>
  <r>
    <n v="1175"/>
    <m/>
    <x v="0"/>
    <m/>
    <x v="0"/>
    <m/>
    <n v="0"/>
    <m/>
    <x v="0"/>
    <m/>
    <m/>
    <n v="13126700"/>
  </r>
  <r>
    <n v="1176"/>
    <m/>
    <x v="0"/>
    <m/>
    <x v="0"/>
    <m/>
    <n v="0"/>
    <m/>
    <x v="0"/>
    <m/>
    <m/>
    <n v="13126700"/>
  </r>
  <r>
    <n v="1177"/>
    <m/>
    <x v="0"/>
    <m/>
    <x v="0"/>
    <m/>
    <n v="0"/>
    <m/>
    <x v="0"/>
    <m/>
    <m/>
    <n v="13126700"/>
  </r>
  <r>
    <n v="1178"/>
    <m/>
    <x v="0"/>
    <m/>
    <x v="0"/>
    <m/>
    <n v="0"/>
    <m/>
    <x v="0"/>
    <m/>
    <m/>
    <n v="13126700"/>
  </r>
  <r>
    <n v="1179"/>
    <m/>
    <x v="0"/>
    <m/>
    <x v="0"/>
    <m/>
    <n v="0"/>
    <m/>
    <x v="0"/>
    <m/>
    <m/>
    <n v="13126700"/>
  </r>
  <r>
    <n v="1180"/>
    <m/>
    <x v="0"/>
    <m/>
    <x v="0"/>
    <m/>
    <n v="0"/>
    <m/>
    <x v="0"/>
    <m/>
    <m/>
    <n v="13126700"/>
  </r>
  <r>
    <n v="1181"/>
    <m/>
    <x v="0"/>
    <m/>
    <x v="0"/>
    <m/>
    <n v="0"/>
    <m/>
    <x v="0"/>
    <m/>
    <m/>
    <n v="13126700"/>
  </r>
  <r>
    <n v="1182"/>
    <m/>
    <x v="0"/>
    <m/>
    <x v="0"/>
    <m/>
    <n v="0"/>
    <m/>
    <x v="0"/>
    <m/>
    <m/>
    <n v="13126700"/>
  </r>
  <r>
    <n v="1183"/>
    <m/>
    <x v="0"/>
    <m/>
    <x v="0"/>
    <m/>
    <n v="0"/>
    <m/>
    <x v="0"/>
    <m/>
    <m/>
    <n v="13126700"/>
  </r>
  <r>
    <n v="1184"/>
    <m/>
    <x v="0"/>
    <m/>
    <x v="0"/>
    <m/>
    <n v="0"/>
    <m/>
    <x v="0"/>
    <m/>
    <m/>
    <n v="13126700"/>
  </r>
  <r>
    <n v="1185"/>
    <m/>
    <x v="0"/>
    <m/>
    <x v="0"/>
    <m/>
    <n v="0"/>
    <m/>
    <x v="0"/>
    <m/>
    <m/>
    <n v="13126700"/>
  </r>
  <r>
    <n v="1186"/>
    <m/>
    <x v="0"/>
    <m/>
    <x v="0"/>
    <m/>
    <n v="0"/>
    <m/>
    <x v="0"/>
    <m/>
    <m/>
    <n v="13126700"/>
  </r>
  <r>
    <n v="1187"/>
    <m/>
    <x v="0"/>
    <m/>
    <x v="0"/>
    <m/>
    <n v="0"/>
    <m/>
    <x v="0"/>
    <m/>
    <m/>
    <n v="13126700"/>
  </r>
  <r>
    <n v="1188"/>
    <m/>
    <x v="0"/>
    <m/>
    <x v="0"/>
    <m/>
    <n v="0"/>
    <m/>
    <x v="0"/>
    <m/>
    <m/>
    <n v="13126700"/>
  </r>
  <r>
    <n v="1189"/>
    <m/>
    <x v="0"/>
    <m/>
    <x v="0"/>
    <m/>
    <n v="0"/>
    <m/>
    <x v="0"/>
    <m/>
    <m/>
    <n v="13126700"/>
  </r>
  <r>
    <n v="1190"/>
    <m/>
    <x v="0"/>
    <m/>
    <x v="0"/>
    <m/>
    <n v="0"/>
    <m/>
    <x v="0"/>
    <m/>
    <m/>
    <n v="13126700"/>
  </r>
  <r>
    <n v="1191"/>
    <m/>
    <x v="0"/>
    <m/>
    <x v="0"/>
    <m/>
    <n v="0"/>
    <m/>
    <x v="0"/>
    <m/>
    <m/>
    <n v="13126700"/>
  </r>
  <r>
    <n v="1192"/>
    <m/>
    <x v="0"/>
    <m/>
    <x v="0"/>
    <m/>
    <n v="0"/>
    <m/>
    <x v="0"/>
    <m/>
    <m/>
    <n v="13126700"/>
  </r>
  <r>
    <n v="1193"/>
    <m/>
    <x v="0"/>
    <m/>
    <x v="0"/>
    <m/>
    <n v="0"/>
    <m/>
    <x v="0"/>
    <m/>
    <m/>
    <n v="13126700"/>
  </r>
  <r>
    <n v="1194"/>
    <m/>
    <x v="0"/>
    <m/>
    <x v="0"/>
    <m/>
    <n v="0"/>
    <m/>
    <x v="0"/>
    <m/>
    <m/>
    <n v="13126700"/>
  </r>
  <r>
    <n v="1195"/>
    <m/>
    <x v="0"/>
    <m/>
    <x v="0"/>
    <m/>
    <n v="0"/>
    <m/>
    <x v="0"/>
    <m/>
    <m/>
    <n v="13126700"/>
  </r>
  <r>
    <n v="1196"/>
    <m/>
    <x v="0"/>
    <m/>
    <x v="0"/>
    <m/>
    <n v="0"/>
    <m/>
    <x v="0"/>
    <m/>
    <m/>
    <n v="13126700"/>
  </r>
  <r>
    <n v="1197"/>
    <m/>
    <x v="0"/>
    <m/>
    <x v="0"/>
    <m/>
    <n v="0"/>
    <m/>
    <x v="0"/>
    <m/>
    <m/>
    <n v="13126700"/>
  </r>
  <r>
    <n v="1198"/>
    <m/>
    <x v="0"/>
    <m/>
    <x v="0"/>
    <m/>
    <n v="0"/>
    <m/>
    <x v="0"/>
    <m/>
    <m/>
    <n v="13126700"/>
  </r>
  <r>
    <n v="1199"/>
    <m/>
    <x v="0"/>
    <m/>
    <x v="0"/>
    <m/>
    <n v="0"/>
    <m/>
    <x v="0"/>
    <m/>
    <m/>
    <n v="13126700"/>
  </r>
  <r>
    <n v="1200"/>
    <m/>
    <x v="0"/>
    <m/>
    <x v="0"/>
    <m/>
    <n v="0"/>
    <m/>
    <x v="0"/>
    <m/>
    <m/>
    <n v="13126700"/>
  </r>
  <r>
    <n v="1201"/>
    <m/>
    <x v="0"/>
    <m/>
    <x v="0"/>
    <m/>
    <n v="0"/>
    <m/>
    <x v="0"/>
    <m/>
    <m/>
    <n v="13126700"/>
  </r>
  <r>
    <n v="1202"/>
    <m/>
    <x v="0"/>
    <m/>
    <x v="0"/>
    <m/>
    <n v="0"/>
    <m/>
    <x v="0"/>
    <m/>
    <m/>
    <n v="13126700"/>
  </r>
  <r>
    <n v="1203"/>
    <m/>
    <x v="0"/>
    <m/>
    <x v="0"/>
    <m/>
    <n v="0"/>
    <m/>
    <x v="0"/>
    <m/>
    <m/>
    <n v="13126700"/>
  </r>
  <r>
    <n v="1204"/>
    <m/>
    <x v="0"/>
    <m/>
    <x v="0"/>
    <m/>
    <n v="0"/>
    <m/>
    <x v="0"/>
    <m/>
    <m/>
    <n v="13126700"/>
  </r>
  <r>
    <n v="1205"/>
    <m/>
    <x v="0"/>
    <m/>
    <x v="0"/>
    <m/>
    <n v="0"/>
    <m/>
    <x v="0"/>
    <m/>
    <m/>
    <n v="13126700"/>
  </r>
  <r>
    <n v="1206"/>
    <m/>
    <x v="0"/>
    <m/>
    <x v="0"/>
    <m/>
    <n v="0"/>
    <m/>
    <x v="0"/>
    <m/>
    <m/>
    <n v="13126700"/>
  </r>
  <r>
    <n v="1207"/>
    <m/>
    <x v="0"/>
    <m/>
    <x v="0"/>
    <m/>
    <n v="0"/>
    <m/>
    <x v="0"/>
    <m/>
    <m/>
    <n v="13126700"/>
  </r>
  <r>
    <n v="1208"/>
    <m/>
    <x v="0"/>
    <m/>
    <x v="0"/>
    <m/>
    <n v="0"/>
    <m/>
    <x v="0"/>
    <m/>
    <m/>
    <n v="13126700"/>
  </r>
  <r>
    <n v="1209"/>
    <m/>
    <x v="0"/>
    <m/>
    <x v="0"/>
    <m/>
    <n v="0"/>
    <m/>
    <x v="0"/>
    <m/>
    <m/>
    <n v="13126700"/>
  </r>
  <r>
    <n v="1210"/>
    <m/>
    <x v="0"/>
    <m/>
    <x v="0"/>
    <m/>
    <n v="0"/>
    <m/>
    <x v="0"/>
    <m/>
    <m/>
    <n v="13126700"/>
  </r>
  <r>
    <n v="1211"/>
    <m/>
    <x v="0"/>
    <m/>
    <x v="0"/>
    <m/>
    <n v="0"/>
    <m/>
    <x v="0"/>
    <m/>
    <m/>
    <n v="13126700"/>
  </r>
  <r>
    <n v="1212"/>
    <m/>
    <x v="0"/>
    <m/>
    <x v="0"/>
    <m/>
    <n v="0"/>
    <m/>
    <x v="0"/>
    <m/>
    <m/>
    <n v="13126700"/>
  </r>
  <r>
    <n v="1213"/>
    <m/>
    <x v="0"/>
    <m/>
    <x v="0"/>
    <m/>
    <n v="0"/>
    <m/>
    <x v="0"/>
    <m/>
    <m/>
    <n v="13126700"/>
  </r>
  <r>
    <n v="1214"/>
    <m/>
    <x v="0"/>
    <m/>
    <x v="0"/>
    <m/>
    <n v="0"/>
    <m/>
    <x v="0"/>
    <m/>
    <m/>
    <n v="13126700"/>
  </r>
  <r>
    <n v="1215"/>
    <m/>
    <x v="0"/>
    <m/>
    <x v="0"/>
    <m/>
    <n v="0"/>
    <m/>
    <x v="0"/>
    <m/>
    <m/>
    <n v="13126700"/>
  </r>
  <r>
    <n v="1216"/>
    <m/>
    <x v="0"/>
    <m/>
    <x v="0"/>
    <m/>
    <n v="0"/>
    <m/>
    <x v="0"/>
    <m/>
    <m/>
    <n v="13126700"/>
  </r>
  <r>
    <n v="1217"/>
    <m/>
    <x v="0"/>
    <m/>
    <x v="0"/>
    <m/>
    <n v="0"/>
    <m/>
    <x v="0"/>
    <m/>
    <m/>
    <n v="13126700"/>
  </r>
  <r>
    <n v="1218"/>
    <m/>
    <x v="0"/>
    <m/>
    <x v="0"/>
    <m/>
    <n v="0"/>
    <m/>
    <x v="0"/>
    <m/>
    <m/>
    <n v="13126700"/>
  </r>
  <r>
    <n v="1219"/>
    <m/>
    <x v="0"/>
    <m/>
    <x v="0"/>
    <m/>
    <n v="0"/>
    <m/>
    <x v="0"/>
    <m/>
    <m/>
    <n v="13126700"/>
  </r>
  <r>
    <n v="1220"/>
    <m/>
    <x v="0"/>
    <m/>
    <x v="0"/>
    <m/>
    <n v="0"/>
    <m/>
    <x v="0"/>
    <m/>
    <m/>
    <n v="13126700"/>
  </r>
  <r>
    <n v="1221"/>
    <m/>
    <x v="0"/>
    <m/>
    <x v="0"/>
    <m/>
    <n v="0"/>
    <m/>
    <x v="0"/>
    <m/>
    <m/>
    <n v="13126700"/>
  </r>
  <r>
    <n v="1222"/>
    <m/>
    <x v="0"/>
    <m/>
    <x v="0"/>
    <m/>
    <n v="0"/>
    <m/>
    <x v="0"/>
    <m/>
    <m/>
    <n v="13126700"/>
  </r>
  <r>
    <n v="1223"/>
    <m/>
    <x v="0"/>
    <m/>
    <x v="0"/>
    <m/>
    <n v="0"/>
    <m/>
    <x v="0"/>
    <m/>
    <m/>
    <n v="13126700"/>
  </r>
  <r>
    <n v="1224"/>
    <m/>
    <x v="0"/>
    <m/>
    <x v="0"/>
    <m/>
    <n v="0"/>
    <m/>
    <x v="0"/>
    <m/>
    <m/>
    <n v="13126700"/>
  </r>
  <r>
    <n v="1225"/>
    <m/>
    <x v="0"/>
    <m/>
    <x v="0"/>
    <m/>
    <n v="0"/>
    <m/>
    <x v="0"/>
    <m/>
    <m/>
    <n v="13126700"/>
  </r>
  <r>
    <n v="1226"/>
    <m/>
    <x v="0"/>
    <m/>
    <x v="0"/>
    <m/>
    <n v="0"/>
    <m/>
    <x v="0"/>
    <m/>
    <m/>
    <n v="13126700"/>
  </r>
  <r>
    <n v="1227"/>
    <m/>
    <x v="0"/>
    <m/>
    <x v="0"/>
    <m/>
    <n v="0"/>
    <m/>
    <x v="0"/>
    <m/>
    <m/>
    <n v="13126700"/>
  </r>
  <r>
    <n v="1228"/>
    <m/>
    <x v="0"/>
    <m/>
    <x v="0"/>
    <m/>
    <n v="0"/>
    <m/>
    <x v="0"/>
    <m/>
    <m/>
    <n v="13126700"/>
  </r>
  <r>
    <n v="1229"/>
    <m/>
    <x v="0"/>
    <m/>
    <x v="0"/>
    <m/>
    <n v="0"/>
    <m/>
    <x v="0"/>
    <m/>
    <m/>
    <n v="13126700"/>
  </r>
  <r>
    <n v="1230"/>
    <m/>
    <x v="0"/>
    <m/>
    <x v="0"/>
    <m/>
    <n v="0"/>
    <m/>
    <x v="0"/>
    <m/>
    <m/>
    <n v="13126700"/>
  </r>
  <r>
    <n v="1231"/>
    <m/>
    <x v="0"/>
    <m/>
    <x v="0"/>
    <m/>
    <n v="0"/>
    <m/>
    <x v="0"/>
    <m/>
    <m/>
    <n v="13126700"/>
  </r>
  <r>
    <n v="1232"/>
    <m/>
    <x v="0"/>
    <m/>
    <x v="0"/>
    <m/>
    <n v="0"/>
    <m/>
    <x v="0"/>
    <m/>
    <m/>
    <n v="13126700"/>
  </r>
  <r>
    <n v="1233"/>
    <m/>
    <x v="0"/>
    <m/>
    <x v="0"/>
    <m/>
    <n v="0"/>
    <m/>
    <x v="0"/>
    <m/>
    <m/>
    <n v="13126700"/>
  </r>
  <r>
    <n v="1234"/>
    <m/>
    <x v="0"/>
    <m/>
    <x v="0"/>
    <m/>
    <n v="0"/>
    <m/>
    <x v="0"/>
    <m/>
    <m/>
    <n v="13126700"/>
  </r>
  <r>
    <n v="1235"/>
    <m/>
    <x v="0"/>
    <m/>
    <x v="0"/>
    <m/>
    <n v="0"/>
    <m/>
    <x v="0"/>
    <m/>
    <m/>
    <n v="13126700"/>
  </r>
  <r>
    <n v="1236"/>
    <m/>
    <x v="0"/>
    <m/>
    <x v="0"/>
    <m/>
    <n v="0"/>
    <m/>
    <x v="0"/>
    <m/>
    <m/>
    <n v="13126700"/>
  </r>
  <r>
    <n v="1237"/>
    <m/>
    <x v="0"/>
    <m/>
    <x v="0"/>
    <m/>
    <n v="0"/>
    <m/>
    <x v="0"/>
    <m/>
    <m/>
    <n v="13126700"/>
  </r>
  <r>
    <n v="1238"/>
    <m/>
    <x v="0"/>
    <m/>
    <x v="0"/>
    <m/>
    <n v="0"/>
    <m/>
    <x v="0"/>
    <m/>
    <m/>
    <n v="13126700"/>
  </r>
  <r>
    <n v="1239"/>
    <m/>
    <x v="0"/>
    <m/>
    <x v="0"/>
    <m/>
    <n v="0"/>
    <m/>
    <x v="0"/>
    <m/>
    <m/>
    <n v="13126700"/>
  </r>
  <r>
    <n v="1240"/>
    <m/>
    <x v="0"/>
    <m/>
    <x v="0"/>
    <m/>
    <n v="0"/>
    <m/>
    <x v="0"/>
    <m/>
    <m/>
    <n v="13126700"/>
  </r>
  <r>
    <n v="1241"/>
    <m/>
    <x v="0"/>
    <m/>
    <x v="0"/>
    <m/>
    <n v="0"/>
    <m/>
    <x v="0"/>
    <m/>
    <m/>
    <n v="13126700"/>
  </r>
  <r>
    <n v="1242"/>
    <m/>
    <x v="0"/>
    <m/>
    <x v="0"/>
    <m/>
    <n v="0"/>
    <m/>
    <x v="0"/>
    <m/>
    <m/>
    <n v="13126700"/>
  </r>
  <r>
    <n v="1243"/>
    <m/>
    <x v="0"/>
    <m/>
    <x v="0"/>
    <m/>
    <n v="0"/>
    <m/>
    <x v="0"/>
    <m/>
    <m/>
    <n v="13126700"/>
  </r>
  <r>
    <n v="1244"/>
    <m/>
    <x v="0"/>
    <m/>
    <x v="0"/>
    <m/>
    <n v="0"/>
    <m/>
    <x v="0"/>
    <m/>
    <m/>
    <n v="13126700"/>
  </r>
  <r>
    <n v="1245"/>
    <m/>
    <x v="0"/>
    <m/>
    <x v="0"/>
    <m/>
    <n v="0"/>
    <m/>
    <x v="0"/>
    <m/>
    <m/>
    <n v="13126700"/>
  </r>
  <r>
    <n v="1246"/>
    <m/>
    <x v="0"/>
    <m/>
    <x v="0"/>
    <m/>
    <n v="0"/>
    <m/>
    <x v="0"/>
    <m/>
    <m/>
    <n v="13126700"/>
  </r>
  <r>
    <n v="1247"/>
    <m/>
    <x v="0"/>
    <m/>
    <x v="0"/>
    <m/>
    <n v="0"/>
    <m/>
    <x v="0"/>
    <m/>
    <m/>
    <n v="13126700"/>
  </r>
  <r>
    <n v="1248"/>
    <m/>
    <x v="0"/>
    <m/>
    <x v="0"/>
    <m/>
    <n v="0"/>
    <m/>
    <x v="0"/>
    <m/>
    <m/>
    <n v="13126700"/>
  </r>
  <r>
    <n v="1249"/>
    <m/>
    <x v="0"/>
    <m/>
    <x v="0"/>
    <m/>
    <n v="0"/>
    <m/>
    <x v="0"/>
    <m/>
    <m/>
    <n v="13126700"/>
  </r>
  <r>
    <n v="1250"/>
    <m/>
    <x v="0"/>
    <m/>
    <x v="0"/>
    <m/>
    <n v="0"/>
    <m/>
    <x v="0"/>
    <m/>
    <m/>
    <n v="13126700"/>
  </r>
  <r>
    <n v="1251"/>
    <m/>
    <x v="0"/>
    <m/>
    <x v="0"/>
    <m/>
    <n v="0"/>
    <m/>
    <x v="0"/>
    <m/>
    <m/>
    <n v="13126700"/>
  </r>
  <r>
    <n v="1252"/>
    <m/>
    <x v="0"/>
    <m/>
    <x v="0"/>
    <m/>
    <n v="0"/>
    <m/>
    <x v="0"/>
    <m/>
    <m/>
    <n v="13126700"/>
  </r>
  <r>
    <n v="1253"/>
    <m/>
    <x v="0"/>
    <m/>
    <x v="0"/>
    <m/>
    <n v="0"/>
    <m/>
    <x v="0"/>
    <m/>
    <m/>
    <n v="13126700"/>
  </r>
  <r>
    <n v="1254"/>
    <m/>
    <x v="0"/>
    <m/>
    <x v="0"/>
    <m/>
    <n v="0"/>
    <m/>
    <x v="0"/>
    <m/>
    <m/>
    <n v="13126700"/>
  </r>
  <r>
    <n v="1255"/>
    <m/>
    <x v="0"/>
    <m/>
    <x v="0"/>
    <m/>
    <n v="0"/>
    <m/>
    <x v="0"/>
    <m/>
    <m/>
    <n v="13126700"/>
  </r>
  <r>
    <n v="1256"/>
    <m/>
    <x v="0"/>
    <m/>
    <x v="0"/>
    <m/>
    <n v="0"/>
    <m/>
    <x v="0"/>
    <m/>
    <m/>
    <n v="13126700"/>
  </r>
  <r>
    <n v="1257"/>
    <m/>
    <x v="0"/>
    <m/>
    <x v="0"/>
    <m/>
    <n v="0"/>
    <m/>
    <x v="0"/>
    <m/>
    <m/>
    <n v="13126700"/>
  </r>
  <r>
    <n v="1258"/>
    <m/>
    <x v="0"/>
    <m/>
    <x v="0"/>
    <m/>
    <n v="0"/>
    <m/>
    <x v="0"/>
    <m/>
    <m/>
    <n v="13126700"/>
  </r>
  <r>
    <n v="1259"/>
    <m/>
    <x v="0"/>
    <m/>
    <x v="0"/>
    <m/>
    <n v="0"/>
    <m/>
    <x v="0"/>
    <m/>
    <m/>
    <n v="13126700"/>
  </r>
  <r>
    <n v="1260"/>
    <m/>
    <x v="0"/>
    <m/>
    <x v="0"/>
    <m/>
    <n v="0"/>
    <m/>
    <x v="0"/>
    <m/>
    <m/>
    <n v="13126700"/>
  </r>
  <r>
    <n v="1261"/>
    <m/>
    <x v="0"/>
    <m/>
    <x v="0"/>
    <m/>
    <n v="0"/>
    <m/>
    <x v="0"/>
    <m/>
    <m/>
    <n v="13126700"/>
  </r>
  <r>
    <n v="1262"/>
    <m/>
    <x v="0"/>
    <m/>
    <x v="0"/>
    <m/>
    <n v="0"/>
    <m/>
    <x v="0"/>
    <m/>
    <m/>
    <n v="13126700"/>
  </r>
  <r>
    <n v="1263"/>
    <m/>
    <x v="0"/>
    <m/>
    <x v="0"/>
    <m/>
    <n v="0"/>
    <m/>
    <x v="0"/>
    <m/>
    <m/>
    <n v="13126700"/>
  </r>
  <r>
    <n v="1264"/>
    <m/>
    <x v="0"/>
    <m/>
    <x v="0"/>
    <m/>
    <n v="0"/>
    <m/>
    <x v="0"/>
    <m/>
    <m/>
    <n v="13126700"/>
  </r>
  <r>
    <n v="1265"/>
    <m/>
    <x v="0"/>
    <m/>
    <x v="0"/>
    <m/>
    <n v="0"/>
    <m/>
    <x v="0"/>
    <m/>
    <m/>
    <n v="13126700"/>
  </r>
  <r>
    <n v="1266"/>
    <m/>
    <x v="0"/>
    <m/>
    <x v="0"/>
    <m/>
    <n v="0"/>
    <m/>
    <x v="0"/>
    <m/>
    <m/>
    <n v="13126700"/>
  </r>
  <r>
    <n v="1267"/>
    <m/>
    <x v="0"/>
    <m/>
    <x v="0"/>
    <m/>
    <n v="0"/>
    <m/>
    <x v="0"/>
    <m/>
    <m/>
    <n v="13126700"/>
  </r>
  <r>
    <n v="1268"/>
    <m/>
    <x v="0"/>
    <m/>
    <x v="0"/>
    <m/>
    <n v="0"/>
    <m/>
    <x v="0"/>
    <m/>
    <m/>
    <n v="13126700"/>
  </r>
  <r>
    <n v="1269"/>
    <m/>
    <x v="0"/>
    <m/>
    <x v="0"/>
    <m/>
    <n v="0"/>
    <m/>
    <x v="0"/>
    <m/>
    <m/>
    <n v="13126700"/>
  </r>
  <r>
    <n v="1270"/>
    <m/>
    <x v="0"/>
    <m/>
    <x v="0"/>
    <m/>
    <n v="0"/>
    <m/>
    <x v="0"/>
    <m/>
    <m/>
    <n v="13126700"/>
  </r>
  <r>
    <n v="1271"/>
    <m/>
    <x v="0"/>
    <m/>
    <x v="0"/>
    <m/>
    <n v="0"/>
    <m/>
    <x v="0"/>
    <m/>
    <m/>
    <n v="13126700"/>
  </r>
  <r>
    <n v="1272"/>
    <m/>
    <x v="0"/>
    <m/>
    <x v="0"/>
    <m/>
    <n v="0"/>
    <m/>
    <x v="0"/>
    <m/>
    <m/>
    <n v="13126700"/>
  </r>
  <r>
    <n v="1273"/>
    <m/>
    <x v="0"/>
    <m/>
    <x v="0"/>
    <m/>
    <n v="0"/>
    <m/>
    <x v="0"/>
    <m/>
    <m/>
    <n v="13126700"/>
  </r>
  <r>
    <n v="1274"/>
    <m/>
    <x v="0"/>
    <m/>
    <x v="0"/>
    <m/>
    <n v="0"/>
    <m/>
    <x v="0"/>
    <m/>
    <m/>
    <n v="13126700"/>
  </r>
  <r>
    <n v="1275"/>
    <m/>
    <x v="0"/>
    <m/>
    <x v="0"/>
    <m/>
    <n v="0"/>
    <m/>
    <x v="0"/>
    <m/>
    <m/>
    <n v="13126700"/>
  </r>
  <r>
    <n v="1276"/>
    <m/>
    <x v="0"/>
    <m/>
    <x v="0"/>
    <m/>
    <n v="0"/>
    <m/>
    <x v="0"/>
    <m/>
    <m/>
    <n v="13126700"/>
  </r>
  <r>
    <n v="1277"/>
    <m/>
    <x v="0"/>
    <m/>
    <x v="0"/>
    <m/>
    <n v="0"/>
    <m/>
    <x v="0"/>
    <m/>
    <m/>
    <n v="13126700"/>
  </r>
  <r>
    <n v="1278"/>
    <m/>
    <x v="0"/>
    <m/>
    <x v="0"/>
    <m/>
    <n v="0"/>
    <m/>
    <x v="0"/>
    <m/>
    <m/>
    <n v="13126700"/>
  </r>
  <r>
    <n v="1279"/>
    <m/>
    <x v="0"/>
    <m/>
    <x v="0"/>
    <m/>
    <n v="0"/>
    <m/>
    <x v="0"/>
    <m/>
    <m/>
    <n v="13126700"/>
  </r>
  <r>
    <n v="1280"/>
    <m/>
    <x v="0"/>
    <m/>
    <x v="0"/>
    <m/>
    <n v="0"/>
    <m/>
    <x v="0"/>
    <m/>
    <m/>
    <n v="13126700"/>
  </r>
  <r>
    <n v="1281"/>
    <m/>
    <x v="0"/>
    <m/>
    <x v="0"/>
    <m/>
    <n v="0"/>
    <m/>
    <x v="0"/>
    <m/>
    <m/>
    <n v="13126700"/>
  </r>
  <r>
    <n v="1282"/>
    <m/>
    <x v="0"/>
    <m/>
    <x v="0"/>
    <m/>
    <n v="0"/>
    <m/>
    <x v="0"/>
    <m/>
    <m/>
    <n v="13126700"/>
  </r>
  <r>
    <n v="1283"/>
    <m/>
    <x v="0"/>
    <m/>
    <x v="0"/>
    <m/>
    <n v="0"/>
    <m/>
    <x v="0"/>
    <m/>
    <m/>
    <n v="13126700"/>
  </r>
  <r>
    <n v="1284"/>
    <m/>
    <x v="0"/>
    <m/>
    <x v="0"/>
    <m/>
    <n v="0"/>
    <m/>
    <x v="0"/>
    <m/>
    <m/>
    <n v="13126700"/>
  </r>
  <r>
    <n v="1285"/>
    <m/>
    <x v="0"/>
    <m/>
    <x v="0"/>
    <m/>
    <n v="0"/>
    <m/>
    <x v="0"/>
    <m/>
    <m/>
    <n v="13126700"/>
  </r>
  <r>
    <n v="1286"/>
    <m/>
    <x v="0"/>
    <m/>
    <x v="0"/>
    <m/>
    <n v="0"/>
    <m/>
    <x v="0"/>
    <m/>
    <m/>
    <n v="13126700"/>
  </r>
  <r>
    <n v="1287"/>
    <m/>
    <x v="0"/>
    <m/>
    <x v="0"/>
    <m/>
    <n v="0"/>
    <m/>
    <x v="0"/>
    <m/>
    <m/>
    <n v="13126700"/>
  </r>
  <r>
    <n v="1288"/>
    <m/>
    <x v="0"/>
    <m/>
    <x v="0"/>
    <m/>
    <n v="0"/>
    <m/>
    <x v="0"/>
    <m/>
    <m/>
    <n v="13126700"/>
  </r>
  <r>
    <n v="1289"/>
    <m/>
    <x v="0"/>
    <m/>
    <x v="0"/>
    <m/>
    <n v="0"/>
    <m/>
    <x v="0"/>
    <m/>
    <m/>
    <n v="13126700"/>
  </r>
  <r>
    <n v="1290"/>
    <m/>
    <x v="0"/>
    <m/>
    <x v="0"/>
    <m/>
    <n v="0"/>
    <m/>
    <x v="0"/>
    <m/>
    <m/>
    <n v="13126700"/>
  </r>
  <r>
    <n v="1291"/>
    <m/>
    <x v="0"/>
    <m/>
    <x v="0"/>
    <m/>
    <n v="0"/>
    <m/>
    <x v="0"/>
    <m/>
    <m/>
    <n v="13126700"/>
  </r>
  <r>
    <n v="1292"/>
    <m/>
    <x v="0"/>
    <m/>
    <x v="0"/>
    <m/>
    <n v="0"/>
    <m/>
    <x v="0"/>
    <m/>
    <m/>
    <n v="13126700"/>
  </r>
  <r>
    <n v="1293"/>
    <m/>
    <x v="0"/>
    <m/>
    <x v="0"/>
    <m/>
    <n v="0"/>
    <m/>
    <x v="0"/>
    <m/>
    <m/>
    <n v="13126700"/>
  </r>
  <r>
    <n v="1294"/>
    <m/>
    <x v="0"/>
    <m/>
    <x v="0"/>
    <m/>
    <n v="0"/>
    <m/>
    <x v="0"/>
    <m/>
    <m/>
    <n v="13126700"/>
  </r>
  <r>
    <n v="1295"/>
    <m/>
    <x v="0"/>
    <m/>
    <x v="0"/>
    <m/>
    <n v="0"/>
    <m/>
    <x v="0"/>
    <m/>
    <m/>
    <n v="13126700"/>
  </r>
  <r>
    <n v="1296"/>
    <m/>
    <x v="0"/>
    <m/>
    <x v="0"/>
    <m/>
    <n v="0"/>
    <m/>
    <x v="0"/>
    <m/>
    <m/>
    <n v="13126700"/>
  </r>
  <r>
    <n v="1297"/>
    <m/>
    <x v="0"/>
    <m/>
    <x v="0"/>
    <m/>
    <n v="0"/>
    <m/>
    <x v="0"/>
    <m/>
    <m/>
    <n v="13126700"/>
  </r>
  <r>
    <n v="1298"/>
    <m/>
    <x v="0"/>
    <m/>
    <x v="0"/>
    <m/>
    <n v="0"/>
    <m/>
    <x v="0"/>
    <m/>
    <m/>
    <n v="13126700"/>
  </r>
  <r>
    <n v="1299"/>
    <m/>
    <x v="0"/>
    <m/>
    <x v="0"/>
    <m/>
    <n v="0"/>
    <m/>
    <x v="0"/>
    <m/>
    <m/>
    <n v="13126700"/>
  </r>
  <r>
    <n v="1300"/>
    <m/>
    <x v="0"/>
    <m/>
    <x v="0"/>
    <m/>
    <n v="0"/>
    <m/>
    <x v="0"/>
    <m/>
    <m/>
    <n v="13126700"/>
  </r>
  <r>
    <n v="1301"/>
    <m/>
    <x v="0"/>
    <m/>
    <x v="0"/>
    <m/>
    <n v="0"/>
    <m/>
    <x v="0"/>
    <m/>
    <m/>
    <n v="13126700"/>
  </r>
  <r>
    <n v="1302"/>
    <m/>
    <x v="0"/>
    <m/>
    <x v="0"/>
    <m/>
    <n v="0"/>
    <m/>
    <x v="0"/>
    <m/>
    <m/>
    <n v="13126700"/>
  </r>
  <r>
    <n v="1303"/>
    <m/>
    <x v="0"/>
    <m/>
    <x v="0"/>
    <m/>
    <n v="0"/>
    <m/>
    <x v="0"/>
    <m/>
    <m/>
    <n v="13126700"/>
  </r>
  <r>
    <n v="1304"/>
    <m/>
    <x v="0"/>
    <m/>
    <x v="0"/>
    <m/>
    <n v="0"/>
    <m/>
    <x v="0"/>
    <m/>
    <m/>
    <n v="13126700"/>
  </r>
  <r>
    <n v="1305"/>
    <m/>
    <x v="0"/>
    <m/>
    <x v="0"/>
    <m/>
    <n v="0"/>
    <m/>
    <x v="0"/>
    <m/>
    <m/>
    <n v="13126700"/>
  </r>
  <r>
    <n v="1306"/>
    <m/>
    <x v="0"/>
    <m/>
    <x v="0"/>
    <m/>
    <n v="0"/>
    <m/>
    <x v="0"/>
    <m/>
    <m/>
    <n v="13126700"/>
  </r>
  <r>
    <n v="1307"/>
    <m/>
    <x v="0"/>
    <m/>
    <x v="0"/>
    <m/>
    <n v="0"/>
    <m/>
    <x v="0"/>
    <m/>
    <m/>
    <n v="13126700"/>
  </r>
  <r>
    <n v="1308"/>
    <m/>
    <x v="0"/>
    <m/>
    <x v="0"/>
    <m/>
    <n v="0"/>
    <m/>
    <x v="0"/>
    <m/>
    <m/>
    <n v="13126700"/>
  </r>
  <r>
    <n v="1309"/>
    <m/>
    <x v="0"/>
    <m/>
    <x v="0"/>
    <m/>
    <n v="0"/>
    <m/>
    <x v="0"/>
    <m/>
    <m/>
    <n v="13126700"/>
  </r>
  <r>
    <n v="1310"/>
    <m/>
    <x v="0"/>
    <m/>
    <x v="0"/>
    <m/>
    <n v="0"/>
    <m/>
    <x v="0"/>
    <m/>
    <m/>
    <n v="13126700"/>
  </r>
  <r>
    <n v="1311"/>
    <m/>
    <x v="0"/>
    <m/>
    <x v="0"/>
    <m/>
    <n v="0"/>
    <m/>
    <x v="0"/>
    <m/>
    <m/>
    <n v="13126700"/>
  </r>
  <r>
    <n v="1312"/>
    <m/>
    <x v="0"/>
    <m/>
    <x v="0"/>
    <m/>
    <n v="0"/>
    <m/>
    <x v="0"/>
    <m/>
    <m/>
    <n v="13126700"/>
  </r>
  <r>
    <n v="1313"/>
    <m/>
    <x v="0"/>
    <m/>
    <x v="0"/>
    <m/>
    <n v="0"/>
    <m/>
    <x v="0"/>
    <m/>
    <m/>
    <n v="13126700"/>
  </r>
  <r>
    <n v="1314"/>
    <m/>
    <x v="0"/>
    <m/>
    <x v="0"/>
    <m/>
    <n v="0"/>
    <m/>
    <x v="0"/>
    <m/>
    <m/>
    <n v="13126700"/>
  </r>
  <r>
    <n v="1315"/>
    <m/>
    <x v="0"/>
    <m/>
    <x v="0"/>
    <m/>
    <n v="0"/>
    <m/>
    <x v="0"/>
    <m/>
    <m/>
    <n v="13126700"/>
  </r>
  <r>
    <n v="1316"/>
    <m/>
    <x v="0"/>
    <m/>
    <x v="0"/>
    <m/>
    <n v="0"/>
    <m/>
    <x v="0"/>
    <m/>
    <m/>
    <n v="13126700"/>
  </r>
  <r>
    <n v="1317"/>
    <m/>
    <x v="0"/>
    <m/>
    <x v="0"/>
    <m/>
    <n v="0"/>
    <m/>
    <x v="0"/>
    <m/>
    <m/>
    <n v="13126700"/>
  </r>
  <r>
    <n v="1318"/>
    <m/>
    <x v="0"/>
    <m/>
    <x v="0"/>
    <m/>
    <n v="0"/>
    <m/>
    <x v="0"/>
    <m/>
    <m/>
    <n v="13126700"/>
  </r>
  <r>
    <n v="1319"/>
    <m/>
    <x v="0"/>
    <m/>
    <x v="0"/>
    <m/>
    <n v="0"/>
    <m/>
    <x v="0"/>
    <m/>
    <m/>
    <n v="13126700"/>
  </r>
  <r>
    <n v="1320"/>
    <m/>
    <x v="0"/>
    <m/>
    <x v="0"/>
    <m/>
    <n v="0"/>
    <m/>
    <x v="0"/>
    <m/>
    <m/>
    <n v="13126700"/>
  </r>
  <r>
    <n v="1321"/>
    <m/>
    <x v="0"/>
    <m/>
    <x v="0"/>
    <m/>
    <n v="0"/>
    <m/>
    <x v="0"/>
    <m/>
    <m/>
    <n v="13126700"/>
  </r>
  <r>
    <n v="1322"/>
    <m/>
    <x v="0"/>
    <m/>
    <x v="0"/>
    <m/>
    <n v="0"/>
    <m/>
    <x v="0"/>
    <m/>
    <m/>
    <n v="13126700"/>
  </r>
  <r>
    <n v="1323"/>
    <m/>
    <x v="0"/>
    <m/>
    <x v="0"/>
    <m/>
    <n v="0"/>
    <m/>
    <x v="0"/>
    <m/>
    <m/>
    <n v="13126700"/>
  </r>
  <r>
    <n v="1324"/>
    <m/>
    <x v="0"/>
    <m/>
    <x v="0"/>
    <m/>
    <n v="0"/>
    <m/>
    <x v="0"/>
    <m/>
    <m/>
    <n v="13126700"/>
  </r>
  <r>
    <n v="1325"/>
    <m/>
    <x v="0"/>
    <m/>
    <x v="0"/>
    <m/>
    <n v="0"/>
    <m/>
    <x v="0"/>
    <m/>
    <m/>
    <n v="13126700"/>
  </r>
  <r>
    <n v="1326"/>
    <m/>
    <x v="0"/>
    <m/>
    <x v="0"/>
    <m/>
    <n v="0"/>
    <m/>
    <x v="0"/>
    <m/>
    <m/>
    <n v="13126700"/>
  </r>
  <r>
    <n v="1327"/>
    <m/>
    <x v="0"/>
    <m/>
    <x v="0"/>
    <m/>
    <n v="0"/>
    <m/>
    <x v="0"/>
    <m/>
    <m/>
    <n v="13126700"/>
  </r>
  <r>
    <n v="1328"/>
    <m/>
    <x v="0"/>
    <m/>
    <x v="0"/>
    <m/>
    <n v="0"/>
    <m/>
    <x v="0"/>
    <m/>
    <m/>
    <n v="13126700"/>
  </r>
  <r>
    <n v="1329"/>
    <m/>
    <x v="0"/>
    <m/>
    <x v="0"/>
    <m/>
    <n v="0"/>
    <m/>
    <x v="0"/>
    <m/>
    <m/>
    <n v="13126700"/>
  </r>
  <r>
    <n v="1330"/>
    <m/>
    <x v="0"/>
    <m/>
    <x v="0"/>
    <m/>
    <n v="0"/>
    <m/>
    <x v="0"/>
    <m/>
    <m/>
    <n v="13126700"/>
  </r>
  <r>
    <n v="1331"/>
    <m/>
    <x v="0"/>
    <m/>
    <x v="0"/>
    <m/>
    <n v="0"/>
    <m/>
    <x v="0"/>
    <m/>
    <m/>
    <n v="13126700"/>
  </r>
  <r>
    <n v="1332"/>
    <m/>
    <x v="0"/>
    <m/>
    <x v="0"/>
    <m/>
    <n v="0"/>
    <m/>
    <x v="0"/>
    <m/>
    <m/>
    <n v="13126700"/>
  </r>
  <r>
    <n v="1333"/>
    <m/>
    <x v="0"/>
    <m/>
    <x v="0"/>
    <m/>
    <n v="0"/>
    <m/>
    <x v="0"/>
    <m/>
    <m/>
    <n v="13126700"/>
  </r>
  <r>
    <n v="1334"/>
    <m/>
    <x v="0"/>
    <m/>
    <x v="0"/>
    <m/>
    <n v="0"/>
    <m/>
    <x v="0"/>
    <m/>
    <m/>
    <n v="13126700"/>
  </r>
  <r>
    <n v="1335"/>
    <m/>
    <x v="0"/>
    <m/>
    <x v="0"/>
    <m/>
    <n v="0"/>
    <m/>
    <x v="0"/>
    <m/>
    <m/>
    <n v="13126700"/>
  </r>
  <r>
    <n v="1336"/>
    <m/>
    <x v="0"/>
    <m/>
    <x v="0"/>
    <m/>
    <n v="0"/>
    <m/>
    <x v="0"/>
    <m/>
    <m/>
    <n v="13126700"/>
  </r>
  <r>
    <n v="1337"/>
    <m/>
    <x v="0"/>
    <m/>
    <x v="0"/>
    <m/>
    <n v="0"/>
    <m/>
    <x v="0"/>
    <m/>
    <m/>
    <n v="13126700"/>
  </r>
  <r>
    <n v="1338"/>
    <m/>
    <x v="0"/>
    <m/>
    <x v="0"/>
    <m/>
    <n v="0"/>
    <m/>
    <x v="0"/>
    <m/>
    <m/>
    <n v="13126700"/>
  </r>
  <r>
    <n v="1339"/>
    <m/>
    <x v="0"/>
    <m/>
    <x v="0"/>
    <m/>
    <n v="0"/>
    <m/>
    <x v="0"/>
    <m/>
    <m/>
    <n v="13126700"/>
  </r>
  <r>
    <n v="1340"/>
    <m/>
    <x v="0"/>
    <m/>
    <x v="0"/>
    <m/>
    <n v="0"/>
    <m/>
    <x v="0"/>
    <m/>
    <m/>
    <n v="13126700"/>
  </r>
  <r>
    <n v="1341"/>
    <m/>
    <x v="0"/>
    <m/>
    <x v="0"/>
    <m/>
    <n v="0"/>
    <m/>
    <x v="0"/>
    <m/>
    <m/>
    <n v="13126700"/>
  </r>
  <r>
    <n v="1342"/>
    <m/>
    <x v="0"/>
    <m/>
    <x v="0"/>
    <m/>
    <n v="0"/>
    <m/>
    <x v="0"/>
    <m/>
    <m/>
    <n v="13126700"/>
  </r>
  <r>
    <n v="1343"/>
    <m/>
    <x v="0"/>
    <m/>
    <x v="0"/>
    <m/>
    <n v="0"/>
    <m/>
    <x v="0"/>
    <m/>
    <m/>
    <n v="13126700"/>
  </r>
  <r>
    <n v="1344"/>
    <m/>
    <x v="0"/>
    <m/>
    <x v="0"/>
    <m/>
    <n v="0"/>
    <m/>
    <x v="0"/>
    <m/>
    <m/>
    <n v="13126700"/>
  </r>
  <r>
    <n v="1345"/>
    <m/>
    <x v="0"/>
    <m/>
    <x v="0"/>
    <m/>
    <n v="0"/>
    <m/>
    <x v="0"/>
    <m/>
    <m/>
    <n v="13126700"/>
  </r>
  <r>
    <n v="1346"/>
    <m/>
    <x v="0"/>
    <m/>
    <x v="0"/>
    <m/>
    <n v="0"/>
    <m/>
    <x v="0"/>
    <m/>
    <m/>
    <n v="13126700"/>
  </r>
  <r>
    <n v="1347"/>
    <m/>
    <x v="0"/>
    <m/>
    <x v="0"/>
    <m/>
    <n v="0"/>
    <m/>
    <x v="0"/>
    <m/>
    <m/>
    <n v="13126700"/>
  </r>
  <r>
    <n v="1348"/>
    <m/>
    <x v="0"/>
    <m/>
    <x v="0"/>
    <m/>
    <n v="0"/>
    <m/>
    <x v="0"/>
    <m/>
    <m/>
    <n v="13126700"/>
  </r>
  <r>
    <n v="1349"/>
    <m/>
    <x v="0"/>
    <m/>
    <x v="0"/>
    <m/>
    <n v="0"/>
    <m/>
    <x v="0"/>
    <m/>
    <m/>
    <n v="13126700"/>
  </r>
  <r>
    <n v="1350"/>
    <m/>
    <x v="0"/>
    <m/>
    <x v="0"/>
    <m/>
    <n v="0"/>
    <m/>
    <x v="0"/>
    <m/>
    <m/>
    <n v="13126700"/>
  </r>
  <r>
    <n v="1351"/>
    <m/>
    <x v="0"/>
    <m/>
    <x v="0"/>
    <m/>
    <n v="0"/>
    <m/>
    <x v="0"/>
    <m/>
    <m/>
    <n v="13126700"/>
  </r>
  <r>
    <n v="1352"/>
    <m/>
    <x v="0"/>
    <m/>
    <x v="0"/>
    <m/>
    <n v="0"/>
    <m/>
    <x v="0"/>
    <m/>
    <m/>
    <n v="13126700"/>
  </r>
  <r>
    <n v="1353"/>
    <m/>
    <x v="0"/>
    <m/>
    <x v="0"/>
    <m/>
    <n v="0"/>
    <m/>
    <x v="0"/>
    <m/>
    <m/>
    <n v="13126700"/>
  </r>
  <r>
    <n v="1354"/>
    <m/>
    <x v="0"/>
    <m/>
    <x v="0"/>
    <m/>
    <n v="0"/>
    <m/>
    <x v="0"/>
    <m/>
    <m/>
    <n v="13126700"/>
  </r>
  <r>
    <n v="1355"/>
    <m/>
    <x v="0"/>
    <m/>
    <x v="0"/>
    <m/>
    <n v="0"/>
    <m/>
    <x v="0"/>
    <m/>
    <m/>
    <n v="13126700"/>
  </r>
  <r>
    <n v="1356"/>
    <m/>
    <x v="0"/>
    <m/>
    <x v="0"/>
    <m/>
    <n v="0"/>
    <m/>
    <x v="0"/>
    <m/>
    <m/>
    <n v="13126700"/>
  </r>
  <r>
    <n v="1357"/>
    <m/>
    <x v="0"/>
    <m/>
    <x v="0"/>
    <m/>
    <n v="0"/>
    <m/>
    <x v="0"/>
    <m/>
    <m/>
    <n v="13126700"/>
  </r>
  <r>
    <n v="1358"/>
    <m/>
    <x v="0"/>
    <m/>
    <x v="0"/>
    <m/>
    <n v="0"/>
    <m/>
    <x v="0"/>
    <m/>
    <m/>
    <n v="13126700"/>
  </r>
  <r>
    <n v="1359"/>
    <m/>
    <x v="0"/>
    <m/>
    <x v="0"/>
    <m/>
    <n v="0"/>
    <m/>
    <x v="0"/>
    <m/>
    <m/>
    <n v="13126700"/>
  </r>
  <r>
    <n v="1360"/>
    <m/>
    <x v="0"/>
    <m/>
    <x v="0"/>
    <m/>
    <n v="0"/>
    <m/>
    <x v="0"/>
    <m/>
    <m/>
    <n v="13126700"/>
  </r>
  <r>
    <n v="1361"/>
    <m/>
    <x v="0"/>
    <m/>
    <x v="0"/>
    <m/>
    <n v="0"/>
    <m/>
    <x v="0"/>
    <m/>
    <m/>
    <n v="13126700"/>
  </r>
  <r>
    <n v="1362"/>
    <m/>
    <x v="0"/>
    <m/>
    <x v="0"/>
    <m/>
    <n v="0"/>
    <m/>
    <x v="0"/>
    <m/>
    <m/>
    <n v="13126700"/>
  </r>
  <r>
    <n v="1363"/>
    <m/>
    <x v="0"/>
    <m/>
    <x v="0"/>
    <m/>
    <n v="0"/>
    <m/>
    <x v="0"/>
    <m/>
    <m/>
    <n v="13126700"/>
  </r>
  <r>
    <n v="1364"/>
    <m/>
    <x v="0"/>
    <m/>
    <x v="0"/>
    <m/>
    <n v="0"/>
    <m/>
    <x v="0"/>
    <m/>
    <m/>
    <n v="13126700"/>
  </r>
  <r>
    <n v="1365"/>
    <m/>
    <x v="0"/>
    <m/>
    <x v="0"/>
    <m/>
    <n v="0"/>
    <m/>
    <x v="0"/>
    <m/>
    <m/>
    <n v="13126700"/>
  </r>
  <r>
    <n v="1366"/>
    <m/>
    <x v="0"/>
    <m/>
    <x v="0"/>
    <m/>
    <n v="0"/>
    <m/>
    <x v="0"/>
    <m/>
    <m/>
    <n v="13126700"/>
  </r>
  <r>
    <n v="1367"/>
    <m/>
    <x v="0"/>
    <m/>
    <x v="0"/>
    <m/>
    <n v="0"/>
    <m/>
    <x v="0"/>
    <m/>
    <m/>
    <n v="13126700"/>
  </r>
  <r>
    <n v="1368"/>
    <m/>
    <x v="0"/>
    <m/>
    <x v="0"/>
    <m/>
    <n v="0"/>
    <m/>
    <x v="0"/>
    <m/>
    <m/>
    <n v="13126700"/>
  </r>
  <r>
    <n v="1369"/>
    <m/>
    <x v="0"/>
    <m/>
    <x v="0"/>
    <m/>
    <n v="0"/>
    <m/>
    <x v="0"/>
    <m/>
    <m/>
    <n v="13126700"/>
  </r>
  <r>
    <n v="1370"/>
    <m/>
    <x v="0"/>
    <m/>
    <x v="0"/>
    <m/>
    <n v="0"/>
    <m/>
    <x v="0"/>
    <m/>
    <m/>
    <n v="13126700"/>
  </r>
  <r>
    <n v="1371"/>
    <m/>
    <x v="0"/>
    <m/>
    <x v="0"/>
    <m/>
    <n v="0"/>
    <m/>
    <x v="0"/>
    <m/>
    <m/>
    <n v="13126700"/>
  </r>
  <r>
    <n v="1372"/>
    <m/>
    <x v="0"/>
    <m/>
    <x v="0"/>
    <m/>
    <n v="0"/>
    <m/>
    <x v="0"/>
    <m/>
    <m/>
    <n v="13126700"/>
  </r>
  <r>
    <n v="1373"/>
    <m/>
    <x v="0"/>
    <m/>
    <x v="0"/>
    <m/>
    <n v="0"/>
    <m/>
    <x v="0"/>
    <m/>
    <m/>
    <n v="13126700"/>
  </r>
  <r>
    <n v="1374"/>
    <m/>
    <x v="0"/>
    <m/>
    <x v="0"/>
    <m/>
    <n v="0"/>
    <m/>
    <x v="0"/>
    <m/>
    <m/>
    <n v="13126700"/>
  </r>
  <r>
    <n v="1375"/>
    <m/>
    <x v="0"/>
    <m/>
    <x v="0"/>
    <m/>
    <n v="0"/>
    <m/>
    <x v="0"/>
    <m/>
    <m/>
    <n v="13126700"/>
  </r>
  <r>
    <n v="1376"/>
    <m/>
    <x v="0"/>
    <m/>
    <x v="0"/>
    <m/>
    <n v="0"/>
    <m/>
    <x v="0"/>
    <m/>
    <m/>
    <n v="13126700"/>
  </r>
  <r>
    <n v="1377"/>
    <m/>
    <x v="0"/>
    <m/>
    <x v="0"/>
    <m/>
    <n v="0"/>
    <m/>
    <x v="0"/>
    <m/>
    <m/>
    <n v="13126700"/>
  </r>
  <r>
    <n v="1378"/>
    <m/>
    <x v="0"/>
    <m/>
    <x v="0"/>
    <m/>
    <n v="0"/>
    <m/>
    <x v="0"/>
    <m/>
    <m/>
    <n v="13126700"/>
  </r>
  <r>
    <n v="1379"/>
    <m/>
    <x v="0"/>
    <m/>
    <x v="0"/>
    <m/>
    <n v="0"/>
    <m/>
    <x v="0"/>
    <m/>
    <m/>
    <n v="13126700"/>
  </r>
  <r>
    <n v="1380"/>
    <m/>
    <x v="0"/>
    <m/>
    <x v="0"/>
    <m/>
    <n v="0"/>
    <m/>
    <x v="0"/>
    <m/>
    <m/>
    <n v="13126700"/>
  </r>
  <r>
    <n v="1381"/>
    <m/>
    <x v="0"/>
    <m/>
    <x v="0"/>
    <m/>
    <n v="0"/>
    <m/>
    <x v="0"/>
    <m/>
    <m/>
    <n v="13126700"/>
  </r>
  <r>
    <n v="1382"/>
    <m/>
    <x v="0"/>
    <m/>
    <x v="0"/>
    <m/>
    <n v="0"/>
    <m/>
    <x v="0"/>
    <m/>
    <m/>
    <n v="13126700"/>
  </r>
  <r>
    <n v="1383"/>
    <m/>
    <x v="0"/>
    <m/>
    <x v="0"/>
    <m/>
    <n v="0"/>
    <m/>
    <x v="0"/>
    <m/>
    <m/>
    <n v="13126700"/>
  </r>
  <r>
    <n v="1384"/>
    <m/>
    <x v="0"/>
    <m/>
    <x v="0"/>
    <m/>
    <n v="0"/>
    <m/>
    <x v="0"/>
    <m/>
    <m/>
    <n v="13126700"/>
  </r>
  <r>
    <n v="1385"/>
    <m/>
    <x v="0"/>
    <m/>
    <x v="0"/>
    <m/>
    <n v="0"/>
    <m/>
    <x v="0"/>
    <m/>
    <m/>
    <n v="13126700"/>
  </r>
  <r>
    <n v="1386"/>
    <m/>
    <x v="0"/>
    <m/>
    <x v="0"/>
    <m/>
    <n v="0"/>
    <m/>
    <x v="0"/>
    <m/>
    <m/>
    <n v="13126700"/>
  </r>
  <r>
    <n v="1387"/>
    <m/>
    <x v="0"/>
    <m/>
    <x v="0"/>
    <m/>
    <n v="0"/>
    <m/>
    <x v="0"/>
    <m/>
    <m/>
    <n v="13126700"/>
  </r>
  <r>
    <n v="1388"/>
    <m/>
    <x v="0"/>
    <m/>
    <x v="0"/>
    <m/>
    <n v="0"/>
    <m/>
    <x v="0"/>
    <m/>
    <m/>
    <n v="13126700"/>
  </r>
  <r>
    <n v="1389"/>
    <m/>
    <x v="0"/>
    <m/>
    <x v="0"/>
    <m/>
    <n v="0"/>
    <m/>
    <x v="0"/>
    <m/>
    <m/>
    <n v="13126700"/>
  </r>
  <r>
    <n v="1390"/>
    <m/>
    <x v="0"/>
    <m/>
    <x v="0"/>
    <m/>
    <n v="0"/>
    <m/>
    <x v="0"/>
    <m/>
    <m/>
    <n v="13126700"/>
  </r>
  <r>
    <n v="1391"/>
    <m/>
    <x v="0"/>
    <m/>
    <x v="0"/>
    <m/>
    <n v="0"/>
    <m/>
    <x v="0"/>
    <m/>
    <m/>
    <n v="13126700"/>
  </r>
  <r>
    <n v="1392"/>
    <m/>
    <x v="0"/>
    <m/>
    <x v="0"/>
    <m/>
    <n v="0"/>
    <m/>
    <x v="0"/>
    <m/>
    <m/>
    <n v="13126700"/>
  </r>
  <r>
    <n v="1393"/>
    <m/>
    <x v="0"/>
    <m/>
    <x v="0"/>
    <m/>
    <n v="0"/>
    <m/>
    <x v="0"/>
    <m/>
    <m/>
    <n v="13126700"/>
  </r>
  <r>
    <n v="1394"/>
    <m/>
    <x v="0"/>
    <m/>
    <x v="0"/>
    <m/>
    <n v="0"/>
    <m/>
    <x v="0"/>
    <m/>
    <m/>
    <n v="13126700"/>
  </r>
  <r>
    <n v="1395"/>
    <m/>
    <x v="0"/>
    <m/>
    <x v="0"/>
    <m/>
    <n v="0"/>
    <m/>
    <x v="0"/>
    <m/>
    <m/>
    <n v="13126700"/>
  </r>
  <r>
    <n v="1396"/>
    <m/>
    <x v="0"/>
    <m/>
    <x v="0"/>
    <m/>
    <n v="0"/>
    <m/>
    <x v="0"/>
    <m/>
    <m/>
    <n v="13126700"/>
  </r>
  <r>
    <n v="1397"/>
    <m/>
    <x v="0"/>
    <m/>
    <x v="0"/>
    <m/>
    <n v="0"/>
    <m/>
    <x v="0"/>
    <m/>
    <m/>
    <n v="13126700"/>
  </r>
  <r>
    <n v="1398"/>
    <m/>
    <x v="0"/>
    <m/>
    <x v="0"/>
    <m/>
    <n v="0"/>
    <m/>
    <x v="0"/>
    <m/>
    <m/>
    <n v="13126700"/>
  </r>
  <r>
    <n v="1399"/>
    <m/>
    <x v="0"/>
    <m/>
    <x v="0"/>
    <m/>
    <n v="0"/>
    <m/>
    <x v="0"/>
    <m/>
    <m/>
    <n v="13126700"/>
  </r>
  <r>
    <n v="1400"/>
    <m/>
    <x v="0"/>
    <m/>
    <x v="0"/>
    <m/>
    <n v="0"/>
    <m/>
    <x v="0"/>
    <m/>
    <m/>
    <n v="13126700"/>
  </r>
  <r>
    <n v="1401"/>
    <m/>
    <x v="0"/>
    <m/>
    <x v="0"/>
    <m/>
    <n v="0"/>
    <m/>
    <x v="0"/>
    <m/>
    <m/>
    <n v="13126700"/>
  </r>
  <r>
    <n v="1402"/>
    <m/>
    <x v="0"/>
    <m/>
    <x v="0"/>
    <m/>
    <n v="0"/>
    <m/>
    <x v="0"/>
    <m/>
    <m/>
    <n v="13126700"/>
  </r>
  <r>
    <n v="1403"/>
    <m/>
    <x v="0"/>
    <m/>
    <x v="0"/>
    <m/>
    <n v="0"/>
    <m/>
    <x v="0"/>
    <m/>
    <m/>
    <n v="13126700"/>
  </r>
  <r>
    <n v="1404"/>
    <m/>
    <x v="0"/>
    <m/>
    <x v="0"/>
    <m/>
    <n v="0"/>
    <m/>
    <x v="0"/>
    <m/>
    <m/>
    <n v="13126700"/>
  </r>
  <r>
    <n v="1405"/>
    <m/>
    <x v="0"/>
    <m/>
    <x v="0"/>
    <m/>
    <n v="0"/>
    <m/>
    <x v="0"/>
    <m/>
    <m/>
    <n v="13126700"/>
  </r>
  <r>
    <n v="1406"/>
    <m/>
    <x v="0"/>
    <m/>
    <x v="0"/>
    <m/>
    <n v="0"/>
    <m/>
    <x v="0"/>
    <m/>
    <m/>
    <n v="13126700"/>
  </r>
  <r>
    <n v="1407"/>
    <m/>
    <x v="0"/>
    <m/>
    <x v="0"/>
    <m/>
    <n v="0"/>
    <m/>
    <x v="0"/>
    <m/>
    <m/>
    <n v="13126700"/>
  </r>
  <r>
    <n v="1408"/>
    <m/>
    <x v="0"/>
    <m/>
    <x v="0"/>
    <m/>
    <n v="0"/>
    <m/>
    <x v="0"/>
    <m/>
    <m/>
    <n v="13126700"/>
  </r>
  <r>
    <n v="1409"/>
    <m/>
    <x v="0"/>
    <m/>
    <x v="0"/>
    <m/>
    <n v="0"/>
    <m/>
    <x v="0"/>
    <m/>
    <m/>
    <n v="13126700"/>
  </r>
  <r>
    <n v="1410"/>
    <m/>
    <x v="0"/>
    <m/>
    <x v="0"/>
    <m/>
    <n v="0"/>
    <m/>
    <x v="0"/>
    <m/>
    <m/>
    <n v="13126700"/>
  </r>
  <r>
    <n v="1411"/>
    <m/>
    <x v="0"/>
    <m/>
    <x v="0"/>
    <m/>
    <n v="0"/>
    <m/>
    <x v="0"/>
    <m/>
    <m/>
    <n v="13126700"/>
  </r>
  <r>
    <n v="1412"/>
    <m/>
    <x v="0"/>
    <m/>
    <x v="0"/>
    <m/>
    <n v="0"/>
    <m/>
    <x v="0"/>
    <m/>
    <m/>
    <n v="13126700"/>
  </r>
  <r>
    <n v="1413"/>
    <m/>
    <x v="0"/>
    <m/>
    <x v="0"/>
    <m/>
    <n v="0"/>
    <m/>
    <x v="0"/>
    <m/>
    <m/>
    <n v="13126700"/>
  </r>
  <r>
    <n v="1414"/>
    <m/>
    <x v="0"/>
    <m/>
    <x v="0"/>
    <m/>
    <n v="0"/>
    <m/>
    <x v="0"/>
    <m/>
    <m/>
    <n v="13126700"/>
  </r>
  <r>
    <n v="1415"/>
    <m/>
    <x v="0"/>
    <m/>
    <x v="0"/>
    <m/>
    <n v="0"/>
    <m/>
    <x v="0"/>
    <m/>
    <m/>
    <n v="13126700"/>
  </r>
  <r>
    <n v="1416"/>
    <m/>
    <x v="0"/>
    <m/>
    <x v="0"/>
    <m/>
    <n v="0"/>
    <m/>
    <x v="0"/>
    <m/>
    <m/>
    <n v="13126700"/>
  </r>
  <r>
    <n v="1417"/>
    <m/>
    <x v="0"/>
    <m/>
    <x v="0"/>
    <m/>
    <n v="0"/>
    <m/>
    <x v="0"/>
    <m/>
    <m/>
    <n v="13126700"/>
  </r>
  <r>
    <n v="1418"/>
    <m/>
    <x v="0"/>
    <m/>
    <x v="0"/>
    <m/>
    <n v="0"/>
    <m/>
    <x v="0"/>
    <m/>
    <m/>
    <n v="13126700"/>
  </r>
  <r>
    <n v="1419"/>
    <m/>
    <x v="0"/>
    <m/>
    <x v="0"/>
    <m/>
    <n v="0"/>
    <m/>
    <x v="0"/>
    <m/>
    <m/>
    <n v="13126700"/>
  </r>
  <r>
    <n v="1420"/>
    <m/>
    <x v="0"/>
    <m/>
    <x v="0"/>
    <m/>
    <n v="0"/>
    <m/>
    <x v="0"/>
    <m/>
    <m/>
    <n v="13126700"/>
  </r>
  <r>
    <n v="1421"/>
    <m/>
    <x v="0"/>
    <m/>
    <x v="0"/>
    <m/>
    <n v="0"/>
    <m/>
    <x v="0"/>
    <m/>
    <m/>
    <n v="13126700"/>
  </r>
  <r>
    <n v="1422"/>
    <m/>
    <x v="0"/>
    <m/>
    <x v="0"/>
    <m/>
    <n v="0"/>
    <m/>
    <x v="0"/>
    <m/>
    <m/>
    <n v="13126700"/>
  </r>
  <r>
    <n v="1423"/>
    <m/>
    <x v="0"/>
    <m/>
    <x v="0"/>
    <m/>
    <n v="0"/>
    <m/>
    <x v="0"/>
    <m/>
    <m/>
    <n v="13126700"/>
  </r>
  <r>
    <n v="1424"/>
    <m/>
    <x v="0"/>
    <m/>
    <x v="0"/>
    <m/>
    <n v="0"/>
    <m/>
    <x v="0"/>
    <m/>
    <m/>
    <n v="13126700"/>
  </r>
  <r>
    <n v="1425"/>
    <m/>
    <x v="0"/>
    <m/>
    <x v="0"/>
    <m/>
    <n v="0"/>
    <m/>
    <x v="0"/>
    <m/>
    <m/>
    <n v="13126700"/>
  </r>
  <r>
    <n v="1426"/>
    <m/>
    <x v="0"/>
    <m/>
    <x v="0"/>
    <m/>
    <n v="0"/>
    <m/>
    <x v="0"/>
    <m/>
    <m/>
    <n v="13126700"/>
  </r>
  <r>
    <n v="1427"/>
    <m/>
    <x v="0"/>
    <m/>
    <x v="0"/>
    <m/>
    <n v="0"/>
    <m/>
    <x v="0"/>
    <m/>
    <m/>
    <n v="13126700"/>
  </r>
  <r>
    <n v="1428"/>
    <m/>
    <x v="0"/>
    <m/>
    <x v="0"/>
    <m/>
    <n v="0"/>
    <m/>
    <x v="0"/>
    <m/>
    <m/>
    <n v="13126700"/>
  </r>
  <r>
    <n v="1429"/>
    <m/>
    <x v="0"/>
    <m/>
    <x v="0"/>
    <m/>
    <n v="0"/>
    <m/>
    <x v="0"/>
    <m/>
    <m/>
    <n v="13126700"/>
  </r>
  <r>
    <n v="1430"/>
    <m/>
    <x v="0"/>
    <m/>
    <x v="0"/>
    <m/>
    <n v="0"/>
    <m/>
    <x v="0"/>
    <m/>
    <m/>
    <n v="13126700"/>
  </r>
  <r>
    <n v="1431"/>
    <m/>
    <x v="0"/>
    <m/>
    <x v="0"/>
    <m/>
    <n v="0"/>
    <m/>
    <x v="0"/>
    <m/>
    <m/>
    <n v="13126700"/>
  </r>
  <r>
    <n v="1432"/>
    <m/>
    <x v="0"/>
    <m/>
    <x v="0"/>
    <m/>
    <n v="0"/>
    <m/>
    <x v="0"/>
    <m/>
    <m/>
    <n v="13126700"/>
  </r>
  <r>
    <n v="1433"/>
    <m/>
    <x v="0"/>
    <m/>
    <x v="0"/>
    <m/>
    <n v="0"/>
    <m/>
    <x v="0"/>
    <m/>
    <m/>
    <n v="13126700"/>
  </r>
  <r>
    <n v="1434"/>
    <m/>
    <x v="0"/>
    <m/>
    <x v="0"/>
    <m/>
    <n v="0"/>
    <m/>
    <x v="0"/>
    <m/>
    <m/>
    <n v="13126700"/>
  </r>
  <r>
    <n v="1435"/>
    <m/>
    <x v="0"/>
    <m/>
    <x v="0"/>
    <m/>
    <n v="0"/>
    <m/>
    <x v="0"/>
    <m/>
    <m/>
    <n v="13126700"/>
  </r>
  <r>
    <n v="1436"/>
    <m/>
    <x v="0"/>
    <m/>
    <x v="0"/>
    <m/>
    <n v="0"/>
    <m/>
    <x v="0"/>
    <m/>
    <m/>
    <n v="13126700"/>
  </r>
  <r>
    <n v="1437"/>
    <m/>
    <x v="0"/>
    <m/>
    <x v="0"/>
    <m/>
    <n v="0"/>
    <m/>
    <x v="0"/>
    <m/>
    <m/>
    <n v="13126700"/>
  </r>
  <r>
    <n v="1438"/>
    <m/>
    <x v="0"/>
    <m/>
    <x v="0"/>
    <m/>
    <n v="0"/>
    <m/>
    <x v="0"/>
    <m/>
    <m/>
    <n v="13126700"/>
  </r>
  <r>
    <n v="1439"/>
    <m/>
    <x v="0"/>
    <m/>
    <x v="0"/>
    <m/>
    <n v="0"/>
    <m/>
    <x v="0"/>
    <m/>
    <m/>
    <n v="13126700"/>
  </r>
  <r>
    <n v="1440"/>
    <m/>
    <x v="0"/>
    <m/>
    <x v="0"/>
    <m/>
    <n v="0"/>
    <m/>
    <x v="0"/>
    <m/>
    <m/>
    <n v="13126700"/>
  </r>
  <r>
    <n v="1441"/>
    <m/>
    <x v="0"/>
    <m/>
    <x v="0"/>
    <m/>
    <n v="0"/>
    <m/>
    <x v="0"/>
    <m/>
    <m/>
    <n v="13126700"/>
  </r>
  <r>
    <n v="1442"/>
    <m/>
    <x v="0"/>
    <m/>
    <x v="0"/>
    <m/>
    <n v="0"/>
    <m/>
    <x v="0"/>
    <m/>
    <m/>
    <n v="13126700"/>
  </r>
  <r>
    <n v="1443"/>
    <m/>
    <x v="0"/>
    <m/>
    <x v="0"/>
    <m/>
    <n v="0"/>
    <m/>
    <x v="0"/>
    <m/>
    <m/>
    <n v="13126700"/>
  </r>
  <r>
    <n v="1444"/>
    <m/>
    <x v="0"/>
    <m/>
    <x v="0"/>
    <m/>
    <n v="0"/>
    <m/>
    <x v="0"/>
    <m/>
    <m/>
    <n v="13126700"/>
  </r>
  <r>
    <n v="1445"/>
    <m/>
    <x v="0"/>
    <m/>
    <x v="0"/>
    <m/>
    <n v="0"/>
    <m/>
    <x v="0"/>
    <m/>
    <m/>
    <n v="13126700"/>
  </r>
  <r>
    <n v="1446"/>
    <m/>
    <x v="0"/>
    <m/>
    <x v="0"/>
    <m/>
    <n v="0"/>
    <m/>
    <x v="0"/>
    <m/>
    <m/>
    <n v="13126700"/>
  </r>
  <r>
    <n v="1447"/>
    <m/>
    <x v="0"/>
    <m/>
    <x v="0"/>
    <m/>
    <n v="0"/>
    <m/>
    <x v="0"/>
    <m/>
    <m/>
    <n v="13126700"/>
  </r>
  <r>
    <n v="1448"/>
    <m/>
    <x v="0"/>
    <m/>
    <x v="0"/>
    <m/>
    <n v="0"/>
    <m/>
    <x v="0"/>
    <m/>
    <m/>
    <n v="13126700"/>
  </r>
  <r>
    <n v="1449"/>
    <m/>
    <x v="0"/>
    <m/>
    <x v="0"/>
    <m/>
    <n v="0"/>
    <m/>
    <x v="0"/>
    <m/>
    <m/>
    <n v="13126700"/>
  </r>
  <r>
    <n v="1450"/>
    <m/>
    <x v="0"/>
    <m/>
    <x v="0"/>
    <m/>
    <n v="0"/>
    <m/>
    <x v="0"/>
    <m/>
    <m/>
    <n v="13126700"/>
  </r>
  <r>
    <n v="1451"/>
    <m/>
    <x v="0"/>
    <m/>
    <x v="0"/>
    <m/>
    <n v="0"/>
    <m/>
    <x v="0"/>
    <m/>
    <m/>
    <n v="13126700"/>
  </r>
  <r>
    <n v="1452"/>
    <m/>
    <x v="0"/>
    <m/>
    <x v="0"/>
    <m/>
    <n v="0"/>
    <m/>
    <x v="0"/>
    <m/>
    <m/>
    <n v="13126700"/>
  </r>
  <r>
    <n v="1453"/>
    <m/>
    <x v="0"/>
    <m/>
    <x v="0"/>
    <m/>
    <n v="0"/>
    <m/>
    <x v="0"/>
    <m/>
    <m/>
    <n v="13126700"/>
  </r>
  <r>
    <n v="1454"/>
    <m/>
    <x v="0"/>
    <m/>
    <x v="0"/>
    <m/>
    <n v="0"/>
    <m/>
    <x v="0"/>
    <m/>
    <m/>
    <n v="13126700"/>
  </r>
  <r>
    <n v="1455"/>
    <m/>
    <x v="0"/>
    <m/>
    <x v="0"/>
    <m/>
    <n v="0"/>
    <m/>
    <x v="0"/>
    <m/>
    <m/>
    <n v="13126700"/>
  </r>
  <r>
    <n v="1456"/>
    <m/>
    <x v="0"/>
    <m/>
    <x v="0"/>
    <m/>
    <n v="0"/>
    <m/>
    <x v="0"/>
    <m/>
    <m/>
    <n v="13126700"/>
  </r>
  <r>
    <n v="1457"/>
    <m/>
    <x v="0"/>
    <m/>
    <x v="0"/>
    <m/>
    <n v="0"/>
    <m/>
    <x v="0"/>
    <m/>
    <m/>
    <n v="13126700"/>
  </r>
  <r>
    <n v="1458"/>
    <m/>
    <x v="0"/>
    <m/>
    <x v="0"/>
    <m/>
    <n v="0"/>
    <m/>
    <x v="0"/>
    <m/>
    <m/>
    <n v="13126700"/>
  </r>
  <r>
    <n v="1459"/>
    <m/>
    <x v="0"/>
    <m/>
    <x v="0"/>
    <m/>
    <n v="0"/>
    <m/>
    <x v="0"/>
    <m/>
    <m/>
    <n v="13126700"/>
  </r>
  <r>
    <n v="1460"/>
    <m/>
    <x v="0"/>
    <m/>
    <x v="0"/>
    <m/>
    <n v="0"/>
    <m/>
    <x v="0"/>
    <m/>
    <m/>
    <n v="13126700"/>
  </r>
  <r>
    <n v="1461"/>
    <m/>
    <x v="0"/>
    <m/>
    <x v="0"/>
    <m/>
    <n v="0"/>
    <m/>
    <x v="0"/>
    <m/>
    <m/>
    <n v="13126700"/>
  </r>
  <r>
    <n v="1462"/>
    <m/>
    <x v="0"/>
    <m/>
    <x v="0"/>
    <m/>
    <n v="0"/>
    <m/>
    <x v="0"/>
    <m/>
    <m/>
    <n v="13126700"/>
  </r>
  <r>
    <n v="1463"/>
    <m/>
    <x v="0"/>
    <m/>
    <x v="0"/>
    <m/>
    <n v="0"/>
    <m/>
    <x v="0"/>
    <m/>
    <m/>
    <n v="13126700"/>
  </r>
  <r>
    <n v="1464"/>
    <m/>
    <x v="0"/>
    <m/>
    <x v="0"/>
    <m/>
    <n v="0"/>
    <m/>
    <x v="0"/>
    <m/>
    <m/>
    <n v="13126700"/>
  </r>
  <r>
    <n v="1465"/>
    <m/>
    <x v="0"/>
    <m/>
    <x v="0"/>
    <m/>
    <n v="0"/>
    <m/>
    <x v="0"/>
    <m/>
    <m/>
    <n v="13126700"/>
  </r>
  <r>
    <n v="1466"/>
    <m/>
    <x v="0"/>
    <m/>
    <x v="0"/>
    <m/>
    <n v="0"/>
    <m/>
    <x v="0"/>
    <m/>
    <m/>
    <n v="13126700"/>
  </r>
  <r>
    <n v="1467"/>
    <m/>
    <x v="0"/>
    <m/>
    <x v="0"/>
    <m/>
    <n v="0"/>
    <m/>
    <x v="0"/>
    <m/>
    <m/>
    <n v="13126700"/>
  </r>
  <r>
    <n v="1468"/>
    <m/>
    <x v="0"/>
    <m/>
    <x v="0"/>
    <m/>
    <n v="0"/>
    <m/>
    <x v="0"/>
    <m/>
    <m/>
    <n v="13126700"/>
  </r>
  <r>
    <n v="1469"/>
    <m/>
    <x v="0"/>
    <m/>
    <x v="0"/>
    <m/>
    <n v="0"/>
    <m/>
    <x v="0"/>
    <m/>
    <m/>
    <n v="13126700"/>
  </r>
  <r>
    <n v="1470"/>
    <m/>
    <x v="0"/>
    <m/>
    <x v="0"/>
    <m/>
    <n v="0"/>
    <m/>
    <x v="0"/>
    <m/>
    <m/>
    <n v="13126700"/>
  </r>
  <r>
    <n v="1471"/>
    <m/>
    <x v="0"/>
    <m/>
    <x v="0"/>
    <m/>
    <n v="0"/>
    <m/>
    <x v="0"/>
    <m/>
    <m/>
    <n v="13126700"/>
  </r>
  <r>
    <n v="1472"/>
    <m/>
    <x v="0"/>
    <m/>
    <x v="0"/>
    <m/>
    <n v="0"/>
    <m/>
    <x v="0"/>
    <m/>
    <m/>
    <n v="13126700"/>
  </r>
  <r>
    <n v="1473"/>
    <m/>
    <x v="0"/>
    <m/>
    <x v="0"/>
    <m/>
    <n v="0"/>
    <m/>
    <x v="0"/>
    <m/>
    <m/>
    <n v="13126700"/>
  </r>
  <r>
    <n v="1474"/>
    <m/>
    <x v="0"/>
    <m/>
    <x v="0"/>
    <m/>
    <n v="0"/>
    <m/>
    <x v="0"/>
    <m/>
    <m/>
    <n v="13126700"/>
  </r>
  <r>
    <n v="1475"/>
    <m/>
    <x v="0"/>
    <m/>
    <x v="0"/>
    <m/>
    <n v="0"/>
    <m/>
    <x v="0"/>
    <m/>
    <m/>
    <n v="13126700"/>
  </r>
  <r>
    <n v="1476"/>
    <m/>
    <x v="0"/>
    <m/>
    <x v="0"/>
    <m/>
    <n v="0"/>
    <m/>
    <x v="0"/>
    <m/>
    <m/>
    <n v="13126700"/>
  </r>
  <r>
    <n v="1477"/>
    <m/>
    <x v="0"/>
    <m/>
    <x v="0"/>
    <m/>
    <n v="0"/>
    <m/>
    <x v="0"/>
    <m/>
    <m/>
    <n v="13126700"/>
  </r>
  <r>
    <n v="1478"/>
    <m/>
    <x v="0"/>
    <m/>
    <x v="0"/>
    <m/>
    <n v="0"/>
    <m/>
    <x v="0"/>
    <m/>
    <m/>
    <n v="13126700"/>
  </r>
  <r>
    <n v="1479"/>
    <m/>
    <x v="0"/>
    <m/>
    <x v="0"/>
    <m/>
    <n v="0"/>
    <m/>
    <x v="0"/>
    <m/>
    <m/>
    <n v="13126700"/>
  </r>
  <r>
    <n v="1480"/>
    <m/>
    <x v="0"/>
    <m/>
    <x v="0"/>
    <m/>
    <n v="0"/>
    <m/>
    <x v="0"/>
    <m/>
    <m/>
    <n v="13126700"/>
  </r>
  <r>
    <n v="1481"/>
    <m/>
    <x v="0"/>
    <m/>
    <x v="0"/>
    <m/>
    <n v="0"/>
    <m/>
    <x v="0"/>
    <m/>
    <m/>
    <n v="13126700"/>
  </r>
  <r>
    <n v="1482"/>
    <m/>
    <x v="0"/>
    <m/>
    <x v="0"/>
    <m/>
    <n v="0"/>
    <m/>
    <x v="0"/>
    <m/>
    <m/>
    <n v="13126700"/>
  </r>
  <r>
    <n v="1483"/>
    <m/>
    <x v="0"/>
    <m/>
    <x v="0"/>
    <m/>
    <n v="0"/>
    <m/>
    <x v="0"/>
    <m/>
    <m/>
    <n v="13126700"/>
  </r>
  <r>
    <n v="1484"/>
    <m/>
    <x v="0"/>
    <m/>
    <x v="0"/>
    <m/>
    <n v="0"/>
    <m/>
    <x v="0"/>
    <m/>
    <m/>
    <n v="13126700"/>
  </r>
  <r>
    <n v="1485"/>
    <m/>
    <x v="0"/>
    <m/>
    <x v="0"/>
    <m/>
    <n v="0"/>
    <m/>
    <x v="0"/>
    <m/>
    <m/>
    <n v="13126700"/>
  </r>
  <r>
    <n v="1486"/>
    <m/>
    <x v="0"/>
    <m/>
    <x v="0"/>
    <m/>
    <n v="0"/>
    <m/>
    <x v="0"/>
    <m/>
    <m/>
    <n v="13126700"/>
  </r>
  <r>
    <n v="1487"/>
    <m/>
    <x v="0"/>
    <m/>
    <x v="0"/>
    <m/>
    <n v="0"/>
    <m/>
    <x v="0"/>
    <m/>
    <m/>
    <n v="13126700"/>
  </r>
  <r>
    <n v="1488"/>
    <m/>
    <x v="0"/>
    <m/>
    <x v="0"/>
    <m/>
    <n v="0"/>
    <m/>
    <x v="0"/>
    <m/>
    <m/>
    <n v="13126700"/>
  </r>
  <r>
    <n v="1489"/>
    <m/>
    <x v="0"/>
    <m/>
    <x v="0"/>
    <m/>
    <n v="0"/>
    <m/>
    <x v="0"/>
    <m/>
    <m/>
    <n v="13126700"/>
  </r>
  <r>
    <n v="1490"/>
    <m/>
    <x v="0"/>
    <m/>
    <x v="0"/>
    <m/>
    <n v="0"/>
    <m/>
    <x v="0"/>
    <m/>
    <m/>
    <n v="13126700"/>
  </r>
  <r>
    <n v="1491"/>
    <m/>
    <x v="0"/>
    <m/>
    <x v="0"/>
    <m/>
    <n v="0"/>
    <m/>
    <x v="0"/>
    <m/>
    <m/>
    <n v="13126700"/>
  </r>
  <r>
    <n v="1492"/>
    <m/>
    <x v="0"/>
    <m/>
    <x v="0"/>
    <m/>
    <n v="0"/>
    <m/>
    <x v="0"/>
    <m/>
    <m/>
    <n v="13126700"/>
  </r>
  <r>
    <n v="1493"/>
    <m/>
    <x v="0"/>
    <m/>
    <x v="0"/>
    <m/>
    <n v="0"/>
    <m/>
    <x v="0"/>
    <m/>
    <m/>
    <n v="13126700"/>
  </r>
  <r>
    <n v="1494"/>
    <m/>
    <x v="0"/>
    <m/>
    <x v="0"/>
    <m/>
    <n v="0"/>
    <m/>
    <x v="0"/>
    <m/>
    <m/>
    <n v="13126700"/>
  </r>
  <r>
    <n v="1495"/>
    <m/>
    <x v="0"/>
    <m/>
    <x v="0"/>
    <m/>
    <n v="0"/>
    <m/>
    <x v="0"/>
    <m/>
    <m/>
    <n v="13126700"/>
  </r>
  <r>
    <n v="1496"/>
    <m/>
    <x v="0"/>
    <m/>
    <x v="0"/>
    <m/>
    <n v="0"/>
    <m/>
    <x v="0"/>
    <m/>
    <m/>
    <n v="13126700"/>
  </r>
  <r>
    <n v="1497"/>
    <m/>
    <x v="0"/>
    <m/>
    <x v="0"/>
    <m/>
    <n v="0"/>
    <m/>
    <x v="0"/>
    <m/>
    <m/>
    <n v="13126700"/>
  </r>
  <r>
    <n v="1498"/>
    <m/>
    <x v="0"/>
    <m/>
    <x v="0"/>
    <m/>
    <n v="0"/>
    <m/>
    <x v="0"/>
    <m/>
    <m/>
    <n v="13126700"/>
  </r>
  <r>
    <n v="1499"/>
    <m/>
    <x v="0"/>
    <m/>
    <x v="0"/>
    <m/>
    <n v="0"/>
    <m/>
    <x v="0"/>
    <m/>
    <m/>
    <n v="13126700"/>
  </r>
  <r>
    <n v="1500"/>
    <m/>
    <x v="0"/>
    <m/>
    <x v="0"/>
    <m/>
    <n v="0"/>
    <m/>
    <x v="0"/>
    <m/>
    <m/>
    <n v="13126700"/>
  </r>
  <r>
    <n v="1501"/>
    <m/>
    <x v="0"/>
    <m/>
    <x v="0"/>
    <m/>
    <n v="0"/>
    <m/>
    <x v="0"/>
    <m/>
    <m/>
    <n v="13126700"/>
  </r>
  <r>
    <n v="1502"/>
    <m/>
    <x v="0"/>
    <m/>
    <x v="0"/>
    <m/>
    <n v="0"/>
    <m/>
    <x v="0"/>
    <m/>
    <m/>
    <n v="13126700"/>
  </r>
  <r>
    <n v="1503"/>
    <m/>
    <x v="0"/>
    <m/>
    <x v="0"/>
    <m/>
    <n v="0"/>
    <m/>
    <x v="0"/>
    <m/>
    <m/>
    <n v="13126700"/>
  </r>
  <r>
    <n v="1504"/>
    <m/>
    <x v="0"/>
    <m/>
    <x v="0"/>
    <m/>
    <n v="0"/>
    <m/>
    <x v="0"/>
    <m/>
    <m/>
    <n v="13126700"/>
  </r>
  <r>
    <n v="1505"/>
    <m/>
    <x v="0"/>
    <m/>
    <x v="0"/>
    <m/>
    <n v="0"/>
    <m/>
    <x v="0"/>
    <m/>
    <m/>
    <n v="13126700"/>
  </r>
  <r>
    <n v="1506"/>
    <m/>
    <x v="0"/>
    <m/>
    <x v="0"/>
    <m/>
    <n v="0"/>
    <m/>
    <x v="0"/>
    <m/>
    <m/>
    <n v="13126700"/>
  </r>
  <r>
    <n v="1507"/>
    <m/>
    <x v="0"/>
    <m/>
    <x v="0"/>
    <m/>
    <n v="0"/>
    <m/>
    <x v="0"/>
    <m/>
    <m/>
    <n v="13126700"/>
  </r>
  <r>
    <n v="1508"/>
    <m/>
    <x v="0"/>
    <m/>
    <x v="0"/>
    <m/>
    <n v="0"/>
    <m/>
    <x v="0"/>
    <m/>
    <m/>
    <n v="13126700"/>
  </r>
  <r>
    <n v="1509"/>
    <m/>
    <x v="0"/>
    <m/>
    <x v="0"/>
    <m/>
    <n v="0"/>
    <m/>
    <x v="0"/>
    <m/>
    <m/>
    <n v="13126700"/>
  </r>
  <r>
    <n v="1510"/>
    <m/>
    <x v="0"/>
    <m/>
    <x v="0"/>
    <m/>
    <n v="0"/>
    <m/>
    <x v="0"/>
    <m/>
    <m/>
    <n v="13126700"/>
  </r>
  <r>
    <n v="1511"/>
    <m/>
    <x v="0"/>
    <m/>
    <x v="0"/>
    <m/>
    <n v="0"/>
    <m/>
    <x v="0"/>
    <m/>
    <m/>
    <n v="13126700"/>
  </r>
  <r>
    <n v="1512"/>
    <m/>
    <x v="0"/>
    <m/>
    <x v="0"/>
    <m/>
    <n v="0"/>
    <m/>
    <x v="0"/>
    <m/>
    <m/>
    <n v="13126700"/>
  </r>
  <r>
    <n v="1513"/>
    <m/>
    <x v="0"/>
    <m/>
    <x v="0"/>
    <m/>
    <n v="0"/>
    <m/>
    <x v="0"/>
    <m/>
    <m/>
    <n v="13126700"/>
  </r>
  <r>
    <n v="1514"/>
    <m/>
    <x v="0"/>
    <m/>
    <x v="0"/>
    <m/>
    <n v="0"/>
    <m/>
    <x v="0"/>
    <m/>
    <m/>
    <n v="13126700"/>
  </r>
  <r>
    <n v="1515"/>
    <m/>
    <x v="0"/>
    <m/>
    <x v="0"/>
    <m/>
    <n v="0"/>
    <m/>
    <x v="0"/>
    <m/>
    <m/>
    <n v="13126700"/>
  </r>
  <r>
    <n v="1516"/>
    <m/>
    <x v="0"/>
    <m/>
    <x v="0"/>
    <m/>
    <n v="0"/>
    <m/>
    <x v="0"/>
    <m/>
    <m/>
    <n v="13126700"/>
  </r>
  <r>
    <n v="1517"/>
    <m/>
    <x v="0"/>
    <m/>
    <x v="0"/>
    <m/>
    <n v="0"/>
    <m/>
    <x v="0"/>
    <m/>
    <m/>
    <n v="13126700"/>
  </r>
  <r>
    <n v="1518"/>
    <m/>
    <x v="0"/>
    <m/>
    <x v="0"/>
    <m/>
    <n v="0"/>
    <m/>
    <x v="0"/>
    <m/>
    <m/>
    <n v="13126700"/>
  </r>
  <r>
    <n v="1519"/>
    <m/>
    <x v="0"/>
    <m/>
    <x v="0"/>
    <m/>
    <n v="0"/>
    <m/>
    <x v="0"/>
    <m/>
    <m/>
    <n v="13126700"/>
  </r>
  <r>
    <n v="1520"/>
    <m/>
    <x v="0"/>
    <m/>
    <x v="0"/>
    <m/>
    <n v="0"/>
    <m/>
    <x v="0"/>
    <m/>
    <m/>
    <n v="13126700"/>
  </r>
  <r>
    <n v="1521"/>
    <m/>
    <x v="0"/>
    <m/>
    <x v="0"/>
    <m/>
    <n v="0"/>
    <m/>
    <x v="0"/>
    <m/>
    <m/>
    <n v="13126700"/>
  </r>
  <r>
    <n v="1522"/>
    <m/>
    <x v="0"/>
    <m/>
    <x v="0"/>
    <m/>
    <n v="0"/>
    <m/>
    <x v="0"/>
    <m/>
    <m/>
    <n v="13126700"/>
  </r>
  <r>
    <n v="1523"/>
    <m/>
    <x v="0"/>
    <m/>
    <x v="0"/>
    <m/>
    <n v="0"/>
    <m/>
    <x v="0"/>
    <m/>
    <m/>
    <n v="13126700"/>
  </r>
  <r>
    <n v="1524"/>
    <m/>
    <x v="0"/>
    <m/>
    <x v="0"/>
    <m/>
    <n v="0"/>
    <m/>
    <x v="0"/>
    <m/>
    <m/>
    <n v="13126700"/>
  </r>
  <r>
    <n v="1525"/>
    <m/>
    <x v="0"/>
    <m/>
    <x v="0"/>
    <m/>
    <n v="0"/>
    <m/>
    <x v="0"/>
    <m/>
    <m/>
    <n v="13126700"/>
  </r>
  <r>
    <n v="1526"/>
    <m/>
    <x v="0"/>
    <m/>
    <x v="0"/>
    <m/>
    <n v="0"/>
    <m/>
    <x v="0"/>
    <m/>
    <m/>
    <n v="13126700"/>
  </r>
  <r>
    <n v="1527"/>
    <m/>
    <x v="0"/>
    <m/>
    <x v="0"/>
    <m/>
    <n v="0"/>
    <m/>
    <x v="0"/>
    <m/>
    <m/>
    <n v="13126700"/>
  </r>
  <r>
    <n v="1528"/>
    <m/>
    <x v="0"/>
    <m/>
    <x v="0"/>
    <m/>
    <n v="0"/>
    <m/>
    <x v="0"/>
    <m/>
    <m/>
    <n v="13126700"/>
  </r>
  <r>
    <n v="1529"/>
    <m/>
    <x v="0"/>
    <m/>
    <x v="0"/>
    <m/>
    <n v="0"/>
    <m/>
    <x v="0"/>
    <m/>
    <m/>
    <n v="13126700"/>
  </r>
  <r>
    <n v="1530"/>
    <m/>
    <x v="0"/>
    <m/>
    <x v="0"/>
    <m/>
    <n v="0"/>
    <m/>
    <x v="0"/>
    <m/>
    <m/>
    <n v="13126700"/>
  </r>
  <r>
    <n v="1531"/>
    <m/>
    <x v="0"/>
    <m/>
    <x v="0"/>
    <m/>
    <n v="0"/>
    <m/>
    <x v="0"/>
    <m/>
    <m/>
    <n v="13126700"/>
  </r>
  <r>
    <n v="1532"/>
    <m/>
    <x v="0"/>
    <m/>
    <x v="0"/>
    <m/>
    <n v="0"/>
    <m/>
    <x v="0"/>
    <m/>
    <m/>
    <n v="13126700"/>
  </r>
  <r>
    <n v="1533"/>
    <m/>
    <x v="0"/>
    <m/>
    <x v="0"/>
    <m/>
    <n v="0"/>
    <m/>
    <x v="0"/>
    <m/>
    <m/>
    <n v="13126700"/>
  </r>
  <r>
    <n v="1534"/>
    <m/>
    <x v="0"/>
    <m/>
    <x v="0"/>
    <m/>
    <n v="0"/>
    <m/>
    <x v="0"/>
    <m/>
    <m/>
    <n v="13126700"/>
  </r>
  <r>
    <n v="1535"/>
    <m/>
    <x v="0"/>
    <m/>
    <x v="0"/>
    <m/>
    <n v="0"/>
    <m/>
    <x v="0"/>
    <m/>
    <m/>
    <n v="13126700"/>
  </r>
  <r>
    <n v="1536"/>
    <m/>
    <x v="0"/>
    <m/>
    <x v="0"/>
    <m/>
    <n v="0"/>
    <m/>
    <x v="0"/>
    <m/>
    <m/>
    <n v="13126700"/>
  </r>
  <r>
    <n v="1537"/>
    <m/>
    <x v="0"/>
    <m/>
    <x v="0"/>
    <m/>
    <n v="0"/>
    <m/>
    <x v="0"/>
    <m/>
    <m/>
    <n v="13126700"/>
  </r>
  <r>
    <n v="1538"/>
    <m/>
    <x v="0"/>
    <m/>
    <x v="0"/>
    <m/>
    <n v="0"/>
    <m/>
    <x v="0"/>
    <m/>
    <m/>
    <n v="13126700"/>
  </r>
  <r>
    <n v="1539"/>
    <m/>
    <x v="0"/>
    <m/>
    <x v="0"/>
    <m/>
    <n v="0"/>
    <m/>
    <x v="0"/>
    <m/>
    <m/>
    <n v="13126700"/>
  </r>
  <r>
    <n v="1540"/>
    <m/>
    <x v="0"/>
    <m/>
    <x v="0"/>
    <m/>
    <n v="0"/>
    <m/>
    <x v="0"/>
    <m/>
    <m/>
    <n v="13126700"/>
  </r>
  <r>
    <n v="1541"/>
    <m/>
    <x v="0"/>
    <m/>
    <x v="0"/>
    <m/>
    <n v="0"/>
    <m/>
    <x v="0"/>
    <m/>
    <m/>
    <n v="13126700"/>
  </r>
  <r>
    <n v="1542"/>
    <m/>
    <x v="0"/>
    <m/>
    <x v="0"/>
    <m/>
    <n v="0"/>
    <m/>
    <x v="0"/>
    <m/>
    <m/>
    <n v="13126700"/>
  </r>
  <r>
    <n v="1543"/>
    <m/>
    <x v="0"/>
    <m/>
    <x v="0"/>
    <m/>
    <n v="0"/>
    <m/>
    <x v="0"/>
    <m/>
    <m/>
    <n v="13126700"/>
  </r>
  <r>
    <n v="1544"/>
    <m/>
    <x v="0"/>
    <m/>
    <x v="0"/>
    <m/>
    <n v="0"/>
    <m/>
    <x v="0"/>
    <m/>
    <m/>
    <n v="13126700"/>
  </r>
  <r>
    <n v="1545"/>
    <m/>
    <x v="0"/>
    <m/>
    <x v="0"/>
    <m/>
    <n v="0"/>
    <m/>
    <x v="0"/>
    <m/>
    <m/>
    <n v="13126700"/>
  </r>
  <r>
    <n v="1546"/>
    <m/>
    <x v="0"/>
    <m/>
    <x v="0"/>
    <m/>
    <n v="0"/>
    <m/>
    <x v="0"/>
    <m/>
    <m/>
    <n v="13126700"/>
  </r>
  <r>
    <n v="1547"/>
    <m/>
    <x v="0"/>
    <m/>
    <x v="0"/>
    <m/>
    <n v="0"/>
    <m/>
    <x v="0"/>
    <m/>
    <m/>
    <n v="13126700"/>
  </r>
  <r>
    <n v="1548"/>
    <m/>
    <x v="0"/>
    <m/>
    <x v="0"/>
    <m/>
    <n v="0"/>
    <m/>
    <x v="0"/>
    <m/>
    <m/>
    <n v="13126700"/>
  </r>
  <r>
    <n v="1549"/>
    <m/>
    <x v="0"/>
    <m/>
    <x v="0"/>
    <m/>
    <n v="0"/>
    <m/>
    <x v="0"/>
    <m/>
    <m/>
    <n v="13126700"/>
  </r>
  <r>
    <n v="1550"/>
    <m/>
    <x v="0"/>
    <m/>
    <x v="0"/>
    <m/>
    <n v="0"/>
    <m/>
    <x v="0"/>
    <m/>
    <m/>
    <n v="13126700"/>
  </r>
  <r>
    <n v="1551"/>
    <m/>
    <x v="0"/>
    <m/>
    <x v="0"/>
    <m/>
    <n v="0"/>
    <m/>
    <x v="0"/>
    <m/>
    <m/>
    <n v="13126700"/>
  </r>
  <r>
    <n v="1552"/>
    <m/>
    <x v="0"/>
    <m/>
    <x v="0"/>
    <m/>
    <n v="0"/>
    <m/>
    <x v="0"/>
    <m/>
    <m/>
    <n v="13126700"/>
  </r>
  <r>
    <n v="1553"/>
    <m/>
    <x v="0"/>
    <m/>
    <x v="0"/>
    <m/>
    <n v="0"/>
    <m/>
    <x v="0"/>
    <m/>
    <m/>
    <n v="13126700"/>
  </r>
  <r>
    <n v="1554"/>
    <m/>
    <x v="0"/>
    <m/>
    <x v="0"/>
    <m/>
    <n v="0"/>
    <m/>
    <x v="0"/>
    <m/>
    <m/>
    <n v="13126700"/>
  </r>
  <r>
    <n v="1555"/>
    <m/>
    <x v="0"/>
    <m/>
    <x v="0"/>
    <m/>
    <n v="0"/>
    <m/>
    <x v="0"/>
    <m/>
    <m/>
    <n v="13126700"/>
  </r>
  <r>
    <n v="1556"/>
    <m/>
    <x v="0"/>
    <m/>
    <x v="0"/>
    <m/>
    <n v="0"/>
    <m/>
    <x v="0"/>
    <m/>
    <m/>
    <n v="13126700"/>
  </r>
  <r>
    <n v="1557"/>
    <m/>
    <x v="0"/>
    <m/>
    <x v="0"/>
    <m/>
    <n v="0"/>
    <m/>
    <x v="0"/>
    <m/>
    <m/>
    <n v="13126700"/>
  </r>
  <r>
    <n v="1558"/>
    <m/>
    <x v="0"/>
    <m/>
    <x v="0"/>
    <m/>
    <n v="0"/>
    <m/>
    <x v="0"/>
    <m/>
    <m/>
    <n v="13126700"/>
  </r>
  <r>
    <n v="1559"/>
    <m/>
    <x v="0"/>
    <m/>
    <x v="0"/>
    <m/>
    <n v="0"/>
    <m/>
    <x v="0"/>
    <m/>
    <m/>
    <n v="13126700"/>
  </r>
  <r>
    <n v="1560"/>
    <m/>
    <x v="0"/>
    <m/>
    <x v="0"/>
    <m/>
    <n v="0"/>
    <m/>
    <x v="0"/>
    <m/>
    <m/>
    <n v="13126700"/>
  </r>
  <r>
    <n v="1561"/>
    <m/>
    <x v="0"/>
    <m/>
    <x v="0"/>
    <m/>
    <n v="0"/>
    <m/>
    <x v="0"/>
    <m/>
    <m/>
    <n v="13126700"/>
  </r>
  <r>
    <n v="1562"/>
    <m/>
    <x v="0"/>
    <m/>
    <x v="0"/>
    <m/>
    <n v="0"/>
    <m/>
    <x v="0"/>
    <m/>
    <m/>
    <n v="13126700"/>
  </r>
  <r>
    <n v="1563"/>
    <m/>
    <x v="0"/>
    <m/>
    <x v="0"/>
    <m/>
    <n v="0"/>
    <m/>
    <x v="0"/>
    <m/>
    <m/>
    <n v="13126700"/>
  </r>
  <r>
    <n v="1564"/>
    <m/>
    <x v="0"/>
    <m/>
    <x v="0"/>
    <m/>
    <n v="0"/>
    <m/>
    <x v="0"/>
    <m/>
    <m/>
    <n v="13126700"/>
  </r>
  <r>
    <n v="1565"/>
    <m/>
    <x v="0"/>
    <m/>
    <x v="0"/>
    <m/>
    <n v="0"/>
    <m/>
    <x v="0"/>
    <m/>
    <m/>
    <n v="13126700"/>
  </r>
  <r>
    <n v="1566"/>
    <m/>
    <x v="0"/>
    <m/>
    <x v="0"/>
    <m/>
    <n v="0"/>
    <m/>
    <x v="0"/>
    <m/>
    <m/>
    <n v="13126700"/>
  </r>
  <r>
    <n v="1567"/>
    <m/>
    <x v="0"/>
    <m/>
    <x v="0"/>
    <m/>
    <n v="0"/>
    <m/>
    <x v="0"/>
    <m/>
    <m/>
    <n v="13126700"/>
  </r>
  <r>
    <n v="1568"/>
    <m/>
    <x v="0"/>
    <m/>
    <x v="0"/>
    <m/>
    <n v="0"/>
    <m/>
    <x v="0"/>
    <m/>
    <m/>
    <n v="13126700"/>
  </r>
  <r>
    <n v="1569"/>
    <m/>
    <x v="0"/>
    <m/>
    <x v="0"/>
    <m/>
    <n v="0"/>
    <m/>
    <x v="0"/>
    <m/>
    <m/>
    <n v="13126700"/>
  </r>
  <r>
    <n v="1570"/>
    <m/>
    <x v="0"/>
    <m/>
    <x v="0"/>
    <m/>
    <n v="0"/>
    <m/>
    <x v="0"/>
    <m/>
    <m/>
    <n v="13126700"/>
  </r>
  <r>
    <n v="1571"/>
    <m/>
    <x v="0"/>
    <m/>
    <x v="0"/>
    <m/>
    <n v="0"/>
    <m/>
    <x v="0"/>
    <m/>
    <m/>
    <n v="13126700"/>
  </r>
  <r>
    <n v="1572"/>
    <m/>
    <x v="0"/>
    <m/>
    <x v="0"/>
    <m/>
    <n v="0"/>
    <m/>
    <x v="0"/>
    <m/>
    <m/>
    <n v="13126700"/>
  </r>
  <r>
    <n v="1573"/>
    <m/>
    <x v="0"/>
    <m/>
    <x v="0"/>
    <m/>
    <n v="0"/>
    <m/>
    <x v="0"/>
    <m/>
    <m/>
    <n v="13126700"/>
  </r>
  <r>
    <n v="1574"/>
    <m/>
    <x v="0"/>
    <m/>
    <x v="0"/>
    <m/>
    <n v="0"/>
    <m/>
    <x v="0"/>
    <m/>
    <m/>
    <n v="13126700"/>
  </r>
  <r>
    <n v="1575"/>
    <m/>
    <x v="0"/>
    <m/>
    <x v="0"/>
    <m/>
    <n v="0"/>
    <m/>
    <x v="0"/>
    <m/>
    <m/>
    <n v="13126700"/>
  </r>
  <r>
    <n v="1576"/>
    <m/>
    <x v="0"/>
    <m/>
    <x v="0"/>
    <m/>
    <n v="0"/>
    <m/>
    <x v="0"/>
    <m/>
    <m/>
    <n v="13126700"/>
  </r>
  <r>
    <n v="1577"/>
    <m/>
    <x v="0"/>
    <m/>
    <x v="0"/>
    <m/>
    <n v="0"/>
    <m/>
    <x v="0"/>
    <m/>
    <m/>
    <n v="13126700"/>
  </r>
  <r>
    <n v="1578"/>
    <m/>
    <x v="0"/>
    <m/>
    <x v="0"/>
    <m/>
    <n v="0"/>
    <m/>
    <x v="0"/>
    <m/>
    <m/>
    <n v="13126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80379-ABB2-4096-A712-F019EE1BC3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63" firstHeaderRow="1" firstDataRow="2" firstDataCol="1"/>
  <pivotFields count="12">
    <pivotField showAll="0"/>
    <pivotField numFmtId="14" showAll="0"/>
    <pivotField showAll="0">
      <items count="6">
        <item x="0"/>
        <item x="1"/>
        <item x="3"/>
        <item x="2"/>
        <item x="4"/>
        <item t="default"/>
      </items>
    </pivotField>
    <pivotField showAll="0"/>
    <pivotField axis="axisCol" showAll="0">
      <items count="2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m="1" x="26"/>
        <item m="1" x="2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axis="axisRow" showAll="0" sortType="ascending">
      <items count="62">
        <item x="26"/>
        <item x="31"/>
        <item x="58"/>
        <item x="15"/>
        <item x="24"/>
        <item x="17"/>
        <item x="44"/>
        <item x="45"/>
        <item x="12"/>
        <item x="3"/>
        <item x="25"/>
        <item x="4"/>
        <item x="30"/>
        <item x="39"/>
        <item x="11"/>
        <item x="40"/>
        <item x="37"/>
        <item x="27"/>
        <item x="29"/>
        <item x="1"/>
        <item x="41"/>
        <item x="22"/>
        <item x="21"/>
        <item x="34"/>
        <item x="50"/>
        <item x="57"/>
        <item x="53"/>
        <item x="28"/>
        <item x="33"/>
        <item x="38"/>
        <item x="20"/>
        <item x="16"/>
        <item x="47"/>
        <item x="19"/>
        <item x="6"/>
        <item x="43"/>
        <item x="18"/>
        <item x="42"/>
        <item x="23"/>
        <item x="52"/>
        <item x="2"/>
        <item x="55"/>
        <item x="56"/>
        <item m="1" x="60"/>
        <item x="7"/>
        <item x="8"/>
        <item m="1" x="59"/>
        <item x="9"/>
        <item x="48"/>
        <item x="14"/>
        <item x="35"/>
        <item x="49"/>
        <item x="36"/>
        <item x="32"/>
        <item x="54"/>
        <item x="46"/>
        <item x="51"/>
        <item x="10"/>
        <item x="5"/>
        <item x="13"/>
        <item h="1" x="0"/>
        <item t="default"/>
      </items>
    </pivotField>
    <pivotField dataField="1" showAll="0"/>
    <pivotField showAll="0"/>
    <pivotField showAll="0"/>
  </pivotFields>
  <rowFields count="1">
    <field x="8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4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Sum of Dr" fld="9" baseField="0" baseItem="0" numFmtId="171"/>
  </dataFields>
  <formats count="23">
    <format dxfId="22">
      <pivotArea outline="0" collapsedLevelsAreSubtotals="1" fieldPosition="0"/>
    </format>
    <format dxfId="21">
      <pivotArea field="2" type="button" dataOnly="0" labelOnly="1" outline="0"/>
    </format>
    <format dxfId="20">
      <pivotArea type="topRight" dataOnly="0" labelOnly="1" outline="0" fieldPosition="0"/>
    </format>
    <format dxfId="19">
      <pivotArea dataOnly="0" labelOnly="1" grandCol="1" outline="0" fieldPosition="0"/>
    </format>
    <format dxfId="18">
      <pivotArea dataOnly="0" fieldPosition="0">
        <references count="1">
          <reference field="8" count="1">
            <x v="4"/>
          </reference>
        </references>
      </pivotArea>
    </format>
    <format dxfId="17">
      <pivotArea collapsedLevelsAreSubtotals="1" fieldPosition="0">
        <references count="1">
          <reference field="8" count="1">
            <x v="12"/>
          </reference>
        </references>
      </pivotArea>
    </format>
    <format dxfId="16">
      <pivotArea dataOnly="0" labelOnly="1" fieldPosition="0">
        <references count="1">
          <reference field="8" count="1">
            <x v="12"/>
          </reference>
        </references>
      </pivotArea>
    </format>
    <format dxfId="15">
      <pivotArea collapsedLevelsAreSubtotals="1" fieldPosition="0">
        <references count="1">
          <reference field="8" count="1">
            <x v="16"/>
          </reference>
        </references>
      </pivotArea>
    </format>
    <format dxfId="14">
      <pivotArea dataOnly="0" labelOnly="1" fieldPosition="0">
        <references count="1">
          <reference field="8" count="1">
            <x v="16"/>
          </reference>
        </references>
      </pivotArea>
    </format>
    <format dxfId="13">
      <pivotArea collapsedLevelsAreSubtotals="1" fieldPosition="0">
        <references count="1">
          <reference field="8" count="1">
            <x v="18"/>
          </reference>
        </references>
      </pivotArea>
    </format>
    <format dxfId="12">
      <pivotArea dataOnly="0" labelOnly="1" fieldPosition="0">
        <references count="1">
          <reference field="8" count="1">
            <x v="18"/>
          </reference>
        </references>
      </pivotArea>
    </format>
    <format dxfId="11">
      <pivotArea collapsedLevelsAreSubtotals="1" fieldPosition="0">
        <references count="1">
          <reference field="8" count="1">
            <x v="23"/>
          </reference>
        </references>
      </pivotArea>
    </format>
    <format dxfId="10">
      <pivotArea dataOnly="0" labelOnly="1" fieldPosition="0">
        <references count="1">
          <reference field="8" count="1">
            <x v="23"/>
          </reference>
        </references>
      </pivotArea>
    </format>
    <format dxfId="9">
      <pivotArea collapsedLevelsAreSubtotals="1" fieldPosition="0">
        <references count="1">
          <reference field="8" count="1">
            <x v="35"/>
          </reference>
        </references>
      </pivotArea>
    </format>
    <format dxfId="8">
      <pivotArea dataOnly="0" labelOnly="1" fieldPosition="0">
        <references count="1">
          <reference field="8" count="1">
            <x v="35"/>
          </reference>
        </references>
      </pivotArea>
    </format>
    <format dxfId="7">
      <pivotArea collapsedLevelsAreSubtotals="1" fieldPosition="0">
        <references count="1">
          <reference field="8" count="1">
            <x v="58"/>
          </reference>
        </references>
      </pivotArea>
    </format>
    <format dxfId="6">
      <pivotArea dataOnly="0" labelOnly="1" fieldPosition="0">
        <references count="1">
          <reference field="8" count="1">
            <x v="58"/>
          </reference>
        </references>
      </pivotArea>
    </format>
    <format dxfId="5">
      <pivotArea collapsedLevelsAreSubtotals="1" fieldPosition="0">
        <references count="1">
          <reference field="8" count="1">
            <x v="8"/>
          </reference>
        </references>
      </pivotArea>
    </format>
    <format dxfId="4">
      <pivotArea dataOnly="0" labelOnly="1" fieldPosition="0">
        <references count="1">
          <reference field="8" count="1">
            <x v="8"/>
          </reference>
        </references>
      </pivotArea>
    </format>
    <format dxfId="3">
      <pivotArea collapsedLevelsAreSubtotals="1" fieldPosition="0">
        <references count="1">
          <reference field="8" count="1">
            <x v="34"/>
          </reference>
        </references>
      </pivotArea>
    </format>
    <format dxfId="2">
      <pivotArea dataOnly="0" labelOnly="1" fieldPosition="0">
        <references count="1">
          <reference field="8" count="1">
            <x v="34"/>
          </reference>
        </references>
      </pivotArea>
    </format>
    <format dxfId="1">
      <pivotArea collapsedLevelsAreSubtotals="1" fieldPosition="0">
        <references count="1">
          <reference field="8" count="1">
            <x v="37"/>
          </reference>
        </references>
      </pivotArea>
    </format>
    <format dxfId="0">
      <pivotArea dataOnly="0" labelOnly="1" fieldPosition="0">
        <references count="1">
          <reference field="8" count="1">
            <x v="3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48"/>
  <sheetViews>
    <sheetView tabSelected="1" workbookViewId="0">
      <selection activeCell="B3" sqref="B3"/>
    </sheetView>
  </sheetViews>
  <sheetFormatPr defaultColWidth="22.26953125" defaultRowHeight="15" customHeight="1" x14ac:dyDescent="0.35"/>
  <cols>
    <col min="1" max="16384" width="22.26953125" style="51"/>
  </cols>
  <sheetData>
    <row r="1" spans="1:26" ht="14.25" customHeight="1" x14ac:dyDescent="0.3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14.25" customHeight="1" x14ac:dyDescent="0.3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4.25" customHeight="1" x14ac:dyDescent="0.3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25" customHeight="1" x14ac:dyDescent="0.3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4.25" customHeight="1" x14ac:dyDescent="0.35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4.25" customHeight="1" x14ac:dyDescent="0.35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4.25" customHeight="1" x14ac:dyDescent="0.35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4.25" customHeight="1" x14ac:dyDescent="0.3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4.25" customHeight="1" x14ac:dyDescent="0.35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4.25" customHeight="1" x14ac:dyDescent="0.3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14.25" customHeight="1" x14ac:dyDescent="0.35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14.25" customHeight="1" x14ac:dyDescent="0.35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4.25" customHeight="1" x14ac:dyDescent="0.3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14.25" customHeight="1" x14ac:dyDescent="0.35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4.25" customHeight="1" x14ac:dyDescent="0.3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4.25" customHeight="1" x14ac:dyDescent="0.35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11" ht="14.25" customHeight="1" x14ac:dyDescent="0.35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1:11" ht="14.25" customHeight="1" x14ac:dyDescent="0.3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</row>
    <row r="19" spans="1:11" ht="14.25" customHeight="1" x14ac:dyDescent="0.3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</row>
    <row r="20" spans="1:11" ht="14.25" customHeight="1" x14ac:dyDescent="0.3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</row>
    <row r="21" spans="1:11" ht="14.25" customHeight="1" x14ac:dyDescent="0.35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</row>
    <row r="22" spans="1:11" ht="14.25" customHeight="1" x14ac:dyDescent="0.35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</row>
    <row r="23" spans="1:11" ht="14.25" customHeight="1" x14ac:dyDescent="0.35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</row>
    <row r="24" spans="1:11" ht="14.25" customHeight="1" x14ac:dyDescent="0.3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</row>
    <row r="25" spans="1:11" ht="14.25" customHeight="1" x14ac:dyDescent="0.3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1:11" ht="14.25" customHeight="1" x14ac:dyDescent="0.3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</row>
    <row r="27" spans="1:11" ht="14.25" customHeight="1" x14ac:dyDescent="0.35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</row>
    <row r="28" spans="1:11" ht="14.25" customHeight="1" x14ac:dyDescent="0.35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</row>
    <row r="29" spans="1:11" ht="14.25" customHeight="1" x14ac:dyDescent="0.35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</row>
    <row r="30" spans="1:11" ht="14.25" customHeight="1" x14ac:dyDescent="0.35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</row>
    <row r="31" spans="1:11" ht="14.25" customHeight="1" x14ac:dyDescent="0.35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</row>
    <row r="32" spans="1:11" ht="14.25" customHeight="1" x14ac:dyDescent="0.3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0" ht="14.25" customHeight="1" x14ac:dyDescent="0.35">
      <c r="A33" s="86"/>
      <c r="B33" s="86"/>
      <c r="C33" s="86"/>
      <c r="D33" s="86"/>
      <c r="E33" s="86"/>
      <c r="F33" s="86"/>
      <c r="G33" s="86"/>
      <c r="H33" s="86"/>
      <c r="I33" s="86"/>
      <c r="J33" s="86"/>
    </row>
    <row r="34" spans="1:10" ht="14.25" customHeight="1" x14ac:dyDescent="0.35">
      <c r="A34" s="86"/>
      <c r="B34" s="86"/>
      <c r="C34" s="86"/>
      <c r="D34" s="86"/>
      <c r="E34" s="86"/>
      <c r="F34" s="86"/>
      <c r="G34" s="86"/>
      <c r="H34" s="86"/>
      <c r="I34" s="86"/>
      <c r="J34" s="86"/>
    </row>
    <row r="35" spans="1:10" ht="14.25" customHeight="1" x14ac:dyDescent="0.35">
      <c r="A35" s="86"/>
      <c r="B35" s="86"/>
      <c r="C35" s="86"/>
      <c r="D35" s="86"/>
      <c r="E35" s="86"/>
      <c r="F35" s="86"/>
      <c r="G35" s="86"/>
      <c r="H35" s="86"/>
      <c r="I35" s="86"/>
      <c r="J35" s="86"/>
    </row>
    <row r="36" spans="1:10" ht="14.25" customHeight="1" x14ac:dyDescent="0.35">
      <c r="A36" s="86"/>
      <c r="B36" s="86"/>
      <c r="C36" s="86"/>
      <c r="D36" s="86"/>
      <c r="E36" s="86"/>
      <c r="F36" s="86"/>
      <c r="G36" s="86"/>
      <c r="H36" s="86"/>
      <c r="I36" s="86"/>
      <c r="J36" s="86"/>
    </row>
    <row r="37" spans="1:10" ht="14.25" customHeight="1" x14ac:dyDescent="0.35">
      <c r="A37" s="86"/>
      <c r="B37" s="86"/>
      <c r="C37" s="86"/>
      <c r="D37" s="86"/>
      <c r="E37" s="86"/>
      <c r="F37" s="86"/>
      <c r="G37" s="86"/>
      <c r="H37" s="86"/>
      <c r="I37" s="86"/>
      <c r="J37" s="86"/>
    </row>
    <row r="38" spans="1:10" ht="14.25" customHeight="1" x14ac:dyDescent="0.35">
      <c r="A38" s="86"/>
      <c r="B38" s="86"/>
      <c r="C38" s="86"/>
      <c r="D38" s="86"/>
      <c r="E38" s="86"/>
      <c r="F38" s="86"/>
      <c r="G38" s="86"/>
      <c r="H38" s="86"/>
      <c r="I38" s="86"/>
      <c r="J38" s="86"/>
    </row>
    <row r="39" spans="1:10" ht="14.25" customHeight="1" x14ac:dyDescent="0.35">
      <c r="A39" s="86"/>
      <c r="B39" s="86"/>
      <c r="C39" s="86"/>
      <c r="D39" s="86"/>
      <c r="E39" s="86"/>
      <c r="F39" s="86"/>
      <c r="G39" s="86"/>
      <c r="H39" s="86"/>
      <c r="I39" s="86"/>
      <c r="J39" s="86"/>
    </row>
    <row r="40" spans="1:10" ht="14.25" customHeight="1" x14ac:dyDescent="0.35">
      <c r="A40" s="86"/>
      <c r="B40" s="86"/>
      <c r="C40" s="86"/>
      <c r="D40" s="86"/>
      <c r="E40" s="86"/>
      <c r="F40" s="86"/>
      <c r="G40" s="86"/>
      <c r="H40" s="86"/>
      <c r="I40" s="86"/>
      <c r="J40" s="86"/>
    </row>
    <row r="41" spans="1:10" ht="14.25" customHeight="1" x14ac:dyDescent="0.35">
      <c r="A41" s="86"/>
      <c r="B41" s="86"/>
      <c r="C41" s="86"/>
      <c r="D41" s="86"/>
      <c r="E41" s="86"/>
      <c r="F41" s="86"/>
      <c r="G41" s="86"/>
      <c r="H41" s="86"/>
      <c r="I41" s="86"/>
      <c r="J41" s="86"/>
    </row>
    <row r="42" spans="1:10" ht="14.25" customHeight="1" x14ac:dyDescent="0.35">
      <c r="A42" s="86"/>
      <c r="B42" s="86"/>
      <c r="C42" s="86"/>
      <c r="D42" s="86"/>
      <c r="E42" s="86"/>
      <c r="F42" s="86"/>
      <c r="G42" s="86"/>
      <c r="H42" s="86"/>
      <c r="I42" s="86"/>
      <c r="J42" s="86"/>
    </row>
    <row r="43" spans="1:10" ht="14.25" customHeight="1" x14ac:dyDescent="0.35">
      <c r="A43" s="86"/>
      <c r="B43" s="86"/>
      <c r="C43" s="86"/>
      <c r="D43" s="86"/>
      <c r="E43" s="86"/>
      <c r="F43" s="86"/>
      <c r="G43" s="86"/>
      <c r="H43" s="86"/>
      <c r="I43" s="86"/>
      <c r="J43" s="86"/>
    </row>
    <row r="44" spans="1:10" ht="14.25" customHeight="1" x14ac:dyDescent="0.35">
      <c r="A44" s="86"/>
      <c r="B44" s="86"/>
      <c r="C44" s="86"/>
      <c r="D44" s="86"/>
      <c r="E44" s="86"/>
      <c r="F44" s="86"/>
      <c r="G44" s="86"/>
      <c r="H44" s="86"/>
      <c r="I44" s="86"/>
      <c r="J44" s="86"/>
    </row>
    <row r="45" spans="1:10" ht="14.25" customHeight="1" x14ac:dyDescent="0.35">
      <c r="A45" s="86"/>
      <c r="B45" s="86"/>
      <c r="C45" s="86"/>
      <c r="D45" s="86"/>
      <c r="E45" s="86"/>
      <c r="F45" s="86"/>
      <c r="G45" s="86"/>
      <c r="H45" s="86"/>
      <c r="I45" s="86"/>
      <c r="J45" s="86"/>
    </row>
    <row r="46" spans="1:10" ht="14.25" customHeight="1" x14ac:dyDescent="0.35">
      <c r="A46" s="86"/>
      <c r="B46" s="86"/>
      <c r="C46" s="86"/>
      <c r="D46" s="86"/>
      <c r="E46" s="86"/>
      <c r="F46" s="86"/>
      <c r="G46" s="86"/>
      <c r="H46" s="86"/>
      <c r="I46" s="86"/>
      <c r="J46" s="86"/>
    </row>
    <row r="47" spans="1:10" ht="14.25" customHeight="1" x14ac:dyDescent="0.35">
      <c r="A47" s="86"/>
      <c r="B47" s="86"/>
      <c r="C47" s="86"/>
      <c r="D47" s="86"/>
      <c r="E47" s="86"/>
      <c r="F47" s="86"/>
      <c r="G47" s="86"/>
      <c r="H47" s="86"/>
      <c r="I47" s="86"/>
      <c r="J47" s="86"/>
    </row>
    <row r="48" spans="1:10" ht="14.25" customHeight="1" x14ac:dyDescent="0.35">
      <c r="A48" s="86"/>
      <c r="B48" s="86"/>
      <c r="C48" s="86"/>
      <c r="D48" s="86"/>
      <c r="E48" s="86"/>
      <c r="F48" s="86"/>
      <c r="G48" s="86"/>
      <c r="H48" s="86"/>
      <c r="I48" s="86"/>
      <c r="J48" s="86"/>
    </row>
    <row r="49" spans="1:10" ht="14.25" customHeight="1" x14ac:dyDescent="0.35">
      <c r="A49" s="86"/>
      <c r="B49" s="86"/>
      <c r="C49" s="86"/>
      <c r="D49" s="86"/>
      <c r="E49" s="86"/>
      <c r="F49" s="86"/>
      <c r="G49" s="86"/>
      <c r="H49" s="86"/>
      <c r="I49" s="86"/>
      <c r="J49" s="86"/>
    </row>
    <row r="50" spans="1:10" ht="14.25" customHeight="1" x14ac:dyDescent="0.35">
      <c r="A50" s="86"/>
      <c r="B50" s="86"/>
      <c r="C50" s="86"/>
      <c r="D50" s="86"/>
      <c r="E50" s="86"/>
      <c r="F50" s="86"/>
      <c r="G50" s="86"/>
      <c r="H50" s="86"/>
      <c r="I50" s="86"/>
      <c r="J50" s="86"/>
    </row>
    <row r="51" spans="1:10" ht="14.25" customHeight="1" x14ac:dyDescent="0.35">
      <c r="A51" s="86"/>
      <c r="B51" s="86"/>
      <c r="C51" s="86"/>
      <c r="D51" s="86"/>
      <c r="E51" s="86"/>
      <c r="F51" s="86"/>
      <c r="G51" s="86"/>
      <c r="H51" s="86"/>
      <c r="I51" s="86"/>
      <c r="J51" s="86"/>
    </row>
    <row r="52" spans="1:10" ht="14.25" customHeight="1" x14ac:dyDescent="0.35">
      <c r="A52" s="86"/>
      <c r="B52" s="86"/>
      <c r="C52" s="86"/>
      <c r="D52" s="86"/>
      <c r="E52" s="86"/>
      <c r="F52" s="86"/>
      <c r="G52" s="86"/>
      <c r="H52" s="86"/>
      <c r="I52" s="86"/>
      <c r="J52" s="86"/>
    </row>
    <row r="53" spans="1:10" ht="14.25" customHeight="1" x14ac:dyDescent="0.35">
      <c r="A53" s="86"/>
      <c r="B53" s="86"/>
      <c r="C53" s="86"/>
      <c r="D53" s="86"/>
      <c r="E53" s="86"/>
      <c r="F53" s="86"/>
      <c r="G53" s="86"/>
      <c r="H53" s="86"/>
      <c r="I53" s="86"/>
      <c r="J53" s="86"/>
    </row>
    <row r="54" spans="1:10" ht="14.25" customHeight="1" x14ac:dyDescent="0.35">
      <c r="A54" s="86"/>
      <c r="B54" s="86"/>
      <c r="C54" s="86"/>
      <c r="D54" s="86"/>
      <c r="E54" s="86"/>
      <c r="F54" s="86"/>
      <c r="G54" s="86"/>
      <c r="H54" s="86"/>
      <c r="I54" s="86"/>
      <c r="J54" s="86"/>
    </row>
    <row r="55" spans="1:10" ht="14.25" customHeight="1" x14ac:dyDescent="0.35">
      <c r="A55" s="86"/>
      <c r="B55" s="86"/>
      <c r="C55" s="86"/>
      <c r="D55" s="86"/>
      <c r="E55" s="86"/>
      <c r="F55" s="86"/>
      <c r="G55" s="86"/>
      <c r="H55" s="86"/>
      <c r="I55" s="86"/>
      <c r="J55" s="86"/>
    </row>
    <row r="56" spans="1:10" ht="14.25" customHeight="1" x14ac:dyDescent="0.35">
      <c r="A56" s="86"/>
      <c r="B56" s="86"/>
      <c r="C56" s="86"/>
      <c r="D56" s="86"/>
      <c r="E56" s="86"/>
      <c r="F56" s="86"/>
      <c r="G56" s="86"/>
      <c r="H56" s="86"/>
      <c r="I56" s="86"/>
      <c r="J56" s="86"/>
    </row>
    <row r="57" spans="1:10" ht="14.25" customHeight="1" x14ac:dyDescent="0.35">
      <c r="A57" s="86"/>
      <c r="B57" s="86"/>
      <c r="C57" s="86"/>
      <c r="D57" s="86"/>
      <c r="E57" s="86"/>
      <c r="F57" s="86"/>
      <c r="G57" s="86"/>
      <c r="H57" s="86"/>
      <c r="I57" s="86"/>
      <c r="J57" s="86"/>
    </row>
    <row r="58" spans="1:10" ht="14.25" customHeight="1" x14ac:dyDescent="0.35">
      <c r="A58" s="86"/>
      <c r="B58" s="86"/>
      <c r="C58" s="86"/>
      <c r="D58" s="86"/>
      <c r="E58" s="86"/>
      <c r="F58" s="86"/>
      <c r="G58" s="86"/>
      <c r="H58" s="86"/>
      <c r="I58" s="86"/>
      <c r="J58" s="86"/>
    </row>
    <row r="59" spans="1:10" ht="14.25" customHeight="1" x14ac:dyDescent="0.35">
      <c r="A59" s="86"/>
      <c r="B59" s="86"/>
      <c r="C59" s="86"/>
      <c r="D59" s="86"/>
      <c r="E59" s="86"/>
      <c r="F59" s="86"/>
      <c r="G59" s="86"/>
      <c r="H59" s="86"/>
      <c r="I59" s="86"/>
      <c r="J59" s="86"/>
    </row>
    <row r="60" spans="1:10" ht="14.25" customHeight="1" x14ac:dyDescent="0.35">
      <c r="A60" s="86"/>
      <c r="B60" s="86"/>
      <c r="C60" s="86"/>
      <c r="D60" s="86"/>
      <c r="E60" s="86"/>
      <c r="F60" s="86"/>
      <c r="G60" s="86"/>
      <c r="H60" s="86"/>
      <c r="I60" s="86"/>
      <c r="J60" s="86"/>
    </row>
    <row r="61" spans="1:10" ht="14.25" customHeight="1" x14ac:dyDescent="0.35">
      <c r="A61" s="86"/>
      <c r="B61" s="86"/>
      <c r="C61" s="86"/>
      <c r="D61" s="86"/>
      <c r="E61" s="86"/>
      <c r="F61" s="86"/>
      <c r="G61" s="86"/>
      <c r="H61" s="86"/>
      <c r="I61" s="86"/>
      <c r="J61" s="86"/>
    </row>
    <row r="62" spans="1:10" ht="14.25" customHeight="1" x14ac:dyDescent="0.35">
      <c r="A62" s="86"/>
      <c r="B62" s="86"/>
      <c r="C62" s="86"/>
      <c r="D62" s="86"/>
      <c r="E62" s="86"/>
      <c r="F62" s="86"/>
      <c r="G62" s="86"/>
      <c r="H62" s="86"/>
      <c r="I62" s="86"/>
      <c r="J62" s="86"/>
    </row>
    <row r="63" spans="1:10" ht="14.25" customHeight="1" x14ac:dyDescent="0.35">
      <c r="A63" s="86"/>
      <c r="B63" s="86"/>
      <c r="C63" s="86"/>
      <c r="D63" s="86"/>
      <c r="E63" s="86"/>
      <c r="F63" s="86"/>
      <c r="G63" s="86"/>
      <c r="H63" s="86"/>
      <c r="I63" s="86"/>
      <c r="J63" s="86"/>
    </row>
    <row r="64" spans="1:10" ht="14.25" customHeight="1" x14ac:dyDescent="0.35">
      <c r="A64" s="86"/>
      <c r="B64" s="86"/>
      <c r="C64" s="86"/>
      <c r="D64" s="86"/>
      <c r="E64" s="86"/>
      <c r="F64" s="86"/>
      <c r="G64" s="86"/>
      <c r="H64" s="86"/>
      <c r="I64" s="86"/>
      <c r="J64" s="86"/>
    </row>
    <row r="65" spans="1:11" ht="14.25" customHeight="1" x14ac:dyDescent="0.3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</row>
    <row r="66" spans="1:11" ht="14.25" customHeight="1" x14ac:dyDescent="0.3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</row>
    <row r="67" spans="1:11" ht="14.25" customHeight="1" x14ac:dyDescent="0.3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</row>
    <row r="68" spans="1:11" ht="14.25" customHeight="1" x14ac:dyDescent="0.3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</row>
    <row r="69" spans="1:11" ht="14.25" customHeight="1" x14ac:dyDescent="0.3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</row>
    <row r="70" spans="1:11" ht="14.25" customHeight="1" x14ac:dyDescent="0.3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</row>
    <row r="71" spans="1:11" ht="14.25" customHeight="1" x14ac:dyDescent="0.3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</row>
    <row r="72" spans="1:11" ht="14.25" customHeight="1" x14ac:dyDescent="0.3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</row>
    <row r="73" spans="1:11" ht="14.25" customHeight="1" x14ac:dyDescent="0.3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</row>
    <row r="74" spans="1:11" ht="14.25" customHeight="1" x14ac:dyDescent="0.3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</row>
    <row r="75" spans="1:11" ht="14.25" customHeight="1" x14ac:dyDescent="0.3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</row>
    <row r="76" spans="1:11" ht="14.25" customHeight="1" x14ac:dyDescent="0.3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</row>
    <row r="77" spans="1:11" ht="14.25" customHeight="1" x14ac:dyDescent="0.3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</row>
    <row r="78" spans="1:11" ht="14.25" customHeight="1" x14ac:dyDescent="0.3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</row>
    <row r="79" spans="1:11" ht="14.25" customHeight="1" x14ac:dyDescent="0.3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</row>
    <row r="80" spans="1:11" ht="14.25" customHeight="1" x14ac:dyDescent="0.3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</row>
    <row r="81" spans="1:12" ht="14.25" customHeight="1" x14ac:dyDescent="0.3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</row>
    <row r="82" spans="1:12" ht="14.25" customHeight="1" x14ac:dyDescent="0.3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</row>
    <row r="83" spans="1:12" ht="14.25" customHeight="1" x14ac:dyDescent="0.3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</row>
    <row r="84" spans="1:12" ht="14.25" customHeight="1" x14ac:dyDescent="0.3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</row>
    <row r="85" spans="1:12" ht="14.25" customHeight="1" x14ac:dyDescent="0.3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</row>
    <row r="86" spans="1:12" ht="14.25" customHeight="1" x14ac:dyDescent="0.3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</row>
    <row r="87" spans="1:12" ht="14.25" customHeight="1" x14ac:dyDescent="0.3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</row>
    <row r="88" spans="1:12" ht="14.25" customHeight="1" x14ac:dyDescent="0.3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</row>
    <row r="89" spans="1:12" ht="14.25" customHeight="1" x14ac:dyDescent="0.3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</row>
    <row r="90" spans="1:12" ht="14.25" customHeight="1" x14ac:dyDescent="0.3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</row>
    <row r="91" spans="1:12" ht="14.25" customHeight="1" x14ac:dyDescent="0.3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</row>
    <row r="92" spans="1:12" ht="14.25" customHeight="1" x14ac:dyDescent="0.3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</row>
    <row r="93" spans="1:12" ht="14.25" customHeight="1" x14ac:dyDescent="0.3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</row>
    <row r="94" spans="1:12" ht="14.25" customHeight="1" x14ac:dyDescent="0.3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</row>
    <row r="95" spans="1:12" ht="14.25" customHeight="1" x14ac:dyDescent="0.3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</row>
    <row r="96" spans="1:12" ht="14.25" customHeight="1" x14ac:dyDescent="0.3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</row>
    <row r="97" spans="1:10" ht="14.25" customHeight="1" x14ac:dyDescent="0.35">
      <c r="A97" s="86"/>
      <c r="B97" s="86"/>
      <c r="C97" s="86"/>
      <c r="D97" s="86"/>
      <c r="E97" s="86"/>
      <c r="F97" s="86"/>
      <c r="G97" s="86"/>
      <c r="H97" s="86"/>
      <c r="I97" s="86"/>
      <c r="J97" s="86"/>
    </row>
    <row r="98" spans="1:10" ht="14.25" customHeight="1" x14ac:dyDescent="0.35">
      <c r="A98" s="86"/>
      <c r="B98" s="86"/>
      <c r="C98" s="86"/>
      <c r="D98" s="86"/>
      <c r="E98" s="86"/>
      <c r="F98" s="86"/>
      <c r="G98" s="86"/>
      <c r="H98" s="86"/>
      <c r="I98" s="86"/>
      <c r="J98" s="86"/>
    </row>
    <row r="99" spans="1:10" ht="14.25" customHeight="1" x14ac:dyDescent="0.35">
      <c r="A99" s="86"/>
      <c r="B99" s="86"/>
      <c r="C99" s="86"/>
      <c r="D99" s="86"/>
      <c r="E99" s="86"/>
      <c r="F99" s="86"/>
      <c r="G99" s="86"/>
      <c r="H99" s="86"/>
      <c r="I99" s="86"/>
      <c r="J99" s="86"/>
    </row>
    <row r="100" spans="1:10" ht="14.25" customHeight="1" x14ac:dyDescent="0.35">
      <c r="A100" s="86"/>
      <c r="B100" s="86"/>
      <c r="C100" s="86"/>
      <c r="D100" s="86"/>
      <c r="E100" s="86"/>
      <c r="F100" s="86"/>
      <c r="G100" s="86"/>
      <c r="H100" s="86"/>
      <c r="I100" s="86"/>
      <c r="J100" s="86"/>
    </row>
    <row r="101" spans="1:10" ht="14.25" customHeight="1" x14ac:dyDescent="0.35">
      <c r="A101" s="86"/>
      <c r="B101" s="86"/>
      <c r="C101" s="86"/>
      <c r="D101" s="86"/>
      <c r="E101" s="86"/>
      <c r="F101" s="86"/>
      <c r="G101" s="86"/>
      <c r="H101" s="86"/>
      <c r="I101" s="86"/>
      <c r="J101" s="86"/>
    </row>
    <row r="102" spans="1:10" ht="14.25" customHeight="1" x14ac:dyDescent="0.35">
      <c r="A102" s="86"/>
      <c r="B102" s="86"/>
      <c r="C102" s="86"/>
      <c r="D102" s="86"/>
      <c r="E102" s="86"/>
      <c r="F102" s="86"/>
      <c r="G102" s="86"/>
      <c r="H102" s="86"/>
      <c r="I102" s="86"/>
      <c r="J102" s="86"/>
    </row>
    <row r="103" spans="1:10" ht="14.25" customHeight="1" x14ac:dyDescent="0.35">
      <c r="A103" s="86"/>
      <c r="B103" s="86"/>
      <c r="C103" s="86"/>
      <c r="D103" s="86"/>
      <c r="E103" s="86"/>
      <c r="F103" s="86"/>
      <c r="G103" s="86"/>
      <c r="H103" s="86"/>
      <c r="I103" s="86"/>
      <c r="J103" s="86"/>
    </row>
    <row r="104" spans="1:10" ht="14.25" customHeight="1" x14ac:dyDescent="0.35">
      <c r="A104" s="86"/>
      <c r="B104" s="86"/>
      <c r="C104" s="86"/>
      <c r="D104" s="86"/>
      <c r="E104" s="86"/>
      <c r="F104" s="86"/>
      <c r="G104" s="86"/>
      <c r="H104" s="86"/>
      <c r="I104" s="86"/>
      <c r="J104" s="86"/>
    </row>
    <row r="105" spans="1:10" ht="14.25" customHeight="1" x14ac:dyDescent="0.35">
      <c r="A105" s="86"/>
      <c r="B105" s="86"/>
      <c r="C105" s="86"/>
      <c r="D105" s="86"/>
      <c r="E105" s="86"/>
      <c r="F105" s="86"/>
      <c r="G105" s="86"/>
      <c r="H105" s="86"/>
      <c r="I105" s="86"/>
      <c r="J105" s="86"/>
    </row>
    <row r="106" spans="1:10" ht="14.25" customHeight="1" x14ac:dyDescent="0.35">
      <c r="A106" s="86"/>
      <c r="B106" s="86"/>
      <c r="C106" s="86"/>
      <c r="D106" s="86"/>
      <c r="E106" s="86"/>
      <c r="F106" s="86"/>
      <c r="G106" s="86"/>
      <c r="H106" s="86"/>
      <c r="I106" s="86"/>
      <c r="J106" s="86"/>
    </row>
    <row r="107" spans="1:10" ht="14.25" customHeight="1" x14ac:dyDescent="0.35">
      <c r="A107" s="86"/>
      <c r="B107" s="86"/>
      <c r="C107" s="86"/>
      <c r="D107" s="86"/>
      <c r="E107" s="86"/>
      <c r="F107" s="86"/>
      <c r="G107" s="86"/>
      <c r="H107" s="86"/>
      <c r="I107" s="86"/>
      <c r="J107" s="86"/>
    </row>
    <row r="108" spans="1:10" ht="14.25" customHeight="1" x14ac:dyDescent="0.35">
      <c r="A108" s="86"/>
      <c r="B108" s="86"/>
      <c r="C108" s="86"/>
      <c r="D108" s="86"/>
      <c r="E108" s="86"/>
      <c r="F108" s="86"/>
      <c r="G108" s="86"/>
      <c r="H108" s="86"/>
      <c r="I108" s="86"/>
      <c r="J108" s="86"/>
    </row>
    <row r="109" spans="1:10" ht="14.25" customHeight="1" x14ac:dyDescent="0.35">
      <c r="A109" s="86"/>
      <c r="B109" s="86"/>
      <c r="C109" s="86"/>
      <c r="D109" s="86"/>
      <c r="E109" s="86"/>
      <c r="F109" s="86"/>
      <c r="G109" s="86"/>
      <c r="H109" s="86"/>
      <c r="I109" s="86"/>
      <c r="J109" s="86"/>
    </row>
    <row r="110" spans="1:10" ht="14.25" customHeight="1" x14ac:dyDescent="0.35">
      <c r="A110" s="86"/>
      <c r="B110" s="86"/>
      <c r="C110" s="86"/>
      <c r="D110" s="86"/>
      <c r="E110" s="86"/>
      <c r="F110" s="86"/>
      <c r="G110" s="86"/>
      <c r="H110" s="86"/>
      <c r="I110" s="86"/>
      <c r="J110" s="86"/>
    </row>
    <row r="111" spans="1:10" ht="14.25" customHeight="1" x14ac:dyDescent="0.35">
      <c r="A111" s="86"/>
      <c r="B111" s="86"/>
      <c r="C111" s="86"/>
      <c r="D111" s="86"/>
      <c r="E111" s="86"/>
      <c r="F111" s="86"/>
      <c r="G111" s="86"/>
      <c r="H111" s="86"/>
      <c r="I111" s="86"/>
      <c r="J111" s="86"/>
    </row>
    <row r="112" spans="1:10" ht="14.25" customHeight="1" x14ac:dyDescent="0.35">
      <c r="A112" s="86"/>
      <c r="B112" s="86"/>
      <c r="C112" s="86"/>
      <c r="D112" s="86"/>
      <c r="E112" s="86"/>
      <c r="F112" s="86"/>
      <c r="G112" s="86"/>
      <c r="H112" s="86"/>
      <c r="I112" s="86"/>
      <c r="J112" s="86"/>
    </row>
    <row r="113" spans="1:10" ht="14.25" customHeight="1" x14ac:dyDescent="0.35">
      <c r="A113" s="86"/>
      <c r="B113" s="86"/>
      <c r="C113" s="86"/>
      <c r="D113" s="86"/>
      <c r="E113" s="86"/>
      <c r="F113" s="86"/>
      <c r="G113" s="86"/>
      <c r="H113" s="86"/>
      <c r="I113" s="86"/>
      <c r="J113" s="86"/>
    </row>
    <row r="114" spans="1:10" ht="14.25" customHeight="1" x14ac:dyDescent="0.35">
      <c r="A114" s="86"/>
      <c r="B114" s="86"/>
      <c r="C114" s="86"/>
      <c r="D114" s="86"/>
      <c r="E114" s="86"/>
      <c r="F114" s="86"/>
      <c r="G114" s="86"/>
      <c r="H114" s="86"/>
      <c r="I114" s="86"/>
      <c r="J114" s="86"/>
    </row>
    <row r="115" spans="1:10" ht="14.25" customHeight="1" x14ac:dyDescent="0.35">
      <c r="A115" s="86"/>
      <c r="B115" s="86"/>
      <c r="C115" s="86"/>
      <c r="D115" s="86"/>
      <c r="E115" s="86"/>
      <c r="F115" s="86"/>
      <c r="G115" s="86"/>
      <c r="H115" s="86"/>
      <c r="I115" s="86"/>
      <c r="J115" s="86"/>
    </row>
    <row r="116" spans="1:10" ht="14.25" customHeight="1" x14ac:dyDescent="0.35">
      <c r="A116" s="86"/>
      <c r="B116" s="86"/>
      <c r="C116" s="86"/>
      <c r="D116" s="86"/>
      <c r="E116" s="86"/>
      <c r="F116" s="86"/>
      <c r="G116" s="86"/>
      <c r="H116" s="86"/>
      <c r="I116" s="86"/>
      <c r="J116" s="86"/>
    </row>
    <row r="117" spans="1:10" ht="14.25" customHeight="1" x14ac:dyDescent="0.35">
      <c r="A117" s="86"/>
      <c r="B117" s="86"/>
      <c r="C117" s="86"/>
      <c r="D117" s="86"/>
      <c r="E117" s="86"/>
      <c r="F117" s="86"/>
      <c r="G117" s="86"/>
      <c r="H117" s="86"/>
      <c r="I117" s="86"/>
      <c r="J117" s="86"/>
    </row>
    <row r="118" spans="1:10" ht="14.25" customHeight="1" x14ac:dyDescent="0.35">
      <c r="A118" s="86"/>
      <c r="B118" s="86"/>
      <c r="C118" s="86"/>
      <c r="D118" s="86"/>
      <c r="E118" s="86"/>
      <c r="F118" s="86"/>
      <c r="G118" s="86"/>
      <c r="H118" s="86"/>
      <c r="I118" s="86"/>
      <c r="J118" s="86"/>
    </row>
    <row r="119" spans="1:10" ht="14.25" customHeight="1" x14ac:dyDescent="0.35">
      <c r="A119" s="86"/>
      <c r="B119" s="86"/>
      <c r="C119" s="86"/>
      <c r="D119" s="86"/>
      <c r="E119" s="86"/>
      <c r="F119" s="86"/>
      <c r="G119" s="86"/>
      <c r="H119" s="86"/>
      <c r="I119" s="86"/>
      <c r="J119" s="86"/>
    </row>
    <row r="120" spans="1:10" ht="14.25" customHeight="1" x14ac:dyDescent="0.35">
      <c r="A120" s="86"/>
      <c r="B120" s="86"/>
      <c r="C120" s="86"/>
      <c r="D120" s="86"/>
      <c r="E120" s="86"/>
      <c r="F120" s="86"/>
      <c r="G120" s="86"/>
      <c r="H120" s="86"/>
      <c r="I120" s="86"/>
      <c r="J120" s="86"/>
    </row>
    <row r="121" spans="1:10" ht="14.25" customHeight="1" x14ac:dyDescent="0.35">
      <c r="A121" s="86"/>
      <c r="B121" s="86"/>
      <c r="C121" s="86"/>
      <c r="D121" s="86"/>
      <c r="E121" s="86"/>
      <c r="F121" s="86"/>
      <c r="G121" s="86"/>
      <c r="H121" s="86"/>
      <c r="I121" s="86"/>
      <c r="J121" s="86"/>
    </row>
    <row r="122" spans="1:10" ht="14.25" customHeight="1" x14ac:dyDescent="0.35">
      <c r="A122" s="86"/>
      <c r="B122" s="86"/>
      <c r="C122" s="86"/>
      <c r="D122" s="86"/>
      <c r="E122" s="86"/>
      <c r="F122" s="86"/>
      <c r="G122" s="86"/>
      <c r="H122" s="86"/>
      <c r="I122" s="86"/>
      <c r="J122" s="86"/>
    </row>
    <row r="123" spans="1:10" ht="14.25" customHeight="1" x14ac:dyDescent="0.35">
      <c r="A123" s="86"/>
      <c r="B123" s="86"/>
      <c r="C123" s="86"/>
      <c r="D123" s="86"/>
      <c r="E123" s="86"/>
      <c r="F123" s="86"/>
      <c r="G123" s="86"/>
      <c r="H123" s="86"/>
      <c r="I123" s="86"/>
      <c r="J123" s="86"/>
    </row>
    <row r="124" spans="1:10" ht="14.25" customHeight="1" x14ac:dyDescent="0.35">
      <c r="A124" s="86"/>
      <c r="B124" s="86"/>
      <c r="C124" s="86"/>
      <c r="D124" s="86"/>
      <c r="E124" s="86"/>
      <c r="F124" s="86"/>
      <c r="G124" s="86"/>
      <c r="H124" s="86"/>
      <c r="I124" s="86"/>
      <c r="J124" s="86"/>
    </row>
    <row r="125" spans="1:10" ht="14.25" customHeight="1" x14ac:dyDescent="0.35">
      <c r="A125" s="86"/>
      <c r="B125" s="86"/>
      <c r="C125" s="86"/>
      <c r="D125" s="86"/>
      <c r="E125" s="86"/>
      <c r="F125" s="86"/>
      <c r="G125" s="86"/>
      <c r="H125" s="86"/>
      <c r="I125" s="86"/>
      <c r="J125" s="86"/>
    </row>
    <row r="126" spans="1:10" ht="14.25" customHeight="1" x14ac:dyDescent="0.35">
      <c r="A126" s="86"/>
      <c r="B126" s="86"/>
      <c r="C126" s="86"/>
      <c r="D126" s="86"/>
      <c r="E126" s="86"/>
      <c r="F126" s="86"/>
      <c r="G126" s="86"/>
      <c r="H126" s="86"/>
      <c r="I126" s="86"/>
      <c r="J126" s="86"/>
    </row>
    <row r="127" spans="1:10" ht="14.25" customHeight="1" x14ac:dyDescent="0.35">
      <c r="A127" s="86"/>
      <c r="B127" s="86"/>
      <c r="C127" s="86"/>
      <c r="D127" s="86"/>
      <c r="E127" s="86"/>
      <c r="F127" s="86"/>
      <c r="G127" s="86"/>
      <c r="H127" s="86"/>
      <c r="I127" s="86"/>
      <c r="J127" s="86"/>
    </row>
    <row r="128" spans="1:10" ht="14.25" customHeight="1" x14ac:dyDescent="0.35">
      <c r="A128" s="86"/>
      <c r="B128" s="86"/>
      <c r="C128" s="86"/>
      <c r="D128" s="86"/>
      <c r="E128" s="86"/>
      <c r="F128" s="86"/>
      <c r="G128" s="86"/>
      <c r="H128" s="86"/>
      <c r="I128" s="86"/>
      <c r="J128" s="86"/>
    </row>
    <row r="129" spans="1:10" ht="14.25" customHeight="1" x14ac:dyDescent="0.35">
      <c r="A129" s="86"/>
      <c r="B129" s="86"/>
      <c r="C129" s="86"/>
      <c r="D129" s="86"/>
      <c r="E129" s="86"/>
      <c r="F129" s="86"/>
      <c r="G129" s="86"/>
      <c r="H129" s="86"/>
      <c r="I129" s="86"/>
      <c r="J129" s="86"/>
    </row>
    <row r="130" spans="1:10" ht="14.25" customHeight="1" x14ac:dyDescent="0.35">
      <c r="A130" s="86"/>
      <c r="B130" s="86"/>
      <c r="C130" s="86"/>
      <c r="D130" s="86"/>
      <c r="E130" s="86"/>
      <c r="F130" s="86"/>
      <c r="G130" s="86"/>
      <c r="H130" s="86"/>
      <c r="I130" s="86"/>
      <c r="J130" s="86"/>
    </row>
    <row r="131" spans="1:10" ht="14.25" customHeight="1" x14ac:dyDescent="0.35">
      <c r="A131" s="86"/>
      <c r="B131" s="86"/>
      <c r="C131" s="86"/>
      <c r="D131" s="86"/>
      <c r="E131" s="86"/>
      <c r="F131" s="86"/>
      <c r="G131" s="86"/>
      <c r="H131" s="86"/>
      <c r="I131" s="86"/>
      <c r="J131" s="86"/>
    </row>
    <row r="132" spans="1:10" ht="14.25" customHeight="1" x14ac:dyDescent="0.35">
      <c r="A132" s="86"/>
      <c r="B132" s="86"/>
      <c r="C132" s="86"/>
      <c r="D132" s="86"/>
      <c r="E132" s="86"/>
      <c r="F132" s="86"/>
      <c r="G132" s="86"/>
      <c r="H132" s="86"/>
      <c r="I132" s="86"/>
      <c r="J132" s="86"/>
    </row>
    <row r="133" spans="1:10" ht="14.25" customHeight="1" x14ac:dyDescent="0.35">
      <c r="A133" s="86"/>
      <c r="B133" s="86"/>
      <c r="C133" s="86"/>
      <c r="D133" s="86"/>
      <c r="E133" s="86"/>
      <c r="F133" s="86"/>
      <c r="G133" s="86"/>
      <c r="H133" s="86"/>
      <c r="I133" s="86"/>
      <c r="J133" s="86"/>
    </row>
    <row r="134" spans="1:10" ht="14.25" customHeight="1" x14ac:dyDescent="0.35">
      <c r="A134" s="86"/>
      <c r="B134" s="86"/>
      <c r="C134" s="86"/>
      <c r="D134" s="86"/>
      <c r="E134" s="86"/>
      <c r="F134" s="86"/>
      <c r="G134" s="86"/>
      <c r="H134" s="86"/>
      <c r="I134" s="86"/>
      <c r="J134" s="86"/>
    </row>
    <row r="135" spans="1:10" ht="14.25" customHeight="1" x14ac:dyDescent="0.35">
      <c r="A135" s="86"/>
      <c r="B135" s="86"/>
      <c r="C135" s="86"/>
      <c r="D135" s="86"/>
      <c r="E135" s="86"/>
      <c r="F135" s="86"/>
      <c r="G135" s="86"/>
      <c r="H135" s="86"/>
      <c r="I135" s="86"/>
      <c r="J135" s="86"/>
    </row>
    <row r="136" spans="1:10" ht="14.25" customHeight="1" x14ac:dyDescent="0.35">
      <c r="A136" s="86"/>
      <c r="B136" s="86"/>
      <c r="C136" s="86"/>
      <c r="D136" s="86"/>
      <c r="E136" s="86"/>
      <c r="F136" s="86"/>
      <c r="G136" s="86"/>
      <c r="H136" s="86"/>
      <c r="I136" s="86"/>
      <c r="J136" s="86"/>
    </row>
    <row r="137" spans="1:10" ht="14.25" customHeight="1" x14ac:dyDescent="0.35">
      <c r="A137" s="86"/>
      <c r="B137" s="86"/>
      <c r="C137" s="86"/>
      <c r="D137" s="86"/>
      <c r="E137" s="86"/>
      <c r="F137" s="86"/>
      <c r="G137" s="86"/>
      <c r="H137" s="86"/>
      <c r="I137" s="86"/>
      <c r="J137" s="86"/>
    </row>
    <row r="138" spans="1:10" ht="14.25" customHeight="1" x14ac:dyDescent="0.35">
      <c r="A138" s="86"/>
      <c r="B138" s="86"/>
      <c r="C138" s="86"/>
      <c r="D138" s="86"/>
      <c r="E138" s="86"/>
      <c r="F138" s="86"/>
      <c r="G138" s="86"/>
      <c r="H138" s="86"/>
      <c r="I138" s="86"/>
      <c r="J138" s="86"/>
    </row>
    <row r="139" spans="1:10" ht="14.25" customHeight="1" x14ac:dyDescent="0.35">
      <c r="A139" s="86"/>
      <c r="B139" s="86"/>
      <c r="C139" s="86"/>
      <c r="D139" s="86"/>
      <c r="E139" s="86"/>
      <c r="F139" s="86"/>
      <c r="G139" s="86"/>
      <c r="H139" s="86"/>
      <c r="I139" s="86"/>
      <c r="J139" s="86"/>
    </row>
    <row r="140" spans="1:10" ht="14.25" customHeight="1" x14ac:dyDescent="0.35">
      <c r="A140" s="86"/>
      <c r="B140" s="86"/>
      <c r="C140" s="86"/>
      <c r="D140" s="86"/>
      <c r="E140" s="86"/>
      <c r="F140" s="86"/>
      <c r="G140" s="86"/>
      <c r="H140" s="86"/>
      <c r="I140" s="86"/>
      <c r="J140" s="86"/>
    </row>
    <row r="141" spans="1:10" ht="14.25" customHeight="1" x14ac:dyDescent="0.35">
      <c r="A141" s="86"/>
      <c r="B141" s="86"/>
      <c r="C141" s="86"/>
      <c r="D141" s="86"/>
      <c r="E141" s="86"/>
      <c r="F141" s="86"/>
      <c r="G141" s="86"/>
      <c r="H141" s="86"/>
      <c r="I141" s="86"/>
      <c r="J141" s="86"/>
    </row>
    <row r="142" spans="1:10" ht="14.25" customHeight="1" x14ac:dyDescent="0.35">
      <c r="A142" s="86"/>
      <c r="B142" s="86"/>
      <c r="C142" s="86"/>
      <c r="D142" s="86"/>
      <c r="E142" s="86"/>
      <c r="F142" s="86"/>
      <c r="G142" s="86"/>
      <c r="H142" s="86"/>
      <c r="I142" s="86"/>
      <c r="J142" s="86"/>
    </row>
    <row r="143" spans="1:10" ht="14.25" customHeight="1" x14ac:dyDescent="0.35">
      <c r="A143" s="86"/>
      <c r="B143" s="86"/>
      <c r="C143" s="86"/>
      <c r="D143" s="86"/>
      <c r="E143" s="86"/>
      <c r="F143" s="86"/>
      <c r="G143" s="86"/>
      <c r="H143" s="86"/>
      <c r="I143" s="86"/>
      <c r="J143" s="86"/>
    </row>
    <row r="144" spans="1:10" ht="14.25" customHeight="1" x14ac:dyDescent="0.35">
      <c r="A144" s="86"/>
      <c r="B144" s="86"/>
      <c r="C144" s="86"/>
      <c r="D144" s="86"/>
      <c r="E144" s="86"/>
      <c r="F144" s="86"/>
      <c r="G144" s="86"/>
      <c r="H144" s="86"/>
      <c r="I144" s="86"/>
      <c r="J144" s="86"/>
    </row>
    <row r="145" spans="1:10" ht="14.25" customHeight="1" x14ac:dyDescent="0.35">
      <c r="A145" s="86"/>
      <c r="B145" s="86"/>
      <c r="C145" s="86"/>
      <c r="D145" s="86"/>
      <c r="E145" s="86"/>
      <c r="F145" s="86"/>
      <c r="G145" s="86"/>
      <c r="H145" s="86"/>
      <c r="I145" s="86"/>
      <c r="J145" s="86"/>
    </row>
    <row r="146" spans="1:10" ht="14.25" customHeight="1" x14ac:dyDescent="0.35">
      <c r="A146" s="86"/>
      <c r="B146" s="86"/>
      <c r="C146" s="86"/>
      <c r="D146" s="86"/>
      <c r="E146" s="86"/>
      <c r="F146" s="86"/>
      <c r="G146" s="86"/>
      <c r="H146" s="86"/>
      <c r="I146" s="86"/>
      <c r="J146" s="86"/>
    </row>
    <row r="147" spans="1:10" ht="14.25" customHeight="1" x14ac:dyDescent="0.35">
      <c r="A147" s="86"/>
      <c r="B147" s="86"/>
      <c r="C147" s="86"/>
      <c r="D147" s="86"/>
      <c r="E147" s="86"/>
      <c r="F147" s="86"/>
      <c r="G147" s="86"/>
      <c r="H147" s="86"/>
      <c r="I147" s="86"/>
      <c r="J147" s="86"/>
    </row>
    <row r="148" spans="1:10" ht="14.25" customHeight="1" x14ac:dyDescent="0.35">
      <c r="A148" s="86"/>
      <c r="B148" s="86"/>
      <c r="C148" s="86"/>
      <c r="D148" s="86"/>
      <c r="E148" s="86"/>
      <c r="F148" s="86"/>
      <c r="G148" s="86"/>
      <c r="H148" s="86"/>
      <c r="I148" s="86"/>
      <c r="J148" s="86"/>
    </row>
    <row r="149" spans="1:10" ht="14.25" customHeight="1" x14ac:dyDescent="0.35">
      <c r="A149" s="86"/>
      <c r="B149" s="86"/>
      <c r="C149" s="86"/>
      <c r="D149" s="86"/>
      <c r="E149" s="86"/>
      <c r="F149" s="86"/>
      <c r="G149" s="86"/>
      <c r="H149" s="86"/>
      <c r="I149" s="86"/>
      <c r="J149" s="86"/>
    </row>
    <row r="150" spans="1:10" ht="14.25" customHeight="1" x14ac:dyDescent="0.35">
      <c r="A150" s="86"/>
      <c r="B150" s="86"/>
      <c r="C150" s="86"/>
      <c r="D150" s="86"/>
      <c r="E150" s="86"/>
      <c r="F150" s="86"/>
      <c r="G150" s="86"/>
      <c r="H150" s="86"/>
      <c r="I150" s="86"/>
      <c r="J150" s="86"/>
    </row>
    <row r="151" spans="1:10" ht="14.25" customHeight="1" x14ac:dyDescent="0.35">
      <c r="A151" s="86"/>
      <c r="B151" s="86"/>
      <c r="C151" s="86"/>
      <c r="D151" s="86"/>
      <c r="E151" s="86"/>
      <c r="F151" s="86"/>
      <c r="G151" s="86"/>
      <c r="H151" s="86"/>
      <c r="I151" s="86"/>
      <c r="J151" s="86"/>
    </row>
    <row r="152" spans="1:10" ht="14.25" customHeight="1" x14ac:dyDescent="0.35">
      <c r="A152" s="86"/>
      <c r="B152" s="86"/>
      <c r="C152" s="86"/>
      <c r="D152" s="86"/>
      <c r="E152" s="86"/>
      <c r="F152" s="86"/>
      <c r="G152" s="86"/>
      <c r="H152" s="86"/>
      <c r="I152" s="86"/>
      <c r="J152" s="86"/>
    </row>
    <row r="153" spans="1:10" ht="14.25" customHeight="1" x14ac:dyDescent="0.35">
      <c r="A153" s="86"/>
      <c r="B153" s="86"/>
      <c r="C153" s="86"/>
      <c r="D153" s="86"/>
      <c r="E153" s="86"/>
      <c r="F153" s="86"/>
      <c r="G153" s="86"/>
      <c r="H153" s="86"/>
      <c r="I153" s="86"/>
      <c r="J153" s="86"/>
    </row>
    <row r="154" spans="1:10" ht="14.25" customHeight="1" x14ac:dyDescent="0.35">
      <c r="A154" s="86"/>
      <c r="B154" s="86"/>
      <c r="C154" s="86"/>
      <c r="D154" s="86"/>
      <c r="E154" s="86"/>
      <c r="F154" s="86"/>
      <c r="G154" s="86"/>
      <c r="H154" s="86"/>
      <c r="I154" s="86"/>
      <c r="J154" s="86"/>
    </row>
    <row r="155" spans="1:10" ht="14.25" customHeight="1" x14ac:dyDescent="0.35">
      <c r="A155" s="86"/>
      <c r="B155" s="86"/>
      <c r="C155" s="86"/>
      <c r="D155" s="86"/>
      <c r="E155" s="86"/>
      <c r="F155" s="86"/>
      <c r="G155" s="86"/>
      <c r="H155" s="86"/>
      <c r="I155" s="86"/>
      <c r="J155" s="86"/>
    </row>
    <row r="156" spans="1:10" ht="14.25" customHeight="1" x14ac:dyDescent="0.35">
      <c r="A156" s="86"/>
      <c r="B156" s="86"/>
      <c r="C156" s="86"/>
      <c r="D156" s="86"/>
      <c r="E156" s="86"/>
      <c r="F156" s="86"/>
      <c r="G156" s="86"/>
      <c r="H156" s="86"/>
      <c r="I156" s="86"/>
      <c r="J156" s="86"/>
    </row>
    <row r="157" spans="1:10" ht="14.25" customHeight="1" x14ac:dyDescent="0.35">
      <c r="A157" s="86"/>
      <c r="B157" s="86"/>
      <c r="C157" s="86"/>
      <c r="D157" s="86"/>
      <c r="E157" s="86"/>
      <c r="F157" s="86"/>
      <c r="G157" s="86"/>
      <c r="H157" s="86"/>
      <c r="I157" s="86"/>
      <c r="J157" s="86"/>
    </row>
    <row r="158" spans="1:10" ht="14.25" customHeight="1" x14ac:dyDescent="0.35">
      <c r="A158" s="86"/>
      <c r="B158" s="86"/>
      <c r="C158" s="86"/>
      <c r="D158" s="86"/>
      <c r="E158" s="86"/>
      <c r="F158" s="86"/>
      <c r="G158" s="86"/>
      <c r="H158" s="86"/>
      <c r="I158" s="86"/>
      <c r="J158" s="86"/>
    </row>
    <row r="159" spans="1:10" ht="14.25" customHeight="1" x14ac:dyDescent="0.35">
      <c r="A159" s="86"/>
      <c r="B159" s="86"/>
      <c r="C159" s="86"/>
      <c r="D159" s="86"/>
      <c r="E159" s="86"/>
      <c r="F159" s="86"/>
      <c r="G159" s="86"/>
      <c r="H159" s="86"/>
      <c r="I159" s="86"/>
      <c r="J159" s="86"/>
    </row>
    <row r="160" spans="1:10" ht="14.25" customHeight="1" x14ac:dyDescent="0.35">
      <c r="A160" s="86"/>
      <c r="B160" s="86"/>
      <c r="C160" s="86"/>
      <c r="D160" s="86"/>
      <c r="E160" s="86"/>
      <c r="F160" s="86"/>
      <c r="G160" s="86"/>
      <c r="H160" s="86"/>
      <c r="I160" s="86"/>
      <c r="J160" s="86"/>
    </row>
    <row r="161" spans="1:8" ht="14.25" customHeight="1" x14ac:dyDescent="0.35">
      <c r="A161" s="86"/>
      <c r="B161" s="86"/>
      <c r="C161" s="86"/>
      <c r="D161" s="86"/>
      <c r="E161" s="86"/>
      <c r="F161" s="86"/>
      <c r="G161" s="86"/>
      <c r="H161" s="86"/>
    </row>
    <row r="162" spans="1:8" ht="14.25" customHeight="1" x14ac:dyDescent="0.35">
      <c r="A162" s="86"/>
      <c r="B162" s="86"/>
      <c r="C162" s="86"/>
      <c r="D162" s="86"/>
      <c r="E162" s="86"/>
      <c r="F162" s="86"/>
      <c r="G162" s="86"/>
      <c r="H162" s="86"/>
    </row>
    <row r="163" spans="1:8" ht="14.25" customHeight="1" x14ac:dyDescent="0.35">
      <c r="A163" s="86"/>
      <c r="B163" s="86"/>
      <c r="C163" s="86"/>
      <c r="D163" s="86"/>
      <c r="E163" s="86"/>
      <c r="F163" s="86"/>
      <c r="G163" s="86"/>
      <c r="H163" s="86"/>
    </row>
    <row r="164" spans="1:8" ht="14.25" customHeight="1" x14ac:dyDescent="0.35">
      <c r="A164" s="86"/>
      <c r="B164" s="86"/>
      <c r="C164" s="86"/>
      <c r="D164" s="86"/>
      <c r="E164" s="86"/>
      <c r="F164" s="86"/>
      <c r="G164" s="86"/>
      <c r="H164" s="86"/>
    </row>
    <row r="165" spans="1:8" ht="14.25" customHeight="1" x14ac:dyDescent="0.35">
      <c r="A165" s="86"/>
      <c r="B165" s="86"/>
      <c r="C165" s="86"/>
      <c r="D165" s="86"/>
      <c r="E165" s="86"/>
      <c r="F165" s="86"/>
      <c r="G165" s="86"/>
      <c r="H165" s="86"/>
    </row>
    <row r="166" spans="1:8" ht="14.25" customHeight="1" x14ac:dyDescent="0.35">
      <c r="A166" s="86"/>
      <c r="B166" s="86"/>
      <c r="C166" s="86"/>
      <c r="D166" s="86"/>
      <c r="E166" s="86"/>
      <c r="F166" s="86"/>
      <c r="G166" s="86"/>
      <c r="H166" s="86"/>
    </row>
    <row r="167" spans="1:8" ht="14.25" customHeight="1" x14ac:dyDescent="0.35">
      <c r="A167" s="86"/>
      <c r="B167" s="86"/>
      <c r="C167" s="86"/>
      <c r="D167" s="86"/>
      <c r="E167" s="86"/>
      <c r="F167" s="86"/>
      <c r="G167" s="86"/>
      <c r="H167" s="86"/>
    </row>
    <row r="168" spans="1:8" ht="14.25" customHeight="1" x14ac:dyDescent="0.35">
      <c r="A168" s="86"/>
      <c r="B168" s="86"/>
      <c r="C168" s="86"/>
      <c r="D168" s="86"/>
      <c r="E168" s="86"/>
      <c r="F168" s="86"/>
      <c r="G168" s="86"/>
      <c r="H168" s="86"/>
    </row>
    <row r="169" spans="1:8" ht="14.25" customHeight="1" x14ac:dyDescent="0.35">
      <c r="A169" s="86"/>
      <c r="B169" s="86"/>
      <c r="C169" s="86"/>
      <c r="D169" s="86"/>
      <c r="E169" s="86"/>
      <c r="F169" s="86"/>
      <c r="G169" s="86"/>
      <c r="H169" s="86"/>
    </row>
    <row r="170" spans="1:8" ht="14.25" customHeight="1" x14ac:dyDescent="0.35">
      <c r="A170" s="86"/>
      <c r="B170" s="86"/>
      <c r="C170" s="86"/>
      <c r="D170" s="86"/>
      <c r="E170" s="86"/>
      <c r="F170" s="86"/>
      <c r="G170" s="86"/>
      <c r="H170" s="86"/>
    </row>
    <row r="171" spans="1:8" ht="14.25" customHeight="1" x14ac:dyDescent="0.35">
      <c r="A171" s="86"/>
      <c r="B171" s="86"/>
      <c r="C171" s="86"/>
      <c r="D171" s="86"/>
      <c r="E171" s="86"/>
      <c r="F171" s="86"/>
      <c r="G171" s="86"/>
      <c r="H171" s="86"/>
    </row>
    <row r="172" spans="1:8" ht="14.25" customHeight="1" x14ac:dyDescent="0.35">
      <c r="A172" s="86"/>
      <c r="B172" s="86"/>
      <c r="C172" s="86"/>
      <c r="D172" s="86"/>
      <c r="E172" s="86"/>
      <c r="F172" s="86"/>
      <c r="G172" s="86"/>
      <c r="H172" s="86"/>
    </row>
    <row r="173" spans="1:8" ht="14.25" customHeight="1" x14ac:dyDescent="0.35">
      <c r="A173" s="86"/>
      <c r="B173" s="86"/>
      <c r="C173" s="86"/>
      <c r="D173" s="86"/>
      <c r="E173" s="86"/>
      <c r="F173" s="86"/>
      <c r="G173" s="86"/>
      <c r="H173" s="86"/>
    </row>
    <row r="174" spans="1:8" ht="14.25" customHeight="1" x14ac:dyDescent="0.35">
      <c r="A174" s="86"/>
      <c r="B174" s="86"/>
      <c r="C174" s="86"/>
      <c r="D174" s="86"/>
      <c r="E174" s="86"/>
      <c r="F174" s="86"/>
      <c r="G174" s="86"/>
      <c r="H174" s="86"/>
    </row>
    <row r="175" spans="1:8" ht="14.25" customHeight="1" x14ac:dyDescent="0.35">
      <c r="A175" s="86"/>
      <c r="B175" s="86"/>
      <c r="C175" s="86"/>
      <c r="D175" s="86"/>
      <c r="E175" s="86"/>
      <c r="F175" s="86"/>
      <c r="G175" s="86"/>
      <c r="H175" s="86"/>
    </row>
    <row r="176" spans="1:8" ht="14.25" customHeight="1" x14ac:dyDescent="0.35">
      <c r="A176" s="86"/>
      <c r="B176" s="86"/>
      <c r="C176" s="86"/>
      <c r="D176" s="86"/>
      <c r="E176" s="86"/>
      <c r="F176" s="86"/>
      <c r="G176" s="86"/>
      <c r="H176" s="86"/>
    </row>
    <row r="177" spans="1:8" ht="14.25" customHeight="1" x14ac:dyDescent="0.35">
      <c r="A177" s="86"/>
      <c r="B177" s="86"/>
      <c r="C177" s="86"/>
      <c r="D177" s="86"/>
      <c r="E177" s="86"/>
      <c r="F177" s="86"/>
      <c r="G177" s="86"/>
      <c r="H177" s="86"/>
    </row>
    <row r="178" spans="1:8" ht="14.25" customHeight="1" x14ac:dyDescent="0.35">
      <c r="A178" s="86"/>
      <c r="B178" s="86"/>
      <c r="C178" s="86"/>
      <c r="D178" s="86"/>
      <c r="E178" s="86"/>
      <c r="F178" s="86"/>
      <c r="G178" s="86"/>
      <c r="H178" s="86"/>
    </row>
    <row r="179" spans="1:8" ht="14.25" customHeight="1" x14ac:dyDescent="0.35">
      <c r="A179" s="86"/>
      <c r="B179" s="86"/>
      <c r="C179" s="86"/>
      <c r="D179" s="86"/>
      <c r="E179" s="86"/>
      <c r="F179" s="86"/>
      <c r="G179" s="86"/>
      <c r="H179" s="86"/>
    </row>
    <row r="180" spans="1:8" ht="14.25" customHeight="1" x14ac:dyDescent="0.35">
      <c r="A180" s="86"/>
      <c r="B180" s="86"/>
      <c r="C180" s="86"/>
      <c r="D180" s="86"/>
      <c r="E180" s="86"/>
      <c r="F180" s="86"/>
      <c r="G180" s="86"/>
      <c r="H180" s="86"/>
    </row>
    <row r="181" spans="1:8" ht="14.25" customHeight="1" x14ac:dyDescent="0.35">
      <c r="A181" s="86"/>
      <c r="B181" s="86"/>
      <c r="C181" s="86"/>
      <c r="D181" s="86"/>
      <c r="E181" s="86"/>
      <c r="F181" s="86"/>
      <c r="G181" s="86"/>
      <c r="H181" s="86"/>
    </row>
    <row r="182" spans="1:8" ht="14.25" customHeight="1" x14ac:dyDescent="0.35">
      <c r="A182" s="86"/>
      <c r="B182" s="86"/>
      <c r="C182" s="86"/>
      <c r="D182" s="86"/>
      <c r="E182" s="86"/>
      <c r="F182" s="86"/>
      <c r="G182" s="86"/>
      <c r="H182" s="86"/>
    </row>
    <row r="183" spans="1:8" ht="14.25" customHeight="1" x14ac:dyDescent="0.35">
      <c r="A183" s="86"/>
      <c r="B183" s="86"/>
      <c r="C183" s="86"/>
      <c r="D183" s="86"/>
      <c r="E183" s="86"/>
      <c r="F183" s="86"/>
      <c r="G183" s="86"/>
      <c r="H183" s="86"/>
    </row>
    <row r="184" spans="1:8" ht="14.25" customHeight="1" x14ac:dyDescent="0.35">
      <c r="A184" s="86"/>
      <c r="B184" s="86"/>
      <c r="C184" s="86"/>
      <c r="D184" s="86"/>
      <c r="E184" s="86"/>
      <c r="F184" s="86"/>
      <c r="G184" s="86"/>
      <c r="H184" s="86"/>
    </row>
    <row r="185" spans="1:8" ht="14.25" customHeight="1" x14ac:dyDescent="0.35">
      <c r="A185" s="86"/>
      <c r="B185" s="86"/>
      <c r="C185" s="86"/>
      <c r="D185" s="86"/>
      <c r="E185" s="86"/>
      <c r="F185" s="86"/>
      <c r="G185" s="86"/>
      <c r="H185" s="86"/>
    </row>
    <row r="186" spans="1:8" ht="14.25" customHeight="1" x14ac:dyDescent="0.35">
      <c r="A186" s="86"/>
      <c r="B186" s="86"/>
      <c r="C186" s="86"/>
      <c r="D186" s="86"/>
      <c r="E186" s="86"/>
      <c r="F186" s="86"/>
      <c r="G186" s="86"/>
      <c r="H186" s="86"/>
    </row>
    <row r="187" spans="1:8" ht="14.25" customHeight="1" x14ac:dyDescent="0.35">
      <c r="A187" s="86"/>
      <c r="B187" s="86"/>
      <c r="C187" s="86"/>
      <c r="D187" s="86"/>
      <c r="E187" s="86"/>
      <c r="F187" s="86"/>
      <c r="G187" s="86"/>
      <c r="H187" s="86"/>
    </row>
    <row r="188" spans="1:8" ht="14.25" customHeight="1" x14ac:dyDescent="0.35">
      <c r="A188" s="86"/>
      <c r="B188" s="86"/>
      <c r="C188" s="86"/>
      <c r="D188" s="86"/>
      <c r="E188" s="86"/>
      <c r="F188" s="86"/>
      <c r="G188" s="86"/>
      <c r="H188" s="86"/>
    </row>
    <row r="189" spans="1:8" ht="14.25" customHeight="1" x14ac:dyDescent="0.35">
      <c r="A189" s="86"/>
      <c r="B189" s="86"/>
      <c r="C189" s="86"/>
      <c r="D189" s="86"/>
      <c r="E189" s="86"/>
      <c r="F189" s="86"/>
      <c r="G189" s="86"/>
      <c r="H189" s="86"/>
    </row>
    <row r="190" spans="1:8" ht="14.25" customHeight="1" x14ac:dyDescent="0.35">
      <c r="A190" s="86"/>
      <c r="B190" s="86"/>
      <c r="C190" s="86"/>
      <c r="D190" s="86"/>
      <c r="E190" s="86"/>
      <c r="F190" s="86"/>
      <c r="G190" s="86"/>
      <c r="H190" s="86"/>
    </row>
    <row r="191" spans="1:8" ht="15.75" customHeight="1" x14ac:dyDescent="0.35">
      <c r="A191" s="86"/>
      <c r="B191" s="86"/>
      <c r="C191" s="86"/>
      <c r="D191" s="86"/>
      <c r="E191" s="86"/>
      <c r="F191" s="86"/>
      <c r="G191" s="86"/>
      <c r="H191" s="86"/>
    </row>
    <row r="192" spans="1:8" ht="15.75" customHeight="1" x14ac:dyDescent="0.35">
      <c r="A192" s="86"/>
      <c r="B192" s="86"/>
      <c r="C192" s="86"/>
      <c r="D192" s="86"/>
      <c r="E192" s="86"/>
      <c r="F192" s="86"/>
      <c r="G192" s="86"/>
      <c r="H192" s="86"/>
    </row>
    <row r="193" spans="1:1" ht="15.75" customHeight="1" x14ac:dyDescent="0.35">
      <c r="A193" s="86"/>
    </row>
    <row r="194" spans="1:1" ht="15.75" customHeight="1" x14ac:dyDescent="0.35">
      <c r="A194" s="86"/>
    </row>
    <row r="195" spans="1:1" ht="15.75" customHeight="1" x14ac:dyDescent="0.35">
      <c r="A195" s="86"/>
    </row>
    <row r="196" spans="1:1" ht="15.75" customHeight="1" x14ac:dyDescent="0.35">
      <c r="A196" s="86"/>
    </row>
    <row r="197" spans="1:1" ht="15.75" customHeight="1" x14ac:dyDescent="0.35">
      <c r="A197" s="86"/>
    </row>
    <row r="198" spans="1:1" ht="15.75" customHeight="1" x14ac:dyDescent="0.35">
      <c r="A198" s="86"/>
    </row>
    <row r="199" spans="1:1" ht="15.75" customHeight="1" x14ac:dyDescent="0.35">
      <c r="A199" s="86"/>
    </row>
    <row r="200" spans="1:1" ht="15.75" customHeight="1" x14ac:dyDescent="0.35">
      <c r="A200" s="86"/>
    </row>
    <row r="201" spans="1:1" ht="15.75" customHeight="1" x14ac:dyDescent="0.35">
      <c r="A201" s="86"/>
    </row>
    <row r="202" spans="1:1" ht="15.75" customHeight="1" x14ac:dyDescent="0.35">
      <c r="A202" s="86"/>
    </row>
    <row r="203" spans="1:1" ht="15.75" customHeight="1" x14ac:dyDescent="0.35">
      <c r="A203" s="86"/>
    </row>
    <row r="204" spans="1:1" ht="15.75" customHeight="1" x14ac:dyDescent="0.35">
      <c r="A204" s="86"/>
    </row>
    <row r="205" spans="1:1" ht="15.75" customHeight="1" x14ac:dyDescent="0.35">
      <c r="A205" s="86"/>
    </row>
    <row r="206" spans="1:1" ht="15.75" customHeight="1" x14ac:dyDescent="0.35">
      <c r="A206" s="86"/>
    </row>
    <row r="207" spans="1:1" ht="15.75" customHeight="1" x14ac:dyDescent="0.35">
      <c r="A207" s="86"/>
    </row>
    <row r="208" spans="1:1" ht="15.75" customHeight="1" x14ac:dyDescent="0.35">
      <c r="A208" s="86"/>
    </row>
    <row r="209" spans="1:1" ht="15.75" customHeight="1" x14ac:dyDescent="0.35">
      <c r="A209" s="86"/>
    </row>
    <row r="210" spans="1:1" ht="15.75" customHeight="1" x14ac:dyDescent="0.35">
      <c r="A210" s="86"/>
    </row>
    <row r="211" spans="1:1" ht="15.75" customHeight="1" x14ac:dyDescent="0.35">
      <c r="A211" s="86"/>
    </row>
    <row r="212" spans="1:1" ht="15.75" customHeight="1" x14ac:dyDescent="0.35">
      <c r="A212" s="86"/>
    </row>
    <row r="213" spans="1:1" ht="15.75" customHeight="1" x14ac:dyDescent="0.35">
      <c r="A213" s="86"/>
    </row>
    <row r="214" spans="1:1" ht="15.75" customHeight="1" x14ac:dyDescent="0.35">
      <c r="A214" s="86"/>
    </row>
    <row r="215" spans="1:1" ht="15.75" customHeight="1" x14ac:dyDescent="0.35">
      <c r="A215" s="86"/>
    </row>
    <row r="216" spans="1:1" ht="15.75" customHeight="1" x14ac:dyDescent="0.35">
      <c r="A216" s="86"/>
    </row>
    <row r="217" spans="1:1" ht="15.75" customHeight="1" x14ac:dyDescent="0.35">
      <c r="A217" s="86"/>
    </row>
    <row r="218" spans="1:1" ht="15.75" customHeight="1" x14ac:dyDescent="0.35">
      <c r="A218" s="86"/>
    </row>
    <row r="219" spans="1:1" ht="15.75" customHeight="1" x14ac:dyDescent="0.35">
      <c r="A219" s="86"/>
    </row>
    <row r="220" spans="1:1" ht="15.75" customHeight="1" x14ac:dyDescent="0.35">
      <c r="A220" s="86"/>
    </row>
    <row r="221" spans="1:1" ht="15.75" customHeight="1" x14ac:dyDescent="0.35">
      <c r="A221" s="86"/>
    </row>
    <row r="222" spans="1:1" ht="15.75" customHeight="1" x14ac:dyDescent="0.35">
      <c r="A222" s="86"/>
    </row>
    <row r="223" spans="1:1" ht="15.75" customHeight="1" x14ac:dyDescent="0.35">
      <c r="A223" s="86"/>
    </row>
    <row r="224" spans="1:1" ht="15.75" customHeight="1" x14ac:dyDescent="0.35">
      <c r="A224" s="86"/>
    </row>
    <row r="225" spans="1:1" ht="15.75" customHeight="1" x14ac:dyDescent="0.35">
      <c r="A225" s="86"/>
    </row>
    <row r="226" spans="1:1" ht="15.75" customHeight="1" x14ac:dyDescent="0.35">
      <c r="A226" s="86"/>
    </row>
    <row r="227" spans="1:1" ht="15.75" customHeight="1" x14ac:dyDescent="0.35">
      <c r="A227" s="86"/>
    </row>
    <row r="228" spans="1:1" ht="15.75" customHeight="1" x14ac:dyDescent="0.35">
      <c r="A228" s="86"/>
    </row>
    <row r="229" spans="1:1" ht="15.75" customHeight="1" x14ac:dyDescent="0.35">
      <c r="A229" s="86"/>
    </row>
    <row r="230" spans="1:1" ht="15.75" customHeight="1" x14ac:dyDescent="0.35">
      <c r="A230" s="86"/>
    </row>
    <row r="231" spans="1:1" ht="15.75" customHeight="1" x14ac:dyDescent="0.35">
      <c r="A231" s="86"/>
    </row>
    <row r="232" spans="1:1" ht="15.75" customHeight="1" x14ac:dyDescent="0.35">
      <c r="A232" s="86"/>
    </row>
    <row r="233" spans="1:1" ht="15.75" customHeight="1" x14ac:dyDescent="0.35">
      <c r="A233" s="86"/>
    </row>
    <row r="234" spans="1:1" ht="15.75" customHeight="1" x14ac:dyDescent="0.35">
      <c r="A234" s="86"/>
    </row>
    <row r="235" spans="1:1" ht="15.75" customHeight="1" x14ac:dyDescent="0.35">
      <c r="A235" s="86"/>
    </row>
    <row r="236" spans="1:1" ht="15.75" customHeight="1" x14ac:dyDescent="0.35">
      <c r="A236" s="86"/>
    </row>
    <row r="237" spans="1:1" ht="15.75" customHeight="1" x14ac:dyDescent="0.35">
      <c r="A237" s="86"/>
    </row>
    <row r="238" spans="1:1" ht="15.75" customHeight="1" x14ac:dyDescent="0.35">
      <c r="A238" s="86"/>
    </row>
    <row r="239" spans="1:1" ht="15.75" customHeight="1" x14ac:dyDescent="0.35">
      <c r="A239" s="86"/>
    </row>
    <row r="240" spans="1:1" ht="15.75" customHeight="1" x14ac:dyDescent="0.35">
      <c r="A240" s="86"/>
    </row>
    <row r="241" spans="1:1" ht="15.75" customHeight="1" x14ac:dyDescent="0.35">
      <c r="A241" s="86"/>
    </row>
    <row r="242" spans="1:1" ht="15.75" customHeight="1" x14ac:dyDescent="0.35">
      <c r="A242" s="86"/>
    </row>
    <row r="243" spans="1:1" ht="15.75" customHeight="1" x14ac:dyDescent="0.35">
      <c r="A243" s="86"/>
    </row>
    <row r="244" spans="1:1" ht="15.75" customHeight="1" x14ac:dyDescent="0.35">
      <c r="A244" s="86"/>
    </row>
    <row r="245" spans="1:1" ht="15.75" customHeight="1" x14ac:dyDescent="0.35">
      <c r="A245" s="86"/>
    </row>
    <row r="246" spans="1:1" ht="15.75" customHeight="1" x14ac:dyDescent="0.35">
      <c r="A246" s="86"/>
    </row>
    <row r="247" spans="1:1" ht="15.75" customHeight="1" x14ac:dyDescent="0.35">
      <c r="A247" s="86"/>
    </row>
    <row r="248" spans="1:1" ht="15.75" customHeight="1" x14ac:dyDescent="0.35">
      <c r="A248" s="86"/>
    </row>
    <row r="249" spans="1:1" ht="15.75" customHeight="1" x14ac:dyDescent="0.35">
      <c r="A249" s="86"/>
    </row>
    <row r="250" spans="1:1" ht="15.75" customHeight="1" x14ac:dyDescent="0.35">
      <c r="A250" s="86"/>
    </row>
    <row r="251" spans="1:1" ht="15.75" customHeight="1" x14ac:dyDescent="0.35">
      <c r="A251" s="86"/>
    </row>
    <row r="252" spans="1:1" ht="15.75" customHeight="1" x14ac:dyDescent="0.35">
      <c r="A252" s="86"/>
    </row>
    <row r="253" spans="1:1" ht="15.75" customHeight="1" x14ac:dyDescent="0.35">
      <c r="A253" s="86"/>
    </row>
    <row r="254" spans="1:1" ht="15.75" customHeight="1" x14ac:dyDescent="0.35">
      <c r="A254" s="86"/>
    </row>
    <row r="255" spans="1:1" ht="15.75" customHeight="1" x14ac:dyDescent="0.35">
      <c r="A255" s="86"/>
    </row>
    <row r="256" spans="1:1" ht="15.75" customHeight="1" x14ac:dyDescent="0.35">
      <c r="A256" s="86"/>
    </row>
    <row r="257" spans="1:1" ht="15.75" customHeight="1" x14ac:dyDescent="0.35">
      <c r="A257" s="86"/>
    </row>
    <row r="258" spans="1:1" ht="15.75" customHeight="1" x14ac:dyDescent="0.35">
      <c r="A258" s="86"/>
    </row>
    <row r="259" spans="1:1" ht="15.75" customHeight="1" x14ac:dyDescent="0.35">
      <c r="A259" s="86"/>
    </row>
    <row r="260" spans="1:1" ht="15.75" customHeight="1" x14ac:dyDescent="0.35">
      <c r="A260" s="86"/>
    </row>
    <row r="261" spans="1:1" ht="15.75" customHeight="1" x14ac:dyDescent="0.35">
      <c r="A261" s="86"/>
    </row>
    <row r="262" spans="1:1" ht="15.75" customHeight="1" x14ac:dyDescent="0.35">
      <c r="A262" s="86"/>
    </row>
    <row r="263" spans="1:1" ht="15.75" customHeight="1" x14ac:dyDescent="0.35">
      <c r="A263" s="86"/>
    </row>
    <row r="264" spans="1:1" ht="15.75" customHeight="1" x14ac:dyDescent="0.35">
      <c r="A264" s="86"/>
    </row>
    <row r="265" spans="1:1" ht="15.75" customHeight="1" x14ac:dyDescent="0.35">
      <c r="A265" s="86"/>
    </row>
    <row r="266" spans="1:1" ht="15.75" customHeight="1" x14ac:dyDescent="0.35">
      <c r="A266" s="86"/>
    </row>
    <row r="267" spans="1:1" ht="15.75" customHeight="1" x14ac:dyDescent="0.35">
      <c r="A267" s="86"/>
    </row>
    <row r="268" spans="1:1" ht="15.75" customHeight="1" x14ac:dyDescent="0.35">
      <c r="A268" s="86"/>
    </row>
    <row r="269" spans="1:1" ht="15.75" customHeight="1" x14ac:dyDescent="0.35">
      <c r="A269" s="86"/>
    </row>
    <row r="270" spans="1:1" ht="15.75" customHeight="1" x14ac:dyDescent="0.35">
      <c r="A270" s="86"/>
    </row>
    <row r="271" spans="1:1" ht="15.75" customHeight="1" x14ac:dyDescent="0.35">
      <c r="A271" s="86"/>
    </row>
    <row r="272" spans="1:1" ht="15.75" customHeight="1" x14ac:dyDescent="0.35">
      <c r="A272" s="86"/>
    </row>
    <row r="273" spans="1:1" ht="15.75" customHeight="1" x14ac:dyDescent="0.35">
      <c r="A273" s="86"/>
    </row>
    <row r="274" spans="1:1" ht="15.75" customHeight="1" x14ac:dyDescent="0.35">
      <c r="A274" s="86"/>
    </row>
    <row r="275" spans="1:1" ht="15.75" customHeight="1" x14ac:dyDescent="0.35">
      <c r="A275" s="86"/>
    </row>
    <row r="276" spans="1:1" ht="15.75" customHeight="1" x14ac:dyDescent="0.35">
      <c r="A276" s="86"/>
    </row>
    <row r="277" spans="1:1" ht="15.75" customHeight="1" x14ac:dyDescent="0.35">
      <c r="A277" s="86"/>
    </row>
    <row r="278" spans="1:1" ht="15.75" customHeight="1" x14ac:dyDescent="0.35">
      <c r="A278" s="86"/>
    </row>
    <row r="279" spans="1:1" ht="15.75" customHeight="1" x14ac:dyDescent="0.35">
      <c r="A279" s="86"/>
    </row>
    <row r="280" spans="1:1" ht="15.75" customHeight="1" x14ac:dyDescent="0.35">
      <c r="A280" s="86"/>
    </row>
    <row r="281" spans="1:1" ht="15.75" customHeight="1" x14ac:dyDescent="0.35">
      <c r="A281" s="86"/>
    </row>
    <row r="282" spans="1:1" ht="15.75" customHeight="1" x14ac:dyDescent="0.35">
      <c r="A282" s="86"/>
    </row>
    <row r="283" spans="1:1" ht="15.75" customHeight="1" x14ac:dyDescent="0.35">
      <c r="A283" s="86"/>
    </row>
    <row r="284" spans="1:1" ht="15.75" customHeight="1" x14ac:dyDescent="0.35">
      <c r="A284" s="86"/>
    </row>
    <row r="285" spans="1:1" ht="15.75" customHeight="1" x14ac:dyDescent="0.35">
      <c r="A285" s="86"/>
    </row>
    <row r="286" spans="1:1" ht="15.75" customHeight="1" x14ac:dyDescent="0.35">
      <c r="A286" s="86"/>
    </row>
    <row r="287" spans="1:1" ht="15.75" customHeight="1" x14ac:dyDescent="0.35">
      <c r="A287" s="86"/>
    </row>
    <row r="288" spans="1:1" ht="15.75" customHeight="1" x14ac:dyDescent="0.35">
      <c r="A288" s="86"/>
    </row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3D92-560F-48D9-B243-90AEAD6DEBDE}">
  <sheetPr>
    <tabColor rgb="FF00B050"/>
  </sheetPr>
  <dimension ref="A1:BJ99"/>
  <sheetViews>
    <sheetView topLeftCell="A3" workbookViewId="0">
      <pane xSplit="3" ySplit="2" topLeftCell="AM92" activePane="bottomRight" state="frozen"/>
      <selection activeCell="A3" sqref="A3"/>
      <selection pane="topRight" activeCell="D3" sqref="D3"/>
      <selection pane="bottomLeft" activeCell="A5" sqref="A5"/>
      <selection pane="bottomRight" activeCell="D5" sqref="D5"/>
    </sheetView>
  </sheetViews>
  <sheetFormatPr defaultRowHeight="14.5" x14ac:dyDescent="0.35"/>
  <cols>
    <col min="1" max="1" width="3.08984375" style="62" bestFit="1" customWidth="1"/>
    <col min="2" max="2" width="11.08984375" style="62" customWidth="1"/>
    <col min="3" max="3" width="23.26953125" style="62" bestFit="1" customWidth="1"/>
    <col min="4" max="4" width="13.81640625" style="62" bestFit="1" customWidth="1"/>
    <col min="5" max="5" width="14.36328125" style="62" bestFit="1" customWidth="1"/>
    <col min="6" max="6" width="8.6328125" style="64" bestFit="1" customWidth="1"/>
    <col min="7" max="9" width="10.1796875" style="65" bestFit="1" customWidth="1"/>
    <col min="10" max="10" width="8.6328125" style="65" bestFit="1" customWidth="1"/>
    <col min="11" max="11" width="10.1796875" style="65" bestFit="1" customWidth="1"/>
    <col min="12" max="18" width="8.6328125" style="65" bestFit="1" customWidth="1"/>
    <col min="19" max="19" width="13.26953125" style="65" bestFit="1" customWidth="1"/>
    <col min="20" max="31" width="10.1796875" style="65" bestFit="1" customWidth="1"/>
    <col min="32" max="32" width="11.1796875" style="65" bestFit="1" customWidth="1"/>
    <col min="33" max="41" width="10.1796875" style="65" bestFit="1" customWidth="1"/>
    <col min="42" max="44" width="8.6328125" style="65" bestFit="1" customWidth="1"/>
    <col min="45" max="45" width="15.54296875" style="65" bestFit="1" customWidth="1"/>
    <col min="46" max="46" width="25.1796875" style="65" bestFit="1" customWidth="1"/>
    <col min="47" max="54" width="6.26953125" style="65" bestFit="1" customWidth="1"/>
    <col min="55" max="57" width="7.1796875" style="65" bestFit="1" customWidth="1"/>
    <col min="58" max="58" width="10.90625" style="65" bestFit="1" customWidth="1"/>
    <col min="59" max="59" width="20.1796875" style="65" bestFit="1" customWidth="1"/>
    <col min="60" max="60" width="4.7265625" style="65" bestFit="1" customWidth="1"/>
    <col min="61" max="61" width="10" style="62" bestFit="1" customWidth="1"/>
    <col min="62" max="62" width="9.1796875" style="62" hidden="1" customWidth="1"/>
    <col min="63" max="63" width="0" style="62" hidden="1" customWidth="1"/>
    <col min="64" max="16384" width="8.7265625" style="62"/>
  </cols>
  <sheetData>
    <row r="1" spans="1:61" s="58" customFormat="1" hidden="1" x14ac:dyDescent="0.35">
      <c r="A1" s="203" t="s">
        <v>68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BG1" s="59"/>
      <c r="BH1" s="59"/>
    </row>
    <row r="2" spans="1:61" s="58" customFormat="1" hidden="1" x14ac:dyDescent="0.35">
      <c r="A2" s="58">
        <v>1</v>
      </c>
      <c r="B2" s="60">
        <v>2</v>
      </c>
      <c r="C2" s="60"/>
      <c r="D2" s="60"/>
      <c r="E2" s="60"/>
      <c r="F2" s="60" t="e">
        <f>#REF!+1</f>
        <v>#REF!</v>
      </c>
      <c r="G2" s="60" t="e">
        <f t="shared" ref="G2" si="0">F2+1</f>
        <v>#REF!</v>
      </c>
      <c r="H2" s="60" t="e">
        <f>#REF!+1</f>
        <v>#REF!</v>
      </c>
      <c r="I2" s="60" t="e">
        <f>#REF!+1</f>
        <v>#REF!</v>
      </c>
      <c r="J2" s="60" t="e">
        <f>#REF!+1</f>
        <v>#REF!</v>
      </c>
      <c r="K2" s="60" t="e">
        <f>#REF!+1</f>
        <v>#REF!</v>
      </c>
      <c r="L2" s="60" t="e">
        <f>#REF!+1</f>
        <v>#REF!</v>
      </c>
      <c r="M2" s="60" t="e">
        <f>#REF!+1</f>
        <v>#REF!</v>
      </c>
      <c r="N2" s="60" t="e">
        <f>#REF!+1</f>
        <v>#REF!</v>
      </c>
      <c r="O2" s="60" t="e">
        <f>#REF!+1</f>
        <v>#REF!</v>
      </c>
      <c r="P2" s="60" t="e">
        <f>#REF!+1</f>
        <v>#REF!</v>
      </c>
      <c r="Q2" s="60" t="e">
        <f>#REF!+1</f>
        <v>#REF!</v>
      </c>
      <c r="R2" s="60" t="e">
        <f>#REF!+1</f>
        <v>#REF!</v>
      </c>
      <c r="S2" s="60" t="e">
        <f>#REF!+1</f>
        <v>#REF!</v>
      </c>
      <c r="T2" s="60" t="e">
        <f>S2+1</f>
        <v>#REF!</v>
      </c>
      <c r="U2" s="60" t="e">
        <f>#REF!+1</f>
        <v>#REF!</v>
      </c>
      <c r="V2" s="60" t="e">
        <f>#REF!+1</f>
        <v>#REF!</v>
      </c>
      <c r="W2" s="60" t="e">
        <f>#REF!+1</f>
        <v>#REF!</v>
      </c>
      <c r="X2" s="60" t="e">
        <f>#REF!+1</f>
        <v>#REF!</v>
      </c>
      <c r="Y2" s="60" t="e">
        <f>#REF!+1</f>
        <v>#REF!</v>
      </c>
      <c r="Z2" s="60" t="e">
        <f>#REF!+1</f>
        <v>#REF!</v>
      </c>
      <c r="AA2" s="60" t="e">
        <f>#REF!+1</f>
        <v>#REF!</v>
      </c>
      <c r="AB2" s="60" t="e">
        <f>#REF!+1</f>
        <v>#REF!</v>
      </c>
      <c r="AC2" s="60" t="e">
        <f>#REF!+1</f>
        <v>#REF!</v>
      </c>
      <c r="AD2" s="60" t="e">
        <f>#REF!+1</f>
        <v>#REF!</v>
      </c>
      <c r="AE2" s="60" t="e">
        <f>#REF!+1</f>
        <v>#REF!</v>
      </c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 t="e">
        <f>#REF!+1</f>
        <v>#REF!</v>
      </c>
      <c r="BH2" s="59"/>
    </row>
    <row r="3" spans="1:61" s="58" customFormat="1" x14ac:dyDescent="0.35">
      <c r="A3" s="205" t="s">
        <v>69</v>
      </c>
      <c r="B3" s="206"/>
      <c r="C3" s="66"/>
      <c r="D3" s="66"/>
      <c r="E3" s="66"/>
      <c r="F3" s="61"/>
      <c r="G3" s="200" t="s">
        <v>346</v>
      </c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199" t="s">
        <v>345</v>
      </c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207" t="s">
        <v>343</v>
      </c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199" t="s">
        <v>344</v>
      </c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59"/>
      <c r="BH3" s="59"/>
    </row>
    <row r="4" spans="1:61" s="168" customFormat="1" x14ac:dyDescent="0.35">
      <c r="A4" s="161" t="s">
        <v>70</v>
      </c>
      <c r="B4" s="162" t="s">
        <v>72</v>
      </c>
      <c r="C4" s="162" t="s">
        <v>73</v>
      </c>
      <c r="D4" s="163" t="s">
        <v>232</v>
      </c>
      <c r="E4" s="164" t="s">
        <v>233</v>
      </c>
      <c r="F4" s="165" t="s">
        <v>24</v>
      </c>
      <c r="G4" s="97">
        <v>1</v>
      </c>
      <c r="H4" s="169">
        <v>2</v>
      </c>
      <c r="I4" s="97">
        <v>3</v>
      </c>
      <c r="J4" s="97">
        <v>4</v>
      </c>
      <c r="K4" s="97">
        <v>5</v>
      </c>
      <c r="L4" s="97">
        <v>6</v>
      </c>
      <c r="M4" s="97">
        <v>7</v>
      </c>
      <c r="N4" s="97">
        <v>8</v>
      </c>
      <c r="O4" s="97">
        <v>9</v>
      </c>
      <c r="P4" s="97">
        <v>10</v>
      </c>
      <c r="Q4" s="97">
        <v>11</v>
      </c>
      <c r="R4" s="97">
        <v>12</v>
      </c>
      <c r="S4" s="166" t="s">
        <v>183</v>
      </c>
      <c r="T4" s="97">
        <v>1</v>
      </c>
      <c r="U4" s="169">
        <v>2</v>
      </c>
      <c r="V4" s="97">
        <v>3</v>
      </c>
      <c r="W4" s="97">
        <v>4</v>
      </c>
      <c r="X4" s="97">
        <v>5</v>
      </c>
      <c r="Y4" s="97">
        <v>6</v>
      </c>
      <c r="Z4" s="97">
        <v>7</v>
      </c>
      <c r="AA4" s="97">
        <v>8</v>
      </c>
      <c r="AB4" s="97">
        <v>9</v>
      </c>
      <c r="AC4" s="97">
        <v>10</v>
      </c>
      <c r="AD4" s="97">
        <v>11</v>
      </c>
      <c r="AE4" s="97">
        <v>12</v>
      </c>
      <c r="AF4" s="166" t="s">
        <v>24</v>
      </c>
      <c r="AG4" s="97">
        <v>1</v>
      </c>
      <c r="AH4" s="169">
        <v>2</v>
      </c>
      <c r="AI4" s="97">
        <v>3</v>
      </c>
      <c r="AJ4" s="97">
        <v>4</v>
      </c>
      <c r="AK4" s="97">
        <v>5</v>
      </c>
      <c r="AL4" s="97">
        <v>6</v>
      </c>
      <c r="AM4" s="97">
        <v>7</v>
      </c>
      <c r="AN4" s="97">
        <v>8</v>
      </c>
      <c r="AO4" s="97">
        <v>9</v>
      </c>
      <c r="AP4" s="97">
        <v>10</v>
      </c>
      <c r="AQ4" s="97">
        <v>11</v>
      </c>
      <c r="AR4" s="97">
        <v>12</v>
      </c>
      <c r="AS4" s="159" t="s">
        <v>183</v>
      </c>
      <c r="AT4" s="97">
        <v>1</v>
      </c>
      <c r="AU4" s="97">
        <v>2</v>
      </c>
      <c r="AV4" s="97">
        <v>3</v>
      </c>
      <c r="AW4" s="97">
        <v>4</v>
      </c>
      <c r="AX4" s="97">
        <v>5</v>
      </c>
      <c r="AY4" s="97">
        <v>6</v>
      </c>
      <c r="AZ4" s="97">
        <v>7</v>
      </c>
      <c r="BA4" s="97">
        <v>8</v>
      </c>
      <c r="BB4" s="97">
        <v>9</v>
      </c>
      <c r="BC4" s="97">
        <v>10</v>
      </c>
      <c r="BD4" s="97">
        <v>11</v>
      </c>
      <c r="BE4" s="97">
        <v>12</v>
      </c>
      <c r="BF4" s="159" t="s">
        <v>24</v>
      </c>
      <c r="BG4" s="160" t="s">
        <v>71</v>
      </c>
      <c r="BH4" s="167"/>
    </row>
    <row r="5" spans="1:61" s="100" customFormat="1" x14ac:dyDescent="0.35">
      <c r="A5" s="99">
        <v>1</v>
      </c>
      <c r="B5" s="98" t="s">
        <v>74</v>
      </c>
      <c r="C5" s="98" t="s">
        <v>224</v>
      </c>
      <c r="D5" s="98" t="s">
        <v>223</v>
      </c>
      <c r="E5" s="98" t="s">
        <v>228</v>
      </c>
      <c r="F5" s="108">
        <v>0</v>
      </c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9"/>
      <c r="R5" s="109"/>
      <c r="S5" s="110">
        <f>SUM(G5:R5)</f>
        <v>0</v>
      </c>
      <c r="T5" s="110"/>
      <c r="U5" s="108"/>
      <c r="V5" s="108"/>
      <c r="W5" s="108"/>
      <c r="X5" s="108"/>
      <c r="Y5" s="108"/>
      <c r="Z5" s="108"/>
      <c r="AA5" s="108"/>
      <c r="AB5" s="108"/>
      <c r="AC5" s="108"/>
      <c r="AD5" s="109"/>
      <c r="AE5" s="109"/>
      <c r="AF5" s="111">
        <f>SUM(T5:AE5)</f>
        <v>0</v>
      </c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11">
        <f t="shared" ref="AS5:AS68" si="1">SUM(AG5:AR5)</f>
        <v>0</v>
      </c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11">
        <f>SUM(AT5:BE5)</f>
        <v>0</v>
      </c>
      <c r="BG5" s="112"/>
      <c r="BH5" s="113">
        <v>0</v>
      </c>
      <c r="BI5" s="114">
        <f t="shared" ref="BI5:BI39" si="2">S5-BH5</f>
        <v>0</v>
      </c>
    </row>
    <row r="6" spans="1:61" s="100" customFormat="1" x14ac:dyDescent="0.35">
      <c r="A6" s="99">
        <f>A5+1</f>
        <v>2</v>
      </c>
      <c r="B6" s="98" t="s">
        <v>75</v>
      </c>
      <c r="C6" s="98" t="s">
        <v>76</v>
      </c>
      <c r="D6" s="115" t="s">
        <v>185</v>
      </c>
      <c r="E6" s="115" t="s">
        <v>245</v>
      </c>
      <c r="F6" s="108">
        <v>0</v>
      </c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9"/>
      <c r="R6" s="109"/>
      <c r="S6" s="110">
        <f t="shared" ref="S6:S69" si="3">SUM(G6:R6)</f>
        <v>0</v>
      </c>
      <c r="T6" s="124">
        <v>100000</v>
      </c>
      <c r="U6" s="124">
        <v>100000</v>
      </c>
      <c r="V6" s="124">
        <v>100000</v>
      </c>
      <c r="W6" s="124">
        <v>100000</v>
      </c>
      <c r="X6" s="124">
        <v>100000</v>
      </c>
      <c r="Y6" s="124">
        <v>100000</v>
      </c>
      <c r="Z6" s="124">
        <v>100000</v>
      </c>
      <c r="AA6" s="124">
        <v>100000</v>
      </c>
      <c r="AB6" s="124">
        <v>100000</v>
      </c>
      <c r="AC6" s="124">
        <v>100000</v>
      </c>
      <c r="AD6" s="124">
        <v>100000</v>
      </c>
      <c r="AE6" s="124">
        <v>100000</v>
      </c>
      <c r="AF6" s="111">
        <f t="shared" ref="AF6:AF69" si="4">SUM(T6:AE6)</f>
        <v>1200000</v>
      </c>
      <c r="AG6" s="123">
        <v>100000</v>
      </c>
      <c r="AH6" s="123">
        <v>100000</v>
      </c>
      <c r="AI6" s="123">
        <v>100000</v>
      </c>
      <c r="AJ6" s="123">
        <v>100000</v>
      </c>
      <c r="AK6" s="123">
        <v>100000</v>
      </c>
      <c r="AL6" s="109"/>
      <c r="AM6" s="109"/>
      <c r="AN6" s="109"/>
      <c r="AO6" s="109"/>
      <c r="AP6" s="109"/>
      <c r="AQ6" s="109"/>
      <c r="AR6" s="109"/>
      <c r="AS6" s="111">
        <f t="shared" si="1"/>
        <v>500000</v>
      </c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11">
        <f t="shared" ref="BF6:BF69" si="5">SUM(AT6:BE6)</f>
        <v>0</v>
      </c>
      <c r="BG6" s="112"/>
      <c r="BH6" s="113">
        <v>0</v>
      </c>
      <c r="BI6" s="114">
        <f t="shared" si="2"/>
        <v>0</v>
      </c>
    </row>
    <row r="7" spans="1:61" s="100" customFormat="1" x14ac:dyDescent="0.35">
      <c r="A7" s="99">
        <f t="shared" ref="A7:A70" si="6">A6+1</f>
        <v>3</v>
      </c>
      <c r="B7" s="98" t="s">
        <v>77</v>
      </c>
      <c r="C7" s="98" t="s">
        <v>224</v>
      </c>
      <c r="D7" s="127" t="s">
        <v>185</v>
      </c>
      <c r="E7" s="127" t="s">
        <v>227</v>
      </c>
      <c r="F7" s="108">
        <v>0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  <c r="R7" s="109"/>
      <c r="S7" s="110">
        <f t="shared" si="3"/>
        <v>0</v>
      </c>
      <c r="T7" s="124">
        <v>100000</v>
      </c>
      <c r="U7" s="108"/>
      <c r="V7" s="108"/>
      <c r="W7" s="108"/>
      <c r="X7" s="108"/>
      <c r="Y7" s="108"/>
      <c r="Z7" s="108"/>
      <c r="AA7" s="108"/>
      <c r="AB7" s="108"/>
      <c r="AC7" s="108"/>
      <c r="AD7" s="109"/>
      <c r="AE7" s="109"/>
      <c r="AF7" s="111">
        <f t="shared" si="4"/>
        <v>100000</v>
      </c>
      <c r="AG7" s="123">
        <v>100000</v>
      </c>
      <c r="AH7" s="123">
        <v>100000</v>
      </c>
      <c r="AI7" s="123">
        <v>100000</v>
      </c>
      <c r="AJ7" s="109"/>
      <c r="AK7" s="109"/>
      <c r="AL7" s="109"/>
      <c r="AM7" s="109"/>
      <c r="AN7" s="109"/>
      <c r="AO7" s="109"/>
      <c r="AP7" s="109"/>
      <c r="AQ7" s="109"/>
      <c r="AR7" s="109"/>
      <c r="AS7" s="111">
        <f t="shared" si="1"/>
        <v>300000</v>
      </c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11">
        <f t="shared" si="5"/>
        <v>0</v>
      </c>
      <c r="BG7" s="112"/>
      <c r="BH7" s="113">
        <v>0</v>
      </c>
      <c r="BI7" s="114">
        <f t="shared" si="2"/>
        <v>0</v>
      </c>
    </row>
    <row r="8" spans="1:61" s="100" customFormat="1" x14ac:dyDescent="0.35">
      <c r="A8" s="99">
        <f t="shared" si="6"/>
        <v>4</v>
      </c>
      <c r="B8" s="98" t="s">
        <v>78</v>
      </c>
      <c r="C8" s="98" t="s">
        <v>225</v>
      </c>
      <c r="D8" s="127" t="s">
        <v>185</v>
      </c>
      <c r="E8" s="127" t="s">
        <v>226</v>
      </c>
      <c r="F8" s="108">
        <v>0</v>
      </c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9"/>
      <c r="R8" s="109"/>
      <c r="S8" s="110">
        <f t="shared" si="3"/>
        <v>0</v>
      </c>
      <c r="T8" s="124">
        <v>100000</v>
      </c>
      <c r="U8" s="124">
        <v>100000</v>
      </c>
      <c r="V8" s="124">
        <v>100000</v>
      </c>
      <c r="W8" s="124">
        <v>100000</v>
      </c>
      <c r="X8" s="124">
        <v>100000</v>
      </c>
      <c r="Y8" s="124">
        <v>100000</v>
      </c>
      <c r="Z8" s="124">
        <v>100000</v>
      </c>
      <c r="AA8" s="124">
        <v>100000</v>
      </c>
      <c r="AB8" s="124">
        <v>100000</v>
      </c>
      <c r="AC8" s="124">
        <v>100000</v>
      </c>
      <c r="AD8" s="124">
        <v>100000</v>
      </c>
      <c r="AE8" s="124">
        <v>100000</v>
      </c>
      <c r="AF8" s="111">
        <f t="shared" si="4"/>
        <v>1200000</v>
      </c>
      <c r="AG8" s="123">
        <v>100000</v>
      </c>
      <c r="AH8" s="123">
        <v>100000</v>
      </c>
      <c r="AI8" s="123">
        <v>100000</v>
      </c>
      <c r="AJ8" s="123">
        <v>100000</v>
      </c>
      <c r="AK8" s="123">
        <v>100000</v>
      </c>
      <c r="AL8" s="109"/>
      <c r="AM8" s="109"/>
      <c r="AN8" s="109"/>
      <c r="AO8" s="109"/>
      <c r="AP8" s="109"/>
      <c r="AQ8" s="109"/>
      <c r="AR8" s="109"/>
      <c r="AS8" s="111">
        <f t="shared" si="1"/>
        <v>500000</v>
      </c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11">
        <f t="shared" si="5"/>
        <v>0</v>
      </c>
      <c r="BG8" s="112"/>
      <c r="BH8" s="113">
        <v>0</v>
      </c>
      <c r="BI8" s="114">
        <f t="shared" si="2"/>
        <v>0</v>
      </c>
    </row>
    <row r="9" spans="1:61" s="100" customFormat="1" x14ac:dyDescent="0.35">
      <c r="A9" s="99">
        <f t="shared" si="6"/>
        <v>5</v>
      </c>
      <c r="B9" s="98" t="s">
        <v>79</v>
      </c>
      <c r="C9" s="98" t="s">
        <v>229</v>
      </c>
      <c r="D9" s="63" t="s">
        <v>185</v>
      </c>
      <c r="E9" s="63" t="s">
        <v>226</v>
      </c>
      <c r="F9" s="108">
        <v>0</v>
      </c>
      <c r="G9" s="124">
        <v>100000</v>
      </c>
      <c r="H9" s="124">
        <v>100000</v>
      </c>
      <c r="I9" s="124">
        <v>100000</v>
      </c>
      <c r="J9" s="124">
        <v>100000</v>
      </c>
      <c r="K9" s="124">
        <v>100000</v>
      </c>
      <c r="L9" s="108"/>
      <c r="M9" s="108"/>
      <c r="N9" s="108"/>
      <c r="O9" s="108"/>
      <c r="P9" s="108"/>
      <c r="Q9" s="109"/>
      <c r="R9" s="109"/>
      <c r="S9" s="110">
        <f t="shared" si="3"/>
        <v>500000</v>
      </c>
      <c r="T9" s="110"/>
      <c r="U9" s="108"/>
      <c r="V9" s="108"/>
      <c r="W9" s="108"/>
      <c r="X9" s="124">
        <v>100000</v>
      </c>
      <c r="Y9" s="124">
        <v>100000</v>
      </c>
      <c r="Z9" s="124">
        <v>100000</v>
      </c>
      <c r="AA9" s="124">
        <v>100000</v>
      </c>
      <c r="AB9" s="124">
        <v>100000</v>
      </c>
      <c r="AC9" s="124">
        <v>100000</v>
      </c>
      <c r="AD9" s="124">
        <v>100000</v>
      </c>
      <c r="AE9" s="124">
        <v>100000</v>
      </c>
      <c r="AF9" s="111">
        <f t="shared" si="4"/>
        <v>800000</v>
      </c>
      <c r="AG9" s="123">
        <v>100000</v>
      </c>
      <c r="AH9" s="123">
        <v>100000</v>
      </c>
      <c r="AI9" s="123">
        <v>100000</v>
      </c>
      <c r="AJ9" s="123">
        <v>100000</v>
      </c>
      <c r="AK9" s="109"/>
      <c r="AL9" s="109"/>
      <c r="AM9" s="109"/>
      <c r="AN9" s="109"/>
      <c r="AO9" s="109"/>
      <c r="AP9" s="109"/>
      <c r="AQ9" s="109"/>
      <c r="AR9" s="109"/>
      <c r="AS9" s="111">
        <f t="shared" si="1"/>
        <v>400000</v>
      </c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11">
        <f t="shared" si="5"/>
        <v>0</v>
      </c>
      <c r="BG9" s="112"/>
      <c r="BH9" s="113">
        <v>0</v>
      </c>
      <c r="BI9" s="114">
        <f t="shared" si="2"/>
        <v>500000</v>
      </c>
    </row>
    <row r="10" spans="1:61" s="100" customFormat="1" x14ac:dyDescent="0.35">
      <c r="A10" s="99">
        <f t="shared" si="6"/>
        <v>6</v>
      </c>
      <c r="B10" s="98" t="s">
        <v>80</v>
      </c>
      <c r="C10" s="98" t="s">
        <v>230</v>
      </c>
      <c r="D10" s="67" t="s">
        <v>185</v>
      </c>
      <c r="E10" s="67" t="s">
        <v>246</v>
      </c>
      <c r="F10" s="108">
        <v>0</v>
      </c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9"/>
      <c r="R10" s="109"/>
      <c r="S10" s="110">
        <f t="shared" si="3"/>
        <v>0</v>
      </c>
      <c r="T10" s="124">
        <v>100000</v>
      </c>
      <c r="U10" s="124">
        <v>100000</v>
      </c>
      <c r="V10" s="124">
        <v>100000</v>
      </c>
      <c r="W10" s="124">
        <v>100000</v>
      </c>
      <c r="X10" s="124">
        <v>100000</v>
      </c>
      <c r="Y10" s="124">
        <v>100000</v>
      </c>
      <c r="Z10" s="124">
        <v>100000</v>
      </c>
      <c r="AA10" s="124">
        <v>100000</v>
      </c>
      <c r="AB10" s="124">
        <v>100000</v>
      </c>
      <c r="AC10" s="124">
        <v>100000</v>
      </c>
      <c r="AD10" s="124">
        <v>100000</v>
      </c>
      <c r="AE10" s="124">
        <v>100000</v>
      </c>
      <c r="AF10" s="111">
        <f t="shared" si="4"/>
        <v>1200000</v>
      </c>
      <c r="AG10" s="123">
        <v>100000</v>
      </c>
      <c r="AH10" s="123">
        <v>100000</v>
      </c>
      <c r="AI10" s="123">
        <v>100000</v>
      </c>
      <c r="AJ10" s="123">
        <v>100000</v>
      </c>
      <c r="AK10" s="123">
        <v>100000</v>
      </c>
      <c r="AL10" s="123">
        <v>100000</v>
      </c>
      <c r="AM10" s="123">
        <v>100000</v>
      </c>
      <c r="AN10" s="123">
        <v>100000</v>
      </c>
      <c r="AO10" s="123">
        <v>100000</v>
      </c>
      <c r="AP10" s="123">
        <v>100000</v>
      </c>
      <c r="AQ10" s="123">
        <v>100000</v>
      </c>
      <c r="AR10" s="123">
        <v>100000</v>
      </c>
      <c r="AS10" s="111">
        <f t="shared" si="1"/>
        <v>1200000</v>
      </c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11">
        <f t="shared" si="5"/>
        <v>0</v>
      </c>
      <c r="BG10" s="112"/>
      <c r="BH10" s="113">
        <v>0</v>
      </c>
      <c r="BI10" s="114">
        <f t="shared" si="2"/>
        <v>0</v>
      </c>
    </row>
    <row r="11" spans="1:61" s="100" customFormat="1" x14ac:dyDescent="0.35">
      <c r="A11" s="99">
        <f t="shared" si="6"/>
        <v>7</v>
      </c>
      <c r="B11" s="98" t="s">
        <v>81</v>
      </c>
      <c r="C11" s="98" t="s">
        <v>82</v>
      </c>
      <c r="D11" s="67" t="s">
        <v>185</v>
      </c>
      <c r="E11" s="67" t="s">
        <v>227</v>
      </c>
      <c r="F11" s="108">
        <v>0</v>
      </c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9"/>
      <c r="R11" s="109"/>
      <c r="S11" s="110">
        <f t="shared" si="3"/>
        <v>0</v>
      </c>
      <c r="T11" s="124">
        <v>100000</v>
      </c>
      <c r="U11" s="124">
        <v>100000</v>
      </c>
      <c r="V11" s="124">
        <v>100000</v>
      </c>
      <c r="W11" s="124">
        <v>100000</v>
      </c>
      <c r="X11" s="124">
        <v>100000</v>
      </c>
      <c r="Y11" s="124">
        <v>100000</v>
      </c>
      <c r="Z11" s="124">
        <v>100000</v>
      </c>
      <c r="AA11" s="124">
        <v>100000</v>
      </c>
      <c r="AB11" s="124">
        <v>100000</v>
      </c>
      <c r="AC11" s="124">
        <v>100000</v>
      </c>
      <c r="AD11" s="124">
        <v>100000</v>
      </c>
      <c r="AE11" s="124">
        <v>100000</v>
      </c>
      <c r="AF11" s="111">
        <f t="shared" si="4"/>
        <v>1200000</v>
      </c>
      <c r="AG11" s="123">
        <v>100000</v>
      </c>
      <c r="AH11" s="123">
        <v>100000</v>
      </c>
      <c r="AI11" s="123">
        <v>100000</v>
      </c>
      <c r="AJ11" s="156">
        <v>150000</v>
      </c>
      <c r="AK11" s="123">
        <v>100000</v>
      </c>
      <c r="AL11" s="123">
        <v>100000</v>
      </c>
      <c r="AM11" s="123">
        <v>100000</v>
      </c>
      <c r="AN11" s="123">
        <v>100000</v>
      </c>
      <c r="AO11" s="123">
        <v>100000</v>
      </c>
      <c r="AP11" s="123">
        <v>100000</v>
      </c>
      <c r="AQ11" s="123">
        <v>100000</v>
      </c>
      <c r="AR11" s="123">
        <v>100000</v>
      </c>
      <c r="AS11" s="111">
        <f t="shared" si="1"/>
        <v>1250000</v>
      </c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11">
        <f t="shared" si="5"/>
        <v>0</v>
      </c>
      <c r="BG11" s="112"/>
      <c r="BH11" s="113">
        <v>0</v>
      </c>
      <c r="BI11" s="114">
        <f t="shared" si="2"/>
        <v>0</v>
      </c>
    </row>
    <row r="12" spans="1:61" s="100" customFormat="1" x14ac:dyDescent="0.35">
      <c r="A12" s="99">
        <f t="shared" si="6"/>
        <v>8</v>
      </c>
      <c r="B12" s="98" t="s">
        <v>83</v>
      </c>
      <c r="C12" s="98" t="s">
        <v>231</v>
      </c>
      <c r="D12" s="67" t="s">
        <v>185</v>
      </c>
      <c r="E12" s="67" t="s">
        <v>226</v>
      </c>
      <c r="F12" s="108">
        <v>0</v>
      </c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R12" s="109"/>
      <c r="S12" s="110">
        <f t="shared" si="3"/>
        <v>0</v>
      </c>
      <c r="T12" s="124">
        <v>100000</v>
      </c>
      <c r="U12" s="124">
        <v>100000</v>
      </c>
      <c r="V12" s="124">
        <v>100000</v>
      </c>
      <c r="W12" s="124">
        <v>100000</v>
      </c>
      <c r="X12" s="124">
        <v>100000</v>
      </c>
      <c r="Y12" s="124">
        <v>100000</v>
      </c>
      <c r="Z12" s="124">
        <v>100000</v>
      </c>
      <c r="AA12" s="124">
        <v>100000</v>
      </c>
      <c r="AB12" s="124">
        <v>100000</v>
      </c>
      <c r="AC12" s="124">
        <v>100000</v>
      </c>
      <c r="AD12" s="124">
        <v>100000</v>
      </c>
      <c r="AE12" s="124">
        <v>100000</v>
      </c>
      <c r="AF12" s="111">
        <f t="shared" si="4"/>
        <v>1200000</v>
      </c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11">
        <f t="shared" si="1"/>
        <v>0</v>
      </c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11">
        <f t="shared" si="5"/>
        <v>0</v>
      </c>
      <c r="BG12" s="112"/>
      <c r="BH12" s="113">
        <v>0</v>
      </c>
      <c r="BI12" s="114">
        <f t="shared" si="2"/>
        <v>0</v>
      </c>
    </row>
    <row r="13" spans="1:61" s="100" customFormat="1" x14ac:dyDescent="0.35">
      <c r="A13" s="99">
        <f t="shared" si="6"/>
        <v>9</v>
      </c>
      <c r="B13" s="98" t="s">
        <v>84</v>
      </c>
      <c r="C13" s="98" t="s">
        <v>215</v>
      </c>
      <c r="D13" s="67" t="s">
        <v>185</v>
      </c>
      <c r="E13" s="67" t="s">
        <v>234</v>
      </c>
      <c r="F13" s="128">
        <v>0</v>
      </c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9"/>
      <c r="R13" s="109"/>
      <c r="S13" s="110">
        <f t="shared" si="3"/>
        <v>0</v>
      </c>
      <c r="T13" s="124">
        <v>100000</v>
      </c>
      <c r="U13" s="124">
        <v>100000</v>
      </c>
      <c r="V13" s="124">
        <v>100000</v>
      </c>
      <c r="W13" s="124">
        <v>100000</v>
      </c>
      <c r="X13" s="124">
        <v>100000</v>
      </c>
      <c r="Y13" s="124">
        <v>100000</v>
      </c>
      <c r="Z13" s="124">
        <v>100000</v>
      </c>
      <c r="AA13" s="124">
        <v>100000</v>
      </c>
      <c r="AB13" s="124">
        <v>100000</v>
      </c>
      <c r="AC13" s="124">
        <v>100000</v>
      </c>
      <c r="AD13" s="124">
        <v>100000</v>
      </c>
      <c r="AE13" s="124">
        <v>100000</v>
      </c>
      <c r="AF13" s="111">
        <f t="shared" si="4"/>
        <v>1200000</v>
      </c>
      <c r="AG13" s="123">
        <v>100000</v>
      </c>
      <c r="AH13" s="123">
        <v>100000</v>
      </c>
      <c r="AI13" s="123">
        <v>100000</v>
      </c>
      <c r="AJ13" s="123">
        <v>100000</v>
      </c>
      <c r="AK13" s="109"/>
      <c r="AL13" s="109"/>
      <c r="AM13" s="109"/>
      <c r="AN13" s="109"/>
      <c r="AO13" s="109"/>
      <c r="AP13" s="109"/>
      <c r="AQ13" s="109"/>
      <c r="AR13" s="109"/>
      <c r="AS13" s="111">
        <f t="shared" si="1"/>
        <v>400000</v>
      </c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11">
        <f t="shared" si="5"/>
        <v>0</v>
      </c>
      <c r="BG13" s="112"/>
      <c r="BH13" s="113">
        <v>0</v>
      </c>
      <c r="BI13" s="114">
        <f t="shared" si="2"/>
        <v>0</v>
      </c>
    </row>
    <row r="14" spans="1:61" s="100" customFormat="1" x14ac:dyDescent="0.35">
      <c r="A14" s="99">
        <f t="shared" si="6"/>
        <v>10</v>
      </c>
      <c r="B14" s="98" t="s">
        <v>85</v>
      </c>
      <c r="C14" s="98" t="s">
        <v>235</v>
      </c>
      <c r="D14" s="67" t="s">
        <v>185</v>
      </c>
      <c r="E14" s="67" t="s">
        <v>246</v>
      </c>
      <c r="F14" s="128">
        <v>0</v>
      </c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9"/>
      <c r="R14" s="109"/>
      <c r="S14" s="110">
        <f t="shared" si="3"/>
        <v>0</v>
      </c>
      <c r="T14" s="124">
        <v>100000</v>
      </c>
      <c r="U14" s="124">
        <v>100000</v>
      </c>
      <c r="V14" s="124">
        <v>100000</v>
      </c>
      <c r="W14" s="124">
        <v>100000</v>
      </c>
      <c r="X14" s="124">
        <v>100000</v>
      </c>
      <c r="Y14" s="124">
        <v>100000</v>
      </c>
      <c r="Z14" s="124">
        <v>100000</v>
      </c>
      <c r="AA14" s="124">
        <v>100000</v>
      </c>
      <c r="AB14" s="124">
        <v>100000</v>
      </c>
      <c r="AC14" s="124">
        <v>100000</v>
      </c>
      <c r="AD14" s="124">
        <v>100000</v>
      </c>
      <c r="AE14" s="124">
        <v>100000</v>
      </c>
      <c r="AF14" s="111">
        <f t="shared" si="4"/>
        <v>1200000</v>
      </c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11">
        <f t="shared" si="1"/>
        <v>0</v>
      </c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11">
        <f t="shared" si="5"/>
        <v>0</v>
      </c>
      <c r="BG14" s="112"/>
      <c r="BH14" s="113">
        <v>0</v>
      </c>
      <c r="BI14" s="114">
        <f t="shared" si="2"/>
        <v>0</v>
      </c>
    </row>
    <row r="15" spans="1:61" s="100" customFormat="1" x14ac:dyDescent="0.35">
      <c r="A15" s="99">
        <f t="shared" si="6"/>
        <v>11</v>
      </c>
      <c r="B15" s="98" t="s">
        <v>86</v>
      </c>
      <c r="C15" s="98" t="s">
        <v>215</v>
      </c>
      <c r="D15" s="67" t="s">
        <v>185</v>
      </c>
      <c r="E15" s="67" t="s">
        <v>234</v>
      </c>
      <c r="F15" s="128">
        <v>0</v>
      </c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109"/>
      <c r="S15" s="110">
        <f t="shared" si="3"/>
        <v>0</v>
      </c>
      <c r="T15" s="110"/>
      <c r="U15" s="108"/>
      <c r="V15" s="108"/>
      <c r="W15" s="108"/>
      <c r="X15" s="108"/>
      <c r="Y15" s="108"/>
      <c r="Z15" s="108"/>
      <c r="AA15" s="108"/>
      <c r="AB15" s="108"/>
      <c r="AC15" s="108"/>
      <c r="AD15" s="109"/>
      <c r="AE15" s="109"/>
      <c r="AF15" s="111">
        <f t="shared" si="4"/>
        <v>0</v>
      </c>
      <c r="AG15" s="152"/>
      <c r="AH15" s="152"/>
      <c r="AI15" s="123">
        <v>100000</v>
      </c>
      <c r="AJ15" s="123">
        <v>100000</v>
      </c>
      <c r="AK15" s="109"/>
      <c r="AL15" s="109"/>
      <c r="AM15" s="109"/>
      <c r="AN15" s="109"/>
      <c r="AO15" s="109"/>
      <c r="AP15" s="109"/>
      <c r="AQ15" s="109"/>
      <c r="AR15" s="109"/>
      <c r="AS15" s="111">
        <f t="shared" si="1"/>
        <v>200000</v>
      </c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11">
        <f t="shared" si="5"/>
        <v>0</v>
      </c>
      <c r="BG15" s="112"/>
      <c r="BH15" s="113">
        <v>0</v>
      </c>
      <c r="BI15" s="114">
        <f t="shared" si="2"/>
        <v>0</v>
      </c>
    </row>
    <row r="16" spans="1:61" s="100" customFormat="1" x14ac:dyDescent="0.35">
      <c r="A16" s="99">
        <f t="shared" si="6"/>
        <v>12</v>
      </c>
      <c r="B16" s="98" t="s">
        <v>87</v>
      </c>
      <c r="C16" s="98" t="s">
        <v>236</v>
      </c>
      <c r="D16" s="63" t="s">
        <v>185</v>
      </c>
      <c r="E16" s="63" t="s">
        <v>246</v>
      </c>
      <c r="F16" s="128">
        <v>0</v>
      </c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9"/>
      <c r="R16" s="109"/>
      <c r="S16" s="110">
        <f t="shared" si="3"/>
        <v>0</v>
      </c>
      <c r="T16" s="124">
        <v>100000</v>
      </c>
      <c r="U16" s="124">
        <v>100000</v>
      </c>
      <c r="V16" s="124">
        <v>100000</v>
      </c>
      <c r="W16" s="124">
        <v>100000</v>
      </c>
      <c r="X16" s="124">
        <v>100000</v>
      </c>
      <c r="Y16" s="124">
        <v>100000</v>
      </c>
      <c r="Z16" s="124">
        <v>100000</v>
      </c>
      <c r="AA16" s="124">
        <v>100000</v>
      </c>
      <c r="AB16" s="124">
        <v>100000</v>
      </c>
      <c r="AC16" s="124">
        <v>100000</v>
      </c>
      <c r="AD16" s="124">
        <v>100000</v>
      </c>
      <c r="AE16" s="124">
        <v>100000</v>
      </c>
      <c r="AF16" s="111">
        <f t="shared" si="4"/>
        <v>1200000</v>
      </c>
      <c r="AG16" s="123">
        <v>100000</v>
      </c>
      <c r="AH16" s="123">
        <v>100000</v>
      </c>
      <c r="AI16" s="123">
        <v>100000</v>
      </c>
      <c r="AJ16" s="123">
        <v>100000</v>
      </c>
      <c r="AK16" s="123">
        <v>100000</v>
      </c>
      <c r="AL16" s="123">
        <v>100000</v>
      </c>
      <c r="AM16" s="109"/>
      <c r="AN16" s="109"/>
      <c r="AO16" s="109"/>
      <c r="AP16" s="109"/>
      <c r="AQ16" s="109"/>
      <c r="AR16" s="109"/>
      <c r="AS16" s="111">
        <f t="shared" si="1"/>
        <v>600000</v>
      </c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11">
        <f t="shared" si="5"/>
        <v>0</v>
      </c>
      <c r="BG16" s="112"/>
      <c r="BH16" s="113">
        <v>0</v>
      </c>
      <c r="BI16" s="114">
        <f t="shared" si="2"/>
        <v>0</v>
      </c>
    </row>
    <row r="17" spans="1:61" s="100" customFormat="1" x14ac:dyDescent="0.35">
      <c r="A17" s="99">
        <f t="shared" si="6"/>
        <v>13</v>
      </c>
      <c r="B17" s="98" t="s">
        <v>88</v>
      </c>
      <c r="C17" s="98" t="s">
        <v>237</v>
      </c>
      <c r="D17" s="67" t="s">
        <v>238</v>
      </c>
      <c r="E17" s="67" t="s">
        <v>238</v>
      </c>
      <c r="F17" s="128">
        <v>0</v>
      </c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109"/>
      <c r="S17" s="110">
        <f t="shared" si="3"/>
        <v>0</v>
      </c>
      <c r="T17" s="110"/>
      <c r="U17" s="108"/>
      <c r="V17" s="108"/>
      <c r="W17" s="108"/>
      <c r="X17" s="108"/>
      <c r="Y17" s="108"/>
      <c r="Z17" s="108"/>
      <c r="AA17" s="108"/>
      <c r="AB17" s="108"/>
      <c r="AC17" s="108"/>
      <c r="AD17" s="109"/>
      <c r="AE17" s="109"/>
      <c r="AF17" s="111">
        <f t="shared" si="4"/>
        <v>0</v>
      </c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11">
        <f t="shared" si="1"/>
        <v>0</v>
      </c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11">
        <f t="shared" si="5"/>
        <v>0</v>
      </c>
      <c r="BG17" s="112"/>
      <c r="BH17" s="113">
        <v>0</v>
      </c>
      <c r="BI17" s="114">
        <f t="shared" si="2"/>
        <v>0</v>
      </c>
    </row>
    <row r="18" spans="1:61" s="60" customFormat="1" x14ac:dyDescent="0.35">
      <c r="A18" s="99">
        <f t="shared" si="6"/>
        <v>14</v>
      </c>
      <c r="B18" s="98" t="s">
        <v>89</v>
      </c>
      <c r="C18" s="98" t="s">
        <v>239</v>
      </c>
      <c r="D18" s="67" t="s">
        <v>185</v>
      </c>
      <c r="E18" s="67" t="s">
        <v>246</v>
      </c>
      <c r="F18" s="128">
        <v>0</v>
      </c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9"/>
      <c r="R18" s="109"/>
      <c r="S18" s="110">
        <f t="shared" si="3"/>
        <v>0</v>
      </c>
      <c r="T18" s="124">
        <v>100000</v>
      </c>
      <c r="U18" s="124">
        <v>100000</v>
      </c>
      <c r="V18" s="124">
        <v>100000</v>
      </c>
      <c r="W18" s="124">
        <v>100000</v>
      </c>
      <c r="X18" s="124">
        <v>100000</v>
      </c>
      <c r="Y18" s="124">
        <v>100000</v>
      </c>
      <c r="Z18" s="124">
        <v>100000</v>
      </c>
      <c r="AA18" s="124">
        <v>100000</v>
      </c>
      <c r="AB18" s="124">
        <v>100000</v>
      </c>
      <c r="AC18" s="124">
        <v>100000</v>
      </c>
      <c r="AD18" s="124">
        <v>100000</v>
      </c>
      <c r="AE18" s="124">
        <v>100000</v>
      </c>
      <c r="AF18" s="111">
        <f t="shared" si="4"/>
        <v>1200000</v>
      </c>
      <c r="AG18" s="123">
        <v>100000</v>
      </c>
      <c r="AH18" s="123">
        <v>100000</v>
      </c>
      <c r="AI18" s="123">
        <v>100000</v>
      </c>
      <c r="AJ18" s="123">
        <v>100000</v>
      </c>
      <c r="AK18" s="123">
        <v>100000</v>
      </c>
      <c r="AL18" s="109"/>
      <c r="AM18" s="109"/>
      <c r="AN18" s="109"/>
      <c r="AO18" s="109"/>
      <c r="AP18" s="109"/>
      <c r="AQ18" s="109"/>
      <c r="AR18" s="109"/>
      <c r="AS18" s="111">
        <f t="shared" si="1"/>
        <v>500000</v>
      </c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11">
        <f t="shared" si="5"/>
        <v>0</v>
      </c>
      <c r="BG18" s="102"/>
      <c r="BH18" s="113">
        <v>0</v>
      </c>
      <c r="BI18" s="114">
        <f t="shared" si="2"/>
        <v>0</v>
      </c>
    </row>
    <row r="19" spans="1:61" s="60" customFormat="1" x14ac:dyDescent="0.35">
      <c r="A19" s="99">
        <f t="shared" si="6"/>
        <v>15</v>
      </c>
      <c r="B19" s="98" t="s">
        <v>90</v>
      </c>
      <c r="C19" s="98" t="s">
        <v>240</v>
      </c>
      <c r="D19" s="67" t="s">
        <v>185</v>
      </c>
      <c r="E19" s="67" t="s">
        <v>246</v>
      </c>
      <c r="F19" s="128">
        <v>0</v>
      </c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109"/>
      <c r="S19" s="110">
        <f t="shared" si="3"/>
        <v>0</v>
      </c>
      <c r="T19" s="124">
        <v>100000</v>
      </c>
      <c r="U19" s="124">
        <v>100000</v>
      </c>
      <c r="V19" s="124">
        <v>100000</v>
      </c>
      <c r="W19" s="124">
        <v>100000</v>
      </c>
      <c r="X19" s="124">
        <v>100000</v>
      </c>
      <c r="Y19" s="124">
        <v>100000</v>
      </c>
      <c r="Z19" s="124">
        <v>100000</v>
      </c>
      <c r="AA19" s="124">
        <v>100000</v>
      </c>
      <c r="AB19" s="124">
        <v>100000</v>
      </c>
      <c r="AC19" s="124">
        <v>100000</v>
      </c>
      <c r="AD19" s="124">
        <v>100000</v>
      </c>
      <c r="AE19" s="124">
        <v>100000</v>
      </c>
      <c r="AF19" s="111">
        <f t="shared" si="4"/>
        <v>1200000</v>
      </c>
      <c r="AG19" s="123">
        <v>100000</v>
      </c>
      <c r="AH19" s="123">
        <v>100000</v>
      </c>
      <c r="AI19" s="123">
        <v>100000</v>
      </c>
      <c r="AJ19" s="123">
        <v>100000</v>
      </c>
      <c r="AK19" s="123">
        <v>100000</v>
      </c>
      <c r="AL19" s="123">
        <v>100000</v>
      </c>
      <c r="AM19" s="123">
        <v>100000</v>
      </c>
      <c r="AN19" s="123">
        <v>100000</v>
      </c>
      <c r="AO19" s="123">
        <v>100000</v>
      </c>
      <c r="AP19" s="109"/>
      <c r="AQ19" s="109"/>
      <c r="AR19" s="109"/>
      <c r="AS19" s="111">
        <f t="shared" si="1"/>
        <v>900000</v>
      </c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11">
        <f t="shared" si="5"/>
        <v>0</v>
      </c>
      <c r="BG19" s="102"/>
      <c r="BH19" s="113">
        <v>0</v>
      </c>
      <c r="BI19" s="114">
        <f t="shared" si="2"/>
        <v>0</v>
      </c>
    </row>
    <row r="20" spans="1:61" s="60" customFormat="1" x14ac:dyDescent="0.35">
      <c r="A20" s="99">
        <f t="shared" si="6"/>
        <v>16</v>
      </c>
      <c r="B20" s="98" t="s">
        <v>91</v>
      </c>
      <c r="C20" s="98" t="s">
        <v>1</v>
      </c>
      <c r="D20" s="67" t="s">
        <v>185</v>
      </c>
      <c r="E20" s="67" t="s">
        <v>246</v>
      </c>
      <c r="F20" s="128">
        <v>0</v>
      </c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109"/>
      <c r="S20" s="110">
        <f t="shared" si="3"/>
        <v>0</v>
      </c>
      <c r="T20" s="124">
        <v>100000</v>
      </c>
      <c r="U20" s="124">
        <v>100000</v>
      </c>
      <c r="V20" s="124">
        <v>100000</v>
      </c>
      <c r="W20" s="124">
        <v>100000</v>
      </c>
      <c r="X20" s="124">
        <v>100000</v>
      </c>
      <c r="Y20" s="124">
        <v>100000</v>
      </c>
      <c r="Z20" s="124">
        <v>100000</v>
      </c>
      <c r="AA20" s="124">
        <v>100000</v>
      </c>
      <c r="AB20" s="124">
        <v>100000</v>
      </c>
      <c r="AC20" s="124">
        <v>100000</v>
      </c>
      <c r="AD20" s="124">
        <v>100000</v>
      </c>
      <c r="AE20" s="124">
        <v>100000</v>
      </c>
      <c r="AF20" s="111">
        <f t="shared" si="4"/>
        <v>1200000</v>
      </c>
      <c r="AG20" s="123">
        <v>100000</v>
      </c>
      <c r="AH20" s="123">
        <v>100000</v>
      </c>
      <c r="AI20" s="123">
        <v>100000</v>
      </c>
      <c r="AJ20" s="123">
        <v>100000</v>
      </c>
      <c r="AK20" s="123">
        <v>100000</v>
      </c>
      <c r="AL20" s="109"/>
      <c r="AM20" s="109"/>
      <c r="AN20" s="109"/>
      <c r="AO20" s="109"/>
      <c r="AP20" s="109"/>
      <c r="AQ20" s="109"/>
      <c r="AR20" s="109"/>
      <c r="AS20" s="111">
        <f t="shared" si="1"/>
        <v>500000</v>
      </c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11">
        <f t="shared" si="5"/>
        <v>0</v>
      </c>
      <c r="BG20" s="102"/>
      <c r="BH20" s="113">
        <v>0</v>
      </c>
      <c r="BI20" s="114">
        <f t="shared" si="2"/>
        <v>0</v>
      </c>
    </row>
    <row r="21" spans="1:61" s="60" customFormat="1" x14ac:dyDescent="0.35">
      <c r="A21" s="99">
        <f t="shared" si="6"/>
        <v>17</v>
      </c>
      <c r="B21" s="98" t="s">
        <v>92</v>
      </c>
      <c r="C21" s="98" t="s">
        <v>222</v>
      </c>
      <c r="D21" s="67" t="s">
        <v>185</v>
      </c>
      <c r="E21" s="67" t="s">
        <v>246</v>
      </c>
      <c r="F21" s="128">
        <v>0</v>
      </c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109"/>
      <c r="S21" s="110">
        <f t="shared" si="3"/>
        <v>0</v>
      </c>
      <c r="T21" s="124">
        <v>100000</v>
      </c>
      <c r="U21" s="124">
        <v>100000</v>
      </c>
      <c r="V21" s="124">
        <v>100000</v>
      </c>
      <c r="W21" s="124">
        <v>100000</v>
      </c>
      <c r="X21" s="124">
        <v>100000</v>
      </c>
      <c r="Y21" s="124">
        <v>100000</v>
      </c>
      <c r="Z21" s="124">
        <v>100000</v>
      </c>
      <c r="AA21" s="124">
        <v>100000</v>
      </c>
      <c r="AB21" s="124">
        <v>100000</v>
      </c>
      <c r="AC21" s="124">
        <v>100000</v>
      </c>
      <c r="AD21" s="124">
        <v>100000</v>
      </c>
      <c r="AE21" s="124">
        <v>100000</v>
      </c>
      <c r="AF21" s="111">
        <f t="shared" si="4"/>
        <v>1200000</v>
      </c>
      <c r="AG21" s="123">
        <v>100000</v>
      </c>
      <c r="AH21" s="123">
        <v>100000</v>
      </c>
      <c r="AI21" s="123">
        <v>100000</v>
      </c>
      <c r="AJ21" s="123">
        <v>100000</v>
      </c>
      <c r="AK21" s="123">
        <v>100000</v>
      </c>
      <c r="AL21" s="123">
        <v>100000</v>
      </c>
      <c r="AM21" s="123">
        <v>100000</v>
      </c>
      <c r="AN21" s="123">
        <v>100000</v>
      </c>
      <c r="AO21" s="123">
        <v>100000</v>
      </c>
      <c r="AP21" s="123">
        <v>100000</v>
      </c>
      <c r="AQ21" s="123">
        <v>100000</v>
      </c>
      <c r="AR21" s="123">
        <v>100000</v>
      </c>
      <c r="AS21" s="111">
        <f t="shared" si="1"/>
        <v>1200000</v>
      </c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11">
        <f t="shared" si="5"/>
        <v>0</v>
      </c>
      <c r="BG21" s="102"/>
      <c r="BH21" s="113">
        <v>0</v>
      </c>
      <c r="BI21" s="114">
        <f t="shared" si="2"/>
        <v>0</v>
      </c>
    </row>
    <row r="22" spans="1:61" s="60" customFormat="1" x14ac:dyDescent="0.35">
      <c r="A22" s="99">
        <f t="shared" si="6"/>
        <v>18</v>
      </c>
      <c r="B22" s="98" t="s">
        <v>93</v>
      </c>
      <c r="C22" s="98" t="s">
        <v>241</v>
      </c>
      <c r="D22" s="67" t="s">
        <v>185</v>
      </c>
      <c r="E22" s="67" t="s">
        <v>226</v>
      </c>
      <c r="F22" s="128">
        <v>0</v>
      </c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9"/>
      <c r="R22" s="109"/>
      <c r="S22" s="110">
        <f t="shared" si="3"/>
        <v>0</v>
      </c>
      <c r="T22" s="124">
        <v>100000</v>
      </c>
      <c r="U22" s="124">
        <v>100000</v>
      </c>
      <c r="V22" s="124">
        <v>100000</v>
      </c>
      <c r="W22" s="124">
        <v>100000</v>
      </c>
      <c r="X22" s="124">
        <v>100000</v>
      </c>
      <c r="Y22" s="124">
        <v>100000</v>
      </c>
      <c r="Z22" s="124">
        <v>100000</v>
      </c>
      <c r="AA22" s="124">
        <v>100000</v>
      </c>
      <c r="AB22" s="108"/>
      <c r="AC22" s="108"/>
      <c r="AD22" s="109"/>
      <c r="AE22" s="109"/>
      <c r="AF22" s="111">
        <f t="shared" si="4"/>
        <v>800000</v>
      </c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11">
        <f t="shared" si="1"/>
        <v>0</v>
      </c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11">
        <f t="shared" si="5"/>
        <v>0</v>
      </c>
      <c r="BG22" s="102"/>
      <c r="BH22" s="113">
        <v>0</v>
      </c>
      <c r="BI22" s="114">
        <f t="shared" si="2"/>
        <v>0</v>
      </c>
    </row>
    <row r="23" spans="1:61" s="60" customFormat="1" x14ac:dyDescent="0.35">
      <c r="A23" s="99">
        <f t="shared" si="6"/>
        <v>19</v>
      </c>
      <c r="B23" s="98" t="s">
        <v>94</v>
      </c>
      <c r="C23" s="98" t="s">
        <v>242</v>
      </c>
      <c r="D23" s="67" t="s">
        <v>185</v>
      </c>
      <c r="E23" s="67" t="s">
        <v>246</v>
      </c>
      <c r="F23" s="128">
        <v>0</v>
      </c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9"/>
      <c r="R23" s="109"/>
      <c r="S23" s="110">
        <f t="shared" si="3"/>
        <v>0</v>
      </c>
      <c r="T23" s="124">
        <v>100000</v>
      </c>
      <c r="U23" s="124">
        <v>100000</v>
      </c>
      <c r="V23" s="124">
        <v>100000</v>
      </c>
      <c r="W23" s="124">
        <v>100000</v>
      </c>
      <c r="X23" s="124">
        <v>100000</v>
      </c>
      <c r="Y23" s="124">
        <v>100000</v>
      </c>
      <c r="Z23" s="124">
        <v>100000</v>
      </c>
      <c r="AA23" s="124">
        <v>100000</v>
      </c>
      <c r="AB23" s="124">
        <v>100000</v>
      </c>
      <c r="AC23" s="124">
        <v>100000</v>
      </c>
      <c r="AD23" s="124">
        <v>100000</v>
      </c>
      <c r="AE23" s="124">
        <v>100000</v>
      </c>
      <c r="AF23" s="111">
        <f t="shared" si="4"/>
        <v>1200000</v>
      </c>
      <c r="AG23" s="123">
        <v>100000</v>
      </c>
      <c r="AH23" s="123">
        <v>100000</v>
      </c>
      <c r="AI23" s="123">
        <v>100000</v>
      </c>
      <c r="AJ23" s="123">
        <v>100000</v>
      </c>
      <c r="AK23" s="123">
        <v>100000</v>
      </c>
      <c r="AL23" s="109"/>
      <c r="AM23" s="109"/>
      <c r="AN23" s="109"/>
      <c r="AO23" s="109"/>
      <c r="AP23" s="109"/>
      <c r="AQ23" s="109"/>
      <c r="AR23" s="109"/>
      <c r="AS23" s="111">
        <f t="shared" si="1"/>
        <v>500000</v>
      </c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11">
        <f t="shared" si="5"/>
        <v>0</v>
      </c>
      <c r="BG23" s="102"/>
      <c r="BH23" s="113">
        <v>0</v>
      </c>
      <c r="BI23" s="114">
        <f t="shared" si="2"/>
        <v>0</v>
      </c>
    </row>
    <row r="24" spans="1:61" s="60" customFormat="1" x14ac:dyDescent="0.35">
      <c r="A24" s="99">
        <f t="shared" si="6"/>
        <v>20</v>
      </c>
      <c r="B24" s="98" t="s">
        <v>95</v>
      </c>
      <c r="C24" s="98" t="s">
        <v>243</v>
      </c>
      <c r="D24" s="67" t="s">
        <v>185</v>
      </c>
      <c r="E24" s="67" t="s">
        <v>244</v>
      </c>
      <c r="F24" s="128">
        <v>0</v>
      </c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9"/>
      <c r="R24" s="109"/>
      <c r="S24" s="110">
        <f t="shared" si="3"/>
        <v>0</v>
      </c>
      <c r="T24" s="124">
        <v>100000</v>
      </c>
      <c r="U24" s="124">
        <v>100000</v>
      </c>
      <c r="V24" s="124">
        <v>100000</v>
      </c>
      <c r="W24" s="124">
        <v>100000</v>
      </c>
      <c r="X24" s="124">
        <v>100000</v>
      </c>
      <c r="Y24" s="124">
        <v>100000</v>
      </c>
      <c r="Z24" s="124">
        <v>100000</v>
      </c>
      <c r="AA24" s="124">
        <v>100000</v>
      </c>
      <c r="AB24" s="124">
        <v>100000</v>
      </c>
      <c r="AC24" s="124">
        <v>100000</v>
      </c>
      <c r="AD24" s="124">
        <v>100000</v>
      </c>
      <c r="AE24" s="124">
        <v>100000</v>
      </c>
      <c r="AF24" s="111">
        <f t="shared" si="4"/>
        <v>1200000</v>
      </c>
      <c r="AG24" s="123">
        <v>100000</v>
      </c>
      <c r="AH24" s="123">
        <v>100000</v>
      </c>
      <c r="AI24" s="123">
        <v>100000</v>
      </c>
      <c r="AJ24" s="123">
        <v>100000</v>
      </c>
      <c r="AK24" s="109"/>
      <c r="AL24" s="109"/>
      <c r="AM24" s="109"/>
      <c r="AN24" s="109"/>
      <c r="AO24" s="109"/>
      <c r="AP24" s="109"/>
      <c r="AQ24" s="109"/>
      <c r="AR24" s="109"/>
      <c r="AS24" s="111">
        <f t="shared" si="1"/>
        <v>400000</v>
      </c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11">
        <f t="shared" si="5"/>
        <v>0</v>
      </c>
      <c r="BG24" s="102"/>
      <c r="BH24" s="113">
        <v>0</v>
      </c>
      <c r="BI24" s="114">
        <f t="shared" si="2"/>
        <v>0</v>
      </c>
    </row>
    <row r="25" spans="1:61" s="60" customFormat="1" x14ac:dyDescent="0.35">
      <c r="A25" s="99">
        <f t="shared" si="6"/>
        <v>21</v>
      </c>
      <c r="B25" s="98" t="s">
        <v>96</v>
      </c>
      <c r="C25" s="98">
        <v>0</v>
      </c>
      <c r="D25" s="67"/>
      <c r="E25" s="67"/>
      <c r="F25" s="128">
        <v>0</v>
      </c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9"/>
      <c r="R25" s="109"/>
      <c r="S25" s="110">
        <f t="shared" si="3"/>
        <v>0</v>
      </c>
      <c r="T25" s="124">
        <v>100000</v>
      </c>
      <c r="U25" s="124">
        <v>100000</v>
      </c>
      <c r="V25" s="124">
        <v>100000</v>
      </c>
      <c r="W25" s="124">
        <v>100000</v>
      </c>
      <c r="X25" s="108"/>
      <c r="Y25" s="108"/>
      <c r="Z25" s="108"/>
      <c r="AA25" s="108"/>
      <c r="AB25" s="108"/>
      <c r="AC25" s="108"/>
      <c r="AD25" s="109"/>
      <c r="AE25" s="109"/>
      <c r="AF25" s="111">
        <f t="shared" si="4"/>
        <v>400000</v>
      </c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11">
        <f t="shared" si="1"/>
        <v>0</v>
      </c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11">
        <f t="shared" si="5"/>
        <v>0</v>
      </c>
      <c r="BG25" s="102"/>
      <c r="BH25" s="113">
        <v>0</v>
      </c>
      <c r="BI25" s="114">
        <f t="shared" si="2"/>
        <v>0</v>
      </c>
    </row>
    <row r="26" spans="1:61" s="60" customFormat="1" x14ac:dyDescent="0.35">
      <c r="A26" s="99">
        <f t="shared" si="6"/>
        <v>22</v>
      </c>
      <c r="B26" s="98" t="s">
        <v>97</v>
      </c>
      <c r="C26" s="98">
        <v>0</v>
      </c>
      <c r="D26" s="67"/>
      <c r="E26" s="67"/>
      <c r="F26" s="128">
        <v>0</v>
      </c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9"/>
      <c r="R26" s="109"/>
      <c r="S26" s="110">
        <f t="shared" si="3"/>
        <v>0</v>
      </c>
      <c r="T26" s="124">
        <v>100000</v>
      </c>
      <c r="U26" s="124">
        <v>100000</v>
      </c>
      <c r="V26" s="124">
        <v>100000</v>
      </c>
      <c r="W26" s="124">
        <v>100000</v>
      </c>
      <c r="X26" s="124">
        <v>100000</v>
      </c>
      <c r="Y26" s="108"/>
      <c r="Z26" s="108"/>
      <c r="AA26" s="108"/>
      <c r="AB26" s="108"/>
      <c r="AC26" s="108"/>
      <c r="AD26" s="109"/>
      <c r="AE26" s="109"/>
      <c r="AF26" s="111">
        <f t="shared" si="4"/>
        <v>500000</v>
      </c>
      <c r="AG26" s="123">
        <v>100000</v>
      </c>
      <c r="AH26" s="123">
        <v>100000</v>
      </c>
      <c r="AI26" s="123">
        <v>100000</v>
      </c>
      <c r="AJ26" s="123">
        <v>100000</v>
      </c>
      <c r="AK26" s="109"/>
      <c r="AL26" s="109"/>
      <c r="AM26" s="109"/>
      <c r="AN26" s="109"/>
      <c r="AO26" s="109"/>
      <c r="AP26" s="109"/>
      <c r="AQ26" s="109"/>
      <c r="AR26" s="109"/>
      <c r="AS26" s="111">
        <f t="shared" si="1"/>
        <v>400000</v>
      </c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11">
        <f t="shared" si="5"/>
        <v>0</v>
      </c>
      <c r="BG26" s="102"/>
      <c r="BH26" s="113">
        <v>0</v>
      </c>
      <c r="BI26" s="114">
        <f t="shared" si="2"/>
        <v>0</v>
      </c>
    </row>
    <row r="27" spans="1:61" s="60" customFormat="1" x14ac:dyDescent="0.35">
      <c r="A27" s="99">
        <f t="shared" si="6"/>
        <v>23</v>
      </c>
      <c r="B27" s="98" t="s">
        <v>98</v>
      </c>
      <c r="C27" s="98" t="s">
        <v>221</v>
      </c>
      <c r="D27" s="67" t="s">
        <v>185</v>
      </c>
      <c r="E27" s="67" t="s">
        <v>246</v>
      </c>
      <c r="F27" s="128">
        <v>0</v>
      </c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9"/>
      <c r="R27" s="109"/>
      <c r="S27" s="110">
        <f t="shared" si="3"/>
        <v>0</v>
      </c>
      <c r="T27" s="124">
        <v>100000</v>
      </c>
      <c r="U27" s="124">
        <v>100000</v>
      </c>
      <c r="V27" s="124">
        <v>100000</v>
      </c>
      <c r="W27" s="124">
        <v>100000</v>
      </c>
      <c r="X27" s="124">
        <v>100000</v>
      </c>
      <c r="Y27" s="124">
        <v>100000</v>
      </c>
      <c r="Z27" s="124">
        <v>100000</v>
      </c>
      <c r="AA27" s="124">
        <v>100000</v>
      </c>
      <c r="AB27" s="124">
        <v>100000</v>
      </c>
      <c r="AC27" s="124">
        <v>100000</v>
      </c>
      <c r="AD27" s="124">
        <v>100000</v>
      </c>
      <c r="AE27" s="124">
        <v>100000</v>
      </c>
      <c r="AF27" s="111">
        <f t="shared" si="4"/>
        <v>1200000</v>
      </c>
      <c r="AG27" s="123">
        <v>100000</v>
      </c>
      <c r="AH27" s="123">
        <v>100000</v>
      </c>
      <c r="AI27" s="123">
        <v>100000</v>
      </c>
      <c r="AJ27" s="123">
        <v>100000</v>
      </c>
      <c r="AK27" s="123">
        <v>100000</v>
      </c>
      <c r="AL27" s="123">
        <v>100000</v>
      </c>
      <c r="AM27" s="123">
        <v>100000</v>
      </c>
      <c r="AN27" s="123">
        <v>100000</v>
      </c>
      <c r="AO27" s="123">
        <v>100000</v>
      </c>
      <c r="AP27" s="123">
        <v>100000</v>
      </c>
      <c r="AQ27" s="123">
        <v>100000</v>
      </c>
      <c r="AR27" s="123">
        <v>100000</v>
      </c>
      <c r="AS27" s="111">
        <f t="shared" si="1"/>
        <v>1200000</v>
      </c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11">
        <f t="shared" si="5"/>
        <v>0</v>
      </c>
      <c r="BG27" s="102"/>
      <c r="BH27" s="113">
        <v>0</v>
      </c>
      <c r="BI27" s="114">
        <f t="shared" si="2"/>
        <v>0</v>
      </c>
    </row>
    <row r="28" spans="1:61" s="60" customFormat="1" x14ac:dyDescent="0.35">
      <c r="A28" s="99">
        <f t="shared" si="6"/>
        <v>24</v>
      </c>
      <c r="B28" s="98" t="s">
        <v>99</v>
      </c>
      <c r="C28" s="98" t="s">
        <v>198</v>
      </c>
      <c r="D28" s="67" t="s">
        <v>185</v>
      </c>
      <c r="E28" s="67" t="s">
        <v>246</v>
      </c>
      <c r="F28" s="128">
        <v>0</v>
      </c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9"/>
      <c r="R28" s="109"/>
      <c r="S28" s="110">
        <f t="shared" si="3"/>
        <v>0</v>
      </c>
      <c r="T28" s="124">
        <v>100000</v>
      </c>
      <c r="U28" s="124">
        <v>100000</v>
      </c>
      <c r="V28" s="124">
        <v>100000</v>
      </c>
      <c r="W28" s="124">
        <v>100000</v>
      </c>
      <c r="X28" s="124">
        <v>100000</v>
      </c>
      <c r="Y28" s="124">
        <v>100000</v>
      </c>
      <c r="Z28" s="124">
        <v>100000</v>
      </c>
      <c r="AA28" s="124">
        <v>100000</v>
      </c>
      <c r="AB28" s="124">
        <v>100000</v>
      </c>
      <c r="AC28" s="124">
        <v>100000</v>
      </c>
      <c r="AD28" s="124">
        <v>100000</v>
      </c>
      <c r="AE28" s="124">
        <v>100000</v>
      </c>
      <c r="AF28" s="111">
        <f t="shared" si="4"/>
        <v>1200000</v>
      </c>
      <c r="AG28" s="123">
        <v>100000</v>
      </c>
      <c r="AH28" s="123">
        <v>100000</v>
      </c>
      <c r="AI28" s="123">
        <v>100000</v>
      </c>
      <c r="AJ28" s="123">
        <v>100000</v>
      </c>
      <c r="AK28" s="109"/>
      <c r="AL28" s="109"/>
      <c r="AM28" s="109"/>
      <c r="AN28" s="109"/>
      <c r="AO28" s="109"/>
      <c r="AP28" s="109"/>
      <c r="AQ28" s="109"/>
      <c r="AR28" s="109"/>
      <c r="AS28" s="111">
        <f t="shared" si="1"/>
        <v>400000</v>
      </c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11">
        <f t="shared" si="5"/>
        <v>0</v>
      </c>
      <c r="BG28" s="102"/>
      <c r="BH28" s="113">
        <v>0</v>
      </c>
      <c r="BI28" s="114">
        <f t="shared" si="2"/>
        <v>0</v>
      </c>
    </row>
    <row r="29" spans="1:61" s="60" customFormat="1" x14ac:dyDescent="0.35">
      <c r="A29" s="99">
        <f t="shared" si="6"/>
        <v>25</v>
      </c>
      <c r="B29" s="98" t="s">
        <v>100</v>
      </c>
      <c r="C29" s="98">
        <v>0</v>
      </c>
      <c r="D29" s="67"/>
      <c r="E29" s="67"/>
      <c r="F29" s="128">
        <v>0</v>
      </c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9"/>
      <c r="R29" s="109"/>
      <c r="S29" s="110">
        <f t="shared" si="3"/>
        <v>0</v>
      </c>
      <c r="T29" s="124">
        <v>100000</v>
      </c>
      <c r="U29" s="124">
        <v>100000</v>
      </c>
      <c r="V29" s="124">
        <v>100000</v>
      </c>
      <c r="W29" s="124">
        <v>100000</v>
      </c>
      <c r="X29" s="124">
        <v>100000</v>
      </c>
      <c r="Y29" s="124">
        <v>100000</v>
      </c>
      <c r="Z29" s="108"/>
      <c r="AA29" s="108"/>
      <c r="AB29" s="108"/>
      <c r="AC29" s="108"/>
      <c r="AD29" s="109"/>
      <c r="AE29" s="109"/>
      <c r="AF29" s="111">
        <f t="shared" si="4"/>
        <v>600000</v>
      </c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11">
        <f t="shared" si="1"/>
        <v>0</v>
      </c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11">
        <f t="shared" si="5"/>
        <v>0</v>
      </c>
      <c r="BG29" s="102"/>
      <c r="BH29" s="113">
        <v>0</v>
      </c>
      <c r="BI29" s="114">
        <f t="shared" si="2"/>
        <v>0</v>
      </c>
    </row>
    <row r="30" spans="1:61" s="60" customFormat="1" x14ac:dyDescent="0.35">
      <c r="A30" s="99">
        <f t="shared" si="6"/>
        <v>26</v>
      </c>
      <c r="B30" s="98" t="s">
        <v>101</v>
      </c>
      <c r="C30" s="98">
        <v>0</v>
      </c>
      <c r="D30" s="67"/>
      <c r="E30" s="67"/>
      <c r="F30" s="128">
        <v>0</v>
      </c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9"/>
      <c r="R30" s="109"/>
      <c r="S30" s="110">
        <f t="shared" si="3"/>
        <v>0</v>
      </c>
      <c r="T30" s="124">
        <v>100000</v>
      </c>
      <c r="U30" s="124">
        <v>100000</v>
      </c>
      <c r="V30" s="124">
        <v>100000</v>
      </c>
      <c r="W30" s="124">
        <v>100000</v>
      </c>
      <c r="X30" s="124">
        <v>100000</v>
      </c>
      <c r="Y30" s="124">
        <v>100000</v>
      </c>
      <c r="Z30" s="124">
        <v>100000</v>
      </c>
      <c r="AA30" s="124">
        <v>100000</v>
      </c>
      <c r="AB30" s="124">
        <v>100000</v>
      </c>
      <c r="AC30" s="124">
        <v>100000</v>
      </c>
      <c r="AD30" s="124">
        <v>100000</v>
      </c>
      <c r="AE30" s="124">
        <v>100000</v>
      </c>
      <c r="AF30" s="111">
        <f t="shared" si="4"/>
        <v>1200000</v>
      </c>
      <c r="AG30" s="123">
        <v>100000</v>
      </c>
      <c r="AH30" s="123">
        <v>100000</v>
      </c>
      <c r="AI30" s="123">
        <v>100000</v>
      </c>
      <c r="AJ30" s="123">
        <v>100000</v>
      </c>
      <c r="AK30" s="123">
        <v>100000</v>
      </c>
      <c r="AL30" s="123">
        <v>100000</v>
      </c>
      <c r="AM30" s="123">
        <v>100000</v>
      </c>
      <c r="AN30" s="123">
        <v>100000</v>
      </c>
      <c r="AO30" s="123">
        <v>100000</v>
      </c>
      <c r="AP30" s="123">
        <v>100000</v>
      </c>
      <c r="AQ30" s="123">
        <v>100000</v>
      </c>
      <c r="AR30" s="123">
        <v>100000</v>
      </c>
      <c r="AS30" s="111">
        <f t="shared" si="1"/>
        <v>1200000</v>
      </c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11">
        <f t="shared" si="5"/>
        <v>0</v>
      </c>
      <c r="BG30" s="102"/>
      <c r="BH30" s="113">
        <v>0</v>
      </c>
      <c r="BI30" s="114">
        <f t="shared" si="2"/>
        <v>0</v>
      </c>
    </row>
    <row r="31" spans="1:61" s="60" customFormat="1" x14ac:dyDescent="0.35">
      <c r="A31" s="99">
        <f t="shared" si="6"/>
        <v>27</v>
      </c>
      <c r="B31" s="98" t="s">
        <v>102</v>
      </c>
      <c r="C31" s="98" t="s">
        <v>103</v>
      </c>
      <c r="D31" s="67" t="s">
        <v>185</v>
      </c>
      <c r="E31" s="67" t="s">
        <v>246</v>
      </c>
      <c r="F31" s="128">
        <v>0</v>
      </c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9"/>
      <c r="R31" s="109"/>
      <c r="S31" s="110">
        <f t="shared" si="3"/>
        <v>0</v>
      </c>
      <c r="T31" s="124">
        <v>100000</v>
      </c>
      <c r="U31" s="124">
        <v>100000</v>
      </c>
      <c r="V31" s="124">
        <v>100000</v>
      </c>
      <c r="W31" s="124">
        <v>100000</v>
      </c>
      <c r="X31" s="124">
        <v>100000</v>
      </c>
      <c r="Y31" s="124">
        <v>100000</v>
      </c>
      <c r="Z31" s="124">
        <v>100000</v>
      </c>
      <c r="AA31" s="124">
        <v>100000</v>
      </c>
      <c r="AB31" s="124">
        <v>100000</v>
      </c>
      <c r="AC31" s="124">
        <v>100000</v>
      </c>
      <c r="AD31" s="124">
        <v>100000</v>
      </c>
      <c r="AE31" s="124">
        <v>100000</v>
      </c>
      <c r="AF31" s="111">
        <f t="shared" si="4"/>
        <v>1200000</v>
      </c>
      <c r="AG31" s="123">
        <v>100000</v>
      </c>
      <c r="AH31" s="123">
        <v>100000</v>
      </c>
      <c r="AI31" s="123">
        <v>100000</v>
      </c>
      <c r="AJ31" s="123">
        <v>100000</v>
      </c>
      <c r="AK31" s="123">
        <v>100000</v>
      </c>
      <c r="AL31" s="109"/>
      <c r="AM31" s="109"/>
      <c r="AN31" s="109"/>
      <c r="AO31" s="109"/>
      <c r="AP31" s="109"/>
      <c r="AQ31" s="109"/>
      <c r="AR31" s="109"/>
      <c r="AS31" s="111">
        <f t="shared" si="1"/>
        <v>500000</v>
      </c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11">
        <f t="shared" si="5"/>
        <v>0</v>
      </c>
      <c r="BG31" s="102"/>
      <c r="BH31" s="113">
        <v>0</v>
      </c>
      <c r="BI31" s="114">
        <f t="shared" si="2"/>
        <v>0</v>
      </c>
    </row>
    <row r="32" spans="1:61" s="60" customFormat="1" x14ac:dyDescent="0.35">
      <c r="A32" s="99">
        <f t="shared" si="6"/>
        <v>28</v>
      </c>
      <c r="B32" s="98" t="s">
        <v>104</v>
      </c>
      <c r="C32" s="98">
        <v>0</v>
      </c>
      <c r="D32" s="67"/>
      <c r="E32" s="67"/>
      <c r="F32" s="128">
        <v>0</v>
      </c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R32" s="109"/>
      <c r="S32" s="110">
        <f t="shared" si="3"/>
        <v>0</v>
      </c>
      <c r="T32" s="124">
        <v>100000</v>
      </c>
      <c r="U32" s="124">
        <v>100000</v>
      </c>
      <c r="V32" s="124">
        <v>100000</v>
      </c>
      <c r="W32" s="124">
        <v>100000</v>
      </c>
      <c r="X32" s="124">
        <v>100000</v>
      </c>
      <c r="Y32" s="124">
        <v>100000</v>
      </c>
      <c r="Z32" s="124">
        <v>100000</v>
      </c>
      <c r="AA32" s="124">
        <v>100000</v>
      </c>
      <c r="AB32" s="124">
        <v>100000</v>
      </c>
      <c r="AC32" s="124">
        <v>100000</v>
      </c>
      <c r="AD32" s="124">
        <v>100000</v>
      </c>
      <c r="AE32" s="124">
        <v>100000</v>
      </c>
      <c r="AF32" s="111">
        <f t="shared" si="4"/>
        <v>1200000</v>
      </c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11">
        <f t="shared" si="1"/>
        <v>0</v>
      </c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11">
        <f t="shared" si="5"/>
        <v>0</v>
      </c>
      <c r="BG32" s="102"/>
      <c r="BH32" s="113">
        <v>0</v>
      </c>
      <c r="BI32" s="114">
        <f t="shared" si="2"/>
        <v>0</v>
      </c>
    </row>
    <row r="33" spans="1:61" s="60" customFormat="1" x14ac:dyDescent="0.35">
      <c r="A33" s="99">
        <f t="shared" si="6"/>
        <v>29</v>
      </c>
      <c r="B33" s="98" t="s">
        <v>105</v>
      </c>
      <c r="C33" s="98">
        <v>0</v>
      </c>
      <c r="D33" s="67"/>
      <c r="E33" s="67"/>
      <c r="F33" s="128">
        <v>0</v>
      </c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9"/>
      <c r="R33" s="109"/>
      <c r="S33" s="110">
        <f t="shared" si="3"/>
        <v>0</v>
      </c>
      <c r="T33" s="124">
        <v>100000</v>
      </c>
      <c r="U33" s="124">
        <v>100000</v>
      </c>
      <c r="V33" s="124">
        <v>100000</v>
      </c>
      <c r="W33" s="124">
        <v>100000</v>
      </c>
      <c r="X33" s="124">
        <v>100000</v>
      </c>
      <c r="Y33" s="124">
        <v>100000</v>
      </c>
      <c r="Z33" s="124">
        <v>100000</v>
      </c>
      <c r="AA33" s="124">
        <v>100000</v>
      </c>
      <c r="AB33" s="124">
        <v>100000</v>
      </c>
      <c r="AC33" s="124">
        <v>100000</v>
      </c>
      <c r="AD33" s="124">
        <v>100000</v>
      </c>
      <c r="AE33" s="124">
        <v>100000</v>
      </c>
      <c r="AF33" s="111">
        <f t="shared" si="4"/>
        <v>1200000</v>
      </c>
      <c r="AG33" s="123">
        <v>100000</v>
      </c>
      <c r="AH33" s="123">
        <v>100000</v>
      </c>
      <c r="AI33" s="123">
        <v>100000</v>
      </c>
      <c r="AJ33" s="123">
        <v>100000</v>
      </c>
      <c r="AK33" s="109"/>
      <c r="AL33" s="109"/>
      <c r="AM33" s="109"/>
      <c r="AN33" s="109"/>
      <c r="AO33" s="109"/>
      <c r="AP33" s="109"/>
      <c r="AQ33" s="109"/>
      <c r="AR33" s="109"/>
      <c r="AS33" s="111">
        <f t="shared" si="1"/>
        <v>400000</v>
      </c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11">
        <f t="shared" si="5"/>
        <v>0</v>
      </c>
      <c r="BG33" s="102"/>
      <c r="BH33" s="113">
        <v>0</v>
      </c>
      <c r="BI33" s="114">
        <f t="shared" si="2"/>
        <v>0</v>
      </c>
    </row>
    <row r="34" spans="1:61" s="60" customFormat="1" x14ac:dyDescent="0.35">
      <c r="A34" s="99">
        <f t="shared" si="6"/>
        <v>30</v>
      </c>
      <c r="B34" s="98" t="s">
        <v>106</v>
      </c>
      <c r="C34" s="98">
        <v>0</v>
      </c>
      <c r="D34" s="67"/>
      <c r="E34" s="67"/>
      <c r="F34" s="128">
        <v>0</v>
      </c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9"/>
      <c r="R34" s="109"/>
      <c r="S34" s="110">
        <f t="shared" si="3"/>
        <v>0</v>
      </c>
      <c r="T34" s="124">
        <v>100000</v>
      </c>
      <c r="U34" s="124">
        <v>100000</v>
      </c>
      <c r="V34" s="124">
        <v>100000</v>
      </c>
      <c r="W34" s="124">
        <v>100000</v>
      </c>
      <c r="X34" s="124">
        <v>100000</v>
      </c>
      <c r="Y34" s="124">
        <v>100000</v>
      </c>
      <c r="Z34" s="124">
        <v>100000</v>
      </c>
      <c r="AA34" s="124">
        <v>100000</v>
      </c>
      <c r="AB34" s="124">
        <v>100000</v>
      </c>
      <c r="AC34" s="124">
        <v>100000</v>
      </c>
      <c r="AD34" s="124">
        <v>100000</v>
      </c>
      <c r="AE34" s="124">
        <v>100000</v>
      </c>
      <c r="AF34" s="111">
        <f t="shared" si="4"/>
        <v>1200000</v>
      </c>
      <c r="AG34" s="153">
        <v>100000</v>
      </c>
      <c r="AH34" s="153">
        <v>100000</v>
      </c>
      <c r="AI34" s="153">
        <v>100000</v>
      </c>
      <c r="AJ34" s="153">
        <v>100000</v>
      </c>
      <c r="AK34" s="109"/>
      <c r="AL34" s="109"/>
      <c r="AM34" s="109"/>
      <c r="AN34" s="109"/>
      <c r="AO34" s="109"/>
      <c r="AP34" s="109"/>
      <c r="AQ34" s="109"/>
      <c r="AR34" s="109"/>
      <c r="AS34" s="111">
        <f t="shared" si="1"/>
        <v>400000</v>
      </c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11">
        <f t="shared" si="5"/>
        <v>0</v>
      </c>
      <c r="BG34" s="102"/>
      <c r="BH34" s="113">
        <v>0</v>
      </c>
      <c r="BI34" s="114">
        <f t="shared" si="2"/>
        <v>0</v>
      </c>
    </row>
    <row r="35" spans="1:61" s="60" customFormat="1" x14ac:dyDescent="0.35">
      <c r="A35" s="99">
        <f t="shared" si="6"/>
        <v>31</v>
      </c>
      <c r="B35" s="98" t="s">
        <v>107</v>
      </c>
      <c r="C35" s="98">
        <v>0</v>
      </c>
      <c r="D35" s="67"/>
      <c r="E35" s="67"/>
      <c r="F35" s="128">
        <v>0</v>
      </c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9"/>
      <c r="R35" s="109"/>
      <c r="S35" s="110">
        <f t="shared" si="3"/>
        <v>0</v>
      </c>
      <c r="T35" s="110"/>
      <c r="U35" s="108"/>
      <c r="V35" s="108"/>
      <c r="W35" s="108"/>
      <c r="X35" s="108"/>
      <c r="Y35" s="108"/>
      <c r="Z35" s="108"/>
      <c r="AA35" s="108"/>
      <c r="AB35" s="108"/>
      <c r="AC35" s="108"/>
      <c r="AD35" s="109"/>
      <c r="AE35" s="109"/>
      <c r="AF35" s="111">
        <f t="shared" si="4"/>
        <v>0</v>
      </c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11">
        <f t="shared" si="1"/>
        <v>0</v>
      </c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11">
        <f t="shared" si="5"/>
        <v>0</v>
      </c>
      <c r="BG35" s="102"/>
      <c r="BH35" s="113">
        <v>0</v>
      </c>
      <c r="BI35" s="114">
        <f t="shared" si="2"/>
        <v>0</v>
      </c>
    </row>
    <row r="36" spans="1:61" s="60" customFormat="1" x14ac:dyDescent="0.35">
      <c r="A36" s="99">
        <f t="shared" si="6"/>
        <v>32</v>
      </c>
      <c r="B36" s="98" t="s">
        <v>108</v>
      </c>
      <c r="C36" s="98">
        <v>0</v>
      </c>
      <c r="D36" s="67"/>
      <c r="E36" s="67"/>
      <c r="F36" s="128">
        <v>0</v>
      </c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9"/>
      <c r="R36" s="109"/>
      <c r="S36" s="110">
        <f t="shared" si="3"/>
        <v>0</v>
      </c>
      <c r="T36" s="124">
        <v>100000</v>
      </c>
      <c r="U36" s="124">
        <v>100000</v>
      </c>
      <c r="V36" s="124">
        <v>100000</v>
      </c>
      <c r="W36" s="124">
        <v>100000</v>
      </c>
      <c r="X36" s="124">
        <v>100000</v>
      </c>
      <c r="Y36" s="124">
        <v>100000</v>
      </c>
      <c r="Z36" s="124">
        <v>100000</v>
      </c>
      <c r="AA36" s="124">
        <v>100000</v>
      </c>
      <c r="AB36" s="124">
        <v>100000</v>
      </c>
      <c r="AC36" s="124">
        <v>100000</v>
      </c>
      <c r="AD36" s="109"/>
      <c r="AE36" s="109"/>
      <c r="AF36" s="111">
        <f t="shared" si="4"/>
        <v>1000000</v>
      </c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11">
        <f t="shared" si="1"/>
        <v>0</v>
      </c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11">
        <f t="shared" si="5"/>
        <v>0</v>
      </c>
      <c r="BG36" s="102"/>
      <c r="BH36" s="113">
        <v>0</v>
      </c>
      <c r="BI36" s="114">
        <f t="shared" si="2"/>
        <v>0</v>
      </c>
    </row>
    <row r="37" spans="1:61" s="60" customFormat="1" x14ac:dyDescent="0.35">
      <c r="A37" s="99">
        <f t="shared" si="6"/>
        <v>33</v>
      </c>
      <c r="B37" s="98" t="s">
        <v>109</v>
      </c>
      <c r="C37" s="98">
        <v>0</v>
      </c>
      <c r="D37" s="67"/>
      <c r="E37" s="67"/>
      <c r="F37" s="128">
        <v>0</v>
      </c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9"/>
      <c r="R37" s="109"/>
      <c r="S37" s="110">
        <f t="shared" si="3"/>
        <v>0</v>
      </c>
      <c r="T37" s="110"/>
      <c r="U37" s="108"/>
      <c r="V37" s="108"/>
      <c r="W37" s="108"/>
      <c r="X37" s="108"/>
      <c r="Y37" s="108"/>
      <c r="Z37" s="108"/>
      <c r="AA37" s="108"/>
      <c r="AB37" s="108"/>
      <c r="AC37" s="108"/>
      <c r="AD37" s="109"/>
      <c r="AE37" s="109"/>
      <c r="AF37" s="111">
        <f t="shared" si="4"/>
        <v>0</v>
      </c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11">
        <f t="shared" si="1"/>
        <v>0</v>
      </c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11">
        <f t="shared" si="5"/>
        <v>0</v>
      </c>
      <c r="BG37" s="102"/>
      <c r="BH37" s="113">
        <v>0</v>
      </c>
      <c r="BI37" s="114">
        <f t="shared" si="2"/>
        <v>0</v>
      </c>
    </row>
    <row r="38" spans="1:61" s="60" customFormat="1" x14ac:dyDescent="0.35">
      <c r="A38" s="99">
        <f t="shared" si="6"/>
        <v>34</v>
      </c>
      <c r="B38" s="98" t="s">
        <v>110</v>
      </c>
      <c r="C38" s="98">
        <v>0</v>
      </c>
      <c r="D38" s="67"/>
      <c r="E38" s="67"/>
      <c r="F38" s="128">
        <v>0</v>
      </c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9"/>
      <c r="R38" s="109"/>
      <c r="S38" s="110">
        <f t="shared" si="3"/>
        <v>0</v>
      </c>
      <c r="T38" s="124">
        <v>100000</v>
      </c>
      <c r="U38" s="124">
        <v>100000</v>
      </c>
      <c r="V38" s="124">
        <v>100000</v>
      </c>
      <c r="W38" s="124">
        <v>100000</v>
      </c>
      <c r="X38" s="124">
        <v>100000</v>
      </c>
      <c r="Y38" s="124">
        <v>100000</v>
      </c>
      <c r="Z38" s="124">
        <v>100000</v>
      </c>
      <c r="AA38" s="124">
        <v>100000</v>
      </c>
      <c r="AB38" s="124">
        <v>100000</v>
      </c>
      <c r="AC38" s="124">
        <v>100000</v>
      </c>
      <c r="AD38" s="124">
        <v>100000</v>
      </c>
      <c r="AE38" s="124">
        <v>100000</v>
      </c>
      <c r="AF38" s="111">
        <f t="shared" si="4"/>
        <v>1200000</v>
      </c>
      <c r="AG38" s="153">
        <v>100000</v>
      </c>
      <c r="AH38" s="153">
        <v>100000</v>
      </c>
      <c r="AI38" s="153">
        <v>100000</v>
      </c>
      <c r="AJ38" s="153">
        <v>100000</v>
      </c>
      <c r="AK38" s="153">
        <v>100000</v>
      </c>
      <c r="AL38" s="153">
        <v>100000</v>
      </c>
      <c r="AM38" s="109"/>
      <c r="AN38" s="109"/>
      <c r="AO38" s="109"/>
      <c r="AP38" s="109"/>
      <c r="AQ38" s="109"/>
      <c r="AR38" s="109"/>
      <c r="AS38" s="111">
        <f t="shared" si="1"/>
        <v>600000</v>
      </c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11">
        <f t="shared" si="5"/>
        <v>0</v>
      </c>
      <c r="BG38" s="102"/>
      <c r="BH38" s="113">
        <v>0</v>
      </c>
      <c r="BI38" s="114">
        <f t="shared" si="2"/>
        <v>0</v>
      </c>
    </row>
    <row r="39" spans="1:61" s="60" customFormat="1" x14ac:dyDescent="0.35">
      <c r="A39" s="99">
        <f t="shared" si="6"/>
        <v>35</v>
      </c>
      <c r="B39" s="98" t="s">
        <v>111</v>
      </c>
      <c r="C39" s="98">
        <v>0</v>
      </c>
      <c r="D39" s="67"/>
      <c r="E39" s="67"/>
      <c r="F39" s="128">
        <v>0</v>
      </c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9"/>
      <c r="R39" s="109"/>
      <c r="S39" s="110">
        <f t="shared" si="3"/>
        <v>0</v>
      </c>
      <c r="T39" s="124">
        <v>100000</v>
      </c>
      <c r="U39" s="124">
        <v>100000</v>
      </c>
      <c r="V39" s="124">
        <v>100000</v>
      </c>
      <c r="W39" s="124">
        <v>100000</v>
      </c>
      <c r="X39" s="124">
        <v>100000</v>
      </c>
      <c r="Y39" s="124">
        <v>100000</v>
      </c>
      <c r="Z39" s="124">
        <v>100000</v>
      </c>
      <c r="AA39" s="124">
        <v>100000</v>
      </c>
      <c r="AB39" s="124">
        <v>100000</v>
      </c>
      <c r="AC39" s="124">
        <v>100000</v>
      </c>
      <c r="AD39" s="124">
        <v>100000</v>
      </c>
      <c r="AE39" s="124">
        <v>100000</v>
      </c>
      <c r="AF39" s="111">
        <f t="shared" si="4"/>
        <v>1200000</v>
      </c>
      <c r="AG39" s="123">
        <v>100000</v>
      </c>
      <c r="AH39" s="123">
        <v>100000</v>
      </c>
      <c r="AI39" s="123">
        <v>100000</v>
      </c>
      <c r="AJ39" s="123">
        <v>100000</v>
      </c>
      <c r="AK39" s="123">
        <v>100000</v>
      </c>
      <c r="AL39" s="123">
        <v>100000</v>
      </c>
      <c r="AM39" s="123">
        <v>100000</v>
      </c>
      <c r="AN39" s="123">
        <v>100000</v>
      </c>
      <c r="AO39" s="123">
        <v>100000</v>
      </c>
      <c r="AP39" s="123">
        <v>100000</v>
      </c>
      <c r="AQ39" s="123">
        <v>100000</v>
      </c>
      <c r="AR39" s="123">
        <v>100000</v>
      </c>
      <c r="AS39" s="111">
        <f t="shared" si="1"/>
        <v>1200000</v>
      </c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11">
        <f t="shared" si="5"/>
        <v>0</v>
      </c>
      <c r="BG39" s="102"/>
      <c r="BH39" s="113">
        <v>0</v>
      </c>
      <c r="BI39" s="114">
        <f t="shared" si="2"/>
        <v>0</v>
      </c>
    </row>
    <row r="40" spans="1:61" s="60" customFormat="1" x14ac:dyDescent="0.35">
      <c r="A40" s="99">
        <f t="shared" si="6"/>
        <v>36</v>
      </c>
      <c r="B40" s="98" t="s">
        <v>172</v>
      </c>
      <c r="C40" s="98">
        <v>0</v>
      </c>
      <c r="D40" s="67"/>
      <c r="E40" s="67"/>
      <c r="F40" s="128">
        <v>0</v>
      </c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9"/>
      <c r="R40" s="109"/>
      <c r="S40" s="110">
        <f t="shared" si="3"/>
        <v>0</v>
      </c>
      <c r="T40" s="124">
        <v>100000</v>
      </c>
      <c r="U40" s="124">
        <v>100000</v>
      </c>
      <c r="V40" s="124">
        <v>100000</v>
      </c>
      <c r="W40" s="124">
        <v>100000</v>
      </c>
      <c r="X40" s="124">
        <v>100000</v>
      </c>
      <c r="Y40" s="124">
        <v>100000</v>
      </c>
      <c r="Z40" s="124">
        <v>100000</v>
      </c>
      <c r="AA40" s="124">
        <v>100000</v>
      </c>
      <c r="AB40" s="124">
        <v>100000</v>
      </c>
      <c r="AC40" s="124">
        <v>100000</v>
      </c>
      <c r="AD40" s="124">
        <v>100000</v>
      </c>
      <c r="AE40" s="124">
        <v>100000</v>
      </c>
      <c r="AF40" s="111">
        <f t="shared" si="4"/>
        <v>1200000</v>
      </c>
      <c r="AG40" s="153">
        <v>100000</v>
      </c>
      <c r="AH40" s="153">
        <v>100000</v>
      </c>
      <c r="AI40" s="153">
        <v>100000</v>
      </c>
      <c r="AJ40" s="153">
        <v>100000</v>
      </c>
      <c r="AK40" s="109"/>
      <c r="AL40" s="109"/>
      <c r="AM40" s="109"/>
      <c r="AN40" s="109"/>
      <c r="AO40" s="109"/>
      <c r="AP40" s="109"/>
      <c r="AQ40" s="109"/>
      <c r="AR40" s="109"/>
      <c r="AS40" s="111">
        <f t="shared" si="1"/>
        <v>400000</v>
      </c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11">
        <f t="shared" si="5"/>
        <v>0</v>
      </c>
      <c r="BG40" s="102"/>
      <c r="BH40" s="113"/>
      <c r="BI40" s="114"/>
    </row>
    <row r="41" spans="1:61" s="60" customFormat="1" x14ac:dyDescent="0.35">
      <c r="A41" s="99">
        <f t="shared" si="6"/>
        <v>37</v>
      </c>
      <c r="B41" s="98" t="s">
        <v>112</v>
      </c>
      <c r="C41" s="98">
        <v>0</v>
      </c>
      <c r="D41" s="67"/>
      <c r="E41" s="67"/>
      <c r="F41" s="128">
        <v>0</v>
      </c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9"/>
      <c r="R41" s="109"/>
      <c r="S41" s="110">
        <f t="shared" si="3"/>
        <v>0</v>
      </c>
      <c r="T41" s="124">
        <v>100000</v>
      </c>
      <c r="U41" s="124">
        <v>100000</v>
      </c>
      <c r="V41" s="124">
        <v>100000</v>
      </c>
      <c r="W41" s="124">
        <v>100000</v>
      </c>
      <c r="X41" s="124">
        <v>100000</v>
      </c>
      <c r="Y41" s="124">
        <v>100000</v>
      </c>
      <c r="Z41" s="124">
        <v>100000</v>
      </c>
      <c r="AA41" s="124">
        <v>100000</v>
      </c>
      <c r="AB41" s="124">
        <v>100000</v>
      </c>
      <c r="AC41" s="124">
        <v>100000</v>
      </c>
      <c r="AD41" s="124">
        <v>100000</v>
      </c>
      <c r="AE41" s="124">
        <v>100000</v>
      </c>
      <c r="AF41" s="111">
        <f t="shared" si="4"/>
        <v>1200000</v>
      </c>
      <c r="AG41" s="153">
        <v>100000</v>
      </c>
      <c r="AH41" s="153">
        <v>100000</v>
      </c>
      <c r="AI41" s="153">
        <v>100000</v>
      </c>
      <c r="AJ41" s="153">
        <v>100000</v>
      </c>
      <c r="AK41" s="153">
        <v>100000</v>
      </c>
      <c r="AL41" s="109"/>
      <c r="AM41" s="109"/>
      <c r="AN41" s="109"/>
      <c r="AO41" s="109"/>
      <c r="AP41" s="109"/>
      <c r="AQ41" s="109"/>
      <c r="AR41" s="109"/>
      <c r="AS41" s="111">
        <f t="shared" si="1"/>
        <v>500000</v>
      </c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11">
        <f t="shared" si="5"/>
        <v>0</v>
      </c>
      <c r="BG41" s="102"/>
      <c r="BH41" s="113">
        <v>0</v>
      </c>
      <c r="BI41" s="114">
        <f t="shared" ref="BI41:BI47" si="7">S41-BH41</f>
        <v>0</v>
      </c>
    </row>
    <row r="42" spans="1:61" s="60" customFormat="1" x14ac:dyDescent="0.35">
      <c r="A42" s="99">
        <f t="shared" si="6"/>
        <v>38</v>
      </c>
      <c r="B42" s="98" t="s">
        <v>113</v>
      </c>
      <c r="C42" s="98" t="s">
        <v>114</v>
      </c>
      <c r="D42" s="67"/>
      <c r="E42" s="67"/>
      <c r="F42" s="128">
        <v>0</v>
      </c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9"/>
      <c r="R42" s="109"/>
      <c r="S42" s="110">
        <f t="shared" si="3"/>
        <v>0</v>
      </c>
      <c r="T42" s="124">
        <v>100000</v>
      </c>
      <c r="U42" s="124">
        <v>100000</v>
      </c>
      <c r="V42" s="124">
        <v>100000</v>
      </c>
      <c r="W42" s="124">
        <v>100000</v>
      </c>
      <c r="X42" s="124">
        <v>100000</v>
      </c>
      <c r="Y42" s="124">
        <v>100000</v>
      </c>
      <c r="Z42" s="124">
        <v>100000</v>
      </c>
      <c r="AA42" s="124">
        <v>100000</v>
      </c>
      <c r="AB42" s="124">
        <v>100000</v>
      </c>
      <c r="AC42" s="124">
        <v>100000</v>
      </c>
      <c r="AD42" s="124">
        <v>100000</v>
      </c>
      <c r="AE42" s="124">
        <v>100000</v>
      </c>
      <c r="AF42" s="111">
        <f t="shared" si="4"/>
        <v>1200000</v>
      </c>
      <c r="AG42" s="153">
        <v>100000</v>
      </c>
      <c r="AH42" s="153">
        <v>100000</v>
      </c>
      <c r="AI42" s="153">
        <v>100000</v>
      </c>
      <c r="AJ42" s="153">
        <v>100000</v>
      </c>
      <c r="AK42" s="153">
        <v>100000</v>
      </c>
      <c r="AL42" s="109"/>
      <c r="AM42" s="109"/>
      <c r="AN42" s="109"/>
      <c r="AO42" s="109"/>
      <c r="AP42" s="109"/>
      <c r="AQ42" s="109"/>
      <c r="AR42" s="109"/>
      <c r="AS42" s="111">
        <f t="shared" si="1"/>
        <v>500000</v>
      </c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11">
        <f t="shared" si="5"/>
        <v>0</v>
      </c>
      <c r="BG42" s="102"/>
      <c r="BH42" s="113">
        <v>0</v>
      </c>
      <c r="BI42" s="114">
        <f t="shared" si="7"/>
        <v>0</v>
      </c>
    </row>
    <row r="43" spans="1:61" s="60" customFormat="1" x14ac:dyDescent="0.35">
      <c r="A43" s="99">
        <f t="shared" si="6"/>
        <v>39</v>
      </c>
      <c r="B43" s="98" t="s">
        <v>115</v>
      </c>
      <c r="C43" s="98">
        <v>0</v>
      </c>
      <c r="D43" s="67"/>
      <c r="E43" s="67"/>
      <c r="F43" s="128">
        <v>0</v>
      </c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9"/>
      <c r="R43" s="109"/>
      <c r="S43" s="110">
        <f t="shared" si="3"/>
        <v>0</v>
      </c>
      <c r="T43" s="124">
        <v>100000</v>
      </c>
      <c r="U43" s="124">
        <v>100000</v>
      </c>
      <c r="V43" s="124">
        <v>100000</v>
      </c>
      <c r="W43" s="124">
        <v>100000</v>
      </c>
      <c r="X43" s="124">
        <v>100000</v>
      </c>
      <c r="Y43" s="124">
        <v>100000</v>
      </c>
      <c r="Z43" s="124">
        <v>100000</v>
      </c>
      <c r="AA43" s="124">
        <v>100000</v>
      </c>
      <c r="AB43" s="124">
        <v>100000</v>
      </c>
      <c r="AC43" s="124">
        <v>100000</v>
      </c>
      <c r="AD43" s="124">
        <v>100000</v>
      </c>
      <c r="AE43" s="124">
        <v>100000</v>
      </c>
      <c r="AF43" s="111">
        <f t="shared" si="4"/>
        <v>1200000</v>
      </c>
      <c r="AG43" s="153">
        <v>100000</v>
      </c>
      <c r="AH43" s="153">
        <v>100000</v>
      </c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11">
        <f t="shared" si="1"/>
        <v>200000</v>
      </c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11">
        <f t="shared" si="5"/>
        <v>0</v>
      </c>
      <c r="BG43" s="102"/>
      <c r="BH43" s="113">
        <v>0</v>
      </c>
      <c r="BI43" s="114">
        <f t="shared" si="7"/>
        <v>0</v>
      </c>
    </row>
    <row r="44" spans="1:61" s="60" customFormat="1" x14ac:dyDescent="0.35">
      <c r="A44" s="99">
        <f t="shared" si="6"/>
        <v>40</v>
      </c>
      <c r="B44" s="98" t="s">
        <v>116</v>
      </c>
      <c r="C44" s="98" t="s">
        <v>197</v>
      </c>
      <c r="D44" s="67" t="s">
        <v>185</v>
      </c>
      <c r="E44" s="67"/>
      <c r="F44" s="128">
        <v>0</v>
      </c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9"/>
      <c r="R44" s="109"/>
      <c r="S44" s="110">
        <f t="shared" si="3"/>
        <v>0</v>
      </c>
      <c r="T44" s="124">
        <v>100000</v>
      </c>
      <c r="U44" s="124">
        <v>100000</v>
      </c>
      <c r="V44" s="124">
        <v>100000</v>
      </c>
      <c r="W44" s="124">
        <v>100000</v>
      </c>
      <c r="X44" s="124">
        <v>100000</v>
      </c>
      <c r="Y44" s="124">
        <v>100000</v>
      </c>
      <c r="Z44" s="124">
        <v>100000</v>
      </c>
      <c r="AA44" s="124">
        <v>100000</v>
      </c>
      <c r="AB44" s="124">
        <v>100000</v>
      </c>
      <c r="AC44" s="124">
        <v>100000</v>
      </c>
      <c r="AD44" s="124">
        <v>100000</v>
      </c>
      <c r="AE44" s="124">
        <v>100000</v>
      </c>
      <c r="AF44" s="111">
        <f t="shared" si="4"/>
        <v>1200000</v>
      </c>
      <c r="AG44" s="153">
        <v>100000</v>
      </c>
      <c r="AH44" s="153">
        <v>100000</v>
      </c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11">
        <f t="shared" si="1"/>
        <v>200000</v>
      </c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11">
        <f t="shared" si="5"/>
        <v>0</v>
      </c>
      <c r="BG44" s="102"/>
      <c r="BH44" s="113">
        <v>0</v>
      </c>
      <c r="BI44" s="114">
        <f t="shared" si="7"/>
        <v>0</v>
      </c>
    </row>
    <row r="45" spans="1:61" s="60" customFormat="1" x14ac:dyDescent="0.35">
      <c r="A45" s="99">
        <f t="shared" si="6"/>
        <v>41</v>
      </c>
      <c r="B45" s="98" t="s">
        <v>117</v>
      </c>
      <c r="C45" s="98">
        <v>0</v>
      </c>
      <c r="D45" s="67"/>
      <c r="E45" s="67"/>
      <c r="F45" s="128">
        <v>0</v>
      </c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9"/>
      <c r="R45" s="109"/>
      <c r="S45" s="110">
        <f t="shared" si="3"/>
        <v>0</v>
      </c>
      <c r="T45" s="124">
        <v>100000</v>
      </c>
      <c r="U45" s="124">
        <v>100000</v>
      </c>
      <c r="V45" s="124">
        <v>100000</v>
      </c>
      <c r="W45" s="124">
        <v>100000</v>
      </c>
      <c r="X45" s="124">
        <v>100000</v>
      </c>
      <c r="Y45" s="124">
        <v>100000</v>
      </c>
      <c r="Z45" s="124">
        <v>100000</v>
      </c>
      <c r="AA45" s="124">
        <v>100000</v>
      </c>
      <c r="AB45" s="124">
        <v>100000</v>
      </c>
      <c r="AC45" s="124">
        <v>100000</v>
      </c>
      <c r="AD45" s="124">
        <v>100000</v>
      </c>
      <c r="AE45" s="124">
        <v>100000</v>
      </c>
      <c r="AF45" s="111">
        <f t="shared" si="4"/>
        <v>1200000</v>
      </c>
      <c r="AG45" s="153">
        <v>100000</v>
      </c>
      <c r="AH45" s="153">
        <v>100000</v>
      </c>
      <c r="AI45" s="153">
        <v>100000</v>
      </c>
      <c r="AJ45" s="109"/>
      <c r="AK45" s="109"/>
      <c r="AL45" s="109"/>
      <c r="AM45" s="109"/>
      <c r="AN45" s="109"/>
      <c r="AO45" s="109"/>
      <c r="AP45" s="109"/>
      <c r="AQ45" s="109"/>
      <c r="AR45" s="109"/>
      <c r="AS45" s="111">
        <f t="shared" si="1"/>
        <v>300000</v>
      </c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11">
        <f t="shared" si="5"/>
        <v>0</v>
      </c>
      <c r="BG45" s="102"/>
      <c r="BH45" s="113">
        <v>0</v>
      </c>
      <c r="BI45" s="114">
        <f t="shared" si="7"/>
        <v>0</v>
      </c>
    </row>
    <row r="46" spans="1:61" s="60" customFormat="1" x14ac:dyDescent="0.35">
      <c r="A46" s="99">
        <f t="shared" si="6"/>
        <v>42</v>
      </c>
      <c r="B46" s="98" t="s">
        <v>118</v>
      </c>
      <c r="C46" s="98">
        <v>0</v>
      </c>
      <c r="D46" s="67"/>
      <c r="E46" s="67"/>
      <c r="F46" s="128">
        <v>0</v>
      </c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9"/>
      <c r="R46" s="109"/>
      <c r="S46" s="110">
        <f t="shared" si="3"/>
        <v>0</v>
      </c>
      <c r="T46" s="124">
        <v>100000</v>
      </c>
      <c r="U46" s="124">
        <v>100000</v>
      </c>
      <c r="V46" s="124">
        <v>100000</v>
      </c>
      <c r="W46" s="124">
        <v>100000</v>
      </c>
      <c r="X46" s="124">
        <v>100000</v>
      </c>
      <c r="Y46" s="124">
        <v>100000</v>
      </c>
      <c r="Z46" s="124">
        <v>100000</v>
      </c>
      <c r="AA46" s="124">
        <v>100000</v>
      </c>
      <c r="AB46" s="124">
        <v>100000</v>
      </c>
      <c r="AC46" s="124">
        <v>100000</v>
      </c>
      <c r="AD46" s="124">
        <v>100000</v>
      </c>
      <c r="AE46" s="124">
        <v>100000</v>
      </c>
      <c r="AF46" s="111">
        <f t="shared" si="4"/>
        <v>1200000</v>
      </c>
      <c r="AG46" s="153">
        <v>100000</v>
      </c>
      <c r="AH46" s="153">
        <v>100000</v>
      </c>
      <c r="AI46" s="153">
        <v>100000</v>
      </c>
      <c r="AJ46" s="153">
        <v>100000</v>
      </c>
      <c r="AK46" s="153">
        <v>100000</v>
      </c>
      <c r="AL46" s="109"/>
      <c r="AM46" s="109"/>
      <c r="AN46" s="109"/>
      <c r="AO46" s="109"/>
      <c r="AP46" s="109"/>
      <c r="AQ46" s="109"/>
      <c r="AR46" s="109"/>
      <c r="AS46" s="111">
        <f t="shared" si="1"/>
        <v>500000</v>
      </c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11">
        <f t="shared" si="5"/>
        <v>0</v>
      </c>
      <c r="BG46" s="102"/>
      <c r="BH46" s="113">
        <v>0</v>
      </c>
      <c r="BI46" s="114">
        <f t="shared" si="7"/>
        <v>0</v>
      </c>
    </row>
    <row r="47" spans="1:61" s="60" customFormat="1" x14ac:dyDescent="0.35">
      <c r="A47" s="99">
        <f t="shared" si="6"/>
        <v>43</v>
      </c>
      <c r="B47" s="98" t="s">
        <v>178</v>
      </c>
      <c r="C47" s="98" t="s">
        <v>217</v>
      </c>
      <c r="D47" s="67" t="s">
        <v>214</v>
      </c>
      <c r="E47" s="67"/>
      <c r="F47" s="128">
        <v>0</v>
      </c>
      <c r="G47" s="124">
        <v>100000</v>
      </c>
      <c r="H47" s="124">
        <v>100000</v>
      </c>
      <c r="I47" s="124">
        <v>100000</v>
      </c>
      <c r="J47" s="124">
        <v>100000</v>
      </c>
      <c r="K47" s="124">
        <v>100000</v>
      </c>
      <c r="L47" s="124">
        <v>100000</v>
      </c>
      <c r="M47" s="124">
        <v>100000</v>
      </c>
      <c r="N47" s="124">
        <v>100000</v>
      </c>
      <c r="O47" s="124">
        <v>100000</v>
      </c>
      <c r="P47" s="124">
        <v>100000</v>
      </c>
      <c r="Q47" s="124">
        <v>100000</v>
      </c>
      <c r="R47" s="124">
        <v>100000</v>
      </c>
      <c r="S47" s="110">
        <f t="shared" si="3"/>
        <v>1200000</v>
      </c>
      <c r="T47" s="157">
        <v>100000</v>
      </c>
      <c r="U47" s="157">
        <v>100000</v>
      </c>
      <c r="V47" s="157">
        <v>100000</v>
      </c>
      <c r="W47" s="157">
        <v>100000</v>
      </c>
      <c r="X47" s="157">
        <v>100000</v>
      </c>
      <c r="Y47" s="157">
        <v>100000</v>
      </c>
      <c r="Z47" s="157">
        <v>100000</v>
      </c>
      <c r="AA47" s="157">
        <v>100000</v>
      </c>
      <c r="AB47" s="157">
        <v>100000</v>
      </c>
      <c r="AC47" s="157">
        <v>100000</v>
      </c>
      <c r="AD47" s="157">
        <v>100000</v>
      </c>
      <c r="AE47" s="157">
        <v>100000</v>
      </c>
      <c r="AF47" s="111">
        <f t="shared" si="4"/>
        <v>1200000</v>
      </c>
      <c r="AG47" s="153">
        <v>100000</v>
      </c>
      <c r="AH47" s="153">
        <v>100000</v>
      </c>
      <c r="AI47" s="153">
        <v>100000</v>
      </c>
      <c r="AJ47" s="153">
        <v>100000</v>
      </c>
      <c r="AK47" s="109"/>
      <c r="AL47" s="109"/>
      <c r="AM47" s="109"/>
      <c r="AN47" s="109"/>
      <c r="AO47" s="109"/>
      <c r="AP47" s="109"/>
      <c r="AQ47" s="109"/>
      <c r="AR47" s="109"/>
      <c r="AS47" s="111">
        <f t="shared" si="1"/>
        <v>400000</v>
      </c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11">
        <f t="shared" si="5"/>
        <v>0</v>
      </c>
      <c r="BG47" s="102"/>
      <c r="BH47" s="113">
        <v>0</v>
      </c>
      <c r="BI47" s="114">
        <f t="shared" si="7"/>
        <v>1200000</v>
      </c>
    </row>
    <row r="48" spans="1:61" s="60" customFormat="1" x14ac:dyDescent="0.35">
      <c r="A48" s="99">
        <f t="shared" si="6"/>
        <v>44</v>
      </c>
      <c r="B48" s="98" t="s">
        <v>179</v>
      </c>
      <c r="C48" s="98" t="s">
        <v>216</v>
      </c>
      <c r="D48" s="67" t="s">
        <v>214</v>
      </c>
      <c r="E48" s="67"/>
      <c r="F48" s="128">
        <v>0</v>
      </c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9"/>
      <c r="R48" s="109"/>
      <c r="S48" s="110">
        <f t="shared" si="3"/>
        <v>0</v>
      </c>
      <c r="T48" s="157">
        <v>100000</v>
      </c>
      <c r="U48" s="157">
        <v>100000</v>
      </c>
      <c r="V48" s="157">
        <v>100000</v>
      </c>
      <c r="W48" s="157">
        <v>100000</v>
      </c>
      <c r="X48" s="157">
        <v>100000</v>
      </c>
      <c r="Y48" s="157">
        <v>100000</v>
      </c>
      <c r="Z48" s="157">
        <v>100000</v>
      </c>
      <c r="AA48" s="157">
        <v>100000</v>
      </c>
      <c r="AB48" s="157">
        <v>100000</v>
      </c>
      <c r="AC48" s="157">
        <v>100000</v>
      </c>
      <c r="AD48" s="157">
        <v>100000</v>
      </c>
      <c r="AE48" s="157">
        <v>100000</v>
      </c>
      <c r="AF48" s="111">
        <f t="shared" si="4"/>
        <v>1200000</v>
      </c>
      <c r="AG48" s="153">
        <v>100000</v>
      </c>
      <c r="AH48" s="153">
        <v>100000</v>
      </c>
      <c r="AI48" s="153">
        <v>100000</v>
      </c>
      <c r="AJ48" s="153">
        <v>100000</v>
      </c>
      <c r="AK48" s="109"/>
      <c r="AL48" s="109"/>
      <c r="AM48" s="109"/>
      <c r="AN48" s="109"/>
      <c r="AO48" s="109"/>
      <c r="AP48" s="109"/>
      <c r="AQ48" s="109"/>
      <c r="AR48" s="109"/>
      <c r="AS48" s="111">
        <f t="shared" si="1"/>
        <v>400000</v>
      </c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11">
        <f t="shared" si="5"/>
        <v>0</v>
      </c>
      <c r="BG48" s="102"/>
      <c r="BH48" s="113"/>
      <c r="BI48" s="114"/>
    </row>
    <row r="49" spans="1:61" s="60" customFormat="1" x14ac:dyDescent="0.35">
      <c r="A49" s="99">
        <f t="shared" si="6"/>
        <v>45</v>
      </c>
      <c r="B49" s="98" t="s">
        <v>119</v>
      </c>
      <c r="C49" s="98">
        <v>0</v>
      </c>
      <c r="D49" s="67"/>
      <c r="E49" s="67"/>
      <c r="F49" s="128">
        <v>0</v>
      </c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9"/>
      <c r="R49" s="109"/>
      <c r="S49" s="110">
        <f t="shared" si="3"/>
        <v>0</v>
      </c>
      <c r="T49" s="157">
        <v>100000</v>
      </c>
      <c r="U49" s="157">
        <v>100000</v>
      </c>
      <c r="V49" s="157">
        <v>100000</v>
      </c>
      <c r="W49" s="157">
        <v>100000</v>
      </c>
      <c r="X49" s="157">
        <v>100000</v>
      </c>
      <c r="Y49" s="157">
        <v>100000</v>
      </c>
      <c r="Z49" s="157">
        <v>100000</v>
      </c>
      <c r="AA49" s="157">
        <v>100000</v>
      </c>
      <c r="AB49" s="157">
        <v>100000</v>
      </c>
      <c r="AC49" s="157">
        <v>100000</v>
      </c>
      <c r="AD49" s="157">
        <v>100000</v>
      </c>
      <c r="AE49" s="157">
        <v>100000</v>
      </c>
      <c r="AF49" s="111">
        <f t="shared" si="4"/>
        <v>1200000</v>
      </c>
      <c r="AG49" s="153">
        <v>100000</v>
      </c>
      <c r="AH49" s="153">
        <v>100000</v>
      </c>
      <c r="AI49" s="153">
        <v>100000</v>
      </c>
      <c r="AJ49" s="153">
        <v>100000</v>
      </c>
      <c r="AK49" s="153">
        <v>100000</v>
      </c>
      <c r="AL49" s="109"/>
      <c r="AM49" s="109"/>
      <c r="AN49" s="109"/>
      <c r="AO49" s="109"/>
      <c r="AP49" s="109"/>
      <c r="AQ49" s="109"/>
      <c r="AR49" s="109"/>
      <c r="AS49" s="111">
        <f t="shared" si="1"/>
        <v>500000</v>
      </c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11">
        <f t="shared" si="5"/>
        <v>0</v>
      </c>
      <c r="BG49" s="102"/>
      <c r="BH49" s="113">
        <v>0</v>
      </c>
      <c r="BI49" s="114">
        <f t="shared" ref="BI49:BI57" si="8">S49-BH49</f>
        <v>0</v>
      </c>
    </row>
    <row r="50" spans="1:61" s="60" customFormat="1" x14ac:dyDescent="0.35">
      <c r="A50" s="99">
        <f t="shared" si="6"/>
        <v>46</v>
      </c>
      <c r="B50" s="98" t="s">
        <v>120</v>
      </c>
      <c r="C50" s="98">
        <v>0</v>
      </c>
      <c r="D50" s="67"/>
      <c r="E50" s="67"/>
      <c r="F50" s="128">
        <v>0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9"/>
      <c r="R50" s="109"/>
      <c r="S50" s="110">
        <f t="shared" si="3"/>
        <v>0</v>
      </c>
      <c r="T50" s="157">
        <v>100000</v>
      </c>
      <c r="U50" s="157">
        <v>100000</v>
      </c>
      <c r="V50" s="157">
        <v>100000</v>
      </c>
      <c r="W50" s="157">
        <v>100000</v>
      </c>
      <c r="X50" s="157">
        <v>100000</v>
      </c>
      <c r="Y50" s="157">
        <v>100000</v>
      </c>
      <c r="Z50" s="157">
        <v>100000</v>
      </c>
      <c r="AA50" s="157">
        <v>100000</v>
      </c>
      <c r="AB50" s="157">
        <v>100000</v>
      </c>
      <c r="AC50" s="157">
        <v>100000</v>
      </c>
      <c r="AD50" s="157">
        <v>100000</v>
      </c>
      <c r="AE50" s="157">
        <v>100000</v>
      </c>
      <c r="AF50" s="111">
        <f t="shared" si="4"/>
        <v>1200000</v>
      </c>
      <c r="AG50" s="154">
        <v>100000</v>
      </c>
      <c r="AH50" s="154">
        <v>100000</v>
      </c>
      <c r="AI50" s="154">
        <v>100000</v>
      </c>
      <c r="AJ50" s="154">
        <v>100000</v>
      </c>
      <c r="AK50" s="154">
        <v>100000</v>
      </c>
      <c r="AL50" s="154">
        <v>100000</v>
      </c>
      <c r="AM50" s="109"/>
      <c r="AN50" s="109"/>
      <c r="AO50" s="109"/>
      <c r="AP50" s="109"/>
      <c r="AQ50" s="109"/>
      <c r="AR50" s="109"/>
      <c r="AS50" s="111">
        <f t="shared" si="1"/>
        <v>600000</v>
      </c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11">
        <f t="shared" si="5"/>
        <v>0</v>
      </c>
      <c r="BG50" s="102"/>
      <c r="BH50" s="113">
        <v>0</v>
      </c>
      <c r="BI50" s="114">
        <f t="shared" si="8"/>
        <v>0</v>
      </c>
    </row>
    <row r="51" spans="1:61" s="60" customFormat="1" x14ac:dyDescent="0.35">
      <c r="A51" s="99">
        <f t="shared" si="6"/>
        <v>47</v>
      </c>
      <c r="B51" s="98" t="s">
        <v>121</v>
      </c>
      <c r="C51" s="98">
        <v>0</v>
      </c>
      <c r="D51" s="67"/>
      <c r="E51" s="67"/>
      <c r="F51" s="128">
        <v>0</v>
      </c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9"/>
      <c r="R51" s="109"/>
      <c r="S51" s="110">
        <f t="shared" si="3"/>
        <v>0</v>
      </c>
      <c r="T51" s="110"/>
      <c r="U51" s="108"/>
      <c r="V51" s="108"/>
      <c r="W51" s="108"/>
      <c r="X51" s="108"/>
      <c r="Y51" s="108"/>
      <c r="Z51" s="108"/>
      <c r="AA51" s="108"/>
      <c r="AB51" s="108"/>
      <c r="AC51" s="108"/>
      <c r="AD51" s="109"/>
      <c r="AE51" s="109"/>
      <c r="AF51" s="111">
        <f t="shared" si="4"/>
        <v>0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11">
        <f t="shared" si="1"/>
        <v>0</v>
      </c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11">
        <f t="shared" si="5"/>
        <v>0</v>
      </c>
      <c r="BG51" s="102"/>
      <c r="BH51" s="113">
        <v>0</v>
      </c>
      <c r="BI51" s="114">
        <f t="shared" si="8"/>
        <v>0</v>
      </c>
    </row>
    <row r="52" spans="1:61" s="60" customFormat="1" x14ac:dyDescent="0.35">
      <c r="A52" s="99">
        <f t="shared" si="6"/>
        <v>48</v>
      </c>
      <c r="B52" s="98" t="s">
        <v>122</v>
      </c>
      <c r="C52" s="98">
        <v>0</v>
      </c>
      <c r="D52" s="67"/>
      <c r="E52" s="67"/>
      <c r="F52" s="128">
        <v>0</v>
      </c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9"/>
      <c r="R52" s="109"/>
      <c r="S52" s="110">
        <f t="shared" si="3"/>
        <v>0</v>
      </c>
      <c r="T52" s="157">
        <v>100000</v>
      </c>
      <c r="U52" s="157">
        <v>100000</v>
      </c>
      <c r="V52" s="157">
        <v>100000</v>
      </c>
      <c r="W52" s="157">
        <v>100000</v>
      </c>
      <c r="X52" s="157">
        <v>100000</v>
      </c>
      <c r="Y52" s="157">
        <v>100000</v>
      </c>
      <c r="Z52" s="157">
        <v>100000</v>
      </c>
      <c r="AA52" s="157">
        <v>100000</v>
      </c>
      <c r="AB52" s="157">
        <v>100000</v>
      </c>
      <c r="AC52" s="157">
        <v>100000</v>
      </c>
      <c r="AD52" s="157">
        <v>100000</v>
      </c>
      <c r="AE52" s="157">
        <v>100000</v>
      </c>
      <c r="AF52" s="111">
        <f t="shared" si="4"/>
        <v>1200000</v>
      </c>
      <c r="AG52" s="154">
        <v>100000</v>
      </c>
      <c r="AH52" s="154">
        <v>100000</v>
      </c>
      <c r="AI52" s="154">
        <v>100000</v>
      </c>
      <c r="AJ52" s="154">
        <v>100000</v>
      </c>
      <c r="AK52" s="154">
        <v>100000</v>
      </c>
      <c r="AL52" s="154">
        <v>100000</v>
      </c>
      <c r="AM52" s="154">
        <v>100000</v>
      </c>
      <c r="AN52" s="154">
        <v>100000</v>
      </c>
      <c r="AO52" s="154">
        <v>100000</v>
      </c>
      <c r="AP52" s="154">
        <v>100000</v>
      </c>
      <c r="AQ52" s="154">
        <v>100000</v>
      </c>
      <c r="AR52" s="101"/>
      <c r="AS52" s="111">
        <f t="shared" si="1"/>
        <v>1100000</v>
      </c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11">
        <f t="shared" si="5"/>
        <v>0</v>
      </c>
      <c r="BG52" s="102"/>
      <c r="BH52" s="113">
        <v>0</v>
      </c>
      <c r="BI52" s="114">
        <f t="shared" si="8"/>
        <v>0</v>
      </c>
    </row>
    <row r="53" spans="1:61" s="60" customFormat="1" x14ac:dyDescent="0.35">
      <c r="A53" s="99">
        <f t="shared" si="6"/>
        <v>49</v>
      </c>
      <c r="B53" s="98" t="s">
        <v>123</v>
      </c>
      <c r="C53" s="98">
        <v>0</v>
      </c>
      <c r="D53" s="67"/>
      <c r="E53" s="67"/>
      <c r="F53" s="128">
        <v>0</v>
      </c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9"/>
      <c r="R53" s="109"/>
      <c r="S53" s="110">
        <f t="shared" si="3"/>
        <v>0</v>
      </c>
      <c r="T53" s="157">
        <v>100000</v>
      </c>
      <c r="U53" s="157">
        <v>100000</v>
      </c>
      <c r="V53" s="157">
        <v>100000</v>
      </c>
      <c r="W53" s="157">
        <v>100000</v>
      </c>
      <c r="X53" s="157">
        <v>100000</v>
      </c>
      <c r="Y53" s="157">
        <v>100000</v>
      </c>
      <c r="Z53" s="157">
        <v>100000</v>
      </c>
      <c r="AA53" s="157">
        <v>100000</v>
      </c>
      <c r="AB53" s="157">
        <v>100000</v>
      </c>
      <c r="AC53" s="157">
        <v>100000</v>
      </c>
      <c r="AD53" s="157">
        <v>100000</v>
      </c>
      <c r="AE53" s="157">
        <v>100000</v>
      </c>
      <c r="AF53" s="111">
        <f t="shared" si="4"/>
        <v>1200000</v>
      </c>
      <c r="AG53" s="153">
        <v>100000</v>
      </c>
      <c r="AH53" s="153">
        <v>100000</v>
      </c>
      <c r="AI53" s="153">
        <v>100000</v>
      </c>
      <c r="AJ53" s="153">
        <v>100000</v>
      </c>
      <c r="AK53" s="109"/>
      <c r="AL53" s="109"/>
      <c r="AM53" s="109"/>
      <c r="AN53" s="109"/>
      <c r="AO53" s="109"/>
      <c r="AP53" s="109"/>
      <c r="AQ53" s="109"/>
      <c r="AR53" s="109"/>
      <c r="AS53" s="111">
        <f t="shared" si="1"/>
        <v>400000</v>
      </c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11">
        <f t="shared" si="5"/>
        <v>0</v>
      </c>
      <c r="BG53" s="102"/>
      <c r="BH53" s="113">
        <v>0</v>
      </c>
      <c r="BI53" s="114">
        <f t="shared" si="8"/>
        <v>0</v>
      </c>
    </row>
    <row r="54" spans="1:61" s="60" customFormat="1" x14ac:dyDescent="0.35">
      <c r="A54" s="99">
        <f t="shared" si="6"/>
        <v>50</v>
      </c>
      <c r="B54" s="98" t="s">
        <v>124</v>
      </c>
      <c r="C54" s="98">
        <v>0</v>
      </c>
      <c r="D54" s="67"/>
      <c r="E54" s="67"/>
      <c r="F54" s="128">
        <v>0</v>
      </c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9"/>
      <c r="R54" s="109"/>
      <c r="S54" s="110">
        <f t="shared" si="3"/>
        <v>0</v>
      </c>
      <c r="T54" s="110"/>
      <c r="U54" s="108"/>
      <c r="V54" s="108"/>
      <c r="W54" s="108"/>
      <c r="X54" s="108"/>
      <c r="Y54" s="108"/>
      <c r="Z54" s="108"/>
      <c r="AA54" s="108"/>
      <c r="AB54" s="108"/>
      <c r="AC54" s="108"/>
      <c r="AD54" s="109"/>
      <c r="AE54" s="109"/>
      <c r="AF54" s="111">
        <f t="shared" si="4"/>
        <v>0</v>
      </c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11">
        <f t="shared" si="1"/>
        <v>0</v>
      </c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11">
        <f t="shared" si="5"/>
        <v>0</v>
      </c>
      <c r="BG54" s="102"/>
      <c r="BH54" s="113">
        <v>0</v>
      </c>
      <c r="BI54" s="114">
        <f t="shared" si="8"/>
        <v>0</v>
      </c>
    </row>
    <row r="55" spans="1:61" s="104" customFormat="1" x14ac:dyDescent="0.35">
      <c r="A55" s="99">
        <f t="shared" si="6"/>
        <v>51</v>
      </c>
      <c r="B55" s="98" t="s">
        <v>125</v>
      </c>
      <c r="C55" s="98">
        <v>0</v>
      </c>
      <c r="D55" s="63"/>
      <c r="E55" s="63"/>
      <c r="F55" s="128">
        <v>0</v>
      </c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9"/>
      <c r="R55" s="109"/>
      <c r="S55" s="110">
        <f t="shared" si="3"/>
        <v>0</v>
      </c>
      <c r="T55" s="110"/>
      <c r="U55" s="108"/>
      <c r="V55" s="108"/>
      <c r="W55" s="108"/>
      <c r="X55" s="108"/>
      <c r="Y55" s="108"/>
      <c r="Z55" s="108"/>
      <c r="AA55" s="108"/>
      <c r="AB55" s="108"/>
      <c r="AC55" s="108"/>
      <c r="AD55" s="109"/>
      <c r="AE55" s="109"/>
      <c r="AF55" s="111">
        <f t="shared" si="4"/>
        <v>0</v>
      </c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11">
        <f t="shared" si="1"/>
        <v>0</v>
      </c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11">
        <f t="shared" si="5"/>
        <v>0</v>
      </c>
      <c r="BG55" s="103"/>
      <c r="BH55" s="113">
        <v>0</v>
      </c>
      <c r="BI55" s="114">
        <f t="shared" si="8"/>
        <v>0</v>
      </c>
    </row>
    <row r="56" spans="1:61" s="104" customFormat="1" x14ac:dyDescent="0.35">
      <c r="A56" s="99">
        <f t="shared" si="6"/>
        <v>52</v>
      </c>
      <c r="B56" s="98" t="s">
        <v>126</v>
      </c>
      <c r="C56" s="98" t="s">
        <v>300</v>
      </c>
      <c r="D56" s="63" t="s">
        <v>187</v>
      </c>
      <c r="E56" s="63"/>
      <c r="F56" s="128">
        <v>0</v>
      </c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9"/>
      <c r="R56" s="109"/>
      <c r="S56" s="110">
        <f t="shared" si="3"/>
        <v>0</v>
      </c>
      <c r="T56" s="157">
        <v>100000</v>
      </c>
      <c r="U56" s="157">
        <v>100000</v>
      </c>
      <c r="V56" s="157">
        <v>100000</v>
      </c>
      <c r="W56" s="157">
        <v>100000</v>
      </c>
      <c r="X56" s="157">
        <v>100000</v>
      </c>
      <c r="Y56" s="157">
        <v>100000</v>
      </c>
      <c r="Z56" s="157">
        <v>100000</v>
      </c>
      <c r="AA56" s="157">
        <v>100000</v>
      </c>
      <c r="AB56" s="157">
        <v>100000</v>
      </c>
      <c r="AC56" s="157">
        <v>100000</v>
      </c>
      <c r="AD56" s="157">
        <v>100000</v>
      </c>
      <c r="AE56" s="157">
        <v>100000</v>
      </c>
      <c r="AF56" s="111">
        <f t="shared" si="4"/>
        <v>1200000</v>
      </c>
      <c r="AG56" s="154">
        <v>100000</v>
      </c>
      <c r="AH56" s="154">
        <v>100000</v>
      </c>
      <c r="AI56" s="154">
        <v>100000</v>
      </c>
      <c r="AJ56" s="154">
        <v>100000</v>
      </c>
      <c r="AK56" s="154">
        <v>100000</v>
      </c>
      <c r="AL56" s="154">
        <v>100000</v>
      </c>
      <c r="AM56" s="109"/>
      <c r="AN56" s="109"/>
      <c r="AO56" s="109"/>
      <c r="AP56" s="109"/>
      <c r="AQ56" s="109"/>
      <c r="AR56" s="109"/>
      <c r="AS56" s="111">
        <f t="shared" si="1"/>
        <v>600000</v>
      </c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11">
        <f t="shared" si="5"/>
        <v>0</v>
      </c>
      <c r="BG56" s="103"/>
      <c r="BH56" s="113">
        <v>0</v>
      </c>
      <c r="BI56" s="114">
        <f t="shared" si="8"/>
        <v>0</v>
      </c>
    </row>
    <row r="57" spans="1:61" s="104" customFormat="1" x14ac:dyDescent="0.35">
      <c r="A57" s="99">
        <f t="shared" si="6"/>
        <v>53</v>
      </c>
      <c r="B57" s="98" t="s">
        <v>127</v>
      </c>
      <c r="C57" s="98">
        <v>0</v>
      </c>
      <c r="D57" s="63"/>
      <c r="E57" s="63"/>
      <c r="F57" s="128">
        <v>0</v>
      </c>
      <c r="G57" s="124">
        <v>100000</v>
      </c>
      <c r="H57" s="124">
        <v>100000</v>
      </c>
      <c r="I57" s="124">
        <v>100000</v>
      </c>
      <c r="J57" s="124">
        <v>100000</v>
      </c>
      <c r="K57" s="124">
        <v>100000</v>
      </c>
      <c r="L57" s="124">
        <v>100000</v>
      </c>
      <c r="M57" s="124">
        <v>100000</v>
      </c>
      <c r="N57" s="124">
        <v>100000</v>
      </c>
      <c r="O57" s="124">
        <v>100000</v>
      </c>
      <c r="P57" s="124">
        <v>100000</v>
      </c>
      <c r="Q57" s="124">
        <v>100000</v>
      </c>
      <c r="R57" s="124">
        <v>100000</v>
      </c>
      <c r="S57" s="110">
        <f t="shared" si="3"/>
        <v>1200000</v>
      </c>
      <c r="T57" s="157">
        <v>100000</v>
      </c>
      <c r="U57" s="157">
        <v>100000</v>
      </c>
      <c r="V57" s="157">
        <v>100000</v>
      </c>
      <c r="W57" s="157">
        <v>100000</v>
      </c>
      <c r="X57" s="157">
        <v>100000</v>
      </c>
      <c r="Y57" s="108"/>
      <c r="Z57" s="108"/>
      <c r="AA57" s="157">
        <v>100000</v>
      </c>
      <c r="AB57" s="157">
        <v>100000</v>
      </c>
      <c r="AC57" s="157">
        <v>100000</v>
      </c>
      <c r="AD57" s="157">
        <v>100000</v>
      </c>
      <c r="AE57" s="157">
        <v>100000</v>
      </c>
      <c r="AF57" s="111">
        <f t="shared" si="4"/>
        <v>1000000</v>
      </c>
      <c r="AG57" s="153">
        <v>100000</v>
      </c>
      <c r="AH57" s="153">
        <v>100000</v>
      </c>
      <c r="AI57" s="153">
        <v>100000</v>
      </c>
      <c r="AJ57" s="153">
        <v>100000</v>
      </c>
      <c r="AK57" s="153">
        <v>100000</v>
      </c>
      <c r="AL57" s="153">
        <v>100000</v>
      </c>
      <c r="AM57" s="109"/>
      <c r="AN57" s="109"/>
      <c r="AO57" s="109"/>
      <c r="AP57" s="109"/>
      <c r="AQ57" s="109"/>
      <c r="AR57" s="109"/>
      <c r="AS57" s="111">
        <f t="shared" si="1"/>
        <v>600000</v>
      </c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11">
        <f t="shared" si="5"/>
        <v>0</v>
      </c>
      <c r="BG57" s="103"/>
      <c r="BH57" s="113">
        <v>0</v>
      </c>
      <c r="BI57" s="114">
        <f t="shared" si="8"/>
        <v>1200000</v>
      </c>
    </row>
    <row r="58" spans="1:61" s="104" customFormat="1" x14ac:dyDescent="0.35">
      <c r="A58" s="99">
        <f t="shared" si="6"/>
        <v>54</v>
      </c>
      <c r="B58" s="98" t="s">
        <v>177</v>
      </c>
      <c r="C58" s="98" t="s">
        <v>184</v>
      </c>
      <c r="D58" s="63" t="s">
        <v>185</v>
      </c>
      <c r="E58" s="63"/>
      <c r="F58" s="128">
        <v>0</v>
      </c>
      <c r="G58" s="124">
        <v>100000</v>
      </c>
      <c r="H58" s="124">
        <v>100000</v>
      </c>
      <c r="I58" s="124">
        <v>100000</v>
      </c>
      <c r="J58" s="124">
        <v>100000</v>
      </c>
      <c r="K58" s="124">
        <v>100000</v>
      </c>
      <c r="L58" s="124">
        <v>100000</v>
      </c>
      <c r="M58" s="108"/>
      <c r="N58" s="108"/>
      <c r="O58" s="108"/>
      <c r="P58" s="108"/>
      <c r="Q58" s="109"/>
      <c r="R58" s="109"/>
      <c r="S58" s="110">
        <f t="shared" si="3"/>
        <v>600000</v>
      </c>
      <c r="T58" s="157">
        <v>100000</v>
      </c>
      <c r="U58" s="157">
        <v>100000</v>
      </c>
      <c r="V58" s="157">
        <v>100000</v>
      </c>
      <c r="W58" s="157">
        <v>100000</v>
      </c>
      <c r="X58" s="157">
        <v>100000</v>
      </c>
      <c r="Y58" s="108"/>
      <c r="Z58" s="108"/>
      <c r="AA58" s="108"/>
      <c r="AB58" s="108"/>
      <c r="AC58" s="108"/>
      <c r="AD58" s="109"/>
      <c r="AE58" s="109"/>
      <c r="AF58" s="111">
        <f t="shared" si="4"/>
        <v>500000</v>
      </c>
      <c r="AG58" s="153">
        <v>100000</v>
      </c>
      <c r="AH58" s="153">
        <v>100000</v>
      </c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11">
        <f t="shared" si="1"/>
        <v>200000</v>
      </c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11">
        <f t="shared" si="5"/>
        <v>0</v>
      </c>
      <c r="BG58" s="103"/>
      <c r="BH58" s="113"/>
      <c r="BI58" s="114"/>
    </row>
    <row r="59" spans="1:61" s="104" customFormat="1" x14ac:dyDescent="0.35">
      <c r="A59" s="99">
        <f t="shared" si="6"/>
        <v>55</v>
      </c>
      <c r="B59" s="98" t="s">
        <v>180</v>
      </c>
      <c r="C59" s="98" t="s">
        <v>212</v>
      </c>
      <c r="D59" s="63"/>
      <c r="E59" s="63"/>
      <c r="F59" s="12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9"/>
      <c r="R59" s="109"/>
      <c r="S59" s="110"/>
      <c r="T59" s="124">
        <v>100000</v>
      </c>
      <c r="U59" s="124">
        <v>100000</v>
      </c>
      <c r="V59" s="124">
        <v>100000</v>
      </c>
      <c r="W59" s="124">
        <v>100000</v>
      </c>
      <c r="X59" s="124">
        <v>100000</v>
      </c>
      <c r="Y59" s="124">
        <v>100000</v>
      </c>
      <c r="Z59" s="124">
        <v>100000</v>
      </c>
      <c r="AA59" s="124">
        <v>100000</v>
      </c>
      <c r="AB59" s="124">
        <v>100000</v>
      </c>
      <c r="AC59" s="124">
        <v>100000</v>
      </c>
      <c r="AD59" s="124">
        <v>100000</v>
      </c>
      <c r="AE59" s="132">
        <v>100000</v>
      </c>
      <c r="AF59" s="111"/>
      <c r="AG59" s="153">
        <v>100000</v>
      </c>
      <c r="AH59" s="153">
        <v>100000</v>
      </c>
      <c r="AI59" s="153">
        <v>100000</v>
      </c>
      <c r="AJ59" s="153">
        <v>100000</v>
      </c>
      <c r="AK59" s="153">
        <v>100000</v>
      </c>
      <c r="AL59" s="109"/>
      <c r="AM59" s="109"/>
      <c r="AN59" s="109"/>
      <c r="AO59" s="109"/>
      <c r="AP59" s="109"/>
      <c r="AQ59" s="109"/>
      <c r="AR59" s="109"/>
      <c r="AS59" s="111">
        <f t="shared" si="1"/>
        <v>500000</v>
      </c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11"/>
      <c r="BG59" s="103"/>
      <c r="BH59" s="113"/>
      <c r="BI59" s="114"/>
    </row>
    <row r="60" spans="1:61" s="104" customFormat="1" x14ac:dyDescent="0.35">
      <c r="A60" s="99">
        <f t="shared" si="6"/>
        <v>56</v>
      </c>
      <c r="B60" s="98" t="s">
        <v>128</v>
      </c>
      <c r="C60" s="98">
        <v>0</v>
      </c>
      <c r="D60" s="63"/>
      <c r="E60" s="63"/>
      <c r="F60" s="128">
        <v>0</v>
      </c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9"/>
      <c r="R60" s="109"/>
      <c r="S60" s="110">
        <f t="shared" si="3"/>
        <v>0</v>
      </c>
      <c r="T60" s="110"/>
      <c r="U60" s="108"/>
      <c r="V60" s="108"/>
      <c r="W60" s="108"/>
      <c r="X60" s="108"/>
      <c r="Y60" s="108"/>
      <c r="Z60" s="108"/>
      <c r="AA60" s="108"/>
      <c r="AB60" s="108"/>
      <c r="AC60" s="108"/>
      <c r="AD60" s="109"/>
      <c r="AE60" s="109"/>
      <c r="AF60" s="111">
        <f t="shared" si="4"/>
        <v>0</v>
      </c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11">
        <f t="shared" si="1"/>
        <v>0</v>
      </c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11">
        <f t="shared" si="5"/>
        <v>0</v>
      </c>
      <c r="BG60" s="103"/>
      <c r="BH60" s="113">
        <v>0</v>
      </c>
      <c r="BI60" s="114">
        <f>S60-BH60</f>
        <v>0</v>
      </c>
    </row>
    <row r="61" spans="1:61" s="104" customFormat="1" x14ac:dyDescent="0.35">
      <c r="A61" s="99">
        <f t="shared" si="6"/>
        <v>57</v>
      </c>
      <c r="B61" s="98" t="s">
        <v>129</v>
      </c>
      <c r="C61" s="98">
        <v>0</v>
      </c>
      <c r="D61" s="63"/>
      <c r="E61" s="63"/>
      <c r="F61" s="128">
        <v>0</v>
      </c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9"/>
      <c r="R61" s="109"/>
      <c r="S61" s="110">
        <f t="shared" si="3"/>
        <v>0</v>
      </c>
      <c r="T61" s="110"/>
      <c r="U61" s="108"/>
      <c r="V61" s="108"/>
      <c r="W61" s="108"/>
      <c r="X61" s="108"/>
      <c r="Y61" s="108"/>
      <c r="Z61" s="108"/>
      <c r="AA61" s="108"/>
      <c r="AB61" s="108"/>
      <c r="AC61" s="108"/>
      <c r="AD61" s="109"/>
      <c r="AE61" s="109"/>
      <c r="AF61" s="111">
        <f t="shared" si="4"/>
        <v>0</v>
      </c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11">
        <f t="shared" si="1"/>
        <v>0</v>
      </c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11">
        <f t="shared" si="5"/>
        <v>0</v>
      </c>
      <c r="BG61" s="103"/>
      <c r="BH61" s="113">
        <v>0</v>
      </c>
      <c r="BI61" s="114">
        <f>S61-BH61</f>
        <v>0</v>
      </c>
    </row>
    <row r="62" spans="1:61" s="104" customFormat="1" x14ac:dyDescent="0.35">
      <c r="A62" s="99">
        <f t="shared" si="6"/>
        <v>58</v>
      </c>
      <c r="B62" s="98" t="s">
        <v>130</v>
      </c>
      <c r="C62" s="98">
        <v>0</v>
      </c>
      <c r="D62" s="63"/>
      <c r="E62" s="63"/>
      <c r="F62" s="128">
        <v>0</v>
      </c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9"/>
      <c r="R62" s="109"/>
      <c r="S62" s="110">
        <f t="shared" si="3"/>
        <v>0</v>
      </c>
      <c r="T62" s="110"/>
      <c r="U62" s="108"/>
      <c r="V62" s="108"/>
      <c r="W62" s="108"/>
      <c r="X62" s="108"/>
      <c r="Y62" s="108"/>
      <c r="Z62" s="108"/>
      <c r="AA62" s="108"/>
      <c r="AB62" s="108"/>
      <c r="AC62" s="108"/>
      <c r="AD62" s="109"/>
      <c r="AE62" s="109"/>
      <c r="AF62" s="111">
        <f t="shared" si="4"/>
        <v>0</v>
      </c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11">
        <f t="shared" si="1"/>
        <v>0</v>
      </c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11">
        <f t="shared" si="5"/>
        <v>0</v>
      </c>
      <c r="BG62" s="103"/>
      <c r="BH62" s="113">
        <v>0</v>
      </c>
      <c r="BI62" s="114">
        <f>S62-BH62</f>
        <v>0</v>
      </c>
    </row>
    <row r="63" spans="1:61" s="104" customFormat="1" x14ac:dyDescent="0.35">
      <c r="A63" s="99">
        <f t="shared" si="6"/>
        <v>59</v>
      </c>
      <c r="B63" s="98" t="s">
        <v>153</v>
      </c>
      <c r="C63" s="177" t="s">
        <v>338</v>
      </c>
      <c r="D63" s="63"/>
      <c r="E63" s="63"/>
      <c r="F63" s="128">
        <v>0</v>
      </c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9"/>
      <c r="R63" s="109"/>
      <c r="S63" s="110">
        <f t="shared" si="3"/>
        <v>0</v>
      </c>
      <c r="T63" s="124">
        <v>100000</v>
      </c>
      <c r="U63" s="124">
        <v>100000</v>
      </c>
      <c r="V63" s="124">
        <v>100000</v>
      </c>
      <c r="W63" s="124">
        <v>100000</v>
      </c>
      <c r="X63" s="124">
        <v>100000</v>
      </c>
      <c r="Y63" s="124">
        <v>100000</v>
      </c>
      <c r="Z63" s="124">
        <v>100000</v>
      </c>
      <c r="AA63" s="124">
        <v>100000</v>
      </c>
      <c r="AB63" s="124">
        <v>100000</v>
      </c>
      <c r="AC63" s="124">
        <v>100000</v>
      </c>
      <c r="AD63" s="124">
        <v>100000</v>
      </c>
      <c r="AE63" s="124">
        <v>100000</v>
      </c>
      <c r="AF63" s="111">
        <f t="shared" si="4"/>
        <v>1200000</v>
      </c>
      <c r="AG63" s="153">
        <v>100000</v>
      </c>
      <c r="AH63" s="153">
        <v>100000</v>
      </c>
      <c r="AI63" s="153">
        <v>100000</v>
      </c>
      <c r="AJ63" s="153">
        <v>100000</v>
      </c>
      <c r="AK63" s="153">
        <v>100000</v>
      </c>
      <c r="AL63" s="109"/>
      <c r="AM63" s="109"/>
      <c r="AN63" s="109"/>
      <c r="AO63" s="109"/>
      <c r="AP63" s="109"/>
      <c r="AQ63" s="109"/>
      <c r="AR63" s="109"/>
      <c r="AS63" s="111">
        <f t="shared" si="1"/>
        <v>500000</v>
      </c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11">
        <f t="shared" si="5"/>
        <v>0</v>
      </c>
      <c r="BG63" s="103"/>
      <c r="BH63" s="113"/>
      <c r="BI63" s="114"/>
    </row>
    <row r="64" spans="1:61" s="104" customFormat="1" x14ac:dyDescent="0.35">
      <c r="A64" s="99">
        <f t="shared" si="6"/>
        <v>60</v>
      </c>
      <c r="B64" s="98" t="s">
        <v>154</v>
      </c>
      <c r="C64" s="98"/>
      <c r="D64" s="63"/>
      <c r="E64" s="63"/>
      <c r="F64" s="128">
        <v>0</v>
      </c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9"/>
      <c r="R64" s="109"/>
      <c r="S64" s="110">
        <f t="shared" si="3"/>
        <v>0</v>
      </c>
      <c r="T64" s="110"/>
      <c r="U64" s="108"/>
      <c r="V64" s="108"/>
      <c r="W64" s="108"/>
      <c r="X64" s="108"/>
      <c r="Y64" s="108"/>
      <c r="Z64" s="108"/>
      <c r="AA64" s="108"/>
      <c r="AB64" s="108"/>
      <c r="AC64" s="108"/>
      <c r="AD64" s="109"/>
      <c r="AE64" s="109"/>
      <c r="AF64" s="111">
        <f t="shared" si="4"/>
        <v>0</v>
      </c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11">
        <f t="shared" si="1"/>
        <v>0</v>
      </c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11">
        <f t="shared" si="5"/>
        <v>0</v>
      </c>
      <c r="BG64" s="103"/>
      <c r="BH64" s="113"/>
      <c r="BI64" s="114"/>
    </row>
    <row r="65" spans="1:61" s="104" customFormat="1" x14ac:dyDescent="0.35">
      <c r="A65" s="99">
        <f t="shared" si="6"/>
        <v>61</v>
      </c>
      <c r="B65" s="98" t="s">
        <v>155</v>
      </c>
      <c r="C65" s="98"/>
      <c r="D65" s="63"/>
      <c r="E65" s="63"/>
      <c r="F65" s="128">
        <v>0</v>
      </c>
      <c r="G65" s="124">
        <v>100000</v>
      </c>
      <c r="H65" s="124">
        <v>100000</v>
      </c>
      <c r="I65" s="124">
        <v>100000</v>
      </c>
      <c r="J65" s="124">
        <v>100000</v>
      </c>
      <c r="K65" s="124">
        <v>100000</v>
      </c>
      <c r="L65" s="124">
        <v>100000</v>
      </c>
      <c r="M65" s="124">
        <v>100000</v>
      </c>
      <c r="N65" s="124">
        <v>100000</v>
      </c>
      <c r="O65" s="124">
        <v>100000</v>
      </c>
      <c r="P65" s="124">
        <v>100000</v>
      </c>
      <c r="Q65" s="124">
        <v>100000</v>
      </c>
      <c r="R65" s="124">
        <v>100000</v>
      </c>
      <c r="S65" s="110">
        <f t="shared" si="3"/>
        <v>1200000</v>
      </c>
      <c r="T65" s="110"/>
      <c r="U65" s="108"/>
      <c r="V65" s="108"/>
      <c r="W65" s="108"/>
      <c r="X65" s="108"/>
      <c r="Y65" s="108"/>
      <c r="Z65" s="108"/>
      <c r="AA65" s="108"/>
      <c r="AB65" s="108"/>
      <c r="AC65" s="108"/>
      <c r="AD65" s="109"/>
      <c r="AE65" s="109"/>
      <c r="AF65" s="111">
        <f t="shared" si="4"/>
        <v>0</v>
      </c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11">
        <f t="shared" si="1"/>
        <v>0</v>
      </c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11">
        <f t="shared" si="5"/>
        <v>0</v>
      </c>
      <c r="BG65" s="103"/>
      <c r="BH65" s="113"/>
      <c r="BI65" s="114"/>
    </row>
    <row r="66" spans="1:61" s="104" customFormat="1" x14ac:dyDescent="0.35">
      <c r="A66" s="99">
        <f t="shared" si="6"/>
        <v>62</v>
      </c>
      <c r="B66" s="98" t="s">
        <v>156</v>
      </c>
      <c r="C66" s="98" t="s">
        <v>312</v>
      </c>
      <c r="D66" s="63" t="s">
        <v>185</v>
      </c>
      <c r="E66" s="63"/>
      <c r="F66" s="128">
        <v>0</v>
      </c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9"/>
      <c r="R66" s="109"/>
      <c r="S66" s="110">
        <f t="shared" si="3"/>
        <v>0</v>
      </c>
      <c r="T66" s="110"/>
      <c r="U66" s="108"/>
      <c r="V66" s="108"/>
      <c r="W66" s="108"/>
      <c r="X66" s="108"/>
      <c r="Y66" s="108"/>
      <c r="Z66" s="108"/>
      <c r="AA66" s="108"/>
      <c r="AB66" s="108"/>
      <c r="AC66" s="108"/>
      <c r="AD66" s="109"/>
      <c r="AE66" s="109"/>
      <c r="AF66" s="111">
        <f t="shared" si="4"/>
        <v>0</v>
      </c>
      <c r="AG66" s="109"/>
      <c r="AH66" s="109"/>
      <c r="AI66" s="109"/>
      <c r="AJ66" s="153">
        <v>100000</v>
      </c>
      <c r="AK66" s="153">
        <v>100000</v>
      </c>
      <c r="AL66" s="109"/>
      <c r="AM66" s="109"/>
      <c r="AN66" s="109"/>
      <c r="AO66" s="109"/>
      <c r="AP66" s="109"/>
      <c r="AQ66" s="109"/>
      <c r="AR66" s="109"/>
      <c r="AS66" s="111">
        <f t="shared" si="1"/>
        <v>200000</v>
      </c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11">
        <f t="shared" si="5"/>
        <v>0</v>
      </c>
      <c r="BG66" s="103"/>
      <c r="BH66" s="113"/>
      <c r="BI66" s="114"/>
    </row>
    <row r="67" spans="1:61" s="104" customFormat="1" x14ac:dyDescent="0.35">
      <c r="A67" s="99">
        <f t="shared" si="6"/>
        <v>63</v>
      </c>
      <c r="B67" s="98" t="s">
        <v>157</v>
      </c>
      <c r="C67" s="98"/>
      <c r="D67" s="63"/>
      <c r="E67" s="63"/>
      <c r="F67" s="128">
        <v>0</v>
      </c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9"/>
      <c r="R67" s="109"/>
      <c r="S67" s="110">
        <f t="shared" si="3"/>
        <v>0</v>
      </c>
      <c r="T67" s="110"/>
      <c r="U67" s="148"/>
      <c r="V67" s="148"/>
      <c r="W67" s="148"/>
      <c r="X67" s="148"/>
      <c r="Y67" s="148"/>
      <c r="Z67" s="148"/>
      <c r="AA67" s="148"/>
      <c r="AB67" s="157">
        <v>100000</v>
      </c>
      <c r="AC67" s="148"/>
      <c r="AD67" s="110"/>
      <c r="AE67" s="110"/>
      <c r="AF67" s="111">
        <f t="shared" si="4"/>
        <v>100000</v>
      </c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11">
        <f t="shared" si="1"/>
        <v>0</v>
      </c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11">
        <f t="shared" si="5"/>
        <v>0</v>
      </c>
      <c r="BG67" s="103"/>
      <c r="BH67" s="113"/>
      <c r="BI67" s="114"/>
    </row>
    <row r="68" spans="1:61" s="104" customFormat="1" x14ac:dyDescent="0.35">
      <c r="A68" s="99">
        <f t="shared" si="6"/>
        <v>64</v>
      </c>
      <c r="B68" s="98" t="s">
        <v>302</v>
      </c>
      <c r="C68" s="98"/>
      <c r="D68" s="63"/>
      <c r="E68" s="63"/>
      <c r="F68" s="128">
        <v>0</v>
      </c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9"/>
      <c r="R68" s="109"/>
      <c r="S68" s="110">
        <f t="shared" si="3"/>
        <v>0</v>
      </c>
      <c r="T68" s="157">
        <v>135000</v>
      </c>
      <c r="U68" s="157">
        <v>135000</v>
      </c>
      <c r="V68" s="157">
        <v>135000</v>
      </c>
      <c r="W68" s="157">
        <v>135000</v>
      </c>
      <c r="X68" s="157">
        <v>135000</v>
      </c>
      <c r="Y68" s="157">
        <v>135000</v>
      </c>
      <c r="Z68" s="157">
        <v>130000</v>
      </c>
      <c r="AA68" s="157">
        <v>160000</v>
      </c>
      <c r="AB68" s="157">
        <v>175000</v>
      </c>
      <c r="AC68" s="157">
        <v>175000</v>
      </c>
      <c r="AD68" s="157">
        <v>175000</v>
      </c>
      <c r="AE68" s="157">
        <v>175000</v>
      </c>
      <c r="AF68" s="111">
        <f t="shared" si="4"/>
        <v>1800000</v>
      </c>
      <c r="AG68" s="153">
        <v>100000</v>
      </c>
      <c r="AH68" s="153">
        <v>165000</v>
      </c>
      <c r="AI68" s="153">
        <v>165000</v>
      </c>
      <c r="AJ68" s="153">
        <v>160000</v>
      </c>
      <c r="AK68" s="109"/>
      <c r="AL68" s="109"/>
      <c r="AM68" s="109"/>
      <c r="AN68" s="109"/>
      <c r="AO68" s="109"/>
      <c r="AP68" s="109"/>
      <c r="AQ68" s="109"/>
      <c r="AR68" s="109"/>
      <c r="AS68" s="111">
        <f t="shared" si="1"/>
        <v>590000</v>
      </c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11">
        <f t="shared" si="5"/>
        <v>0</v>
      </c>
      <c r="BG68" s="103"/>
      <c r="BH68" s="113"/>
      <c r="BI68" s="114"/>
    </row>
    <row r="69" spans="1:61" s="104" customFormat="1" x14ac:dyDescent="0.35">
      <c r="A69" s="99">
        <f t="shared" si="6"/>
        <v>65</v>
      </c>
      <c r="B69" s="98" t="s">
        <v>158</v>
      </c>
      <c r="C69" s="98"/>
      <c r="D69" s="63"/>
      <c r="E69" s="63"/>
      <c r="F69" s="128">
        <v>0</v>
      </c>
      <c r="G69" s="124">
        <v>100000</v>
      </c>
      <c r="H69" s="124">
        <v>100000</v>
      </c>
      <c r="I69" s="124">
        <v>100000</v>
      </c>
      <c r="J69" s="108"/>
      <c r="K69" s="124">
        <v>100000</v>
      </c>
      <c r="L69" s="124">
        <v>100000</v>
      </c>
      <c r="M69" s="124">
        <v>100000</v>
      </c>
      <c r="N69" s="124">
        <v>100000</v>
      </c>
      <c r="O69" s="124">
        <v>100000</v>
      </c>
      <c r="P69" s="124">
        <v>100000</v>
      </c>
      <c r="Q69" s="124">
        <v>100000</v>
      </c>
      <c r="R69" s="124">
        <v>100000</v>
      </c>
      <c r="S69" s="110">
        <f t="shared" si="3"/>
        <v>1100000</v>
      </c>
      <c r="T69" s="124">
        <v>100000</v>
      </c>
      <c r="U69" s="124">
        <v>100000</v>
      </c>
      <c r="V69" s="124">
        <v>100000</v>
      </c>
      <c r="W69" s="124">
        <v>100000</v>
      </c>
      <c r="X69" s="158"/>
      <c r="Y69" s="124">
        <v>100000</v>
      </c>
      <c r="Z69" s="124">
        <v>100000</v>
      </c>
      <c r="AA69" s="124">
        <v>100000</v>
      </c>
      <c r="AB69" s="124">
        <v>100000</v>
      </c>
      <c r="AC69" s="124">
        <v>100000</v>
      </c>
      <c r="AD69" s="124">
        <v>100000</v>
      </c>
      <c r="AE69" s="124">
        <v>100000</v>
      </c>
      <c r="AF69" s="111">
        <f t="shared" si="4"/>
        <v>1100000</v>
      </c>
      <c r="AG69" s="153">
        <v>100000</v>
      </c>
      <c r="AH69" s="153">
        <v>100000</v>
      </c>
      <c r="AI69" s="153">
        <v>100000</v>
      </c>
      <c r="AJ69" s="153">
        <v>100000</v>
      </c>
      <c r="AK69" s="109"/>
      <c r="AL69" s="109"/>
      <c r="AM69" s="109"/>
      <c r="AN69" s="109"/>
      <c r="AO69" s="109"/>
      <c r="AP69" s="109"/>
      <c r="AQ69" s="109"/>
      <c r="AR69" s="109"/>
      <c r="AS69" s="111">
        <f t="shared" ref="AS69:AS94" si="9">SUM(AG69:AR69)</f>
        <v>400000</v>
      </c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11">
        <f t="shared" si="5"/>
        <v>0</v>
      </c>
      <c r="BG69" s="103"/>
      <c r="BH69" s="113"/>
      <c r="BI69" s="114"/>
    </row>
    <row r="70" spans="1:61" s="104" customFormat="1" x14ac:dyDescent="0.35">
      <c r="A70" s="99">
        <f t="shared" si="6"/>
        <v>66</v>
      </c>
      <c r="B70" s="98" t="s">
        <v>159</v>
      </c>
      <c r="C70" s="98"/>
      <c r="D70" s="63"/>
      <c r="E70" s="63"/>
      <c r="F70" s="128">
        <v>0</v>
      </c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9"/>
      <c r="R70" s="109"/>
      <c r="S70" s="110">
        <f t="shared" ref="S70:S96" si="10">SUM(G70:R70)</f>
        <v>0</v>
      </c>
      <c r="T70" s="124">
        <v>100000</v>
      </c>
      <c r="U70" s="124">
        <v>100000</v>
      </c>
      <c r="V70" s="124">
        <v>100000</v>
      </c>
      <c r="W70" s="124">
        <v>100000</v>
      </c>
      <c r="X70" s="124">
        <v>100000</v>
      </c>
      <c r="Y70" s="124">
        <v>100000</v>
      </c>
      <c r="Z70" s="124">
        <v>100000</v>
      </c>
      <c r="AA70" s="124">
        <v>100000</v>
      </c>
      <c r="AB70" s="124">
        <v>100000</v>
      </c>
      <c r="AC70" s="108"/>
      <c r="AD70" s="109"/>
      <c r="AE70" s="109"/>
      <c r="AF70" s="111">
        <f t="shared" ref="AF70:AF96" si="11">SUM(T70:AE70)</f>
        <v>900000</v>
      </c>
      <c r="AG70" s="153">
        <v>100000</v>
      </c>
      <c r="AH70" s="153">
        <v>100000</v>
      </c>
      <c r="AI70" s="153">
        <v>100000</v>
      </c>
      <c r="AJ70" s="153">
        <v>100000</v>
      </c>
      <c r="AK70" s="109"/>
      <c r="AL70" s="109"/>
      <c r="AM70" s="109"/>
      <c r="AN70" s="109"/>
      <c r="AO70" s="109"/>
      <c r="AP70" s="109"/>
      <c r="AQ70" s="109"/>
      <c r="AR70" s="109"/>
      <c r="AS70" s="111">
        <f t="shared" si="9"/>
        <v>400000</v>
      </c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11">
        <f t="shared" ref="BF70:BF96" si="12">SUM(AT70:BE70)</f>
        <v>0</v>
      </c>
      <c r="BG70" s="103"/>
      <c r="BH70" s="113"/>
      <c r="BI70" s="114"/>
    </row>
    <row r="71" spans="1:61" s="104" customFormat="1" x14ac:dyDescent="0.35">
      <c r="A71" s="99">
        <f t="shared" ref="A71:A95" si="13">A70+1</f>
        <v>67</v>
      </c>
      <c r="B71" s="98" t="s">
        <v>160</v>
      </c>
      <c r="C71" s="98"/>
      <c r="D71" s="63"/>
      <c r="E71" s="63"/>
      <c r="F71" s="128">
        <v>0</v>
      </c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9"/>
      <c r="R71" s="109"/>
      <c r="S71" s="110">
        <f t="shared" si="10"/>
        <v>0</v>
      </c>
      <c r="T71" s="110"/>
      <c r="U71" s="108"/>
      <c r="V71" s="108"/>
      <c r="W71" s="108"/>
      <c r="X71" s="108"/>
      <c r="Y71" s="108"/>
      <c r="Z71" s="108"/>
      <c r="AA71" s="108"/>
      <c r="AB71" s="108"/>
      <c r="AC71" s="108"/>
      <c r="AD71" s="109"/>
      <c r="AE71" s="109"/>
      <c r="AF71" s="111">
        <f t="shared" si="11"/>
        <v>0</v>
      </c>
      <c r="AG71" s="152"/>
      <c r="AH71" s="152"/>
      <c r="AI71" s="152"/>
      <c r="AJ71" s="152"/>
      <c r="AK71" s="109"/>
      <c r="AL71" s="109"/>
      <c r="AM71" s="109"/>
      <c r="AN71" s="109"/>
      <c r="AO71" s="109"/>
      <c r="AP71" s="109"/>
      <c r="AQ71" s="109"/>
      <c r="AR71" s="109"/>
      <c r="AS71" s="111">
        <f t="shared" si="9"/>
        <v>0</v>
      </c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11">
        <f t="shared" si="12"/>
        <v>0</v>
      </c>
      <c r="BG71" s="103"/>
      <c r="BH71" s="113"/>
      <c r="BI71" s="114"/>
    </row>
    <row r="72" spans="1:61" s="104" customFormat="1" x14ac:dyDescent="0.35">
      <c r="A72" s="99">
        <f t="shared" si="13"/>
        <v>68</v>
      </c>
      <c r="B72" s="98" t="s">
        <v>161</v>
      </c>
      <c r="C72" s="98"/>
      <c r="D72" s="63"/>
      <c r="E72" s="63"/>
      <c r="F72" s="128">
        <v>0</v>
      </c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109"/>
      <c r="S72" s="110">
        <f t="shared" si="10"/>
        <v>0</v>
      </c>
      <c r="T72" s="110"/>
      <c r="U72" s="108"/>
      <c r="V72" s="108"/>
      <c r="W72" s="108"/>
      <c r="X72" s="108"/>
      <c r="Y72" s="108"/>
      <c r="Z72" s="108"/>
      <c r="AA72" s="108"/>
      <c r="AB72" s="108"/>
      <c r="AC72" s="108"/>
      <c r="AD72" s="109"/>
      <c r="AE72" s="109"/>
      <c r="AF72" s="111">
        <f t="shared" si="11"/>
        <v>0</v>
      </c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11">
        <f t="shared" si="9"/>
        <v>0</v>
      </c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11">
        <f t="shared" si="12"/>
        <v>0</v>
      </c>
      <c r="BG72" s="103"/>
      <c r="BH72" s="113"/>
      <c r="BI72" s="114"/>
    </row>
    <row r="73" spans="1:61" s="104" customFormat="1" x14ac:dyDescent="0.35">
      <c r="A73" s="99">
        <f t="shared" si="13"/>
        <v>69</v>
      </c>
      <c r="B73" s="98" t="s">
        <v>162</v>
      </c>
      <c r="C73" s="98"/>
      <c r="D73" s="63"/>
      <c r="E73" s="63"/>
      <c r="F73" s="128">
        <v>0</v>
      </c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9"/>
      <c r="R73" s="109"/>
      <c r="S73" s="110">
        <f t="shared" si="10"/>
        <v>0</v>
      </c>
      <c r="T73" s="110"/>
      <c r="U73" s="108"/>
      <c r="V73" s="108"/>
      <c r="W73" s="108"/>
      <c r="X73" s="108"/>
      <c r="Y73" s="108"/>
      <c r="Z73" s="108"/>
      <c r="AA73" s="108"/>
      <c r="AB73" s="108"/>
      <c r="AC73" s="108"/>
      <c r="AD73" s="109"/>
      <c r="AE73" s="109"/>
      <c r="AF73" s="111">
        <f t="shared" si="11"/>
        <v>0</v>
      </c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11">
        <f t="shared" si="9"/>
        <v>0</v>
      </c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11">
        <f t="shared" si="12"/>
        <v>0</v>
      </c>
      <c r="BG73" s="103"/>
      <c r="BH73" s="113"/>
      <c r="BI73" s="114"/>
    </row>
    <row r="74" spans="1:61" s="104" customFormat="1" x14ac:dyDescent="0.35">
      <c r="A74" s="99">
        <f t="shared" si="13"/>
        <v>70</v>
      </c>
      <c r="B74" s="98" t="s">
        <v>163</v>
      </c>
      <c r="C74" s="98"/>
      <c r="D74" s="63"/>
      <c r="E74" s="63"/>
      <c r="F74" s="128">
        <v>0</v>
      </c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9"/>
      <c r="R74" s="109"/>
      <c r="S74" s="110">
        <f t="shared" si="10"/>
        <v>0</v>
      </c>
      <c r="T74" s="110"/>
      <c r="U74" s="108"/>
      <c r="V74" s="108"/>
      <c r="W74" s="108"/>
      <c r="X74" s="108"/>
      <c r="Y74" s="108"/>
      <c r="Z74" s="108"/>
      <c r="AA74" s="108"/>
      <c r="AB74" s="108"/>
      <c r="AC74" s="108"/>
      <c r="AD74" s="109"/>
      <c r="AE74" s="109"/>
      <c r="AF74" s="111">
        <f t="shared" si="11"/>
        <v>0</v>
      </c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11">
        <f t="shared" si="9"/>
        <v>0</v>
      </c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11">
        <f t="shared" si="12"/>
        <v>0</v>
      </c>
      <c r="BG74" s="103"/>
      <c r="BH74" s="113"/>
      <c r="BI74" s="114"/>
    </row>
    <row r="75" spans="1:61" s="104" customFormat="1" x14ac:dyDescent="0.35">
      <c r="A75" s="99">
        <f t="shared" si="13"/>
        <v>71</v>
      </c>
      <c r="B75" s="98" t="s">
        <v>164</v>
      </c>
      <c r="C75" s="98"/>
      <c r="D75" s="63"/>
      <c r="E75" s="63"/>
      <c r="F75" s="128">
        <v>0</v>
      </c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9"/>
      <c r="R75" s="109"/>
      <c r="S75" s="110">
        <f t="shared" si="10"/>
        <v>0</v>
      </c>
      <c r="T75" s="110"/>
      <c r="U75" s="108"/>
      <c r="V75" s="108"/>
      <c r="W75" s="108"/>
      <c r="X75" s="108"/>
      <c r="Y75" s="108"/>
      <c r="Z75" s="108"/>
      <c r="AA75" s="108"/>
      <c r="AB75" s="108"/>
      <c r="AC75" s="108"/>
      <c r="AD75" s="109"/>
      <c r="AE75" s="109"/>
      <c r="AF75" s="111">
        <f t="shared" si="11"/>
        <v>0</v>
      </c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11">
        <f t="shared" si="9"/>
        <v>0</v>
      </c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11">
        <f t="shared" si="12"/>
        <v>0</v>
      </c>
      <c r="BG75" s="103"/>
      <c r="BH75" s="113"/>
      <c r="BI75" s="114"/>
    </row>
    <row r="76" spans="1:61" s="104" customFormat="1" x14ac:dyDescent="0.35">
      <c r="A76" s="99">
        <f t="shared" si="13"/>
        <v>72</v>
      </c>
      <c r="B76" s="98" t="s">
        <v>165</v>
      </c>
      <c r="C76" s="98"/>
      <c r="D76" s="63"/>
      <c r="E76" s="63"/>
      <c r="F76" s="128">
        <v>0</v>
      </c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9"/>
      <c r="R76" s="109"/>
      <c r="S76" s="110">
        <f t="shared" si="10"/>
        <v>0</v>
      </c>
      <c r="T76" s="110"/>
      <c r="U76" s="108"/>
      <c r="V76" s="108"/>
      <c r="W76" s="108"/>
      <c r="X76" s="108"/>
      <c r="Y76" s="108"/>
      <c r="Z76" s="108"/>
      <c r="AA76" s="108"/>
      <c r="AB76" s="108"/>
      <c r="AC76" s="108"/>
      <c r="AD76" s="109"/>
      <c r="AE76" s="109"/>
      <c r="AF76" s="111">
        <f t="shared" si="11"/>
        <v>0</v>
      </c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11">
        <f t="shared" si="9"/>
        <v>0</v>
      </c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11">
        <f t="shared" si="12"/>
        <v>0</v>
      </c>
      <c r="BG76" s="103"/>
      <c r="BH76" s="113"/>
      <c r="BI76" s="114"/>
    </row>
    <row r="77" spans="1:61" s="104" customFormat="1" x14ac:dyDescent="0.35">
      <c r="A77" s="99">
        <f t="shared" si="13"/>
        <v>73</v>
      </c>
      <c r="B77" s="98" t="s">
        <v>166</v>
      </c>
      <c r="C77" s="98"/>
      <c r="D77" s="63"/>
      <c r="E77" s="63"/>
      <c r="F77" s="128">
        <v>0</v>
      </c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9"/>
      <c r="R77" s="109"/>
      <c r="S77" s="110">
        <f t="shared" si="10"/>
        <v>0</v>
      </c>
      <c r="T77" s="110"/>
      <c r="U77" s="108"/>
      <c r="V77" s="108"/>
      <c r="W77" s="108"/>
      <c r="X77" s="108"/>
      <c r="Y77" s="108"/>
      <c r="Z77" s="108"/>
      <c r="AA77" s="108"/>
      <c r="AB77" s="108"/>
      <c r="AC77" s="108"/>
      <c r="AD77" s="109"/>
      <c r="AE77" s="109"/>
      <c r="AF77" s="111">
        <f t="shared" si="11"/>
        <v>0</v>
      </c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11">
        <f t="shared" si="9"/>
        <v>0</v>
      </c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11">
        <f t="shared" si="12"/>
        <v>0</v>
      </c>
      <c r="BG77" s="103"/>
      <c r="BH77" s="113"/>
      <c r="BI77" s="114"/>
    </row>
    <row r="78" spans="1:61" s="104" customFormat="1" x14ac:dyDescent="0.35">
      <c r="A78" s="99">
        <f t="shared" si="13"/>
        <v>74</v>
      </c>
      <c r="B78" s="98" t="s">
        <v>167</v>
      </c>
      <c r="C78" s="98"/>
      <c r="D78" s="63"/>
      <c r="E78" s="63"/>
      <c r="F78" s="128">
        <v>0</v>
      </c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9"/>
      <c r="R78" s="109"/>
      <c r="S78" s="110">
        <f t="shared" si="10"/>
        <v>0</v>
      </c>
      <c r="T78" s="110"/>
      <c r="U78" s="108"/>
      <c r="V78" s="108"/>
      <c r="W78" s="108"/>
      <c r="X78" s="108"/>
      <c r="Y78" s="108"/>
      <c r="Z78" s="108"/>
      <c r="AA78" s="108"/>
      <c r="AB78" s="108"/>
      <c r="AC78" s="108"/>
      <c r="AD78" s="109"/>
      <c r="AE78" s="109"/>
      <c r="AF78" s="111">
        <f t="shared" si="11"/>
        <v>0</v>
      </c>
      <c r="AG78" s="153">
        <v>100000</v>
      </c>
      <c r="AH78" s="153">
        <v>100000</v>
      </c>
      <c r="AI78" s="153">
        <v>100000</v>
      </c>
      <c r="AJ78" s="153">
        <v>100000</v>
      </c>
      <c r="AK78" s="153">
        <v>100000</v>
      </c>
      <c r="AL78" s="109"/>
      <c r="AM78" s="109"/>
      <c r="AN78" s="109"/>
      <c r="AO78" s="109"/>
      <c r="AP78" s="109"/>
      <c r="AQ78" s="109"/>
      <c r="AR78" s="109"/>
      <c r="AS78" s="111">
        <f t="shared" si="9"/>
        <v>500000</v>
      </c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11">
        <f t="shared" si="12"/>
        <v>0</v>
      </c>
      <c r="BG78" s="103"/>
      <c r="BH78" s="113"/>
      <c r="BI78" s="114"/>
    </row>
    <row r="79" spans="1:61" s="104" customFormat="1" x14ac:dyDescent="0.35">
      <c r="A79" s="99">
        <f t="shared" si="13"/>
        <v>75</v>
      </c>
      <c r="B79" s="98" t="s">
        <v>168</v>
      </c>
      <c r="C79" s="98"/>
      <c r="D79" s="63"/>
      <c r="E79" s="63"/>
      <c r="F79" s="128">
        <v>0</v>
      </c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9"/>
      <c r="R79" s="109"/>
      <c r="S79" s="110">
        <f t="shared" si="10"/>
        <v>0</v>
      </c>
      <c r="T79" s="110"/>
      <c r="U79" s="108"/>
      <c r="V79" s="108"/>
      <c r="W79" s="108"/>
      <c r="X79" s="108"/>
      <c r="Y79" s="108"/>
      <c r="Z79" s="108"/>
      <c r="AA79" s="108"/>
      <c r="AB79" s="108"/>
      <c r="AC79" s="108"/>
      <c r="AD79" s="109"/>
      <c r="AE79" s="109"/>
      <c r="AF79" s="111">
        <f t="shared" si="11"/>
        <v>0</v>
      </c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11">
        <f t="shared" si="9"/>
        <v>0</v>
      </c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11">
        <f t="shared" si="12"/>
        <v>0</v>
      </c>
      <c r="BG79" s="103"/>
      <c r="BH79" s="113"/>
      <c r="BI79" s="114"/>
    </row>
    <row r="80" spans="1:61" s="104" customFormat="1" x14ac:dyDescent="0.35">
      <c r="A80" s="99">
        <f t="shared" si="13"/>
        <v>76</v>
      </c>
      <c r="B80" s="98" t="s">
        <v>169</v>
      </c>
      <c r="C80" s="98" t="s">
        <v>326</v>
      </c>
      <c r="D80" s="63"/>
      <c r="E80" s="63"/>
      <c r="F80" s="128">
        <v>0</v>
      </c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9"/>
      <c r="R80" s="109"/>
      <c r="S80" s="110">
        <f t="shared" si="10"/>
        <v>0</v>
      </c>
      <c r="T80" s="110"/>
      <c r="U80" s="108"/>
      <c r="V80" s="108"/>
      <c r="W80" s="108"/>
      <c r="X80" s="108"/>
      <c r="Y80" s="108"/>
      <c r="Z80" s="108"/>
      <c r="AA80" s="108"/>
      <c r="AB80" s="108"/>
      <c r="AC80" s="108"/>
      <c r="AD80" s="109"/>
      <c r="AE80" s="109"/>
      <c r="AF80" s="111">
        <f t="shared" si="11"/>
        <v>0</v>
      </c>
      <c r="AG80" s="124">
        <v>100000</v>
      </c>
      <c r="AH80" s="124">
        <v>100000</v>
      </c>
      <c r="AI80" s="124">
        <v>100000</v>
      </c>
      <c r="AJ80" s="124">
        <v>100000</v>
      </c>
      <c r="AK80" s="124">
        <v>100000</v>
      </c>
      <c r="AL80" s="109"/>
      <c r="AM80" s="109"/>
      <c r="AN80" s="109"/>
      <c r="AO80" s="109"/>
      <c r="AP80" s="109"/>
      <c r="AQ80" s="109"/>
      <c r="AR80" s="109"/>
      <c r="AS80" s="111">
        <f t="shared" si="9"/>
        <v>500000</v>
      </c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11">
        <f t="shared" si="12"/>
        <v>0</v>
      </c>
      <c r="BG80" s="103"/>
      <c r="BH80" s="113"/>
      <c r="BI80" s="114"/>
    </row>
    <row r="81" spans="1:61" s="104" customFormat="1" x14ac:dyDescent="0.35">
      <c r="A81" s="99">
        <f t="shared" si="13"/>
        <v>77</v>
      </c>
      <c r="B81" s="98" t="s">
        <v>170</v>
      </c>
      <c r="C81" s="98"/>
      <c r="D81" s="63"/>
      <c r="E81" s="63"/>
      <c r="F81" s="128">
        <v>0</v>
      </c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9"/>
      <c r="R81" s="109"/>
      <c r="S81" s="110">
        <f t="shared" si="10"/>
        <v>0</v>
      </c>
      <c r="T81" s="110"/>
      <c r="U81" s="108"/>
      <c r="V81" s="108"/>
      <c r="W81" s="108"/>
      <c r="X81" s="108"/>
      <c r="Y81" s="108"/>
      <c r="Z81" s="108"/>
      <c r="AA81" s="108"/>
      <c r="AB81" s="108"/>
      <c r="AC81" s="108"/>
      <c r="AD81" s="109"/>
      <c r="AE81" s="109"/>
      <c r="AF81" s="111">
        <f t="shared" si="11"/>
        <v>0</v>
      </c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11">
        <f t="shared" si="9"/>
        <v>0</v>
      </c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11">
        <f t="shared" si="12"/>
        <v>0</v>
      </c>
      <c r="BG81" s="103"/>
      <c r="BH81" s="113"/>
      <c r="BI81" s="114"/>
    </row>
    <row r="82" spans="1:61" s="104" customFormat="1" x14ac:dyDescent="0.35">
      <c r="A82" s="99">
        <f t="shared" si="13"/>
        <v>78</v>
      </c>
      <c r="B82" s="98" t="s">
        <v>171</v>
      </c>
      <c r="C82" s="98"/>
      <c r="D82" s="63"/>
      <c r="E82" s="63"/>
      <c r="F82" s="128">
        <v>0</v>
      </c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9"/>
      <c r="R82" s="109"/>
      <c r="S82" s="110">
        <f t="shared" si="10"/>
        <v>0</v>
      </c>
      <c r="T82" s="110"/>
      <c r="U82" s="108"/>
      <c r="V82" s="108"/>
      <c r="W82" s="157">
        <v>100000</v>
      </c>
      <c r="X82" s="157">
        <v>100000</v>
      </c>
      <c r="Y82" s="157">
        <v>100000</v>
      </c>
      <c r="Z82" s="157">
        <v>100000</v>
      </c>
      <c r="AA82" s="157">
        <v>100000</v>
      </c>
      <c r="AB82" s="157">
        <v>100000</v>
      </c>
      <c r="AC82" s="157">
        <v>100000</v>
      </c>
      <c r="AD82" s="157">
        <v>100000</v>
      </c>
      <c r="AE82" s="157">
        <v>100000</v>
      </c>
      <c r="AF82" s="111">
        <f t="shared" si="11"/>
        <v>900000</v>
      </c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11">
        <f t="shared" si="9"/>
        <v>0</v>
      </c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11">
        <f t="shared" si="12"/>
        <v>0</v>
      </c>
      <c r="BG82" s="103"/>
      <c r="BH82" s="113"/>
      <c r="BI82" s="114"/>
    </row>
    <row r="83" spans="1:61" s="104" customFormat="1" x14ac:dyDescent="0.35">
      <c r="A83" s="99">
        <f t="shared" si="13"/>
        <v>79</v>
      </c>
      <c r="B83" s="98" t="s">
        <v>131</v>
      </c>
      <c r="C83" s="98"/>
      <c r="D83" s="63"/>
      <c r="E83" s="63"/>
      <c r="F83" s="128">
        <v>0</v>
      </c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9"/>
      <c r="R83" s="109"/>
      <c r="S83" s="110">
        <f t="shared" si="10"/>
        <v>0</v>
      </c>
      <c r="T83" s="157">
        <v>100000</v>
      </c>
      <c r="U83" s="157">
        <v>100000</v>
      </c>
      <c r="V83" s="157">
        <v>100000</v>
      </c>
      <c r="W83" s="157">
        <v>100000</v>
      </c>
      <c r="X83" s="157">
        <v>100000</v>
      </c>
      <c r="Y83" s="157">
        <v>100000</v>
      </c>
      <c r="Z83" s="157">
        <v>100000</v>
      </c>
      <c r="AA83" s="157">
        <v>100000</v>
      </c>
      <c r="AB83" s="157">
        <v>100000</v>
      </c>
      <c r="AC83" s="157">
        <v>100000</v>
      </c>
      <c r="AD83" s="157">
        <v>100000</v>
      </c>
      <c r="AE83" s="157">
        <v>100000</v>
      </c>
      <c r="AF83" s="111">
        <f t="shared" si="11"/>
        <v>1200000</v>
      </c>
      <c r="AG83" s="153">
        <v>100000</v>
      </c>
      <c r="AH83" s="153">
        <v>100000</v>
      </c>
      <c r="AI83" s="153">
        <v>100000</v>
      </c>
      <c r="AJ83" s="153">
        <v>100000</v>
      </c>
      <c r="AK83" s="153">
        <v>100000</v>
      </c>
      <c r="AL83" s="153">
        <v>100000</v>
      </c>
      <c r="AM83" s="153">
        <v>100000</v>
      </c>
      <c r="AN83" s="109"/>
      <c r="AO83" s="109"/>
      <c r="AP83" s="109"/>
      <c r="AQ83" s="109"/>
      <c r="AR83" s="109"/>
      <c r="AS83" s="111">
        <f t="shared" si="9"/>
        <v>700000</v>
      </c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11">
        <f t="shared" si="12"/>
        <v>0</v>
      </c>
      <c r="BG83" s="103"/>
      <c r="BH83" s="113">
        <v>0</v>
      </c>
      <c r="BI83" s="114">
        <f>S83-BH83</f>
        <v>0</v>
      </c>
    </row>
    <row r="84" spans="1:61" s="104" customFormat="1" x14ac:dyDescent="0.35">
      <c r="A84" s="99">
        <f t="shared" si="13"/>
        <v>80</v>
      </c>
      <c r="B84" s="98" t="s">
        <v>132</v>
      </c>
      <c r="C84" s="98" t="s">
        <v>133</v>
      </c>
      <c r="D84" s="63"/>
      <c r="E84" s="63"/>
      <c r="F84" s="128">
        <v>0</v>
      </c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9"/>
      <c r="R84" s="109"/>
      <c r="S84" s="110">
        <f t="shared" si="10"/>
        <v>0</v>
      </c>
      <c r="T84" s="157">
        <v>100000</v>
      </c>
      <c r="U84" s="157">
        <v>100000</v>
      </c>
      <c r="V84" s="157">
        <v>100000</v>
      </c>
      <c r="W84" s="157">
        <v>100000</v>
      </c>
      <c r="X84" s="157">
        <v>100000</v>
      </c>
      <c r="Y84" s="157">
        <v>100000</v>
      </c>
      <c r="Z84" s="157">
        <v>100000</v>
      </c>
      <c r="AA84" s="157">
        <v>100000</v>
      </c>
      <c r="AB84" s="157">
        <v>100000</v>
      </c>
      <c r="AC84" s="157">
        <v>100000</v>
      </c>
      <c r="AD84" s="157">
        <v>100000</v>
      </c>
      <c r="AE84" s="157">
        <v>100000</v>
      </c>
      <c r="AF84" s="111">
        <f t="shared" si="11"/>
        <v>1200000</v>
      </c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11">
        <f t="shared" si="9"/>
        <v>0</v>
      </c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11">
        <f t="shared" si="12"/>
        <v>0</v>
      </c>
      <c r="BG84" s="103"/>
      <c r="BH84" s="113">
        <v>0</v>
      </c>
      <c r="BI84" s="114">
        <f>S84-BH84</f>
        <v>0</v>
      </c>
    </row>
    <row r="85" spans="1:61" s="104" customFormat="1" x14ac:dyDescent="0.35">
      <c r="A85" s="99">
        <f t="shared" si="13"/>
        <v>81</v>
      </c>
      <c r="B85" s="98" t="s">
        <v>134</v>
      </c>
      <c r="C85" s="98">
        <v>0</v>
      </c>
      <c r="D85" s="63"/>
      <c r="E85" s="63"/>
      <c r="F85" s="128">
        <v>0</v>
      </c>
      <c r="G85" s="124">
        <v>100000</v>
      </c>
      <c r="H85" s="124">
        <v>100000</v>
      </c>
      <c r="I85" s="124">
        <v>100000</v>
      </c>
      <c r="J85" s="124">
        <v>100000</v>
      </c>
      <c r="K85" s="124">
        <v>100000</v>
      </c>
      <c r="L85" s="124">
        <v>100000</v>
      </c>
      <c r="M85" s="124">
        <v>100000</v>
      </c>
      <c r="N85" s="124">
        <v>100000</v>
      </c>
      <c r="O85" s="108"/>
      <c r="P85" s="108"/>
      <c r="Q85" s="109"/>
      <c r="R85" s="109"/>
      <c r="S85" s="110">
        <f t="shared" si="10"/>
        <v>800000</v>
      </c>
      <c r="T85" s="110"/>
      <c r="U85" s="108"/>
      <c r="V85" s="108"/>
      <c r="W85" s="108"/>
      <c r="X85" s="108"/>
      <c r="Y85" s="108"/>
      <c r="Z85" s="108"/>
      <c r="AA85" s="108"/>
      <c r="AB85" s="108"/>
      <c r="AC85" s="108"/>
      <c r="AD85" s="109"/>
      <c r="AE85" s="109"/>
      <c r="AF85" s="111">
        <f t="shared" si="11"/>
        <v>0</v>
      </c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11">
        <f t="shared" si="9"/>
        <v>0</v>
      </c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11">
        <f t="shared" si="12"/>
        <v>0</v>
      </c>
      <c r="BG85" s="103"/>
      <c r="BH85" s="113">
        <v>0</v>
      </c>
      <c r="BI85" s="114">
        <f>S85-BH85</f>
        <v>800000</v>
      </c>
    </row>
    <row r="86" spans="1:61" s="104" customFormat="1" x14ac:dyDescent="0.35">
      <c r="A86" s="99">
        <f t="shared" si="13"/>
        <v>82</v>
      </c>
      <c r="B86" s="98" t="s">
        <v>135</v>
      </c>
      <c r="C86" s="98">
        <v>0</v>
      </c>
      <c r="D86" s="63"/>
      <c r="E86" s="63"/>
      <c r="F86" s="128">
        <v>0</v>
      </c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9"/>
      <c r="R86" s="109"/>
      <c r="S86" s="110">
        <f t="shared" si="10"/>
        <v>0</v>
      </c>
      <c r="T86" s="157">
        <v>100000</v>
      </c>
      <c r="U86" s="108"/>
      <c r="V86" s="108"/>
      <c r="W86" s="108"/>
      <c r="X86" s="108"/>
      <c r="Y86" s="108"/>
      <c r="Z86" s="108"/>
      <c r="AA86" s="108"/>
      <c r="AB86" s="108"/>
      <c r="AC86" s="108"/>
      <c r="AD86" s="109"/>
      <c r="AE86" s="109"/>
      <c r="AF86" s="111">
        <f t="shared" si="11"/>
        <v>100000</v>
      </c>
      <c r="AG86" s="153">
        <v>100000</v>
      </c>
      <c r="AH86" s="153">
        <v>100000</v>
      </c>
      <c r="AI86" s="153">
        <v>100000</v>
      </c>
      <c r="AJ86" s="153">
        <v>100000</v>
      </c>
      <c r="AK86" s="153">
        <v>100000</v>
      </c>
      <c r="AL86" s="109"/>
      <c r="AM86" s="109"/>
      <c r="AN86" s="109"/>
      <c r="AO86" s="109"/>
      <c r="AP86" s="109"/>
      <c r="AQ86" s="109"/>
      <c r="AR86" s="109"/>
      <c r="AS86" s="111">
        <f t="shared" si="9"/>
        <v>500000</v>
      </c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11">
        <f t="shared" si="12"/>
        <v>0</v>
      </c>
      <c r="BG86" s="103"/>
      <c r="BH86" s="113"/>
      <c r="BI86" s="114"/>
    </row>
    <row r="87" spans="1:61" s="104" customFormat="1" x14ac:dyDescent="0.35">
      <c r="A87" s="99">
        <f t="shared" si="13"/>
        <v>83</v>
      </c>
      <c r="B87" s="98" t="s">
        <v>136</v>
      </c>
      <c r="C87" s="98">
        <v>0</v>
      </c>
      <c r="D87" s="63"/>
      <c r="E87" s="63"/>
      <c r="F87" s="128">
        <v>0</v>
      </c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9"/>
      <c r="R87" s="109"/>
      <c r="S87" s="110">
        <f t="shared" si="10"/>
        <v>0</v>
      </c>
      <c r="T87" s="110"/>
      <c r="U87" s="108"/>
      <c r="V87" s="108"/>
      <c r="W87" s="108"/>
      <c r="X87" s="108"/>
      <c r="Y87" s="108"/>
      <c r="Z87" s="108"/>
      <c r="AA87" s="108"/>
      <c r="AB87" s="108"/>
      <c r="AC87" s="108"/>
      <c r="AD87" s="109"/>
      <c r="AE87" s="109"/>
      <c r="AF87" s="111">
        <f t="shared" si="11"/>
        <v>0</v>
      </c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11">
        <f t="shared" si="9"/>
        <v>0</v>
      </c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11">
        <f t="shared" si="12"/>
        <v>0</v>
      </c>
      <c r="BG87" s="103"/>
      <c r="BH87" s="113"/>
      <c r="BI87" s="114"/>
    </row>
    <row r="88" spans="1:61" s="104" customFormat="1" x14ac:dyDescent="0.35">
      <c r="A88" s="99">
        <f t="shared" si="13"/>
        <v>84</v>
      </c>
      <c r="B88" s="98" t="s">
        <v>137</v>
      </c>
      <c r="C88" s="98" t="s">
        <v>308</v>
      </c>
      <c r="D88" s="63"/>
      <c r="E88" s="63"/>
      <c r="F88" s="128">
        <v>0</v>
      </c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9"/>
      <c r="R88" s="109"/>
      <c r="S88" s="110">
        <f t="shared" si="10"/>
        <v>0</v>
      </c>
      <c r="T88" s="157">
        <v>100000</v>
      </c>
      <c r="U88" s="157">
        <v>100000</v>
      </c>
      <c r="V88" s="157">
        <v>100000</v>
      </c>
      <c r="W88" s="157">
        <v>100000</v>
      </c>
      <c r="X88" s="157">
        <v>100000</v>
      </c>
      <c r="Y88" s="157">
        <v>100000</v>
      </c>
      <c r="Z88" s="157">
        <v>100000</v>
      </c>
      <c r="AA88" s="157">
        <v>100000</v>
      </c>
      <c r="AB88" s="157">
        <v>100000</v>
      </c>
      <c r="AC88" s="157">
        <v>100000</v>
      </c>
      <c r="AD88" s="157">
        <v>100000</v>
      </c>
      <c r="AE88" s="157">
        <v>100000</v>
      </c>
      <c r="AF88" s="111">
        <f t="shared" si="11"/>
        <v>1200000</v>
      </c>
      <c r="AG88" s="153"/>
      <c r="AH88" s="153">
        <v>100000</v>
      </c>
      <c r="AI88" s="153">
        <v>100000</v>
      </c>
      <c r="AJ88" s="153">
        <v>100000</v>
      </c>
      <c r="AK88" s="153">
        <v>100000</v>
      </c>
      <c r="AL88" s="109"/>
      <c r="AM88" s="109"/>
      <c r="AN88" s="109"/>
      <c r="AO88" s="109"/>
      <c r="AP88" s="109"/>
      <c r="AQ88" s="109"/>
      <c r="AR88" s="109"/>
      <c r="AS88" s="111">
        <f t="shared" si="9"/>
        <v>400000</v>
      </c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11">
        <f t="shared" si="12"/>
        <v>0</v>
      </c>
      <c r="BG88" s="103"/>
      <c r="BH88" s="113"/>
      <c r="BI88" s="114"/>
    </row>
    <row r="89" spans="1:61" s="104" customFormat="1" x14ac:dyDescent="0.35">
      <c r="A89" s="99">
        <f t="shared" si="13"/>
        <v>85</v>
      </c>
      <c r="B89" s="98" t="s">
        <v>138</v>
      </c>
      <c r="C89" s="98">
        <v>0</v>
      </c>
      <c r="D89" s="63"/>
      <c r="E89" s="63"/>
      <c r="F89" s="128">
        <v>0</v>
      </c>
      <c r="G89" s="124">
        <v>100000</v>
      </c>
      <c r="H89" s="124">
        <v>100000</v>
      </c>
      <c r="I89" s="124">
        <v>100000</v>
      </c>
      <c r="J89" s="124">
        <v>100000</v>
      </c>
      <c r="K89" s="124">
        <v>100000</v>
      </c>
      <c r="L89" s="124">
        <v>100000</v>
      </c>
      <c r="M89" s="108"/>
      <c r="N89" s="108"/>
      <c r="O89" s="108"/>
      <c r="P89" s="108"/>
      <c r="Q89" s="109"/>
      <c r="R89" s="109"/>
      <c r="S89" s="110">
        <f t="shared" si="10"/>
        <v>600000</v>
      </c>
      <c r="T89" s="157">
        <v>100000</v>
      </c>
      <c r="U89" s="157">
        <v>100000</v>
      </c>
      <c r="V89" s="157">
        <v>100000</v>
      </c>
      <c r="W89" s="157">
        <v>100000</v>
      </c>
      <c r="X89" s="157">
        <v>100000</v>
      </c>
      <c r="Y89" s="157">
        <v>100000</v>
      </c>
      <c r="Z89" s="157">
        <v>100000</v>
      </c>
      <c r="AA89" s="157">
        <v>100000</v>
      </c>
      <c r="AB89" s="157">
        <v>100000</v>
      </c>
      <c r="AC89" s="157">
        <v>100000</v>
      </c>
      <c r="AD89" s="157">
        <v>100000</v>
      </c>
      <c r="AE89" s="157">
        <v>100000</v>
      </c>
      <c r="AF89" s="111">
        <f t="shared" si="11"/>
        <v>1200000</v>
      </c>
      <c r="AG89" s="153">
        <v>100000</v>
      </c>
      <c r="AH89" s="153">
        <v>100000</v>
      </c>
      <c r="AI89" s="155"/>
      <c r="AJ89" s="155"/>
      <c r="AK89" s="155"/>
      <c r="AL89" s="109"/>
      <c r="AM89" s="109"/>
      <c r="AN89" s="109"/>
      <c r="AO89" s="109"/>
      <c r="AP89" s="109"/>
      <c r="AQ89" s="109"/>
      <c r="AR89" s="109"/>
      <c r="AS89" s="111">
        <f t="shared" si="9"/>
        <v>200000</v>
      </c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  <c r="BE89" s="109"/>
      <c r="BF89" s="111">
        <f t="shared" si="12"/>
        <v>0</v>
      </c>
      <c r="BG89" s="103"/>
      <c r="BH89" s="113"/>
      <c r="BI89" s="114"/>
    </row>
    <row r="90" spans="1:61" s="104" customFormat="1" x14ac:dyDescent="0.35">
      <c r="A90" s="99">
        <f t="shared" si="13"/>
        <v>86</v>
      </c>
      <c r="B90" s="98" t="s">
        <v>139</v>
      </c>
      <c r="C90" s="177" t="s">
        <v>330</v>
      </c>
      <c r="D90" s="63"/>
      <c r="E90" s="63"/>
      <c r="F90" s="128">
        <v>0</v>
      </c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9"/>
      <c r="R90" s="109"/>
      <c r="S90" s="110">
        <f t="shared" si="10"/>
        <v>0</v>
      </c>
      <c r="T90" s="157">
        <v>100000</v>
      </c>
      <c r="U90" s="157">
        <v>100000</v>
      </c>
      <c r="V90" s="157">
        <v>100000</v>
      </c>
      <c r="W90" s="108"/>
      <c r="X90" s="157">
        <v>100000</v>
      </c>
      <c r="Y90" s="157">
        <v>100000</v>
      </c>
      <c r="Z90" s="157">
        <v>100000</v>
      </c>
      <c r="AA90" s="157">
        <v>100000</v>
      </c>
      <c r="AB90" s="157">
        <v>100000</v>
      </c>
      <c r="AC90" s="157">
        <v>100000</v>
      </c>
      <c r="AD90" s="157">
        <v>100000</v>
      </c>
      <c r="AE90" s="157">
        <v>100000</v>
      </c>
      <c r="AF90" s="111">
        <f t="shared" si="11"/>
        <v>1100000</v>
      </c>
      <c r="AG90" s="153">
        <v>100000</v>
      </c>
      <c r="AH90" s="153"/>
      <c r="AI90" s="153"/>
      <c r="AJ90" s="153"/>
      <c r="AK90" s="153"/>
      <c r="AL90" s="109"/>
      <c r="AM90" s="109"/>
      <c r="AN90" s="109"/>
      <c r="AO90" s="109"/>
      <c r="AP90" s="109"/>
      <c r="AQ90" s="109"/>
      <c r="AR90" s="109"/>
      <c r="AS90" s="111">
        <f t="shared" si="9"/>
        <v>100000</v>
      </c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11">
        <f t="shared" si="12"/>
        <v>0</v>
      </c>
      <c r="BG90" s="103"/>
      <c r="BH90" s="113"/>
      <c r="BI90" s="114"/>
    </row>
    <row r="91" spans="1:61" s="104" customFormat="1" x14ac:dyDescent="0.35">
      <c r="A91" s="99">
        <f t="shared" si="13"/>
        <v>87</v>
      </c>
      <c r="B91" s="98" t="s">
        <v>140</v>
      </c>
      <c r="C91" s="98" t="s">
        <v>213</v>
      </c>
      <c r="D91" s="63" t="s">
        <v>185</v>
      </c>
      <c r="E91" s="63" t="s">
        <v>227</v>
      </c>
      <c r="F91" s="128">
        <v>0</v>
      </c>
      <c r="G91" s="124">
        <v>100000</v>
      </c>
      <c r="H91" s="124">
        <v>100000</v>
      </c>
      <c r="I91" s="124">
        <v>100000</v>
      </c>
      <c r="J91" s="124">
        <v>100000</v>
      </c>
      <c r="K91" s="124">
        <v>100000</v>
      </c>
      <c r="L91" s="124">
        <v>100000</v>
      </c>
      <c r="M91" s="108"/>
      <c r="N91" s="108"/>
      <c r="O91" s="108"/>
      <c r="P91" s="108"/>
      <c r="Q91" s="109"/>
      <c r="R91" s="109"/>
      <c r="S91" s="110">
        <f t="shared" si="10"/>
        <v>600000</v>
      </c>
      <c r="T91" s="124">
        <v>100000</v>
      </c>
      <c r="U91" s="124">
        <v>100000</v>
      </c>
      <c r="V91" s="124">
        <v>100000</v>
      </c>
      <c r="W91" s="124">
        <v>100000</v>
      </c>
      <c r="X91" s="124">
        <v>100000</v>
      </c>
      <c r="Y91" s="124">
        <v>100000</v>
      </c>
      <c r="Z91" s="124">
        <v>100000</v>
      </c>
      <c r="AA91" s="124">
        <v>100000</v>
      </c>
      <c r="AB91" s="124">
        <v>100000</v>
      </c>
      <c r="AC91" s="124">
        <v>100000</v>
      </c>
      <c r="AD91" s="124">
        <v>100000</v>
      </c>
      <c r="AE91" s="124">
        <v>100000</v>
      </c>
      <c r="AF91" s="111">
        <f t="shared" si="11"/>
        <v>1200000</v>
      </c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11">
        <f t="shared" si="9"/>
        <v>0</v>
      </c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09"/>
      <c r="BE91" s="109"/>
      <c r="BF91" s="111">
        <f t="shared" si="12"/>
        <v>0</v>
      </c>
      <c r="BG91" s="103"/>
      <c r="BH91" s="113"/>
      <c r="BI91" s="114"/>
    </row>
    <row r="92" spans="1:61" s="104" customFormat="1" x14ac:dyDescent="0.35">
      <c r="A92" s="99">
        <f t="shared" si="13"/>
        <v>88</v>
      </c>
      <c r="B92" s="98" t="s">
        <v>141</v>
      </c>
      <c r="C92" s="98" t="s">
        <v>186</v>
      </c>
      <c r="D92" s="63" t="s">
        <v>187</v>
      </c>
      <c r="E92" s="63"/>
      <c r="F92" s="128">
        <v>0</v>
      </c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10">
        <f t="shared" si="10"/>
        <v>0</v>
      </c>
      <c r="T92" s="157">
        <v>100000</v>
      </c>
      <c r="U92" s="157">
        <v>100000</v>
      </c>
      <c r="V92" s="157">
        <v>100000</v>
      </c>
      <c r="W92" s="157">
        <v>100000</v>
      </c>
      <c r="X92" s="157">
        <v>100000</v>
      </c>
      <c r="Y92" s="157">
        <v>100000</v>
      </c>
      <c r="Z92" s="157">
        <v>100000</v>
      </c>
      <c r="AA92" s="157">
        <v>100000</v>
      </c>
      <c r="AB92" s="157">
        <v>100000</v>
      </c>
      <c r="AC92" s="157">
        <v>100000</v>
      </c>
      <c r="AD92" s="157">
        <v>100000</v>
      </c>
      <c r="AE92" s="157">
        <v>100000</v>
      </c>
      <c r="AF92" s="111">
        <f t="shared" si="11"/>
        <v>1200000</v>
      </c>
      <c r="AG92" s="153">
        <v>110000</v>
      </c>
      <c r="AH92" s="153">
        <v>110000</v>
      </c>
      <c r="AI92" s="153">
        <v>110000</v>
      </c>
      <c r="AJ92" s="153">
        <v>110000</v>
      </c>
      <c r="AK92" s="153">
        <v>110000</v>
      </c>
      <c r="AL92" s="153">
        <v>110000</v>
      </c>
      <c r="AM92" s="153">
        <v>110000</v>
      </c>
      <c r="AN92" s="153">
        <v>110000</v>
      </c>
      <c r="AO92" s="153">
        <v>110000</v>
      </c>
      <c r="AP92" s="153">
        <v>110000</v>
      </c>
      <c r="AQ92" s="153">
        <v>110000</v>
      </c>
      <c r="AR92" s="153">
        <v>110000</v>
      </c>
      <c r="AS92" s="111">
        <f t="shared" si="9"/>
        <v>1320000</v>
      </c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11">
        <f t="shared" si="12"/>
        <v>0</v>
      </c>
      <c r="BG92" s="103"/>
      <c r="BH92" s="113"/>
      <c r="BI92" s="114"/>
    </row>
    <row r="93" spans="1:61" s="104" customFormat="1" x14ac:dyDescent="0.35">
      <c r="A93" s="99">
        <f t="shared" si="13"/>
        <v>89</v>
      </c>
      <c r="B93" s="98" t="s">
        <v>142</v>
      </c>
      <c r="C93" s="98" t="s">
        <v>286</v>
      </c>
      <c r="D93" s="63" t="s">
        <v>185</v>
      </c>
      <c r="E93" s="63" t="s">
        <v>246</v>
      </c>
      <c r="F93" s="128">
        <v>0</v>
      </c>
      <c r="G93" s="108">
        <v>100000</v>
      </c>
      <c r="H93" s="108">
        <v>100000</v>
      </c>
      <c r="I93" s="108">
        <v>100000</v>
      </c>
      <c r="J93" s="108"/>
      <c r="K93" s="108">
        <v>100000</v>
      </c>
      <c r="L93" s="108"/>
      <c r="M93" s="108"/>
      <c r="N93" s="108"/>
      <c r="O93" s="108"/>
      <c r="P93" s="108"/>
      <c r="Q93" s="109"/>
      <c r="R93" s="109"/>
      <c r="S93" s="110">
        <f t="shared" si="10"/>
        <v>400000</v>
      </c>
      <c r="T93" s="110"/>
      <c r="U93" s="108"/>
      <c r="V93" s="108"/>
      <c r="W93" s="108"/>
      <c r="X93" s="108"/>
      <c r="Y93" s="157">
        <v>100000</v>
      </c>
      <c r="Z93" s="157">
        <v>100000</v>
      </c>
      <c r="AA93" s="157">
        <v>100000</v>
      </c>
      <c r="AB93" s="157">
        <v>100000</v>
      </c>
      <c r="AC93" s="157">
        <v>100000</v>
      </c>
      <c r="AD93" s="157">
        <v>100000</v>
      </c>
      <c r="AE93" s="157">
        <v>100000</v>
      </c>
      <c r="AF93" s="111">
        <f t="shared" si="11"/>
        <v>700000</v>
      </c>
      <c r="AG93" s="153">
        <v>100000</v>
      </c>
      <c r="AH93" s="153">
        <v>100000</v>
      </c>
      <c r="AI93" s="153">
        <v>100000</v>
      </c>
      <c r="AJ93" s="153">
        <v>100000</v>
      </c>
      <c r="AK93" s="153">
        <v>100000</v>
      </c>
      <c r="AL93" s="109"/>
      <c r="AM93" s="109"/>
      <c r="AN93" s="109"/>
      <c r="AO93" s="109"/>
      <c r="AP93" s="109"/>
      <c r="AQ93" s="109"/>
      <c r="AR93" s="109"/>
      <c r="AS93" s="111">
        <f t="shared" si="9"/>
        <v>500000</v>
      </c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11">
        <f t="shared" si="12"/>
        <v>0</v>
      </c>
      <c r="BG93" s="103"/>
      <c r="BH93" s="113"/>
      <c r="BI93" s="114"/>
    </row>
    <row r="94" spans="1:61" s="104" customFormat="1" x14ac:dyDescent="0.35">
      <c r="A94" s="99">
        <f t="shared" si="13"/>
        <v>90</v>
      </c>
      <c r="B94" s="98" t="s">
        <v>181</v>
      </c>
      <c r="C94" s="98">
        <v>0</v>
      </c>
      <c r="D94" s="63"/>
      <c r="E94" s="63"/>
      <c r="F94" s="128">
        <v>0</v>
      </c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9"/>
      <c r="R94" s="109"/>
      <c r="S94" s="110">
        <f t="shared" si="10"/>
        <v>0</v>
      </c>
      <c r="T94" s="157">
        <v>100000</v>
      </c>
      <c r="U94" s="157">
        <v>100000</v>
      </c>
      <c r="V94" s="157">
        <v>100000</v>
      </c>
      <c r="W94" s="157">
        <v>100000</v>
      </c>
      <c r="X94" s="157">
        <v>100000</v>
      </c>
      <c r="Y94" s="157">
        <v>100000</v>
      </c>
      <c r="Z94" s="157">
        <v>100000</v>
      </c>
      <c r="AA94" s="157">
        <v>100000</v>
      </c>
      <c r="AB94" s="157">
        <v>100000</v>
      </c>
      <c r="AC94" s="157">
        <v>100000</v>
      </c>
      <c r="AD94" s="157">
        <v>100000</v>
      </c>
      <c r="AE94" s="157">
        <v>100000</v>
      </c>
      <c r="AF94" s="111">
        <f t="shared" si="11"/>
        <v>1200000</v>
      </c>
      <c r="AG94" s="154">
        <v>100000</v>
      </c>
      <c r="AH94" s="154">
        <v>100000</v>
      </c>
      <c r="AI94" s="154">
        <v>100000</v>
      </c>
      <c r="AJ94" s="154">
        <v>100000</v>
      </c>
      <c r="AK94" s="154">
        <v>100000</v>
      </c>
      <c r="AL94" s="154">
        <v>100000</v>
      </c>
      <c r="AM94" s="154">
        <v>100000</v>
      </c>
      <c r="AN94" s="154">
        <v>100000</v>
      </c>
      <c r="AO94" s="154">
        <v>100000</v>
      </c>
      <c r="AP94" s="154">
        <v>100000</v>
      </c>
      <c r="AQ94" s="154">
        <v>100000</v>
      </c>
      <c r="AR94" s="154">
        <v>100000</v>
      </c>
      <c r="AS94" s="111">
        <f t="shared" si="9"/>
        <v>1200000</v>
      </c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  <c r="BE94" s="109"/>
      <c r="BF94" s="111">
        <f t="shared" si="12"/>
        <v>0</v>
      </c>
      <c r="BG94" s="103"/>
      <c r="BH94" s="113"/>
      <c r="BI94" s="114"/>
    </row>
    <row r="95" spans="1:61" s="104" customFormat="1" x14ac:dyDescent="0.35">
      <c r="A95" s="99">
        <f t="shared" si="13"/>
        <v>91</v>
      </c>
      <c r="B95" s="98" t="s">
        <v>182</v>
      </c>
      <c r="C95" s="98">
        <v>0</v>
      </c>
      <c r="D95" s="63"/>
      <c r="E95" s="63"/>
      <c r="F95" s="128">
        <v>0</v>
      </c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9"/>
      <c r="R95" s="109"/>
      <c r="S95" s="110">
        <f t="shared" si="10"/>
        <v>0</v>
      </c>
      <c r="T95" s="157">
        <v>100000</v>
      </c>
      <c r="U95" s="157">
        <v>100000</v>
      </c>
      <c r="V95" s="157">
        <v>100000</v>
      </c>
      <c r="W95" s="157">
        <v>100000</v>
      </c>
      <c r="X95" s="157">
        <v>100000</v>
      </c>
      <c r="Y95" s="157">
        <v>100000</v>
      </c>
      <c r="Z95" s="157">
        <v>100000</v>
      </c>
      <c r="AA95" s="157">
        <v>100000</v>
      </c>
      <c r="AB95" s="157">
        <v>100000</v>
      </c>
      <c r="AC95" s="157">
        <v>100000</v>
      </c>
      <c r="AD95" s="157">
        <v>100000</v>
      </c>
      <c r="AE95" s="157">
        <v>100000</v>
      </c>
      <c r="AF95" s="111">
        <f t="shared" si="11"/>
        <v>1200000</v>
      </c>
      <c r="AG95" s="153">
        <v>190000</v>
      </c>
      <c r="AH95" s="153">
        <v>190000</v>
      </c>
      <c r="AI95" s="153">
        <v>190000</v>
      </c>
      <c r="AJ95" s="153">
        <v>190000</v>
      </c>
      <c r="AK95" s="153">
        <v>190000</v>
      </c>
      <c r="AL95" s="109"/>
      <c r="AM95" s="109"/>
      <c r="AN95" s="109"/>
      <c r="AO95" s="109"/>
      <c r="AP95" s="109"/>
      <c r="AQ95" s="109"/>
      <c r="AR95" s="109"/>
      <c r="AS95" s="111">
        <f t="shared" ref="AS95:AS96" si="14">SUM(AG95:AR95)</f>
        <v>950000</v>
      </c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09"/>
      <c r="BF95" s="111">
        <f t="shared" si="12"/>
        <v>0</v>
      </c>
      <c r="BG95" s="103"/>
      <c r="BH95" s="113"/>
      <c r="BI95" s="114"/>
    </row>
    <row r="96" spans="1:61" s="104" customFormat="1" x14ac:dyDescent="0.35">
      <c r="A96" s="99"/>
      <c r="B96" s="63"/>
      <c r="C96" s="98">
        <v>0</v>
      </c>
      <c r="D96" s="63"/>
      <c r="E96" s="63"/>
      <c r="F96" s="128">
        <v>0</v>
      </c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9"/>
      <c r="R96" s="109"/>
      <c r="S96" s="110">
        <f t="shared" si="10"/>
        <v>0</v>
      </c>
      <c r="T96" s="110"/>
      <c r="U96" s="108"/>
      <c r="V96" s="108"/>
      <c r="W96" s="108"/>
      <c r="X96" s="108"/>
      <c r="Y96" s="108"/>
      <c r="Z96" s="108"/>
      <c r="AA96" s="108"/>
      <c r="AB96" s="108"/>
      <c r="AC96" s="108"/>
      <c r="AD96" s="109"/>
      <c r="AE96" s="109"/>
      <c r="AF96" s="111">
        <f t="shared" si="11"/>
        <v>0</v>
      </c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11">
        <f t="shared" si="14"/>
        <v>0</v>
      </c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  <c r="BE96" s="109"/>
      <c r="BF96" s="111">
        <f t="shared" si="12"/>
        <v>0</v>
      </c>
      <c r="BG96" s="103"/>
      <c r="BH96" s="113"/>
      <c r="BI96" s="114"/>
    </row>
    <row r="97" spans="1:62" s="60" customFormat="1" ht="15" thickBot="1" x14ac:dyDescent="0.4">
      <c r="A97" s="201" t="s">
        <v>49</v>
      </c>
      <c r="B97" s="202"/>
      <c r="C97" s="118"/>
      <c r="D97" s="130"/>
      <c r="E97" s="130"/>
      <c r="F97" s="129">
        <f t="shared" ref="F97:U97" si="15">SUM(F5:F96)</f>
        <v>0</v>
      </c>
      <c r="G97" s="117">
        <f t="shared" si="15"/>
        <v>1000000</v>
      </c>
      <c r="H97" s="117">
        <f t="shared" si="15"/>
        <v>1000000</v>
      </c>
      <c r="I97" s="117">
        <f t="shared" si="15"/>
        <v>1000000</v>
      </c>
      <c r="J97" s="117">
        <f t="shared" si="15"/>
        <v>800000</v>
      </c>
      <c r="K97" s="117">
        <f t="shared" si="15"/>
        <v>1000000</v>
      </c>
      <c r="L97" s="117">
        <f t="shared" si="15"/>
        <v>800000</v>
      </c>
      <c r="M97" s="117">
        <f t="shared" si="15"/>
        <v>500000</v>
      </c>
      <c r="N97" s="117">
        <f t="shared" si="15"/>
        <v>500000</v>
      </c>
      <c r="O97" s="117">
        <f t="shared" si="15"/>
        <v>400000</v>
      </c>
      <c r="P97" s="117">
        <f t="shared" si="15"/>
        <v>400000</v>
      </c>
      <c r="Q97" s="117">
        <f t="shared" si="15"/>
        <v>400000</v>
      </c>
      <c r="R97" s="117">
        <f t="shared" si="15"/>
        <v>400000</v>
      </c>
      <c r="S97" s="116">
        <f t="shared" si="15"/>
        <v>8200000</v>
      </c>
      <c r="T97" s="117">
        <f t="shared" si="15"/>
        <v>6035000</v>
      </c>
      <c r="U97" s="117">
        <f t="shared" si="15"/>
        <v>5835000</v>
      </c>
      <c r="V97" s="117">
        <f>SUM(V19:V96)</f>
        <v>4935000</v>
      </c>
      <c r="W97" s="117">
        <f t="shared" ref="W97:AG97" si="16">SUM(W5:W96)</f>
        <v>5835000</v>
      </c>
      <c r="X97" s="117">
        <f t="shared" si="16"/>
        <v>5835000</v>
      </c>
      <c r="Y97" s="117">
        <f t="shared" si="16"/>
        <v>5735000</v>
      </c>
      <c r="Z97" s="117">
        <f t="shared" si="16"/>
        <v>5630000</v>
      </c>
      <c r="AA97" s="117">
        <f t="shared" si="16"/>
        <v>5760000</v>
      </c>
      <c r="AB97" s="117">
        <f t="shared" si="16"/>
        <v>5775000</v>
      </c>
      <c r="AC97" s="117">
        <f t="shared" si="16"/>
        <v>5575000</v>
      </c>
      <c r="AD97" s="117">
        <f t="shared" si="16"/>
        <v>5475000</v>
      </c>
      <c r="AE97" s="117">
        <f t="shared" si="16"/>
        <v>5475000</v>
      </c>
      <c r="AF97" s="116">
        <f t="shared" si="16"/>
        <v>67600000</v>
      </c>
      <c r="AG97" s="117">
        <f t="shared" si="16"/>
        <v>5500000</v>
      </c>
      <c r="AH97" s="117">
        <f t="shared" ref="AH97:BG97" si="17">SUM(AH5:AH96)</f>
        <v>5565000</v>
      </c>
      <c r="AI97" s="117">
        <f t="shared" si="17"/>
        <v>5265000</v>
      </c>
      <c r="AJ97" s="117">
        <f t="shared" si="17"/>
        <v>5210000</v>
      </c>
      <c r="AK97" s="117">
        <f t="shared" si="17"/>
        <v>3600000</v>
      </c>
      <c r="AL97" s="117">
        <f t="shared" si="17"/>
        <v>1610000</v>
      </c>
      <c r="AM97" s="117">
        <f t="shared" si="17"/>
        <v>1110000</v>
      </c>
      <c r="AN97" s="117">
        <f t="shared" si="17"/>
        <v>1010000</v>
      </c>
      <c r="AO97" s="117">
        <f t="shared" si="17"/>
        <v>1010000</v>
      </c>
      <c r="AP97" s="117">
        <f t="shared" si="17"/>
        <v>910000</v>
      </c>
      <c r="AQ97" s="117">
        <f t="shared" si="17"/>
        <v>910000</v>
      </c>
      <c r="AR97" s="117">
        <f t="shared" si="17"/>
        <v>810000</v>
      </c>
      <c r="AS97" s="116">
        <f t="shared" si="17"/>
        <v>32510000</v>
      </c>
      <c r="AT97" s="117">
        <f t="shared" si="17"/>
        <v>0</v>
      </c>
      <c r="AU97" s="117">
        <f t="shared" si="17"/>
        <v>0</v>
      </c>
      <c r="AV97" s="117">
        <f t="shared" si="17"/>
        <v>0</v>
      </c>
      <c r="AW97" s="117">
        <f t="shared" si="17"/>
        <v>0</v>
      </c>
      <c r="AX97" s="117">
        <f t="shared" si="17"/>
        <v>0</v>
      </c>
      <c r="AY97" s="117">
        <f t="shared" si="17"/>
        <v>0</v>
      </c>
      <c r="AZ97" s="117">
        <f t="shared" si="17"/>
        <v>0</v>
      </c>
      <c r="BA97" s="117">
        <f t="shared" si="17"/>
        <v>0</v>
      </c>
      <c r="BB97" s="117">
        <f t="shared" si="17"/>
        <v>0</v>
      </c>
      <c r="BC97" s="117">
        <f t="shared" si="17"/>
        <v>0</v>
      </c>
      <c r="BD97" s="117">
        <f t="shared" si="17"/>
        <v>0</v>
      </c>
      <c r="BE97" s="117">
        <f t="shared" si="17"/>
        <v>0</v>
      </c>
      <c r="BF97" s="116">
        <f t="shared" si="17"/>
        <v>0</v>
      </c>
      <c r="BG97" s="117">
        <f t="shared" si="17"/>
        <v>0</v>
      </c>
      <c r="BH97" s="105">
        <f>SUM(BH5:BH85)</f>
        <v>0</v>
      </c>
      <c r="BI97" s="105">
        <f>SUM(BI5:BI85)</f>
        <v>3700000</v>
      </c>
      <c r="BJ97" s="106"/>
    </row>
    <row r="98" spans="1:62" x14ac:dyDescent="0.35">
      <c r="F98" s="107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>
        <f>'PVT IURAN'!Z63</f>
        <v>34310000</v>
      </c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</row>
    <row r="99" spans="1:62" x14ac:dyDescent="0.35">
      <c r="AS99" s="65">
        <f>AS97-AS98</f>
        <v>-1800000</v>
      </c>
      <c r="AT99" s="183" t="s">
        <v>328</v>
      </c>
    </row>
  </sheetData>
  <autoFilter ref="A4:BH99" xr:uid="{D39F3D92-560F-48D9-B243-90AEAD6DEBDE}"/>
  <mergeCells count="7">
    <mergeCell ref="AT3:BF3"/>
    <mergeCell ref="G3:S3"/>
    <mergeCell ref="A97:B97"/>
    <mergeCell ref="A1:AE1"/>
    <mergeCell ref="A3:B3"/>
    <mergeCell ref="T3:AF3"/>
    <mergeCell ref="AG3:AS3"/>
  </mergeCells>
  <phoneticPr fontId="22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7920-6953-4921-9FAB-76F94BD82559}">
  <sheetPr>
    <tabColor rgb="FF00B0F0"/>
  </sheetPr>
  <dimension ref="A3:Z63"/>
  <sheetViews>
    <sheetView topLeftCell="A58" workbookViewId="0">
      <selection activeCell="L54" sqref="L54"/>
    </sheetView>
  </sheetViews>
  <sheetFormatPr defaultRowHeight="14.5" x14ac:dyDescent="0.35"/>
  <cols>
    <col min="1" max="1" width="12.36328125" bestFit="1" customWidth="1"/>
    <col min="2" max="2" width="15.26953125" style="71" bestFit="1" customWidth="1"/>
    <col min="3" max="5" width="10.1796875" style="71" bestFit="1" customWidth="1"/>
    <col min="6" max="10" width="10.1796875" bestFit="1" customWidth="1"/>
    <col min="11" max="25" width="8.6328125" bestFit="1" customWidth="1"/>
    <col min="26" max="26" width="12" bestFit="1" customWidth="1"/>
  </cols>
  <sheetData>
    <row r="3" spans="1:26" x14ac:dyDescent="0.35">
      <c r="A3" s="69" t="s">
        <v>176</v>
      </c>
      <c r="B3" s="69" t="s">
        <v>175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x14ac:dyDescent="0.35">
      <c r="A4" s="69" t="s">
        <v>173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314</v>
      </c>
      <c r="O4" t="s">
        <v>315</v>
      </c>
      <c r="P4" t="s">
        <v>316</v>
      </c>
      <c r="Q4" t="s">
        <v>317</v>
      </c>
      <c r="R4" t="s">
        <v>318</v>
      </c>
      <c r="S4" t="s">
        <v>319</v>
      </c>
      <c r="T4" t="s">
        <v>320</v>
      </c>
      <c r="U4" t="s">
        <v>321</v>
      </c>
      <c r="V4" t="s">
        <v>322</v>
      </c>
      <c r="W4" t="s">
        <v>323</v>
      </c>
      <c r="X4" t="s">
        <v>324</v>
      </c>
      <c r="Y4" t="s">
        <v>325</v>
      </c>
      <c r="Z4" s="72" t="s">
        <v>174</v>
      </c>
    </row>
    <row r="5" spans="1:26" x14ac:dyDescent="0.35">
      <c r="A5" s="70" t="s">
        <v>75</v>
      </c>
      <c r="B5" s="72">
        <v>100000</v>
      </c>
      <c r="C5" s="72">
        <v>100000</v>
      </c>
      <c r="D5" s="72">
        <v>100000</v>
      </c>
      <c r="E5" s="72">
        <v>100000</v>
      </c>
      <c r="F5" s="72">
        <v>100000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>
        <v>500000</v>
      </c>
    </row>
    <row r="6" spans="1:26" x14ac:dyDescent="0.35">
      <c r="A6" s="70" t="s">
        <v>77</v>
      </c>
      <c r="B6" s="72">
        <v>100000</v>
      </c>
      <c r="C6" s="72">
        <v>100000</v>
      </c>
      <c r="D6" s="72">
        <v>100000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>
        <v>300000</v>
      </c>
    </row>
    <row r="7" spans="1:26" x14ac:dyDescent="0.35">
      <c r="A7" s="70" t="s">
        <v>78</v>
      </c>
      <c r="B7" s="72">
        <v>100000</v>
      </c>
      <c r="C7" s="72">
        <v>100000</v>
      </c>
      <c r="D7" s="72">
        <v>100000</v>
      </c>
      <c r="E7" s="72">
        <v>100000</v>
      </c>
      <c r="F7" s="72">
        <v>100000</v>
      </c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>
        <v>500000</v>
      </c>
    </row>
    <row r="8" spans="1:26" x14ac:dyDescent="0.35">
      <c r="A8" s="70" t="s">
        <v>79</v>
      </c>
      <c r="B8" s="72">
        <v>100000</v>
      </c>
      <c r="C8" s="72">
        <v>100000</v>
      </c>
      <c r="D8" s="72">
        <v>100000</v>
      </c>
      <c r="E8" s="72">
        <v>100000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>
        <v>400000</v>
      </c>
    </row>
    <row r="9" spans="1:26" x14ac:dyDescent="0.35">
      <c r="A9" s="175" t="s">
        <v>80</v>
      </c>
      <c r="B9" s="176">
        <v>100000</v>
      </c>
      <c r="C9" s="176">
        <v>100000</v>
      </c>
      <c r="D9" s="176">
        <v>100000</v>
      </c>
      <c r="E9" s="176">
        <v>100000</v>
      </c>
      <c r="F9" s="176">
        <v>100000</v>
      </c>
      <c r="G9" s="176">
        <v>100000</v>
      </c>
      <c r="H9" s="176">
        <v>100000</v>
      </c>
      <c r="I9" s="176">
        <v>100000</v>
      </c>
      <c r="J9" s="176">
        <v>100000</v>
      </c>
      <c r="K9" s="176">
        <v>100000</v>
      </c>
      <c r="L9" s="176">
        <v>100000</v>
      </c>
      <c r="M9" s="176">
        <v>100000</v>
      </c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>
        <v>1200000</v>
      </c>
    </row>
    <row r="10" spans="1:26" x14ac:dyDescent="0.35">
      <c r="A10" s="70" t="s">
        <v>81</v>
      </c>
      <c r="B10" s="72">
        <v>100000</v>
      </c>
      <c r="C10" s="72">
        <v>100000</v>
      </c>
      <c r="D10" s="72">
        <v>100000</v>
      </c>
      <c r="E10" s="72">
        <v>150000</v>
      </c>
      <c r="F10" s="72">
        <v>100000</v>
      </c>
      <c r="G10" s="72">
        <v>100000</v>
      </c>
      <c r="H10" s="72">
        <v>100000</v>
      </c>
      <c r="I10" s="72">
        <v>100000</v>
      </c>
      <c r="J10" s="72">
        <v>100000</v>
      </c>
      <c r="K10" s="72">
        <v>100000</v>
      </c>
      <c r="L10" s="72">
        <v>100000</v>
      </c>
      <c r="M10" s="72">
        <v>100000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>
        <v>1250000</v>
      </c>
    </row>
    <row r="11" spans="1:26" s="145" customFormat="1" x14ac:dyDescent="0.35">
      <c r="A11" s="70" t="s">
        <v>84</v>
      </c>
      <c r="B11" s="72">
        <v>100000</v>
      </c>
      <c r="C11" s="72">
        <v>100000</v>
      </c>
      <c r="D11" s="72">
        <v>100000</v>
      </c>
      <c r="E11" s="72">
        <v>100000</v>
      </c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>
        <v>400000</v>
      </c>
    </row>
    <row r="12" spans="1:26" x14ac:dyDescent="0.35">
      <c r="A12" s="70" t="s">
        <v>86</v>
      </c>
      <c r="B12" s="72"/>
      <c r="C12" s="72"/>
      <c r="D12" s="72">
        <v>100000</v>
      </c>
      <c r="E12" s="72">
        <v>100000</v>
      </c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>
        <v>200000</v>
      </c>
    </row>
    <row r="13" spans="1:26" x14ac:dyDescent="0.35">
      <c r="A13" s="175" t="s">
        <v>87</v>
      </c>
      <c r="B13" s="176">
        <v>100000</v>
      </c>
      <c r="C13" s="176">
        <v>100000</v>
      </c>
      <c r="D13" s="176">
        <v>100000</v>
      </c>
      <c r="E13" s="176">
        <v>100000</v>
      </c>
      <c r="F13" s="176">
        <v>100000</v>
      </c>
      <c r="G13" s="176">
        <v>100000</v>
      </c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>
        <v>600000</v>
      </c>
    </row>
    <row r="14" spans="1:26" x14ac:dyDescent="0.35">
      <c r="A14" s="70" t="s">
        <v>89</v>
      </c>
      <c r="B14" s="72">
        <v>100000</v>
      </c>
      <c r="C14" s="72">
        <v>100000</v>
      </c>
      <c r="D14" s="72">
        <v>100000</v>
      </c>
      <c r="E14" s="72">
        <v>100000</v>
      </c>
      <c r="F14" s="72">
        <v>100000</v>
      </c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>
        <v>500000</v>
      </c>
    </row>
    <row r="15" spans="1:26" s="145" customFormat="1" x14ac:dyDescent="0.35">
      <c r="A15" s="70" t="s">
        <v>90</v>
      </c>
      <c r="B15" s="72">
        <v>100000</v>
      </c>
      <c r="C15" s="72">
        <v>100000</v>
      </c>
      <c r="D15" s="72">
        <v>100000</v>
      </c>
      <c r="E15" s="72">
        <v>100000</v>
      </c>
      <c r="F15" s="72">
        <v>100000</v>
      </c>
      <c r="G15" s="72">
        <v>100000</v>
      </c>
      <c r="H15" s="72">
        <v>100000</v>
      </c>
      <c r="I15" s="72">
        <v>100000</v>
      </c>
      <c r="J15" s="72">
        <v>100000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>
        <v>900000</v>
      </c>
    </row>
    <row r="16" spans="1:26" x14ac:dyDescent="0.35">
      <c r="A16" s="70" t="s">
        <v>91</v>
      </c>
      <c r="B16" s="72">
        <v>100000</v>
      </c>
      <c r="C16" s="72">
        <v>100000</v>
      </c>
      <c r="D16" s="72">
        <v>100000</v>
      </c>
      <c r="E16" s="72">
        <v>100000</v>
      </c>
      <c r="F16" s="72">
        <v>100000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>
        <v>500000</v>
      </c>
    </row>
    <row r="17" spans="1:26" x14ac:dyDescent="0.35">
      <c r="A17" s="175" t="s">
        <v>92</v>
      </c>
      <c r="B17" s="176">
        <v>100000</v>
      </c>
      <c r="C17" s="176">
        <v>100000</v>
      </c>
      <c r="D17" s="176">
        <v>100000</v>
      </c>
      <c r="E17" s="176">
        <v>100000</v>
      </c>
      <c r="F17" s="176">
        <v>100000</v>
      </c>
      <c r="G17" s="176">
        <v>100000</v>
      </c>
      <c r="H17" s="176">
        <v>100000</v>
      </c>
      <c r="I17" s="176">
        <v>100000</v>
      </c>
      <c r="J17" s="176">
        <v>100000</v>
      </c>
      <c r="K17" s="176">
        <v>100000</v>
      </c>
      <c r="L17" s="176">
        <v>100000</v>
      </c>
      <c r="M17" s="176">
        <v>100000</v>
      </c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>
        <v>1200000</v>
      </c>
    </row>
    <row r="18" spans="1:26" s="145" customFormat="1" x14ac:dyDescent="0.35">
      <c r="A18" s="70" t="s">
        <v>94</v>
      </c>
      <c r="B18" s="72">
        <v>100000</v>
      </c>
      <c r="C18" s="72">
        <v>100000</v>
      </c>
      <c r="D18" s="72">
        <v>100000</v>
      </c>
      <c r="E18" s="72">
        <v>100000</v>
      </c>
      <c r="F18" s="72">
        <v>100000</v>
      </c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>
        <v>500000</v>
      </c>
    </row>
    <row r="19" spans="1:26" x14ac:dyDescent="0.35">
      <c r="A19" s="70" t="s">
        <v>95</v>
      </c>
      <c r="B19" s="72">
        <v>100000</v>
      </c>
      <c r="C19" s="72">
        <v>100000</v>
      </c>
      <c r="D19" s="72">
        <v>100000</v>
      </c>
      <c r="E19" s="72">
        <v>100000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>
        <v>400000</v>
      </c>
    </row>
    <row r="20" spans="1:26" s="145" customFormat="1" x14ac:dyDescent="0.35">
      <c r="A20" s="70" t="s">
        <v>97</v>
      </c>
      <c r="B20" s="72">
        <v>100000</v>
      </c>
      <c r="C20" s="72">
        <v>100000</v>
      </c>
      <c r="D20" s="72">
        <v>100000</v>
      </c>
      <c r="E20" s="72">
        <v>100000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>
        <v>400000</v>
      </c>
    </row>
    <row r="21" spans="1:26" x14ac:dyDescent="0.35">
      <c r="A21" s="175" t="s">
        <v>98</v>
      </c>
      <c r="B21" s="176">
        <v>100000</v>
      </c>
      <c r="C21" s="176">
        <v>100000</v>
      </c>
      <c r="D21" s="176">
        <v>100000</v>
      </c>
      <c r="E21" s="176">
        <v>100000</v>
      </c>
      <c r="F21" s="176">
        <v>100000</v>
      </c>
      <c r="G21" s="176">
        <v>100000</v>
      </c>
      <c r="H21" s="176">
        <v>100000</v>
      </c>
      <c r="I21" s="176">
        <v>100000</v>
      </c>
      <c r="J21" s="176">
        <v>100000</v>
      </c>
      <c r="K21" s="176">
        <v>100000</v>
      </c>
      <c r="L21" s="176">
        <v>100000</v>
      </c>
      <c r="M21" s="176">
        <v>100000</v>
      </c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>
        <v>1200000</v>
      </c>
    </row>
    <row r="22" spans="1:26" x14ac:dyDescent="0.35">
      <c r="A22" s="70" t="s">
        <v>99</v>
      </c>
      <c r="B22" s="72">
        <v>100000</v>
      </c>
      <c r="C22" s="72">
        <v>100000</v>
      </c>
      <c r="D22" s="72">
        <v>100000</v>
      </c>
      <c r="E22" s="72">
        <v>100000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>
        <v>400000</v>
      </c>
    </row>
    <row r="23" spans="1:26" x14ac:dyDescent="0.35">
      <c r="A23" s="175" t="s">
        <v>101</v>
      </c>
      <c r="B23" s="176">
        <v>100000</v>
      </c>
      <c r="C23" s="176">
        <v>100000</v>
      </c>
      <c r="D23" s="176">
        <v>100000</v>
      </c>
      <c r="E23" s="176">
        <v>100000</v>
      </c>
      <c r="F23" s="176">
        <v>100000</v>
      </c>
      <c r="G23" s="176">
        <v>100000</v>
      </c>
      <c r="H23" s="176">
        <v>100000</v>
      </c>
      <c r="I23" s="176">
        <v>100000</v>
      </c>
      <c r="J23" s="176">
        <v>100000</v>
      </c>
      <c r="K23" s="176">
        <v>100000</v>
      </c>
      <c r="L23" s="176">
        <v>100000</v>
      </c>
      <c r="M23" s="176">
        <v>100000</v>
      </c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>
        <v>1200000</v>
      </c>
    </row>
    <row r="24" spans="1:26" s="145" customFormat="1" x14ac:dyDescent="0.35">
      <c r="A24" s="70" t="s">
        <v>102</v>
      </c>
      <c r="B24" s="72">
        <v>100000</v>
      </c>
      <c r="C24" s="72">
        <v>100000</v>
      </c>
      <c r="D24" s="72">
        <v>100000</v>
      </c>
      <c r="E24" s="72">
        <v>100000</v>
      </c>
      <c r="F24" s="72">
        <v>100000</v>
      </c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>
        <v>500000</v>
      </c>
    </row>
    <row r="25" spans="1:26" x14ac:dyDescent="0.35">
      <c r="A25" s="70" t="s">
        <v>105</v>
      </c>
      <c r="B25" s="72">
        <v>100000</v>
      </c>
      <c r="C25" s="72">
        <v>100000</v>
      </c>
      <c r="D25" s="72">
        <v>100000</v>
      </c>
      <c r="E25" s="72">
        <v>100000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>
        <v>400000</v>
      </c>
    </row>
    <row r="26" spans="1:26" x14ac:dyDescent="0.35">
      <c r="A26" s="70" t="s">
        <v>106</v>
      </c>
      <c r="B26" s="72">
        <v>100000</v>
      </c>
      <c r="C26" s="72">
        <v>100000</v>
      </c>
      <c r="D26" s="72">
        <v>100000</v>
      </c>
      <c r="E26" s="72">
        <v>100000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>
        <v>400000</v>
      </c>
    </row>
    <row r="27" spans="1:26" x14ac:dyDescent="0.35">
      <c r="A27" s="70" t="s">
        <v>110</v>
      </c>
      <c r="B27" s="72">
        <v>100000</v>
      </c>
      <c r="C27" s="72">
        <v>100000</v>
      </c>
      <c r="D27" s="72">
        <v>100000</v>
      </c>
      <c r="E27" s="72">
        <v>100000</v>
      </c>
      <c r="F27" s="72">
        <v>100000</v>
      </c>
      <c r="G27" s="72">
        <v>100000</v>
      </c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>
        <v>600000</v>
      </c>
    </row>
    <row r="28" spans="1:26" x14ac:dyDescent="0.35">
      <c r="A28" s="175" t="s">
        <v>111</v>
      </c>
      <c r="B28" s="176">
        <v>100000</v>
      </c>
      <c r="C28" s="176">
        <v>100000</v>
      </c>
      <c r="D28" s="176">
        <v>100000</v>
      </c>
      <c r="E28" s="176">
        <v>100000</v>
      </c>
      <c r="F28" s="176">
        <v>100000</v>
      </c>
      <c r="G28" s="176">
        <v>100000</v>
      </c>
      <c r="H28" s="176">
        <v>100000</v>
      </c>
      <c r="I28" s="176">
        <v>100000</v>
      </c>
      <c r="J28" s="176">
        <v>100000</v>
      </c>
      <c r="K28" s="176">
        <v>100000</v>
      </c>
      <c r="L28" s="176">
        <v>100000</v>
      </c>
      <c r="M28" s="176">
        <v>100000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>
        <v>1200000</v>
      </c>
    </row>
    <row r="29" spans="1:26" x14ac:dyDescent="0.35">
      <c r="A29" s="70" t="s">
        <v>297</v>
      </c>
      <c r="B29" s="72">
        <v>100000</v>
      </c>
      <c r="C29" s="72">
        <v>100000</v>
      </c>
      <c r="D29" s="72">
        <v>100000</v>
      </c>
      <c r="E29" s="72">
        <v>100000</v>
      </c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>
        <v>400000</v>
      </c>
    </row>
    <row r="30" spans="1:26" x14ac:dyDescent="0.35">
      <c r="A30" s="70" t="s">
        <v>112</v>
      </c>
      <c r="B30" s="72">
        <v>100000</v>
      </c>
      <c r="C30" s="72">
        <v>100000</v>
      </c>
      <c r="D30" s="72">
        <v>100000</v>
      </c>
      <c r="E30" s="72">
        <v>100000</v>
      </c>
      <c r="F30" s="72">
        <v>100000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>
        <v>500000</v>
      </c>
    </row>
    <row r="31" spans="1:26" x14ac:dyDescent="0.35">
      <c r="A31" s="70" t="s">
        <v>113</v>
      </c>
      <c r="B31" s="72">
        <v>100000</v>
      </c>
      <c r="C31" s="72">
        <v>100000</v>
      </c>
      <c r="D31" s="72">
        <v>100000</v>
      </c>
      <c r="E31" s="72">
        <v>100000</v>
      </c>
      <c r="F31" s="72">
        <v>100000</v>
      </c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>
        <v>100000</v>
      </c>
      <c r="Y31" s="72">
        <v>100000</v>
      </c>
      <c r="Z31" s="72">
        <v>700000</v>
      </c>
    </row>
    <row r="32" spans="1:26" x14ac:dyDescent="0.35">
      <c r="A32" s="70" t="s">
        <v>115</v>
      </c>
      <c r="B32" s="72">
        <v>100000</v>
      </c>
      <c r="C32" s="72">
        <v>100000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>
        <v>200000</v>
      </c>
    </row>
    <row r="33" spans="1:26" s="145" customFormat="1" x14ac:dyDescent="0.35">
      <c r="A33" s="70" t="s">
        <v>116</v>
      </c>
      <c r="B33" s="72">
        <v>100000</v>
      </c>
      <c r="C33" s="72">
        <v>100000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>
        <v>200000</v>
      </c>
    </row>
    <row r="34" spans="1:26" s="145" customFormat="1" x14ac:dyDescent="0.35">
      <c r="A34" s="70" t="s">
        <v>117</v>
      </c>
      <c r="B34" s="72">
        <v>100000</v>
      </c>
      <c r="C34" s="72">
        <v>100000</v>
      </c>
      <c r="D34" s="72">
        <v>100000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>
        <v>300000</v>
      </c>
    </row>
    <row r="35" spans="1:26" x14ac:dyDescent="0.35">
      <c r="A35" s="70" t="s">
        <v>118</v>
      </c>
      <c r="B35" s="72">
        <v>100000</v>
      </c>
      <c r="C35" s="72">
        <v>100000</v>
      </c>
      <c r="D35" s="72">
        <v>100000</v>
      </c>
      <c r="E35" s="72">
        <v>100000</v>
      </c>
      <c r="F35" s="72">
        <v>100000</v>
      </c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>
        <v>500000</v>
      </c>
    </row>
    <row r="36" spans="1:26" s="145" customFormat="1" x14ac:dyDescent="0.35">
      <c r="A36" s="70" t="s">
        <v>178</v>
      </c>
      <c r="B36" s="72">
        <v>100000</v>
      </c>
      <c r="C36" s="72">
        <v>100000</v>
      </c>
      <c r="D36" s="72">
        <v>100000</v>
      </c>
      <c r="E36" s="72">
        <v>100000</v>
      </c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>
        <v>400000</v>
      </c>
    </row>
    <row r="37" spans="1:26" x14ac:dyDescent="0.35">
      <c r="A37" s="70" t="s">
        <v>179</v>
      </c>
      <c r="B37" s="72">
        <v>100000</v>
      </c>
      <c r="C37" s="72">
        <v>100000</v>
      </c>
      <c r="D37" s="72">
        <v>100000</v>
      </c>
      <c r="E37" s="72">
        <v>100000</v>
      </c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>
        <v>400000</v>
      </c>
    </row>
    <row r="38" spans="1:26" x14ac:dyDescent="0.35">
      <c r="A38" s="70" t="s">
        <v>119</v>
      </c>
      <c r="B38" s="72">
        <v>100000</v>
      </c>
      <c r="C38" s="72">
        <v>100000</v>
      </c>
      <c r="D38" s="72">
        <v>100000</v>
      </c>
      <c r="E38" s="72">
        <v>100000</v>
      </c>
      <c r="F38" s="72">
        <v>100000</v>
      </c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>
        <v>500000</v>
      </c>
    </row>
    <row r="39" spans="1:26" x14ac:dyDescent="0.35">
      <c r="A39" s="175" t="s">
        <v>120</v>
      </c>
      <c r="B39" s="176">
        <v>100000</v>
      </c>
      <c r="C39" s="176">
        <v>100000</v>
      </c>
      <c r="D39" s="176">
        <v>100000</v>
      </c>
      <c r="E39" s="176">
        <v>100000</v>
      </c>
      <c r="F39" s="176">
        <v>100000</v>
      </c>
      <c r="G39" s="176">
        <v>100000</v>
      </c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>
        <v>600000</v>
      </c>
    </row>
    <row r="40" spans="1:26" x14ac:dyDescent="0.35">
      <c r="A40" s="175" t="s">
        <v>122</v>
      </c>
      <c r="B40" s="176">
        <v>100000</v>
      </c>
      <c r="C40" s="176">
        <v>100000</v>
      </c>
      <c r="D40" s="176">
        <v>100000</v>
      </c>
      <c r="E40" s="176">
        <v>100000</v>
      </c>
      <c r="F40" s="176">
        <v>100000</v>
      </c>
      <c r="G40" s="176">
        <v>100000</v>
      </c>
      <c r="H40" s="176">
        <v>100000</v>
      </c>
      <c r="I40" s="176">
        <v>100000</v>
      </c>
      <c r="J40" s="176">
        <v>100000</v>
      </c>
      <c r="K40" s="176">
        <v>100000</v>
      </c>
      <c r="L40" s="176">
        <v>100000</v>
      </c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>
        <v>1100000</v>
      </c>
    </row>
    <row r="41" spans="1:26" x14ac:dyDescent="0.35">
      <c r="A41" s="70" t="s">
        <v>123</v>
      </c>
      <c r="B41" s="72">
        <v>100000</v>
      </c>
      <c r="C41" s="72">
        <v>100000</v>
      </c>
      <c r="D41" s="72">
        <v>100000</v>
      </c>
      <c r="E41" s="72">
        <v>100000</v>
      </c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>
        <v>400000</v>
      </c>
    </row>
    <row r="42" spans="1:26" x14ac:dyDescent="0.35">
      <c r="A42" s="175" t="s">
        <v>126</v>
      </c>
      <c r="B42" s="176">
        <v>100000</v>
      </c>
      <c r="C42" s="176">
        <v>100000</v>
      </c>
      <c r="D42" s="176">
        <v>100000</v>
      </c>
      <c r="E42" s="176">
        <v>100000</v>
      </c>
      <c r="F42" s="176">
        <v>100000</v>
      </c>
      <c r="G42" s="176">
        <v>100000</v>
      </c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>
        <v>600000</v>
      </c>
    </row>
    <row r="43" spans="1:26" x14ac:dyDescent="0.35">
      <c r="A43" s="70" t="s">
        <v>127</v>
      </c>
      <c r="B43" s="72">
        <v>100000</v>
      </c>
      <c r="C43" s="72">
        <v>100000</v>
      </c>
      <c r="D43" s="72">
        <v>100000</v>
      </c>
      <c r="E43" s="72">
        <v>100000</v>
      </c>
      <c r="F43" s="72">
        <v>100000</v>
      </c>
      <c r="G43" s="72">
        <v>100000</v>
      </c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>
        <v>600000</v>
      </c>
    </row>
    <row r="44" spans="1:26" x14ac:dyDescent="0.35">
      <c r="A44" s="70" t="s">
        <v>177</v>
      </c>
      <c r="B44" s="72">
        <v>100000</v>
      </c>
      <c r="C44" s="72">
        <v>100000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>
        <v>200000</v>
      </c>
    </row>
    <row r="45" spans="1:26" x14ac:dyDescent="0.35">
      <c r="A45" s="70" t="s">
        <v>180</v>
      </c>
      <c r="B45" s="72">
        <v>100000</v>
      </c>
      <c r="C45" s="72">
        <v>100000</v>
      </c>
      <c r="D45" s="72">
        <v>100000</v>
      </c>
      <c r="E45" s="72">
        <v>100000</v>
      </c>
      <c r="F45" s="72">
        <v>100000</v>
      </c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>
        <v>500000</v>
      </c>
    </row>
    <row r="46" spans="1:26" x14ac:dyDescent="0.35">
      <c r="A46" s="70" t="s">
        <v>153</v>
      </c>
      <c r="B46" s="72">
        <v>100000</v>
      </c>
      <c r="C46" s="72">
        <v>100000</v>
      </c>
      <c r="D46" s="72">
        <v>100000</v>
      </c>
      <c r="E46" s="72">
        <v>100000</v>
      </c>
      <c r="F46" s="72">
        <v>100000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>
        <v>500000</v>
      </c>
    </row>
    <row r="47" spans="1:26" x14ac:dyDescent="0.35">
      <c r="A47" s="70" t="s">
        <v>156</v>
      </c>
      <c r="B47" s="72"/>
      <c r="C47" s="72"/>
      <c r="D47" s="72"/>
      <c r="E47" s="72">
        <v>100000</v>
      </c>
      <c r="F47" s="72">
        <v>100000</v>
      </c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>
        <v>200000</v>
      </c>
    </row>
    <row r="48" spans="1:26" x14ac:dyDescent="0.35">
      <c r="A48" s="70" t="s">
        <v>302</v>
      </c>
      <c r="B48" s="72">
        <v>100000</v>
      </c>
      <c r="C48" s="72">
        <v>165000</v>
      </c>
      <c r="D48" s="72">
        <v>165000</v>
      </c>
      <c r="E48" s="72">
        <v>160000</v>
      </c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>
        <v>590000</v>
      </c>
    </row>
    <row r="49" spans="1:26" s="145" customFormat="1" x14ac:dyDescent="0.35">
      <c r="A49" s="70" t="s">
        <v>158</v>
      </c>
      <c r="B49" s="72">
        <v>100000</v>
      </c>
      <c r="C49" s="72">
        <v>100000</v>
      </c>
      <c r="D49" s="72">
        <v>100000</v>
      </c>
      <c r="E49" s="72">
        <v>100000</v>
      </c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>
        <v>400000</v>
      </c>
    </row>
    <row r="50" spans="1:26" x14ac:dyDescent="0.35">
      <c r="A50" s="70" t="s">
        <v>159</v>
      </c>
      <c r="B50" s="72">
        <v>100000</v>
      </c>
      <c r="C50" s="72">
        <v>100000</v>
      </c>
      <c r="D50" s="72">
        <v>100000</v>
      </c>
      <c r="E50" s="72">
        <v>100000</v>
      </c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>
        <v>400000</v>
      </c>
    </row>
    <row r="51" spans="1:26" x14ac:dyDescent="0.35">
      <c r="A51" s="70" t="s">
        <v>167</v>
      </c>
      <c r="B51" s="72">
        <v>100000</v>
      </c>
      <c r="C51" s="72">
        <v>100000</v>
      </c>
      <c r="D51" s="72">
        <v>100000</v>
      </c>
      <c r="E51" s="72">
        <v>100000</v>
      </c>
      <c r="F51" s="72">
        <v>100000</v>
      </c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>
        <v>500000</v>
      </c>
    </row>
    <row r="52" spans="1:26" x14ac:dyDescent="0.35">
      <c r="A52" s="70" t="s">
        <v>169</v>
      </c>
      <c r="B52" s="72">
        <v>100000</v>
      </c>
      <c r="C52" s="72">
        <v>200000</v>
      </c>
      <c r="D52" s="72"/>
      <c r="E52" s="72">
        <v>100000</v>
      </c>
      <c r="F52" s="72">
        <v>100000</v>
      </c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>
        <v>500000</v>
      </c>
    </row>
    <row r="53" spans="1:26" x14ac:dyDescent="0.35">
      <c r="A53" s="70" t="s">
        <v>131</v>
      </c>
      <c r="B53" s="72">
        <v>100000</v>
      </c>
      <c r="C53" s="72">
        <v>100000</v>
      </c>
      <c r="D53" s="72">
        <v>100000</v>
      </c>
      <c r="E53" s="72">
        <v>100000</v>
      </c>
      <c r="F53" s="72">
        <v>100000</v>
      </c>
      <c r="G53" s="72">
        <v>100000</v>
      </c>
      <c r="H53" s="72">
        <v>100000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>
        <v>700000</v>
      </c>
    </row>
    <row r="54" spans="1:26" x14ac:dyDescent="0.35">
      <c r="A54" s="70" t="s">
        <v>135</v>
      </c>
      <c r="B54" s="72">
        <v>100000</v>
      </c>
      <c r="C54" s="72">
        <v>100000</v>
      </c>
      <c r="D54" s="72">
        <v>100000</v>
      </c>
      <c r="E54" s="72">
        <v>100000</v>
      </c>
      <c r="F54" s="72">
        <v>100000</v>
      </c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>
        <v>500000</v>
      </c>
    </row>
    <row r="55" spans="1:26" x14ac:dyDescent="0.35">
      <c r="A55" s="70" t="s">
        <v>137</v>
      </c>
      <c r="B55" s="72"/>
      <c r="C55" s="72">
        <v>100000</v>
      </c>
      <c r="D55" s="72">
        <v>100000</v>
      </c>
      <c r="E55" s="72">
        <v>100000</v>
      </c>
      <c r="F55" s="72">
        <v>100000</v>
      </c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>
        <v>400000</v>
      </c>
    </row>
    <row r="56" spans="1:26" x14ac:dyDescent="0.35">
      <c r="A56" s="70" t="s">
        <v>138</v>
      </c>
      <c r="B56" s="72">
        <v>100000</v>
      </c>
      <c r="C56" s="72">
        <v>100000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>
        <v>200000</v>
      </c>
    </row>
    <row r="57" spans="1:26" x14ac:dyDescent="0.35">
      <c r="A57" s="70" t="s">
        <v>139</v>
      </c>
      <c r="B57" s="72">
        <v>100000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>
        <v>100000</v>
      </c>
      <c r="W57" s="72">
        <v>100000</v>
      </c>
      <c r="X57" s="72">
        <v>100000</v>
      </c>
      <c r="Y57" s="72">
        <v>100000</v>
      </c>
      <c r="Z57" s="72">
        <v>500000</v>
      </c>
    </row>
    <row r="58" spans="1:26" x14ac:dyDescent="0.35">
      <c r="A58" s="70" t="s">
        <v>140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>
        <v>100000</v>
      </c>
      <c r="O58" s="72">
        <v>100000</v>
      </c>
      <c r="P58" s="72">
        <v>100000</v>
      </c>
      <c r="Q58" s="72">
        <v>100000</v>
      </c>
      <c r="R58" s="72">
        <v>100000</v>
      </c>
      <c r="S58" s="72">
        <v>100000</v>
      </c>
      <c r="T58" s="72">
        <v>100000</v>
      </c>
      <c r="U58" s="72">
        <v>100000</v>
      </c>
      <c r="V58" s="72">
        <v>100000</v>
      </c>
      <c r="W58" s="72">
        <v>100000</v>
      </c>
      <c r="X58" s="72">
        <v>100000</v>
      </c>
      <c r="Y58" s="72">
        <v>100000</v>
      </c>
      <c r="Z58" s="72">
        <v>1200000</v>
      </c>
    </row>
    <row r="59" spans="1:26" x14ac:dyDescent="0.35">
      <c r="A59" s="70" t="s">
        <v>141</v>
      </c>
      <c r="B59" s="72">
        <v>110000</v>
      </c>
      <c r="C59" s="72">
        <v>110000</v>
      </c>
      <c r="D59" s="72">
        <v>110000</v>
      </c>
      <c r="E59" s="72">
        <v>110000</v>
      </c>
      <c r="F59" s="72">
        <v>110000</v>
      </c>
      <c r="G59" s="72">
        <v>110000</v>
      </c>
      <c r="H59" s="72">
        <v>110000</v>
      </c>
      <c r="I59" s="72">
        <v>110000</v>
      </c>
      <c r="J59" s="72">
        <v>110000</v>
      </c>
      <c r="K59" s="72">
        <v>110000</v>
      </c>
      <c r="L59" s="72">
        <v>110000</v>
      </c>
      <c r="M59" s="72">
        <v>110000</v>
      </c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>
        <v>1320000</v>
      </c>
    </row>
    <row r="60" spans="1:26" x14ac:dyDescent="0.35">
      <c r="A60" s="70" t="s">
        <v>142</v>
      </c>
      <c r="B60" s="72">
        <v>100000</v>
      </c>
      <c r="C60" s="72">
        <v>100000</v>
      </c>
      <c r="D60" s="72">
        <v>100000</v>
      </c>
      <c r="E60" s="72">
        <v>100000</v>
      </c>
      <c r="F60" s="72">
        <v>100000</v>
      </c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>
        <v>500000</v>
      </c>
    </row>
    <row r="61" spans="1:26" x14ac:dyDescent="0.35">
      <c r="A61" s="175" t="s">
        <v>181</v>
      </c>
      <c r="B61" s="176">
        <v>100000</v>
      </c>
      <c r="C61" s="176">
        <v>100000</v>
      </c>
      <c r="D61" s="176">
        <v>100000</v>
      </c>
      <c r="E61" s="176">
        <v>100000</v>
      </c>
      <c r="F61" s="176">
        <v>100000</v>
      </c>
      <c r="G61" s="176">
        <v>100000</v>
      </c>
      <c r="H61" s="176">
        <v>100000</v>
      </c>
      <c r="I61" s="176">
        <v>100000</v>
      </c>
      <c r="J61" s="176">
        <v>100000</v>
      </c>
      <c r="K61" s="176">
        <v>100000</v>
      </c>
      <c r="L61" s="176">
        <v>100000</v>
      </c>
      <c r="M61" s="176">
        <v>100000</v>
      </c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>
        <v>1200000</v>
      </c>
    </row>
    <row r="62" spans="1:26" x14ac:dyDescent="0.35">
      <c r="A62" s="70" t="s">
        <v>182</v>
      </c>
      <c r="B62" s="72">
        <v>190000</v>
      </c>
      <c r="C62" s="72">
        <v>190000</v>
      </c>
      <c r="D62" s="72">
        <v>190000</v>
      </c>
      <c r="E62" s="72">
        <v>190000</v>
      </c>
      <c r="F62" s="72">
        <v>190000</v>
      </c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>
        <v>950000</v>
      </c>
    </row>
    <row r="63" spans="1:26" x14ac:dyDescent="0.35">
      <c r="A63" s="70" t="s">
        <v>174</v>
      </c>
      <c r="B63" s="72">
        <v>5500000</v>
      </c>
      <c r="C63" s="72">
        <v>5665000</v>
      </c>
      <c r="D63" s="72">
        <v>5165000</v>
      </c>
      <c r="E63" s="72">
        <v>5210000</v>
      </c>
      <c r="F63" s="72">
        <v>3600000</v>
      </c>
      <c r="G63" s="72">
        <v>1610000</v>
      </c>
      <c r="H63" s="72">
        <v>1110000</v>
      </c>
      <c r="I63" s="72">
        <v>1010000</v>
      </c>
      <c r="J63" s="72">
        <v>1010000</v>
      </c>
      <c r="K63" s="72">
        <v>910000</v>
      </c>
      <c r="L63" s="72">
        <v>910000</v>
      </c>
      <c r="M63" s="72">
        <v>810000</v>
      </c>
      <c r="N63" s="72">
        <v>100000</v>
      </c>
      <c r="O63" s="72">
        <v>100000</v>
      </c>
      <c r="P63" s="72">
        <v>100000</v>
      </c>
      <c r="Q63" s="72">
        <v>100000</v>
      </c>
      <c r="R63" s="72">
        <v>100000</v>
      </c>
      <c r="S63" s="72">
        <v>100000</v>
      </c>
      <c r="T63" s="72">
        <v>100000</v>
      </c>
      <c r="U63" s="72">
        <v>100000</v>
      </c>
      <c r="V63" s="72">
        <v>200000</v>
      </c>
      <c r="W63" s="72">
        <v>200000</v>
      </c>
      <c r="X63" s="72">
        <v>300000</v>
      </c>
      <c r="Y63" s="72">
        <v>300000</v>
      </c>
      <c r="Z63" s="72">
        <v>34310000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7106-4EAF-46FE-8782-61581B34D523}">
  <sheetPr>
    <tabColor rgb="FFFFFF00"/>
  </sheetPr>
  <dimension ref="A1:K66"/>
  <sheetViews>
    <sheetView workbookViewId="0">
      <selection activeCell="K31" sqref="K31"/>
    </sheetView>
  </sheetViews>
  <sheetFormatPr defaultRowHeight="14.5" x14ac:dyDescent="0.35"/>
  <cols>
    <col min="1" max="1" width="6.1796875" customWidth="1"/>
    <col min="2" max="2" width="10.54296875" style="121" customWidth="1"/>
    <col min="3" max="3" width="32.08984375" customWidth="1"/>
    <col min="4" max="4" width="4.7265625" bestFit="1" customWidth="1"/>
    <col min="5" max="6" width="9.54296875" customWidth="1"/>
    <col min="7" max="9" width="13.08984375" style="71" customWidth="1"/>
    <col min="10" max="10" width="13.6328125" style="71" bestFit="1" customWidth="1"/>
  </cols>
  <sheetData>
    <row r="1" spans="1:9" x14ac:dyDescent="0.35">
      <c r="A1" s="131" t="s">
        <v>260</v>
      </c>
    </row>
    <row r="2" spans="1:9" x14ac:dyDescent="0.35">
      <c r="A2" t="s">
        <v>70</v>
      </c>
      <c r="B2" s="121" t="s">
        <v>203</v>
      </c>
      <c r="C2" t="s">
        <v>204</v>
      </c>
      <c r="D2" t="s">
        <v>72</v>
      </c>
      <c r="E2" t="s">
        <v>205</v>
      </c>
      <c r="G2" s="71" t="s">
        <v>22</v>
      </c>
      <c r="H2" s="71" t="s">
        <v>23</v>
      </c>
      <c r="I2" s="71" t="s">
        <v>24</v>
      </c>
    </row>
    <row r="3" spans="1:9" x14ac:dyDescent="0.35">
      <c r="F3" t="s">
        <v>266</v>
      </c>
      <c r="I3" s="122">
        <v>14000000</v>
      </c>
    </row>
    <row r="4" spans="1:9" x14ac:dyDescent="0.35">
      <c r="A4">
        <v>1</v>
      </c>
      <c r="B4" s="121">
        <v>38807</v>
      </c>
      <c r="C4" t="s">
        <v>192</v>
      </c>
      <c r="E4">
        <v>3</v>
      </c>
      <c r="F4" t="s">
        <v>266</v>
      </c>
      <c r="H4" s="71">
        <v>944000</v>
      </c>
      <c r="I4" s="71">
        <f>I3+G4-H4</f>
        <v>13056000</v>
      </c>
    </row>
    <row r="5" spans="1:9" x14ac:dyDescent="0.35">
      <c r="A5">
        <v>2</v>
      </c>
      <c r="B5" s="121">
        <v>38807</v>
      </c>
      <c r="C5" t="s">
        <v>193</v>
      </c>
      <c r="E5">
        <v>3</v>
      </c>
      <c r="F5" t="s">
        <v>266</v>
      </c>
      <c r="H5" s="71">
        <v>1732000</v>
      </c>
      <c r="I5" s="71">
        <f>I4+G5-H5</f>
        <v>11324000</v>
      </c>
    </row>
    <row r="6" spans="1:9" x14ac:dyDescent="0.35">
      <c r="A6">
        <v>3</v>
      </c>
      <c r="B6" s="121">
        <v>38807</v>
      </c>
      <c r="C6" t="s">
        <v>199</v>
      </c>
      <c r="E6">
        <v>3</v>
      </c>
      <c r="F6" t="s">
        <v>266</v>
      </c>
      <c r="H6" s="71">
        <f>1350000-750000</f>
        <v>600000</v>
      </c>
      <c r="I6" s="71">
        <f t="shared" ref="I6:I26" si="0">I5+G6-H6</f>
        <v>10724000</v>
      </c>
    </row>
    <row r="7" spans="1:9" x14ac:dyDescent="0.35">
      <c r="A7">
        <v>4</v>
      </c>
      <c r="B7" s="121">
        <v>38807</v>
      </c>
      <c r="C7" t="s">
        <v>206</v>
      </c>
      <c r="E7">
        <v>3</v>
      </c>
      <c r="F7" t="s">
        <v>266</v>
      </c>
      <c r="H7" s="71">
        <v>750000</v>
      </c>
      <c r="I7" s="71">
        <f t="shared" si="0"/>
        <v>9974000</v>
      </c>
    </row>
    <row r="8" spans="1:9" x14ac:dyDescent="0.35">
      <c r="A8">
        <v>5</v>
      </c>
      <c r="B8" s="121">
        <v>38807</v>
      </c>
      <c r="C8" t="s">
        <v>207</v>
      </c>
      <c r="E8">
        <v>3</v>
      </c>
      <c r="F8" t="s">
        <v>266</v>
      </c>
      <c r="H8" s="71">
        <v>900000</v>
      </c>
      <c r="I8" s="71">
        <f t="shared" si="0"/>
        <v>9074000</v>
      </c>
    </row>
    <row r="9" spans="1:9" x14ac:dyDescent="0.35">
      <c r="A9">
        <v>6</v>
      </c>
      <c r="B9" s="121">
        <v>46113</v>
      </c>
      <c r="C9" t="s">
        <v>208</v>
      </c>
      <c r="E9">
        <v>4</v>
      </c>
      <c r="F9" t="s">
        <v>266</v>
      </c>
      <c r="H9" s="71">
        <v>230000</v>
      </c>
      <c r="I9" s="71">
        <f t="shared" si="0"/>
        <v>8844000</v>
      </c>
    </row>
    <row r="10" spans="1:9" x14ac:dyDescent="0.35">
      <c r="A10">
        <v>7</v>
      </c>
      <c r="B10" s="121">
        <v>46113</v>
      </c>
      <c r="C10" t="s">
        <v>209</v>
      </c>
      <c r="E10">
        <v>4</v>
      </c>
      <c r="F10" t="s">
        <v>266</v>
      </c>
      <c r="H10" s="71">
        <f>375000*4</f>
        <v>1500000</v>
      </c>
      <c r="I10" s="71">
        <f t="shared" si="0"/>
        <v>7344000</v>
      </c>
    </row>
    <row r="11" spans="1:9" x14ac:dyDescent="0.35">
      <c r="A11">
        <v>8</v>
      </c>
      <c r="B11" s="121">
        <v>46113</v>
      </c>
      <c r="C11" t="s">
        <v>210</v>
      </c>
      <c r="E11">
        <v>4</v>
      </c>
      <c r="F11" t="s">
        <v>266</v>
      </c>
      <c r="H11" s="71">
        <v>2000000</v>
      </c>
      <c r="I11" s="71">
        <f t="shared" si="0"/>
        <v>5344000</v>
      </c>
    </row>
    <row r="12" spans="1:9" x14ac:dyDescent="0.35">
      <c r="A12">
        <v>9</v>
      </c>
      <c r="B12" s="121">
        <v>46113</v>
      </c>
      <c r="C12" t="s">
        <v>211</v>
      </c>
      <c r="E12">
        <v>4</v>
      </c>
      <c r="F12" t="s">
        <v>266</v>
      </c>
      <c r="H12" s="71">
        <v>500000</v>
      </c>
      <c r="I12" s="71">
        <f t="shared" si="0"/>
        <v>4844000</v>
      </c>
    </row>
    <row r="13" spans="1:9" x14ac:dyDescent="0.35">
      <c r="A13">
        <v>10</v>
      </c>
      <c r="B13" s="121">
        <v>46113</v>
      </c>
      <c r="C13" t="s">
        <v>193</v>
      </c>
      <c r="E13">
        <v>4</v>
      </c>
      <c r="F13" t="s">
        <v>266</v>
      </c>
      <c r="H13" s="71">
        <v>560000</v>
      </c>
      <c r="I13" s="71">
        <f t="shared" si="0"/>
        <v>4284000</v>
      </c>
    </row>
    <row r="14" spans="1:9" x14ac:dyDescent="0.35">
      <c r="A14">
        <v>11</v>
      </c>
      <c r="B14" s="121">
        <v>46113</v>
      </c>
      <c r="C14" t="s">
        <v>192</v>
      </c>
      <c r="E14">
        <v>4</v>
      </c>
      <c r="F14" t="s">
        <v>266</v>
      </c>
      <c r="H14" s="71">
        <v>1180000</v>
      </c>
      <c r="I14" s="71">
        <f t="shared" si="0"/>
        <v>3104000</v>
      </c>
    </row>
    <row r="15" spans="1:9" x14ac:dyDescent="0.35">
      <c r="A15">
        <v>12</v>
      </c>
      <c r="B15" s="121">
        <v>46143</v>
      </c>
      <c r="C15" s="125" t="s">
        <v>252</v>
      </c>
      <c r="D15" s="125"/>
      <c r="E15">
        <v>4</v>
      </c>
      <c r="F15" t="s">
        <v>267</v>
      </c>
      <c r="G15" s="135">
        <v>5100000</v>
      </c>
      <c r="I15" s="71">
        <f t="shared" si="0"/>
        <v>8204000</v>
      </c>
    </row>
    <row r="16" spans="1:9" x14ac:dyDescent="0.35">
      <c r="A16">
        <v>13</v>
      </c>
      <c r="B16" s="121">
        <v>46143</v>
      </c>
      <c r="C16" t="s">
        <v>206</v>
      </c>
      <c r="E16">
        <v>4</v>
      </c>
      <c r="F16" t="s">
        <v>266</v>
      </c>
      <c r="H16" s="71">
        <v>750000</v>
      </c>
      <c r="I16" s="71">
        <f>I15+G16-H16</f>
        <v>7454000</v>
      </c>
    </row>
    <row r="17" spans="1:10" x14ac:dyDescent="0.35">
      <c r="A17">
        <v>14</v>
      </c>
      <c r="B17" s="121">
        <v>46143</v>
      </c>
      <c r="C17" t="s">
        <v>199</v>
      </c>
      <c r="E17">
        <v>4</v>
      </c>
      <c r="F17" t="s">
        <v>266</v>
      </c>
      <c r="H17" s="71">
        <v>750000</v>
      </c>
      <c r="I17" s="71">
        <f t="shared" si="0"/>
        <v>6704000</v>
      </c>
    </row>
    <row r="18" spans="1:10" x14ac:dyDescent="0.35">
      <c r="A18">
        <v>15</v>
      </c>
      <c r="B18" s="121">
        <v>46143</v>
      </c>
      <c r="C18" t="s">
        <v>207</v>
      </c>
      <c r="E18">
        <v>4</v>
      </c>
      <c r="F18" t="s">
        <v>266</v>
      </c>
      <c r="H18" s="71">
        <v>900000</v>
      </c>
      <c r="I18" s="134">
        <f t="shared" si="0"/>
        <v>5804000</v>
      </c>
    </row>
    <row r="19" spans="1:10" x14ac:dyDescent="0.35">
      <c r="A19">
        <v>16</v>
      </c>
      <c r="B19" s="121">
        <v>46143</v>
      </c>
      <c r="C19" s="125" t="s">
        <v>253</v>
      </c>
      <c r="D19" s="125"/>
      <c r="E19">
        <v>5</v>
      </c>
      <c r="F19" t="s">
        <v>267</v>
      </c>
      <c r="G19" s="135">
        <v>100000</v>
      </c>
      <c r="I19" s="71">
        <f t="shared" si="0"/>
        <v>5904000</v>
      </c>
    </row>
    <row r="20" spans="1:10" x14ac:dyDescent="0.35">
      <c r="A20">
        <v>17</v>
      </c>
      <c r="B20" s="121">
        <v>46143</v>
      </c>
      <c r="C20" s="125" t="s">
        <v>254</v>
      </c>
      <c r="D20" s="125"/>
      <c r="E20">
        <v>5</v>
      </c>
      <c r="F20" t="s">
        <v>267</v>
      </c>
      <c r="G20" s="135">
        <v>200000</v>
      </c>
      <c r="I20" s="71">
        <f t="shared" si="0"/>
        <v>6104000</v>
      </c>
    </row>
    <row r="21" spans="1:10" x14ac:dyDescent="0.35">
      <c r="A21">
        <v>18</v>
      </c>
      <c r="B21" s="121">
        <v>46143</v>
      </c>
      <c r="C21" s="125" t="s">
        <v>255</v>
      </c>
      <c r="D21" s="125"/>
      <c r="E21">
        <v>5</v>
      </c>
      <c r="F21" t="s">
        <v>267</v>
      </c>
      <c r="G21" s="135">
        <v>1320000</v>
      </c>
      <c r="I21" s="134">
        <f t="shared" si="0"/>
        <v>7424000</v>
      </c>
      <c r="J21" s="134"/>
    </row>
    <row r="22" spans="1:10" x14ac:dyDescent="0.35">
      <c r="A22">
        <v>19</v>
      </c>
      <c r="B22" s="121">
        <v>46143</v>
      </c>
      <c r="C22" s="125" t="s">
        <v>262</v>
      </c>
      <c r="D22" s="125"/>
      <c r="E22">
        <v>5</v>
      </c>
      <c r="F22" t="s">
        <v>267</v>
      </c>
      <c r="G22" s="135">
        <v>200000</v>
      </c>
      <c r="I22" s="134">
        <f t="shared" si="0"/>
        <v>7624000</v>
      </c>
      <c r="J22" s="134"/>
    </row>
    <row r="23" spans="1:10" x14ac:dyDescent="0.35">
      <c r="A23">
        <v>20</v>
      </c>
      <c r="B23" s="121">
        <v>46143</v>
      </c>
      <c r="C23" s="125" t="s">
        <v>263</v>
      </c>
      <c r="D23" s="125"/>
      <c r="E23">
        <v>5</v>
      </c>
      <c r="F23" t="s">
        <v>267</v>
      </c>
      <c r="H23" s="71">
        <v>19000</v>
      </c>
      <c r="I23" s="134">
        <f t="shared" si="0"/>
        <v>7605000</v>
      </c>
      <c r="J23" s="134"/>
    </row>
    <row r="24" spans="1:10" x14ac:dyDescent="0.35">
      <c r="A24">
        <v>21</v>
      </c>
      <c r="B24" s="121">
        <v>46143</v>
      </c>
      <c r="C24" s="125" t="s">
        <v>264</v>
      </c>
      <c r="D24" s="125"/>
      <c r="E24">
        <v>5</v>
      </c>
      <c r="F24" t="s">
        <v>267</v>
      </c>
      <c r="H24" s="71">
        <v>14500</v>
      </c>
      <c r="I24" s="134">
        <f t="shared" si="0"/>
        <v>7590500</v>
      </c>
      <c r="J24" s="134"/>
    </row>
    <row r="25" spans="1:10" x14ac:dyDescent="0.35">
      <c r="A25">
        <v>22</v>
      </c>
      <c r="B25" s="121">
        <v>46143</v>
      </c>
      <c r="C25" s="125" t="s">
        <v>265</v>
      </c>
      <c r="D25" s="125"/>
      <c r="E25">
        <v>5</v>
      </c>
      <c r="F25" t="s">
        <v>267</v>
      </c>
      <c r="H25" s="71">
        <f>39648+3500</f>
        <v>43148</v>
      </c>
      <c r="I25" s="134">
        <f t="shared" si="0"/>
        <v>7547352</v>
      </c>
      <c r="J25" s="134"/>
    </row>
    <row r="26" spans="1:10" x14ac:dyDescent="0.35">
      <c r="A26">
        <v>23</v>
      </c>
      <c r="B26" s="121">
        <v>46143</v>
      </c>
      <c r="C26" s="125" t="s">
        <v>259</v>
      </c>
      <c r="D26" s="125"/>
      <c r="E26">
        <v>5</v>
      </c>
      <c r="F26" t="s">
        <v>267</v>
      </c>
      <c r="G26" s="135">
        <v>200000</v>
      </c>
      <c r="I26" s="122">
        <f t="shared" si="0"/>
        <v>7747352</v>
      </c>
      <c r="J26" s="134"/>
    </row>
    <row r="27" spans="1:10" x14ac:dyDescent="0.35">
      <c r="I27" s="133"/>
    </row>
    <row r="28" spans="1:10" x14ac:dyDescent="0.35">
      <c r="A28" s="131" t="s">
        <v>247</v>
      </c>
    </row>
    <row r="29" spans="1:10" x14ac:dyDescent="0.35">
      <c r="A29" t="s">
        <v>70</v>
      </c>
      <c r="B29" s="121" t="s">
        <v>203</v>
      </c>
      <c r="C29" t="s">
        <v>204</v>
      </c>
      <c r="D29" t="s">
        <v>72</v>
      </c>
      <c r="E29" t="s">
        <v>205</v>
      </c>
      <c r="G29" s="71" t="s">
        <v>22</v>
      </c>
      <c r="H29" s="71" t="s">
        <v>23</v>
      </c>
      <c r="I29" s="71" t="s">
        <v>24</v>
      </c>
    </row>
    <row r="30" spans="1:10" x14ac:dyDescent="0.35">
      <c r="I30" s="71">
        <v>0</v>
      </c>
    </row>
    <row r="31" spans="1:10" x14ac:dyDescent="0.35">
      <c r="A31">
        <v>1</v>
      </c>
      <c r="B31" s="121">
        <v>46142</v>
      </c>
      <c r="C31" s="125" t="s">
        <v>218</v>
      </c>
      <c r="D31" s="125" t="s">
        <v>159</v>
      </c>
      <c r="E31" s="125">
        <v>3</v>
      </c>
      <c r="F31" s="125" t="s">
        <v>266</v>
      </c>
      <c r="G31" s="71">
        <v>100000</v>
      </c>
      <c r="I31" s="71">
        <f>I30+G31-H31</f>
        <v>100000</v>
      </c>
    </row>
    <row r="32" spans="1:10" x14ac:dyDescent="0.35">
      <c r="A32">
        <v>2</v>
      </c>
      <c r="B32" s="121">
        <v>46142</v>
      </c>
      <c r="C32" s="125" t="s">
        <v>218</v>
      </c>
      <c r="D32" s="125" t="s">
        <v>159</v>
      </c>
      <c r="E32">
        <v>4</v>
      </c>
      <c r="F32" s="125" t="s">
        <v>266</v>
      </c>
      <c r="G32" s="71">
        <v>100000</v>
      </c>
      <c r="I32" s="71">
        <f>I31+G32-H32</f>
        <v>200000</v>
      </c>
    </row>
    <row r="33" spans="1:9" x14ac:dyDescent="0.35">
      <c r="A33">
        <v>3</v>
      </c>
      <c r="B33" s="121">
        <v>46142</v>
      </c>
      <c r="C33" s="125" t="s">
        <v>218</v>
      </c>
      <c r="D33" s="125" t="s">
        <v>75</v>
      </c>
      <c r="E33">
        <v>1</v>
      </c>
      <c r="F33" s="125" t="s">
        <v>266</v>
      </c>
      <c r="G33" s="71">
        <v>100000</v>
      </c>
      <c r="I33" s="71">
        <f t="shared" ref="I33:I64" si="1">I32+G33-H33</f>
        <v>300000</v>
      </c>
    </row>
    <row r="34" spans="1:9" x14ac:dyDescent="0.35">
      <c r="A34">
        <v>4</v>
      </c>
      <c r="B34" s="121">
        <v>46142</v>
      </c>
      <c r="C34" s="125" t="s">
        <v>218</v>
      </c>
      <c r="D34" s="125" t="s">
        <v>75</v>
      </c>
      <c r="E34">
        <v>2</v>
      </c>
      <c r="F34" s="125" t="s">
        <v>266</v>
      </c>
      <c r="G34" s="71">
        <v>100000</v>
      </c>
      <c r="I34" s="71">
        <f t="shared" si="1"/>
        <v>400000</v>
      </c>
    </row>
    <row r="35" spans="1:9" x14ac:dyDescent="0.35">
      <c r="A35">
        <v>5</v>
      </c>
      <c r="B35" s="121">
        <v>46142</v>
      </c>
      <c r="C35" s="125" t="s">
        <v>218</v>
      </c>
      <c r="D35" s="125" t="s">
        <v>75</v>
      </c>
      <c r="E35">
        <v>3</v>
      </c>
      <c r="F35" s="125" t="s">
        <v>266</v>
      </c>
      <c r="G35" s="71">
        <v>100000</v>
      </c>
      <c r="I35" s="71">
        <f t="shared" si="1"/>
        <v>500000</v>
      </c>
    </row>
    <row r="36" spans="1:9" x14ac:dyDescent="0.35">
      <c r="A36">
        <v>6</v>
      </c>
      <c r="B36" s="121">
        <v>46142</v>
      </c>
      <c r="C36" s="125" t="s">
        <v>218</v>
      </c>
      <c r="D36" s="125" t="s">
        <v>75</v>
      </c>
      <c r="E36">
        <v>4</v>
      </c>
      <c r="F36" s="125" t="s">
        <v>266</v>
      </c>
      <c r="G36" s="71">
        <v>100000</v>
      </c>
      <c r="I36" s="71">
        <f t="shared" si="1"/>
        <v>600000</v>
      </c>
    </row>
    <row r="37" spans="1:9" x14ac:dyDescent="0.35">
      <c r="A37">
        <v>7</v>
      </c>
      <c r="B37" s="121">
        <v>46142</v>
      </c>
      <c r="C37" s="125" t="s">
        <v>218</v>
      </c>
      <c r="D37" s="125" t="s">
        <v>97</v>
      </c>
      <c r="E37">
        <v>1</v>
      </c>
      <c r="F37" s="125" t="s">
        <v>266</v>
      </c>
      <c r="G37" s="71">
        <v>100000</v>
      </c>
      <c r="I37" s="71">
        <f t="shared" si="1"/>
        <v>700000</v>
      </c>
    </row>
    <row r="38" spans="1:9" x14ac:dyDescent="0.35">
      <c r="A38">
        <v>8</v>
      </c>
      <c r="B38" s="121">
        <v>46142</v>
      </c>
      <c r="C38" s="125" t="s">
        <v>218</v>
      </c>
      <c r="D38" s="125" t="s">
        <v>97</v>
      </c>
      <c r="E38">
        <v>2</v>
      </c>
      <c r="F38" s="125" t="s">
        <v>266</v>
      </c>
      <c r="G38" s="71">
        <v>100000</v>
      </c>
      <c r="I38" s="71">
        <f t="shared" si="1"/>
        <v>800000</v>
      </c>
    </row>
    <row r="39" spans="1:9" x14ac:dyDescent="0.35">
      <c r="A39">
        <v>9</v>
      </c>
      <c r="B39" s="121">
        <v>46142</v>
      </c>
      <c r="C39" s="125" t="s">
        <v>218</v>
      </c>
      <c r="D39" s="125" t="s">
        <v>97</v>
      </c>
      <c r="E39">
        <v>3</v>
      </c>
      <c r="F39" s="125" t="s">
        <v>266</v>
      </c>
      <c r="G39" s="71">
        <v>100000</v>
      </c>
      <c r="I39" s="71">
        <f t="shared" si="1"/>
        <v>900000</v>
      </c>
    </row>
    <row r="40" spans="1:9" x14ac:dyDescent="0.35">
      <c r="A40">
        <v>10</v>
      </c>
      <c r="B40" s="121">
        <v>46142</v>
      </c>
      <c r="C40" s="125" t="s">
        <v>218</v>
      </c>
      <c r="D40" s="125" t="s">
        <v>97</v>
      </c>
      <c r="E40">
        <v>4</v>
      </c>
      <c r="F40" s="125" t="s">
        <v>266</v>
      </c>
      <c r="G40" s="71">
        <v>100000</v>
      </c>
      <c r="I40" s="71">
        <f t="shared" si="1"/>
        <v>1000000</v>
      </c>
    </row>
    <row r="41" spans="1:9" x14ac:dyDescent="0.35">
      <c r="A41">
        <v>11</v>
      </c>
      <c r="B41" s="121">
        <v>46142</v>
      </c>
      <c r="C41" s="125" t="s">
        <v>218</v>
      </c>
      <c r="D41" s="125" t="s">
        <v>140</v>
      </c>
      <c r="E41">
        <v>1</v>
      </c>
      <c r="F41" s="125" t="s">
        <v>266</v>
      </c>
      <c r="G41" s="71">
        <v>100000</v>
      </c>
      <c r="I41" s="71">
        <f t="shared" si="1"/>
        <v>1100000</v>
      </c>
    </row>
    <row r="42" spans="1:9" x14ac:dyDescent="0.35">
      <c r="A42">
        <v>12</v>
      </c>
      <c r="B42" s="121">
        <v>46142</v>
      </c>
      <c r="C42" s="125" t="s">
        <v>218</v>
      </c>
      <c r="D42" s="125" t="s">
        <v>140</v>
      </c>
      <c r="E42">
        <v>2</v>
      </c>
      <c r="F42" s="125" t="s">
        <v>266</v>
      </c>
      <c r="G42" s="71">
        <v>100000</v>
      </c>
      <c r="I42" s="71">
        <f t="shared" si="1"/>
        <v>1200000</v>
      </c>
    </row>
    <row r="43" spans="1:9" x14ac:dyDescent="0.35">
      <c r="A43">
        <v>13</v>
      </c>
      <c r="B43" s="121">
        <v>46142</v>
      </c>
      <c r="C43" s="125" t="s">
        <v>218</v>
      </c>
      <c r="D43" s="125" t="s">
        <v>140</v>
      </c>
      <c r="E43">
        <v>3</v>
      </c>
      <c r="F43" s="125" t="s">
        <v>266</v>
      </c>
      <c r="G43" s="71">
        <v>100000</v>
      </c>
      <c r="I43" s="71">
        <f t="shared" si="1"/>
        <v>1300000</v>
      </c>
    </row>
    <row r="44" spans="1:9" x14ac:dyDescent="0.35">
      <c r="A44">
        <v>14</v>
      </c>
      <c r="B44" s="121">
        <v>46142</v>
      </c>
      <c r="C44" s="125" t="s">
        <v>218</v>
      </c>
      <c r="D44" s="125" t="s">
        <v>140</v>
      </c>
      <c r="E44">
        <v>4</v>
      </c>
      <c r="F44" s="125" t="s">
        <v>266</v>
      </c>
      <c r="G44" s="71">
        <v>100000</v>
      </c>
      <c r="I44" s="71">
        <f t="shared" si="1"/>
        <v>1400000</v>
      </c>
    </row>
    <row r="45" spans="1:9" x14ac:dyDescent="0.35">
      <c r="A45">
        <v>15</v>
      </c>
      <c r="B45" s="121">
        <v>46142</v>
      </c>
      <c r="C45" s="125" t="s">
        <v>218</v>
      </c>
      <c r="D45" s="125" t="s">
        <v>140</v>
      </c>
      <c r="E45">
        <v>5</v>
      </c>
      <c r="F45" s="125" t="s">
        <v>266</v>
      </c>
      <c r="G45" s="71">
        <v>100000</v>
      </c>
      <c r="I45" s="71">
        <f t="shared" si="1"/>
        <v>1500000</v>
      </c>
    </row>
    <row r="46" spans="1:9" x14ac:dyDescent="0.35">
      <c r="A46">
        <v>16</v>
      </c>
      <c r="B46" s="121">
        <v>46142</v>
      </c>
      <c r="C46" s="125" t="s">
        <v>218</v>
      </c>
      <c r="D46" s="125" t="s">
        <v>140</v>
      </c>
      <c r="E46">
        <v>6</v>
      </c>
      <c r="F46" s="125" t="s">
        <v>266</v>
      </c>
      <c r="G46" s="71">
        <v>100000</v>
      </c>
      <c r="I46" s="71">
        <f t="shared" si="1"/>
        <v>1600000</v>
      </c>
    </row>
    <row r="47" spans="1:9" x14ac:dyDescent="0.35">
      <c r="A47">
        <v>17</v>
      </c>
      <c r="B47" s="121">
        <v>46142</v>
      </c>
      <c r="C47" s="125" t="s">
        <v>218</v>
      </c>
      <c r="D47" s="125" t="s">
        <v>140</v>
      </c>
      <c r="E47">
        <v>7</v>
      </c>
      <c r="F47" s="125" t="s">
        <v>266</v>
      </c>
      <c r="G47" s="71">
        <v>100000</v>
      </c>
      <c r="I47" s="71">
        <f t="shared" si="1"/>
        <v>1700000</v>
      </c>
    </row>
    <row r="48" spans="1:9" x14ac:dyDescent="0.35">
      <c r="A48">
        <v>18</v>
      </c>
      <c r="B48" s="121">
        <v>46142</v>
      </c>
      <c r="C48" s="125" t="s">
        <v>218</v>
      </c>
      <c r="D48" s="125" t="s">
        <v>140</v>
      </c>
      <c r="E48">
        <v>8</v>
      </c>
      <c r="F48" s="125" t="s">
        <v>266</v>
      </c>
      <c r="G48" s="71">
        <v>100000</v>
      </c>
      <c r="I48" s="71">
        <f t="shared" si="1"/>
        <v>1800000</v>
      </c>
    </row>
    <row r="49" spans="1:9" x14ac:dyDescent="0.35">
      <c r="A49">
        <v>19</v>
      </c>
      <c r="B49" s="121">
        <v>46142</v>
      </c>
      <c r="C49" s="125" t="s">
        <v>218</v>
      </c>
      <c r="D49" s="125" t="s">
        <v>140</v>
      </c>
      <c r="E49">
        <v>9</v>
      </c>
      <c r="F49" s="125" t="s">
        <v>266</v>
      </c>
      <c r="G49" s="71">
        <v>100000</v>
      </c>
      <c r="I49" s="71">
        <f t="shared" si="1"/>
        <v>1900000</v>
      </c>
    </row>
    <row r="50" spans="1:9" x14ac:dyDescent="0.35">
      <c r="A50">
        <v>20</v>
      </c>
      <c r="B50" s="121">
        <v>46142</v>
      </c>
      <c r="C50" s="125" t="s">
        <v>218</v>
      </c>
      <c r="D50" s="125" t="s">
        <v>140</v>
      </c>
      <c r="E50">
        <v>10</v>
      </c>
      <c r="F50" s="125" t="s">
        <v>266</v>
      </c>
      <c r="G50" s="71">
        <v>100000</v>
      </c>
      <c r="I50" s="71">
        <f t="shared" si="1"/>
        <v>2000000</v>
      </c>
    </row>
    <row r="51" spans="1:9" x14ac:dyDescent="0.35">
      <c r="A51">
        <v>21</v>
      </c>
      <c r="B51" s="121">
        <v>46142</v>
      </c>
      <c r="C51" s="125" t="s">
        <v>218</v>
      </c>
      <c r="D51" s="125" t="s">
        <v>140</v>
      </c>
      <c r="E51">
        <v>11</v>
      </c>
      <c r="F51" s="125" t="s">
        <v>266</v>
      </c>
      <c r="G51" s="71">
        <v>100000</v>
      </c>
      <c r="I51" s="71">
        <f t="shared" si="1"/>
        <v>2100000</v>
      </c>
    </row>
    <row r="52" spans="1:9" x14ac:dyDescent="0.35">
      <c r="A52">
        <v>22</v>
      </c>
      <c r="B52" s="121">
        <v>46142</v>
      </c>
      <c r="C52" s="125" t="s">
        <v>218</v>
      </c>
      <c r="D52" s="125" t="s">
        <v>140</v>
      </c>
      <c r="E52">
        <v>12</v>
      </c>
      <c r="F52" s="125" t="s">
        <v>266</v>
      </c>
      <c r="G52" s="71">
        <v>100000</v>
      </c>
      <c r="I52" s="71">
        <f t="shared" si="1"/>
        <v>2200000</v>
      </c>
    </row>
    <row r="53" spans="1:9" x14ac:dyDescent="0.35">
      <c r="A53">
        <v>23</v>
      </c>
      <c r="B53" s="121">
        <v>46142</v>
      </c>
      <c r="C53" s="125" t="s">
        <v>218</v>
      </c>
      <c r="D53" s="125" t="s">
        <v>84</v>
      </c>
      <c r="E53">
        <v>1</v>
      </c>
      <c r="F53" s="125" t="s">
        <v>266</v>
      </c>
      <c r="G53" s="71">
        <v>100000</v>
      </c>
      <c r="I53" s="71">
        <f t="shared" si="1"/>
        <v>2300000</v>
      </c>
    </row>
    <row r="54" spans="1:9" x14ac:dyDescent="0.35">
      <c r="A54">
        <v>24</v>
      </c>
      <c r="B54" s="121">
        <v>46142</v>
      </c>
      <c r="C54" s="125" t="s">
        <v>218</v>
      </c>
      <c r="D54" s="125" t="s">
        <v>84</v>
      </c>
      <c r="E54">
        <v>2</v>
      </c>
      <c r="F54" s="125" t="s">
        <v>266</v>
      </c>
      <c r="G54" s="71">
        <v>100000</v>
      </c>
      <c r="I54" s="71">
        <f t="shared" si="1"/>
        <v>2400000</v>
      </c>
    </row>
    <row r="55" spans="1:9" x14ac:dyDescent="0.35">
      <c r="A55">
        <v>25</v>
      </c>
      <c r="B55" s="121">
        <v>46142</v>
      </c>
      <c r="C55" s="125" t="s">
        <v>218</v>
      </c>
      <c r="D55" s="125" t="s">
        <v>84</v>
      </c>
      <c r="E55">
        <v>3</v>
      </c>
      <c r="F55" s="125" t="s">
        <v>266</v>
      </c>
      <c r="G55" s="71">
        <v>100000</v>
      </c>
      <c r="I55" s="71">
        <f t="shared" si="1"/>
        <v>2500000</v>
      </c>
    </row>
    <row r="56" spans="1:9" x14ac:dyDescent="0.35">
      <c r="A56">
        <v>26</v>
      </c>
      <c r="B56" s="121">
        <v>46142</v>
      </c>
      <c r="C56" s="125" t="s">
        <v>218</v>
      </c>
      <c r="D56" s="125" t="s">
        <v>84</v>
      </c>
      <c r="E56">
        <v>4</v>
      </c>
      <c r="F56" s="125" t="s">
        <v>266</v>
      </c>
      <c r="G56" s="71">
        <v>100000</v>
      </c>
      <c r="I56" s="71">
        <f t="shared" si="1"/>
        <v>2600000</v>
      </c>
    </row>
    <row r="57" spans="1:9" x14ac:dyDescent="0.35">
      <c r="A57">
        <v>27</v>
      </c>
      <c r="B57" s="121">
        <v>46142</v>
      </c>
      <c r="C57" s="125" t="s">
        <v>218</v>
      </c>
      <c r="D57" s="125" t="s">
        <v>86</v>
      </c>
      <c r="E57">
        <v>3</v>
      </c>
      <c r="F57" s="125" t="s">
        <v>266</v>
      </c>
      <c r="G57" s="71">
        <v>100000</v>
      </c>
      <c r="I57" s="71">
        <f t="shared" si="1"/>
        <v>2700000</v>
      </c>
    </row>
    <row r="58" spans="1:9" x14ac:dyDescent="0.35">
      <c r="A58">
        <v>28</v>
      </c>
      <c r="B58" s="121">
        <v>46142</v>
      </c>
      <c r="C58" s="125" t="s">
        <v>218</v>
      </c>
      <c r="D58" s="125" t="s">
        <v>86</v>
      </c>
      <c r="E58">
        <v>4</v>
      </c>
      <c r="F58" s="125" t="s">
        <v>266</v>
      </c>
      <c r="G58" s="71">
        <v>100000</v>
      </c>
      <c r="I58" s="71">
        <f t="shared" si="1"/>
        <v>2800000</v>
      </c>
    </row>
    <row r="59" spans="1:9" x14ac:dyDescent="0.35">
      <c r="A59">
        <v>29</v>
      </c>
      <c r="B59" s="121">
        <v>46142</v>
      </c>
      <c r="C59" s="125" t="s">
        <v>218</v>
      </c>
      <c r="D59" s="125" t="s">
        <v>219</v>
      </c>
      <c r="E59">
        <v>1</v>
      </c>
      <c r="F59" s="125" t="s">
        <v>266</v>
      </c>
      <c r="G59" s="71">
        <v>100000</v>
      </c>
      <c r="I59" s="71">
        <f t="shared" si="1"/>
        <v>2900000</v>
      </c>
    </row>
    <row r="60" spans="1:9" x14ac:dyDescent="0.35">
      <c r="A60">
        <v>30</v>
      </c>
      <c r="B60" s="121">
        <v>46142</v>
      </c>
      <c r="C60" s="125" t="s">
        <v>218</v>
      </c>
      <c r="D60" s="125" t="s">
        <v>219</v>
      </c>
      <c r="E60">
        <v>2</v>
      </c>
      <c r="F60" s="125" t="s">
        <v>266</v>
      </c>
      <c r="G60" s="71">
        <v>100000</v>
      </c>
      <c r="I60" s="71">
        <f t="shared" si="1"/>
        <v>3000000</v>
      </c>
    </row>
    <row r="61" spans="1:9" x14ac:dyDescent="0.35">
      <c r="A61">
        <v>31</v>
      </c>
      <c r="B61" s="121">
        <v>46142</v>
      </c>
      <c r="C61" s="125" t="s">
        <v>218</v>
      </c>
      <c r="D61" s="125" t="s">
        <v>219</v>
      </c>
      <c r="E61">
        <v>3</v>
      </c>
      <c r="F61" s="125" t="s">
        <v>266</v>
      </c>
      <c r="G61" s="71">
        <v>100000</v>
      </c>
      <c r="I61" s="71">
        <f t="shared" si="1"/>
        <v>3100000</v>
      </c>
    </row>
    <row r="62" spans="1:9" x14ac:dyDescent="0.35">
      <c r="A62">
        <v>32</v>
      </c>
      <c r="B62" s="121">
        <v>46142</v>
      </c>
      <c r="C62" s="125" t="s">
        <v>218</v>
      </c>
      <c r="D62" s="125" t="s">
        <v>219</v>
      </c>
      <c r="E62">
        <v>4</v>
      </c>
      <c r="F62" s="125" t="s">
        <v>266</v>
      </c>
      <c r="G62" s="71">
        <v>100000</v>
      </c>
      <c r="I62" s="71">
        <f t="shared" si="1"/>
        <v>3200000</v>
      </c>
    </row>
    <row r="63" spans="1:9" x14ac:dyDescent="0.35">
      <c r="A63">
        <v>33</v>
      </c>
      <c r="B63" s="121">
        <v>46142</v>
      </c>
      <c r="C63" s="125" t="s">
        <v>218</v>
      </c>
      <c r="D63" s="125" t="s">
        <v>220</v>
      </c>
      <c r="E63">
        <v>3</v>
      </c>
      <c r="F63" s="125" t="s">
        <v>266</v>
      </c>
      <c r="G63" s="71">
        <v>100000</v>
      </c>
      <c r="I63" s="71">
        <f t="shared" si="1"/>
        <v>3300000</v>
      </c>
    </row>
    <row r="64" spans="1:9" x14ac:dyDescent="0.35">
      <c r="A64">
        <v>34</v>
      </c>
      <c r="B64" s="121">
        <v>46142</v>
      </c>
      <c r="C64" s="125" t="s">
        <v>218</v>
      </c>
      <c r="D64" s="125" t="s">
        <v>220</v>
      </c>
      <c r="E64">
        <v>4</v>
      </c>
      <c r="F64" s="125" t="s">
        <v>266</v>
      </c>
      <c r="G64" s="71">
        <v>100000</v>
      </c>
      <c r="I64" s="126">
        <f t="shared" si="1"/>
        <v>3400000</v>
      </c>
    </row>
    <row r="66" spans="9:11" x14ac:dyDescent="0.35">
      <c r="I66" s="135">
        <f>I64+I26</f>
        <v>11147352</v>
      </c>
      <c r="J66" s="71">
        <v>11142352</v>
      </c>
      <c r="K66" s="72">
        <f>I66-J66</f>
        <v>5000</v>
      </c>
    </row>
  </sheetData>
  <autoFilter ref="A29:I64" xr:uid="{C85B7106-4EAF-46FE-8782-61581B34D52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4DA5-C21A-48F3-A37B-081C9DA18295}">
  <sheetPr>
    <tabColor rgb="FFFF0000"/>
  </sheetPr>
  <dimension ref="A1:AC1939"/>
  <sheetViews>
    <sheetView workbookViewId="0">
      <pane xSplit="2" ySplit="7" topLeftCell="C14" activePane="bottomRight" state="frozen"/>
      <selection pane="topRight" activeCell="C1" sqref="C1"/>
      <selection pane="bottomLeft" activeCell="A8" sqref="A8"/>
      <selection pane="bottomRight" activeCell="G28" sqref="G28"/>
    </sheetView>
  </sheetViews>
  <sheetFormatPr defaultColWidth="14.453125" defaultRowHeight="15" customHeight="1" x14ac:dyDescent="0.35"/>
  <cols>
    <col min="1" max="1" width="7.08984375" customWidth="1"/>
    <col min="2" max="2" width="13.453125" customWidth="1"/>
    <col min="3" max="3" width="6.81640625" customWidth="1"/>
    <col min="4" max="4" width="4.54296875" customWidth="1"/>
    <col min="5" max="5" width="9.453125" bestFit="1" customWidth="1"/>
    <col min="6" max="6" width="4.54296875" customWidth="1"/>
    <col min="7" max="8" width="31.81640625" customWidth="1"/>
    <col min="9" max="9" width="8.6328125" customWidth="1"/>
    <col min="10" max="10" width="19.7265625" style="71" customWidth="1"/>
    <col min="11" max="11" width="17.08984375" style="71" customWidth="1"/>
    <col min="12" max="12" width="19.54296875" style="71" customWidth="1"/>
    <col min="13" max="13" width="15.08984375" style="71" customWidth="1"/>
    <col min="14" max="14" width="18" style="71" customWidth="1"/>
    <col min="15" max="15" width="21.26953125" style="71" customWidth="1"/>
    <col min="16" max="16" width="16.54296875" customWidth="1"/>
    <col min="17" max="29" width="9.08984375" customWidth="1"/>
  </cols>
  <sheetData>
    <row r="1" spans="1:29" ht="14.25" customHeight="1" x14ac:dyDescent="0.35">
      <c r="A1" s="2" t="str">
        <f>'LR BLN'!A1:M1</f>
        <v>Paguyuban Puri Bunga 2</v>
      </c>
      <c r="B1" s="6"/>
      <c r="C1" s="6"/>
      <c r="D1" s="2"/>
      <c r="E1" s="2"/>
      <c r="F1" s="2"/>
      <c r="G1" s="2"/>
      <c r="H1" s="2"/>
      <c r="I1" s="2"/>
      <c r="J1" s="73"/>
      <c r="K1" s="73"/>
      <c r="L1" s="73"/>
      <c r="M1" s="73"/>
      <c r="N1" s="73"/>
      <c r="O1" s="7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35">
      <c r="A2" s="2" t="s">
        <v>306</v>
      </c>
      <c r="B2" s="6"/>
      <c r="C2" s="6"/>
      <c r="D2" s="2"/>
      <c r="E2" s="2"/>
      <c r="F2" s="2"/>
      <c r="G2" s="2"/>
      <c r="H2" s="2"/>
      <c r="I2" s="2"/>
      <c r="J2" s="73"/>
      <c r="K2" s="73"/>
      <c r="L2" s="73"/>
      <c r="M2" s="73"/>
      <c r="N2" s="73"/>
      <c r="O2" s="7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35">
      <c r="A3" s="2"/>
      <c r="B3" s="6"/>
      <c r="C3" s="6"/>
      <c r="D3" s="2"/>
      <c r="E3" s="2"/>
      <c r="F3" s="2"/>
      <c r="G3" s="2"/>
      <c r="H3" s="2"/>
      <c r="I3" s="2"/>
      <c r="J3" s="73"/>
      <c r="K3" s="73"/>
      <c r="L3" s="73"/>
      <c r="M3" s="73"/>
      <c r="N3" s="73"/>
      <c r="O3" s="7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35">
      <c r="A4" s="2"/>
      <c r="B4" s="6"/>
      <c r="C4" s="6"/>
      <c r="D4" s="2"/>
      <c r="E4" s="2"/>
      <c r="F4" s="2"/>
      <c r="G4" s="2"/>
      <c r="H4" s="2"/>
      <c r="I4" s="2"/>
      <c r="J4" s="73"/>
      <c r="K4" s="73"/>
      <c r="L4" s="73"/>
      <c r="M4" s="73"/>
      <c r="N4" s="73"/>
      <c r="O4" s="7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35">
      <c r="A5" s="209" t="s">
        <v>307</v>
      </c>
      <c r="B5" s="185"/>
      <c r="C5" s="185"/>
      <c r="D5" s="185"/>
      <c r="E5" s="185"/>
      <c r="F5" s="185"/>
      <c r="G5" s="185"/>
      <c r="H5" s="185"/>
      <c r="I5" s="185"/>
      <c r="J5" s="185"/>
      <c r="K5" s="73"/>
      <c r="L5" s="73"/>
      <c r="M5" s="73"/>
      <c r="N5" s="73"/>
      <c r="O5" s="7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35">
      <c r="A6" s="2"/>
      <c r="B6" s="6"/>
      <c r="C6" s="6"/>
      <c r="D6" s="2"/>
      <c r="E6" s="2"/>
      <c r="F6" s="2"/>
      <c r="G6" s="2"/>
      <c r="H6" s="2"/>
      <c r="I6" s="2"/>
      <c r="J6" s="73"/>
      <c r="K6" s="73"/>
      <c r="L6" s="73"/>
      <c r="M6" s="73"/>
      <c r="N6" s="73"/>
      <c r="O6" s="7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35">
      <c r="A7" s="7" t="s">
        <v>16</v>
      </c>
      <c r="B7" s="8" t="s">
        <v>17</v>
      </c>
      <c r="C7" s="8" t="s">
        <v>18</v>
      </c>
      <c r="D7" s="147" t="s">
        <v>19</v>
      </c>
      <c r="E7" s="7" t="s">
        <v>261</v>
      </c>
      <c r="F7" s="7" t="s">
        <v>20</v>
      </c>
      <c r="G7" s="7" t="s">
        <v>21</v>
      </c>
      <c r="H7" s="120" t="s">
        <v>189</v>
      </c>
      <c r="I7" s="7" t="s">
        <v>72</v>
      </c>
      <c r="J7" s="74" t="s">
        <v>22</v>
      </c>
      <c r="K7" s="74" t="s">
        <v>23</v>
      </c>
      <c r="L7" s="74" t="s">
        <v>24</v>
      </c>
      <c r="M7" s="73" t="s">
        <v>276</v>
      </c>
      <c r="N7" s="73" t="s">
        <v>277</v>
      </c>
      <c r="O7" s="73" t="s">
        <v>38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35">
      <c r="A8" s="9">
        <v>1</v>
      </c>
      <c r="B8" s="10">
        <v>46023</v>
      </c>
      <c r="C8" s="11">
        <f t="shared" ref="C8:C71" si="0">MONTH(B8)</f>
        <v>1</v>
      </c>
      <c r="D8" s="11">
        <v>5</v>
      </c>
      <c r="E8" s="68"/>
      <c r="F8" s="9"/>
      <c r="G8" s="12" t="s">
        <v>25</v>
      </c>
      <c r="H8" s="12"/>
      <c r="I8" s="12"/>
      <c r="J8" s="75"/>
      <c r="K8" s="76"/>
      <c r="L8" s="150">
        <v>0</v>
      </c>
      <c r="M8" s="73"/>
      <c r="N8" s="73"/>
      <c r="O8" s="7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35">
      <c r="A9" s="9">
        <v>1</v>
      </c>
      <c r="B9" s="15">
        <v>46137</v>
      </c>
      <c r="C9" s="11">
        <f t="shared" si="0"/>
        <v>4</v>
      </c>
      <c r="D9" s="11">
        <v>5</v>
      </c>
      <c r="E9" s="13">
        <v>1</v>
      </c>
      <c r="F9" s="11">
        <v>40</v>
      </c>
      <c r="G9" s="89" t="str">
        <f>IFERROR(VLOOKUP(F9,COA!$A$1:$K$26,2,FALSE),0)</f>
        <v>Penerimaan Iuran Warga</v>
      </c>
      <c r="H9" s="89" t="s">
        <v>305</v>
      </c>
      <c r="I9" s="13" t="s">
        <v>140</v>
      </c>
      <c r="J9" s="78">
        <v>100000</v>
      </c>
      <c r="K9" s="79"/>
      <c r="L9" s="146">
        <f>L8+J9-K9</f>
        <v>100000</v>
      </c>
      <c r="M9" s="73"/>
      <c r="N9" s="73"/>
      <c r="O9" s="7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35">
      <c r="A10" s="9">
        <f>A9+1</f>
        <v>2</v>
      </c>
      <c r="B10" s="15">
        <v>46137</v>
      </c>
      <c r="C10" s="11">
        <f t="shared" si="0"/>
        <v>4</v>
      </c>
      <c r="D10" s="11">
        <v>5</v>
      </c>
      <c r="E10" s="13">
        <v>2</v>
      </c>
      <c r="F10" s="14">
        <v>40</v>
      </c>
      <c r="G10" s="89" t="str">
        <f>IFERROR(VLOOKUP(F10,COA!$A$1:$K$26,2,FALSE),0)</f>
        <v>Penerimaan Iuran Warga</v>
      </c>
      <c r="H10" s="89" t="s">
        <v>305</v>
      </c>
      <c r="I10" s="13" t="s">
        <v>140</v>
      </c>
      <c r="J10" s="78">
        <v>100000</v>
      </c>
      <c r="K10" s="79"/>
      <c r="L10" s="146">
        <f>L9+J10-K10</f>
        <v>200000</v>
      </c>
      <c r="M10" s="73"/>
      <c r="N10" s="73"/>
      <c r="O10" s="7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35">
      <c r="A11" s="9">
        <f t="shared" ref="A11:A74" si="1">A10+1</f>
        <v>3</v>
      </c>
      <c r="B11" s="15">
        <v>46137</v>
      </c>
      <c r="C11" s="11">
        <f t="shared" si="0"/>
        <v>4</v>
      </c>
      <c r="D11" s="11">
        <v>5</v>
      </c>
      <c r="E11" s="13">
        <v>3</v>
      </c>
      <c r="F11" s="14">
        <v>40</v>
      </c>
      <c r="G11" s="89" t="str">
        <f>IFERROR(VLOOKUP(F11,COA!$A$1:$K$26,2,FALSE),0)</f>
        <v>Penerimaan Iuran Warga</v>
      </c>
      <c r="H11" s="89" t="s">
        <v>305</v>
      </c>
      <c r="I11" s="13" t="s">
        <v>140</v>
      </c>
      <c r="J11" s="82">
        <v>100000</v>
      </c>
      <c r="K11" s="79"/>
      <c r="L11" s="146">
        <f t="shared" ref="L11:L74" si="2">L10+J11-K11</f>
        <v>300000</v>
      </c>
      <c r="M11" s="73"/>
      <c r="N11" s="73"/>
      <c r="O11" s="7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 x14ac:dyDescent="0.35">
      <c r="A12" s="9">
        <f t="shared" si="1"/>
        <v>4</v>
      </c>
      <c r="B12" s="15">
        <v>46137</v>
      </c>
      <c r="C12" s="11">
        <f t="shared" si="0"/>
        <v>4</v>
      </c>
      <c r="D12" s="11">
        <v>5</v>
      </c>
      <c r="E12" s="13">
        <v>4</v>
      </c>
      <c r="F12" s="14">
        <v>40</v>
      </c>
      <c r="G12" s="89" t="str">
        <f>IFERROR(VLOOKUP(F12,COA!$A$1:$K$26,2,FALSE),0)</f>
        <v>Penerimaan Iuran Warga</v>
      </c>
      <c r="H12" s="89" t="s">
        <v>305</v>
      </c>
      <c r="I12" s="13" t="s">
        <v>140</v>
      </c>
      <c r="J12" s="82">
        <v>100000</v>
      </c>
      <c r="K12" s="136"/>
      <c r="L12" s="146">
        <f t="shared" si="2"/>
        <v>400000</v>
      </c>
      <c r="M12" s="73"/>
      <c r="N12" s="73"/>
      <c r="O12" s="7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 x14ac:dyDescent="0.35">
      <c r="A13" s="9">
        <f t="shared" si="1"/>
        <v>5</v>
      </c>
      <c r="B13" s="15">
        <v>46137</v>
      </c>
      <c r="C13" s="11">
        <f t="shared" si="0"/>
        <v>4</v>
      </c>
      <c r="D13" s="11">
        <v>5</v>
      </c>
      <c r="E13" s="13">
        <v>5</v>
      </c>
      <c r="F13" s="14">
        <v>40</v>
      </c>
      <c r="G13" s="89" t="str">
        <f>IFERROR(VLOOKUP(F13,COA!$A$1:$K$26,2,FALSE),0)</f>
        <v>Penerimaan Iuran Warga</v>
      </c>
      <c r="H13" s="89" t="s">
        <v>305</v>
      </c>
      <c r="I13" s="13" t="s">
        <v>140</v>
      </c>
      <c r="J13" s="78">
        <v>100000</v>
      </c>
      <c r="K13" s="79"/>
      <c r="L13" s="146">
        <f t="shared" si="2"/>
        <v>500000</v>
      </c>
      <c r="M13" s="73"/>
      <c r="N13" s="73"/>
      <c r="O13" s="7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 x14ac:dyDescent="0.35">
      <c r="A14" s="9">
        <f t="shared" si="1"/>
        <v>6</v>
      </c>
      <c r="B14" s="15">
        <v>46137</v>
      </c>
      <c r="C14" s="11">
        <f t="shared" si="0"/>
        <v>4</v>
      </c>
      <c r="D14" s="11">
        <v>5</v>
      </c>
      <c r="E14" s="13">
        <v>6</v>
      </c>
      <c r="F14" s="14">
        <v>40</v>
      </c>
      <c r="G14" s="89" t="str">
        <f>IFERROR(VLOOKUP(F14,COA!$A$1:$K$26,2,FALSE),0)</f>
        <v>Penerimaan Iuran Warga</v>
      </c>
      <c r="H14" s="89" t="s">
        <v>305</v>
      </c>
      <c r="I14" s="13" t="s">
        <v>140</v>
      </c>
      <c r="J14" s="78">
        <v>100000</v>
      </c>
      <c r="K14" s="79"/>
      <c r="L14" s="146">
        <f t="shared" si="2"/>
        <v>600000</v>
      </c>
      <c r="M14" s="73"/>
      <c r="N14" s="73"/>
      <c r="O14" s="7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 x14ac:dyDescent="0.35">
      <c r="A15" s="9">
        <f t="shared" si="1"/>
        <v>7</v>
      </c>
      <c r="B15" s="15">
        <v>46137</v>
      </c>
      <c r="C15" s="11">
        <f t="shared" si="0"/>
        <v>4</v>
      </c>
      <c r="D15" s="11">
        <v>5</v>
      </c>
      <c r="E15" s="13">
        <v>7</v>
      </c>
      <c r="F15" s="14">
        <v>40</v>
      </c>
      <c r="G15" s="89" t="str">
        <f>IFERROR(VLOOKUP(F15,COA!$A$1:$K$26,2,FALSE),0)</f>
        <v>Penerimaan Iuran Warga</v>
      </c>
      <c r="H15" s="89" t="s">
        <v>305</v>
      </c>
      <c r="I15" s="13" t="s">
        <v>140</v>
      </c>
      <c r="J15" s="78">
        <v>100000</v>
      </c>
      <c r="K15" s="79"/>
      <c r="L15" s="146">
        <f t="shared" si="2"/>
        <v>700000</v>
      </c>
      <c r="M15" s="73"/>
      <c r="N15" s="73"/>
      <c r="O15" s="7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 x14ac:dyDescent="0.35">
      <c r="A16" s="9">
        <f t="shared" si="1"/>
        <v>8</v>
      </c>
      <c r="B16" s="15">
        <v>46137</v>
      </c>
      <c r="C16" s="11">
        <f t="shared" si="0"/>
        <v>4</v>
      </c>
      <c r="D16" s="11">
        <v>5</v>
      </c>
      <c r="E16" s="13">
        <v>8</v>
      </c>
      <c r="F16" s="14">
        <v>40</v>
      </c>
      <c r="G16" s="89" t="str">
        <f>IFERROR(VLOOKUP(F16,COA!$A$1:$K$26,2,FALSE),0)</f>
        <v>Penerimaan Iuran Warga</v>
      </c>
      <c r="H16" s="89" t="s">
        <v>305</v>
      </c>
      <c r="I16" s="13" t="s">
        <v>140</v>
      </c>
      <c r="J16" s="78">
        <v>100000</v>
      </c>
      <c r="K16" s="79"/>
      <c r="L16" s="146">
        <f t="shared" si="2"/>
        <v>800000</v>
      </c>
      <c r="M16" s="73"/>
      <c r="N16" s="73"/>
      <c r="O16" s="7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 x14ac:dyDescent="0.35">
      <c r="A17" s="9">
        <f t="shared" si="1"/>
        <v>9</v>
      </c>
      <c r="B17" s="15">
        <v>46137</v>
      </c>
      <c r="C17" s="11">
        <f t="shared" si="0"/>
        <v>4</v>
      </c>
      <c r="D17" s="11">
        <v>5</v>
      </c>
      <c r="E17" s="13">
        <v>9</v>
      </c>
      <c r="F17" s="14">
        <v>40</v>
      </c>
      <c r="G17" s="89" t="str">
        <f>IFERROR(VLOOKUP(F17,COA!$A$1:$K$26,2,FALSE),0)</f>
        <v>Penerimaan Iuran Warga</v>
      </c>
      <c r="H17" s="89" t="s">
        <v>305</v>
      </c>
      <c r="I17" s="13" t="s">
        <v>140</v>
      </c>
      <c r="J17" s="78">
        <v>100000</v>
      </c>
      <c r="K17" s="78"/>
      <c r="L17" s="146">
        <f t="shared" si="2"/>
        <v>900000</v>
      </c>
      <c r="M17" s="73"/>
      <c r="N17" s="73"/>
      <c r="O17" s="7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 x14ac:dyDescent="0.35">
      <c r="A18" s="9">
        <f t="shared" si="1"/>
        <v>10</v>
      </c>
      <c r="B18" s="15">
        <v>46137</v>
      </c>
      <c r="C18" s="11">
        <f t="shared" si="0"/>
        <v>4</v>
      </c>
      <c r="D18" s="11">
        <v>5</v>
      </c>
      <c r="E18" s="13">
        <v>10</v>
      </c>
      <c r="F18" s="14">
        <v>40</v>
      </c>
      <c r="G18" s="89" t="str">
        <f>IFERROR(VLOOKUP(F18,COA!$A$1:$K$26,2,FALSE),0)</f>
        <v>Penerimaan Iuran Warga</v>
      </c>
      <c r="H18" s="89" t="s">
        <v>305</v>
      </c>
      <c r="I18" s="13" t="s">
        <v>140</v>
      </c>
      <c r="J18" s="78">
        <v>100000</v>
      </c>
      <c r="K18" s="78"/>
      <c r="L18" s="146">
        <f t="shared" si="2"/>
        <v>1000000</v>
      </c>
      <c r="M18" s="73"/>
      <c r="N18" s="73"/>
      <c r="O18" s="7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 x14ac:dyDescent="0.35">
      <c r="A19" s="9">
        <f t="shared" si="1"/>
        <v>11</v>
      </c>
      <c r="B19" s="15">
        <v>46137</v>
      </c>
      <c r="C19" s="11">
        <f t="shared" si="0"/>
        <v>4</v>
      </c>
      <c r="D19" s="11">
        <v>5</v>
      </c>
      <c r="E19" s="13">
        <v>11</v>
      </c>
      <c r="F19" s="14">
        <v>40</v>
      </c>
      <c r="G19" s="89" t="str">
        <f>IFERROR(VLOOKUP(F19,COA!$A$1:$K$26,2,FALSE),0)</f>
        <v>Penerimaan Iuran Warga</v>
      </c>
      <c r="H19" s="89" t="s">
        <v>305</v>
      </c>
      <c r="I19" s="13" t="s">
        <v>140</v>
      </c>
      <c r="J19" s="78">
        <v>100000</v>
      </c>
      <c r="K19" s="79"/>
      <c r="L19" s="146">
        <f t="shared" si="2"/>
        <v>1100000</v>
      </c>
      <c r="M19" s="73"/>
      <c r="N19" s="73"/>
      <c r="O19" s="7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 x14ac:dyDescent="0.35">
      <c r="A20" s="9">
        <f t="shared" si="1"/>
        <v>12</v>
      </c>
      <c r="B20" s="15">
        <v>46137</v>
      </c>
      <c r="C20" s="11">
        <f t="shared" si="0"/>
        <v>4</v>
      </c>
      <c r="D20" s="11">
        <v>5</v>
      </c>
      <c r="E20" s="11">
        <v>12</v>
      </c>
      <c r="F20" s="14">
        <v>40</v>
      </c>
      <c r="G20" s="89" t="str">
        <f>IFERROR(VLOOKUP(F20,COA!$A$1:$K$26,2,FALSE),0)</f>
        <v>Penerimaan Iuran Warga</v>
      </c>
      <c r="H20" s="89" t="s">
        <v>305</v>
      </c>
      <c r="I20" s="13" t="s">
        <v>140</v>
      </c>
      <c r="J20" s="78">
        <v>100000</v>
      </c>
      <c r="K20" s="79"/>
      <c r="L20" s="146">
        <f t="shared" si="2"/>
        <v>1200000</v>
      </c>
      <c r="M20" s="73"/>
      <c r="N20" s="73"/>
      <c r="O20" s="7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 x14ac:dyDescent="0.35">
      <c r="A21" s="9">
        <f t="shared" si="1"/>
        <v>13</v>
      </c>
      <c r="B21" s="15">
        <v>46143</v>
      </c>
      <c r="C21" s="11">
        <f t="shared" si="0"/>
        <v>5</v>
      </c>
      <c r="D21" s="11">
        <v>5</v>
      </c>
      <c r="E21" s="11">
        <v>11</v>
      </c>
      <c r="F21" s="14">
        <v>40</v>
      </c>
      <c r="G21" s="89" t="str">
        <f>IFERROR(VLOOKUP(F21,COA!$A$1:$K$26,2,FALSE),0)</f>
        <v>Penerimaan Iuran Warga</v>
      </c>
      <c r="H21" s="11"/>
      <c r="I21" s="95" t="s">
        <v>113</v>
      </c>
      <c r="J21" s="78">
        <v>100000</v>
      </c>
      <c r="K21" s="79"/>
      <c r="L21" s="146">
        <f t="shared" si="2"/>
        <v>1300000</v>
      </c>
      <c r="M21" s="73"/>
      <c r="N21" s="73"/>
      <c r="O21" s="7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 x14ac:dyDescent="0.35">
      <c r="A22" s="9">
        <f t="shared" si="1"/>
        <v>14</v>
      </c>
      <c r="B22" s="15">
        <v>46143</v>
      </c>
      <c r="C22" s="11">
        <f t="shared" si="0"/>
        <v>5</v>
      </c>
      <c r="D22" s="11">
        <v>5</v>
      </c>
      <c r="E22" s="11">
        <v>12</v>
      </c>
      <c r="F22" s="14">
        <v>40</v>
      </c>
      <c r="G22" s="89" t="str">
        <f>IFERROR(VLOOKUP(F22,COA!$A$1:$K$26,2,FALSE),0)</f>
        <v>Penerimaan Iuran Warga</v>
      </c>
      <c r="H22" s="11"/>
      <c r="I22" s="95" t="s">
        <v>113</v>
      </c>
      <c r="J22" s="78">
        <v>100000</v>
      </c>
      <c r="K22" s="79"/>
      <c r="L22" s="146">
        <f t="shared" si="2"/>
        <v>1400000</v>
      </c>
      <c r="M22" s="73"/>
      <c r="N22" s="73"/>
      <c r="O22" s="7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 x14ac:dyDescent="0.35">
      <c r="A23" s="9">
        <f t="shared" si="1"/>
        <v>15</v>
      </c>
      <c r="B23" s="15">
        <v>46144</v>
      </c>
      <c r="C23" s="11">
        <f t="shared" si="0"/>
        <v>5</v>
      </c>
      <c r="D23" s="11">
        <v>5</v>
      </c>
      <c r="E23" s="13">
        <v>9</v>
      </c>
      <c r="F23" s="14">
        <v>40</v>
      </c>
      <c r="G23" s="89" t="str">
        <f>IFERROR(VLOOKUP(F23,COA!$A$1:$K$26,2,FALSE),0)</f>
        <v>Penerimaan Iuran Warga</v>
      </c>
      <c r="H23" s="11" t="s">
        <v>329</v>
      </c>
      <c r="I23" s="95" t="s">
        <v>139</v>
      </c>
      <c r="J23" s="78">
        <v>100000</v>
      </c>
      <c r="K23" s="78"/>
      <c r="L23" s="146">
        <f t="shared" si="2"/>
        <v>1500000</v>
      </c>
      <c r="M23" s="73"/>
      <c r="N23" s="73"/>
      <c r="O23" s="7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 x14ac:dyDescent="0.35">
      <c r="A24" s="9">
        <f t="shared" si="1"/>
        <v>16</v>
      </c>
      <c r="B24" s="15">
        <v>46144</v>
      </c>
      <c r="C24" s="11">
        <f t="shared" si="0"/>
        <v>5</v>
      </c>
      <c r="D24" s="11">
        <v>5</v>
      </c>
      <c r="E24" s="11">
        <v>10</v>
      </c>
      <c r="F24" s="14">
        <v>40</v>
      </c>
      <c r="G24" s="89" t="str">
        <f>IFERROR(VLOOKUP(F24,COA!$A$1:$K$26,2,FALSE),0)</f>
        <v>Penerimaan Iuran Warga</v>
      </c>
      <c r="H24" s="11" t="s">
        <v>329</v>
      </c>
      <c r="I24" s="95" t="s">
        <v>139</v>
      </c>
      <c r="J24" s="78">
        <v>100000</v>
      </c>
      <c r="K24" s="78"/>
      <c r="L24" s="146">
        <f t="shared" si="2"/>
        <v>1600000</v>
      </c>
      <c r="M24" s="73"/>
      <c r="N24" s="73"/>
      <c r="O24" s="7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 x14ac:dyDescent="0.35">
      <c r="A25" s="9">
        <f t="shared" si="1"/>
        <v>17</v>
      </c>
      <c r="B25" s="15">
        <v>46144</v>
      </c>
      <c r="C25" s="11">
        <f t="shared" si="0"/>
        <v>5</v>
      </c>
      <c r="D25" s="11">
        <v>5</v>
      </c>
      <c r="E25" s="11">
        <v>11</v>
      </c>
      <c r="F25" s="14">
        <v>40</v>
      </c>
      <c r="G25" s="89" t="str">
        <f>IFERROR(VLOOKUP(F25,COA!$A$1:$K$26,2,FALSE),0)</f>
        <v>Penerimaan Iuran Warga</v>
      </c>
      <c r="H25" s="11" t="s">
        <v>329</v>
      </c>
      <c r="I25" s="95" t="s">
        <v>139</v>
      </c>
      <c r="J25" s="78">
        <v>100000</v>
      </c>
      <c r="K25" s="78"/>
      <c r="L25" s="146">
        <f t="shared" si="2"/>
        <v>1700000</v>
      </c>
      <c r="M25" s="73"/>
      <c r="N25" s="73"/>
      <c r="O25" s="7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 x14ac:dyDescent="0.35">
      <c r="A26" s="9">
        <f t="shared" si="1"/>
        <v>18</v>
      </c>
      <c r="B26" s="15">
        <v>46144</v>
      </c>
      <c r="C26" s="11">
        <f t="shared" si="0"/>
        <v>5</v>
      </c>
      <c r="D26" s="11">
        <v>5</v>
      </c>
      <c r="E26" s="11">
        <v>12</v>
      </c>
      <c r="F26" s="14">
        <v>40</v>
      </c>
      <c r="G26" s="89" t="str">
        <f>IFERROR(VLOOKUP(F26,COA!$A$1:$K$26,2,FALSE),0)</f>
        <v>Penerimaan Iuran Warga</v>
      </c>
      <c r="H26" s="11" t="s">
        <v>329</v>
      </c>
      <c r="I26" s="95" t="s">
        <v>139</v>
      </c>
      <c r="J26" s="78">
        <v>100000</v>
      </c>
      <c r="K26" s="78"/>
      <c r="L26" s="146">
        <f t="shared" si="2"/>
        <v>1800000</v>
      </c>
      <c r="M26" s="73"/>
      <c r="N26" s="73"/>
      <c r="O26" s="7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 x14ac:dyDescent="0.35">
      <c r="A27" s="9">
        <f t="shared" si="1"/>
        <v>19</v>
      </c>
      <c r="B27" s="10"/>
      <c r="C27" s="11">
        <f t="shared" si="0"/>
        <v>1</v>
      </c>
      <c r="D27" s="11">
        <v>5</v>
      </c>
      <c r="E27" s="11"/>
      <c r="F27" s="14"/>
      <c r="G27" s="89">
        <f>IFERROR(VLOOKUP(F27,COA!$A$1:$K$26,2,FALSE),0)</f>
        <v>0</v>
      </c>
      <c r="H27" s="11"/>
      <c r="I27" s="11"/>
      <c r="J27" s="79"/>
      <c r="K27" s="78"/>
      <c r="L27" s="146">
        <f t="shared" si="2"/>
        <v>1800000</v>
      </c>
      <c r="M27" s="73"/>
      <c r="N27" s="73"/>
      <c r="O27" s="7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 x14ac:dyDescent="0.35">
      <c r="A28" s="9">
        <f t="shared" si="1"/>
        <v>20</v>
      </c>
      <c r="B28" s="10"/>
      <c r="C28" s="11">
        <f t="shared" si="0"/>
        <v>1</v>
      </c>
      <c r="D28" s="11">
        <v>5</v>
      </c>
      <c r="E28" s="11"/>
      <c r="F28" s="14"/>
      <c r="G28" s="89">
        <f>IFERROR(VLOOKUP(F28,COA!$A$1:$K$26,2,FALSE),0)</f>
        <v>0</v>
      </c>
      <c r="H28" s="11"/>
      <c r="I28" s="11"/>
      <c r="J28" s="79"/>
      <c r="K28" s="79"/>
      <c r="L28" s="146">
        <f t="shared" si="2"/>
        <v>1800000</v>
      </c>
      <c r="M28" s="73"/>
      <c r="N28" s="73"/>
      <c r="O28" s="7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 x14ac:dyDescent="0.35">
      <c r="A29" s="9">
        <f t="shared" si="1"/>
        <v>21</v>
      </c>
      <c r="B29" s="10"/>
      <c r="C29" s="11">
        <f t="shared" si="0"/>
        <v>1</v>
      </c>
      <c r="D29" s="11">
        <v>5</v>
      </c>
      <c r="E29" s="11"/>
      <c r="F29" s="14"/>
      <c r="G29" s="89">
        <f>IFERROR(VLOOKUP(F29,COA!$A$1:$K$26,2,FALSE),0)</f>
        <v>0</v>
      </c>
      <c r="H29" s="11"/>
      <c r="I29" s="11"/>
      <c r="J29" s="79"/>
      <c r="K29" s="79"/>
      <c r="L29" s="146">
        <f t="shared" si="2"/>
        <v>1800000</v>
      </c>
      <c r="M29" s="73"/>
      <c r="N29" s="73"/>
      <c r="O29" s="7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 x14ac:dyDescent="0.35">
      <c r="A30" s="9">
        <f t="shared" si="1"/>
        <v>22</v>
      </c>
      <c r="B30" s="10"/>
      <c r="C30" s="11">
        <f t="shared" si="0"/>
        <v>1</v>
      </c>
      <c r="D30" s="11">
        <v>5</v>
      </c>
      <c r="E30" s="11"/>
      <c r="F30" s="14"/>
      <c r="G30" s="89">
        <f>IFERROR(VLOOKUP(F30,COA!$A$1:$K$26,2,FALSE),0)</f>
        <v>0</v>
      </c>
      <c r="H30" s="11"/>
      <c r="I30" s="11"/>
      <c r="J30" s="79"/>
      <c r="K30" s="79"/>
      <c r="L30" s="146">
        <f t="shared" si="2"/>
        <v>1800000</v>
      </c>
      <c r="M30" s="73"/>
      <c r="N30" s="73"/>
      <c r="O30" s="7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 x14ac:dyDescent="0.35">
      <c r="A31" s="9">
        <f t="shared" si="1"/>
        <v>23</v>
      </c>
      <c r="B31" s="15"/>
      <c r="C31" s="11">
        <f t="shared" si="0"/>
        <v>1</v>
      </c>
      <c r="D31" s="11">
        <v>5</v>
      </c>
      <c r="E31" s="13"/>
      <c r="F31" s="14"/>
      <c r="G31" s="89">
        <f>IFERROR(VLOOKUP(F31,COA!$A$1:$K$26,2,FALSE),0)</f>
        <v>0</v>
      </c>
      <c r="H31" s="11"/>
      <c r="I31" s="95"/>
      <c r="J31" s="79"/>
      <c r="K31" s="78"/>
      <c r="L31" s="146">
        <f t="shared" si="2"/>
        <v>1800000</v>
      </c>
      <c r="M31" s="73"/>
      <c r="N31" s="73"/>
      <c r="O31" s="7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 x14ac:dyDescent="0.35">
      <c r="A32" s="9">
        <f t="shared" si="1"/>
        <v>24</v>
      </c>
      <c r="B32" s="15"/>
      <c r="C32" s="11">
        <f t="shared" si="0"/>
        <v>1</v>
      </c>
      <c r="D32" s="11">
        <v>5</v>
      </c>
      <c r="E32" s="11"/>
      <c r="F32" s="14"/>
      <c r="G32" s="89">
        <f>IFERROR(VLOOKUP(F32,COA!$A$1:$K$26,2,FALSE),0)</f>
        <v>0</v>
      </c>
      <c r="H32" s="11"/>
      <c r="I32" s="95"/>
      <c r="J32" s="79"/>
      <c r="K32" s="78"/>
      <c r="L32" s="146">
        <f t="shared" si="2"/>
        <v>1800000</v>
      </c>
      <c r="M32" s="73"/>
      <c r="N32" s="73"/>
      <c r="O32" s="7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 x14ac:dyDescent="0.35">
      <c r="A33" s="9">
        <f t="shared" si="1"/>
        <v>25</v>
      </c>
      <c r="B33" s="15"/>
      <c r="C33" s="11">
        <f t="shared" si="0"/>
        <v>1</v>
      </c>
      <c r="D33" s="11">
        <v>5</v>
      </c>
      <c r="E33" s="11"/>
      <c r="F33" s="14"/>
      <c r="G33" s="89">
        <f>IFERROR(VLOOKUP(F33,COA!$A$1:$K$26,2,FALSE),0)</f>
        <v>0</v>
      </c>
      <c r="H33" s="11"/>
      <c r="I33" s="95"/>
      <c r="J33" s="78"/>
      <c r="K33" s="79"/>
      <c r="L33" s="146">
        <f t="shared" si="2"/>
        <v>1800000</v>
      </c>
      <c r="M33" s="73"/>
      <c r="N33" s="73"/>
      <c r="O33" s="7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 x14ac:dyDescent="0.35">
      <c r="A34" s="9">
        <f t="shared" si="1"/>
        <v>26</v>
      </c>
      <c r="B34" s="15"/>
      <c r="C34" s="11">
        <f t="shared" si="0"/>
        <v>1</v>
      </c>
      <c r="D34" s="11">
        <v>5</v>
      </c>
      <c r="E34" s="11"/>
      <c r="F34" s="14"/>
      <c r="G34" s="89">
        <f>IFERROR(VLOOKUP(F34,COA!$A$1:$K$26,2,FALSE),0)</f>
        <v>0</v>
      </c>
      <c r="H34" s="11"/>
      <c r="I34" s="95"/>
      <c r="J34" s="78"/>
      <c r="K34" s="78"/>
      <c r="L34" s="146">
        <f t="shared" si="2"/>
        <v>1800000</v>
      </c>
      <c r="M34" s="73"/>
      <c r="N34" s="73"/>
      <c r="O34" s="7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 x14ac:dyDescent="0.35">
      <c r="A35" s="9">
        <f t="shared" si="1"/>
        <v>27</v>
      </c>
      <c r="B35" s="15"/>
      <c r="C35" s="11">
        <f t="shared" si="0"/>
        <v>1</v>
      </c>
      <c r="D35" s="11">
        <v>5</v>
      </c>
      <c r="E35" s="11"/>
      <c r="F35" s="14"/>
      <c r="G35" s="89">
        <f>IFERROR(VLOOKUP(F35,COA!$A$1:$K$26,2,FALSE),0)</f>
        <v>0</v>
      </c>
      <c r="H35" s="11"/>
      <c r="I35" s="95"/>
      <c r="J35" s="82"/>
      <c r="K35" s="79"/>
      <c r="L35" s="146">
        <f t="shared" si="2"/>
        <v>1800000</v>
      </c>
      <c r="M35" s="73"/>
      <c r="N35" s="73"/>
      <c r="O35" s="7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 x14ac:dyDescent="0.35">
      <c r="A36" s="9">
        <f t="shared" si="1"/>
        <v>28</v>
      </c>
      <c r="B36" s="15"/>
      <c r="C36" s="11">
        <f t="shared" si="0"/>
        <v>1</v>
      </c>
      <c r="D36" s="11">
        <v>5</v>
      </c>
      <c r="E36" s="11"/>
      <c r="F36" s="14"/>
      <c r="G36" s="89">
        <f>IFERROR(VLOOKUP(F36,COA!$A$1:$K$26,2,FALSE),0)</f>
        <v>0</v>
      </c>
      <c r="H36" s="11"/>
      <c r="I36" s="95"/>
      <c r="J36" s="82"/>
      <c r="K36" s="79"/>
      <c r="L36" s="146">
        <f t="shared" si="2"/>
        <v>1800000</v>
      </c>
      <c r="M36" s="73"/>
      <c r="N36" s="73"/>
      <c r="O36" s="7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 x14ac:dyDescent="0.35">
      <c r="A37" s="9">
        <f t="shared" si="1"/>
        <v>29</v>
      </c>
      <c r="B37" s="15"/>
      <c r="C37" s="11">
        <f t="shared" si="0"/>
        <v>1</v>
      </c>
      <c r="D37" s="11">
        <v>5</v>
      </c>
      <c r="E37" s="11"/>
      <c r="F37" s="14"/>
      <c r="G37" s="89">
        <f>IFERROR(VLOOKUP(F37,COA!$A$1:$K$26,2,FALSE),0)</f>
        <v>0</v>
      </c>
      <c r="H37" s="11"/>
      <c r="I37" s="95"/>
      <c r="J37" s="82"/>
      <c r="K37" s="81"/>
      <c r="L37" s="146">
        <f t="shared" si="2"/>
        <v>1800000</v>
      </c>
      <c r="M37" s="73"/>
      <c r="N37" s="73"/>
      <c r="O37" s="7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 x14ac:dyDescent="0.35">
      <c r="A38" s="9">
        <f t="shared" si="1"/>
        <v>30</v>
      </c>
      <c r="B38" s="15"/>
      <c r="C38" s="11">
        <f t="shared" si="0"/>
        <v>1</v>
      </c>
      <c r="D38" s="11">
        <v>5</v>
      </c>
      <c r="E38" s="11"/>
      <c r="F38" s="14"/>
      <c r="G38" s="89">
        <f>IFERROR(VLOOKUP(F38,COA!$A$1:$K$26,2,FALSE),0)</f>
        <v>0</v>
      </c>
      <c r="H38" s="11"/>
      <c r="I38" s="95"/>
      <c r="J38" s="82"/>
      <c r="K38" s="79"/>
      <c r="L38" s="146">
        <f t="shared" si="2"/>
        <v>1800000</v>
      </c>
      <c r="M38" s="73"/>
      <c r="N38" s="73"/>
      <c r="O38" s="7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 x14ac:dyDescent="0.35">
      <c r="A39" s="9">
        <f t="shared" si="1"/>
        <v>31</v>
      </c>
      <c r="B39" s="15"/>
      <c r="C39" s="11">
        <f t="shared" si="0"/>
        <v>1</v>
      </c>
      <c r="D39" s="11">
        <v>5</v>
      </c>
      <c r="E39" s="11"/>
      <c r="F39" s="14"/>
      <c r="G39" s="89">
        <f>IFERROR(VLOOKUP(F39,COA!$A$1:$K$26,2,FALSE),0)</f>
        <v>0</v>
      </c>
      <c r="H39" s="11"/>
      <c r="I39" s="95"/>
      <c r="J39" s="82"/>
      <c r="K39" s="79"/>
      <c r="L39" s="146">
        <f t="shared" si="2"/>
        <v>1800000</v>
      </c>
      <c r="M39" s="73"/>
      <c r="N39" s="73"/>
      <c r="O39" s="7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 x14ac:dyDescent="0.35">
      <c r="A40" s="9">
        <f t="shared" si="1"/>
        <v>32</v>
      </c>
      <c r="B40" s="15"/>
      <c r="C40" s="11">
        <f t="shared" si="0"/>
        <v>1</v>
      </c>
      <c r="D40" s="11">
        <v>5</v>
      </c>
      <c r="E40" s="11"/>
      <c r="F40" s="14"/>
      <c r="G40" s="89">
        <f>IFERROR(VLOOKUP(F40,COA!$A$1:$K$26,2,FALSE),0)</f>
        <v>0</v>
      </c>
      <c r="H40" s="11"/>
      <c r="I40" s="95"/>
      <c r="J40" s="82"/>
      <c r="K40" s="81"/>
      <c r="L40" s="146">
        <f t="shared" si="2"/>
        <v>1800000</v>
      </c>
      <c r="M40" s="73"/>
      <c r="N40" s="73"/>
      <c r="O40" s="7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 x14ac:dyDescent="0.35">
      <c r="A41" s="9">
        <f t="shared" si="1"/>
        <v>33</v>
      </c>
      <c r="B41" s="15"/>
      <c r="C41" s="11">
        <f t="shared" si="0"/>
        <v>1</v>
      </c>
      <c r="D41" s="11">
        <v>5</v>
      </c>
      <c r="E41" s="11"/>
      <c r="F41" s="14"/>
      <c r="G41" s="89">
        <f>IFERROR(VLOOKUP(F41,COA!$A$1:$K$26,2,FALSE),0)</f>
        <v>0</v>
      </c>
      <c r="H41" s="11"/>
      <c r="I41" s="95"/>
      <c r="J41" s="82"/>
      <c r="K41" s="81"/>
      <c r="L41" s="146">
        <f t="shared" si="2"/>
        <v>1800000</v>
      </c>
      <c r="M41" s="73"/>
      <c r="N41" s="73"/>
      <c r="O41" s="7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 x14ac:dyDescent="0.35">
      <c r="A42" s="9">
        <f t="shared" si="1"/>
        <v>34</v>
      </c>
      <c r="B42" s="15"/>
      <c r="C42" s="11">
        <f t="shared" si="0"/>
        <v>1</v>
      </c>
      <c r="D42" s="11">
        <v>5</v>
      </c>
      <c r="E42" s="11"/>
      <c r="F42" s="14"/>
      <c r="G42" s="89">
        <f>IFERROR(VLOOKUP(F42,COA!$A$1:$K$26,2,FALSE),0)</f>
        <v>0</v>
      </c>
      <c r="H42" s="11"/>
      <c r="I42" s="95"/>
      <c r="J42" s="82"/>
      <c r="K42" s="79"/>
      <c r="L42" s="146">
        <f t="shared" si="2"/>
        <v>1800000</v>
      </c>
      <c r="M42" s="73"/>
      <c r="N42" s="73"/>
      <c r="O42" s="7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 x14ac:dyDescent="0.35">
      <c r="A43" s="9">
        <f t="shared" si="1"/>
        <v>35</v>
      </c>
      <c r="B43" s="15"/>
      <c r="C43" s="11">
        <f t="shared" si="0"/>
        <v>1</v>
      </c>
      <c r="D43" s="11">
        <v>5</v>
      </c>
      <c r="E43" s="11"/>
      <c r="F43" s="14"/>
      <c r="G43" s="89">
        <f>IFERROR(VLOOKUP(F43,COA!$A$1:$K$26,2,FALSE),0)</f>
        <v>0</v>
      </c>
      <c r="H43" s="11"/>
      <c r="I43" s="95"/>
      <c r="J43" s="78"/>
      <c r="K43" s="81"/>
      <c r="L43" s="146">
        <f t="shared" si="2"/>
        <v>1800000</v>
      </c>
      <c r="M43" s="73"/>
      <c r="N43" s="73"/>
      <c r="O43" s="7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 x14ac:dyDescent="0.35">
      <c r="A44" s="9">
        <f t="shared" si="1"/>
        <v>36</v>
      </c>
      <c r="B44" s="15"/>
      <c r="C44" s="11">
        <f t="shared" si="0"/>
        <v>1</v>
      </c>
      <c r="D44" s="11">
        <v>5</v>
      </c>
      <c r="E44" s="11"/>
      <c r="F44" s="14"/>
      <c r="G44" s="89">
        <f>IFERROR(VLOOKUP(F44,COA!$A$1:$K$26,2,FALSE),0)</f>
        <v>0</v>
      </c>
      <c r="H44" s="11"/>
      <c r="I44" s="95"/>
      <c r="J44" s="78"/>
      <c r="K44" s="79"/>
      <c r="L44" s="146">
        <f t="shared" si="2"/>
        <v>1800000</v>
      </c>
      <c r="M44" s="73"/>
      <c r="N44" s="73"/>
      <c r="O44" s="7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 x14ac:dyDescent="0.35">
      <c r="A45" s="9">
        <f t="shared" si="1"/>
        <v>37</v>
      </c>
      <c r="B45" s="16"/>
      <c r="C45" s="11">
        <f t="shared" si="0"/>
        <v>1</v>
      </c>
      <c r="D45" s="11">
        <v>5</v>
      </c>
      <c r="E45" s="11"/>
      <c r="F45" s="14"/>
      <c r="G45" s="89">
        <f>IFERROR(VLOOKUP(F45,COA!$A$1:$K$26,2,FALSE),0)</f>
        <v>0</v>
      </c>
      <c r="H45" s="11"/>
      <c r="I45" s="11"/>
      <c r="J45" s="78"/>
      <c r="K45" s="78"/>
      <c r="L45" s="146">
        <f t="shared" si="2"/>
        <v>1800000</v>
      </c>
      <c r="M45" s="73"/>
      <c r="N45" s="73"/>
      <c r="O45" s="7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 x14ac:dyDescent="0.35">
      <c r="A46" s="9">
        <f t="shared" si="1"/>
        <v>38</v>
      </c>
      <c r="B46" s="16"/>
      <c r="C46" s="11">
        <f t="shared" si="0"/>
        <v>1</v>
      </c>
      <c r="D46" s="11">
        <v>5</v>
      </c>
      <c r="E46" s="11"/>
      <c r="F46" s="14"/>
      <c r="G46" s="89">
        <f>IFERROR(VLOOKUP(F46,COA!$A$1:$K$26,2,FALSE),0)</f>
        <v>0</v>
      </c>
      <c r="H46" s="11"/>
      <c r="I46" s="11"/>
      <c r="J46" s="78"/>
      <c r="K46" s="79"/>
      <c r="L46" s="146">
        <f t="shared" si="2"/>
        <v>1800000</v>
      </c>
      <c r="M46" s="73"/>
      <c r="N46" s="73"/>
      <c r="O46" s="7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 x14ac:dyDescent="0.35">
      <c r="A47" s="9">
        <f t="shared" si="1"/>
        <v>39</v>
      </c>
      <c r="B47" s="15"/>
      <c r="C47" s="11">
        <f t="shared" si="0"/>
        <v>1</v>
      </c>
      <c r="D47" s="11">
        <v>5</v>
      </c>
      <c r="E47" s="11"/>
      <c r="F47" s="14"/>
      <c r="G47" s="89">
        <f>IFERROR(VLOOKUP(F47,COA!$A$1:$K$26,2,FALSE),0)</f>
        <v>0</v>
      </c>
      <c r="H47" s="11"/>
      <c r="I47" s="95"/>
      <c r="J47" s="78"/>
      <c r="K47" s="81"/>
      <c r="L47" s="146">
        <f t="shared" si="2"/>
        <v>1800000</v>
      </c>
      <c r="M47" s="73"/>
      <c r="N47" s="73"/>
      <c r="O47" s="7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 x14ac:dyDescent="0.35">
      <c r="A48" s="9">
        <f t="shared" si="1"/>
        <v>40</v>
      </c>
      <c r="B48" s="10"/>
      <c r="C48" s="11">
        <f t="shared" si="0"/>
        <v>1</v>
      </c>
      <c r="D48" s="11">
        <v>5</v>
      </c>
      <c r="E48" s="11"/>
      <c r="F48" s="11"/>
      <c r="G48" s="89">
        <f>IFERROR(VLOOKUP(F48,COA!$A$1:$K$26,2,FALSE),0)</f>
        <v>0</v>
      </c>
      <c r="H48" s="11"/>
      <c r="I48" s="11"/>
      <c r="J48" s="77"/>
      <c r="K48" s="78"/>
      <c r="L48" s="146">
        <f t="shared" si="2"/>
        <v>1800000</v>
      </c>
      <c r="M48" s="73"/>
      <c r="N48" s="73"/>
      <c r="O48" s="7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 x14ac:dyDescent="0.35">
      <c r="A49" s="9">
        <f t="shared" si="1"/>
        <v>41</v>
      </c>
      <c r="B49" s="10"/>
      <c r="C49" s="11">
        <f t="shared" si="0"/>
        <v>1</v>
      </c>
      <c r="D49" s="11">
        <v>5</v>
      </c>
      <c r="E49" s="11"/>
      <c r="F49" s="14"/>
      <c r="G49" s="89">
        <f>IFERROR(VLOOKUP(F49,COA!$A$1:$K$26,2,FALSE),0)</f>
        <v>0</v>
      </c>
      <c r="H49" s="11"/>
      <c r="I49" s="11"/>
      <c r="J49" s="78"/>
      <c r="K49" s="79"/>
      <c r="L49" s="146">
        <f t="shared" si="2"/>
        <v>1800000</v>
      </c>
      <c r="M49" s="73"/>
      <c r="N49" s="73"/>
      <c r="O49" s="7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 x14ac:dyDescent="0.35">
      <c r="A50" s="9">
        <f t="shared" si="1"/>
        <v>42</v>
      </c>
      <c r="B50" s="10"/>
      <c r="C50" s="11">
        <f t="shared" si="0"/>
        <v>1</v>
      </c>
      <c r="D50" s="11">
        <v>5</v>
      </c>
      <c r="E50" s="11"/>
      <c r="F50" s="14"/>
      <c r="G50" s="89">
        <f>IFERROR(VLOOKUP(F50,COA!$A$1:$K$26,2,FALSE),0)</f>
        <v>0</v>
      </c>
      <c r="H50" s="11"/>
      <c r="I50" s="11"/>
      <c r="J50" s="79"/>
      <c r="K50" s="78"/>
      <c r="L50" s="146">
        <f t="shared" si="2"/>
        <v>1800000</v>
      </c>
      <c r="M50" s="73"/>
      <c r="N50" s="73"/>
      <c r="O50" s="7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 x14ac:dyDescent="0.35">
      <c r="A51" s="9">
        <f t="shared" si="1"/>
        <v>43</v>
      </c>
      <c r="B51" s="16"/>
      <c r="C51" s="11">
        <f t="shared" si="0"/>
        <v>1</v>
      </c>
      <c r="D51" s="11">
        <v>5</v>
      </c>
      <c r="E51" s="11"/>
      <c r="F51" s="14"/>
      <c r="G51" s="89">
        <f>IFERROR(VLOOKUP(F51,COA!$A$1:$K$26,2,FALSE),0)</f>
        <v>0</v>
      </c>
      <c r="H51" s="11"/>
      <c r="I51" s="11"/>
      <c r="J51" s="79"/>
      <c r="K51" s="78"/>
      <c r="L51" s="146">
        <f t="shared" si="2"/>
        <v>1800000</v>
      </c>
      <c r="M51" s="73"/>
      <c r="N51" s="73"/>
      <c r="O51" s="7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 x14ac:dyDescent="0.35">
      <c r="A52" s="9">
        <f t="shared" si="1"/>
        <v>44</v>
      </c>
      <c r="B52" s="16"/>
      <c r="C52" s="11">
        <f t="shared" si="0"/>
        <v>1</v>
      </c>
      <c r="D52" s="11">
        <v>5</v>
      </c>
      <c r="E52" s="11"/>
      <c r="F52" s="14"/>
      <c r="G52" s="89">
        <f>IFERROR(VLOOKUP(F52,COA!$A$1:$K$26,2,FALSE),0)</f>
        <v>0</v>
      </c>
      <c r="H52" s="11"/>
      <c r="I52" s="11"/>
      <c r="J52" s="78"/>
      <c r="K52" s="79"/>
      <c r="L52" s="146">
        <f t="shared" si="2"/>
        <v>1800000</v>
      </c>
      <c r="M52" s="73"/>
      <c r="N52" s="73"/>
      <c r="O52" s="7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 x14ac:dyDescent="0.35">
      <c r="A53" s="9">
        <f t="shared" si="1"/>
        <v>45</v>
      </c>
      <c r="B53" s="15"/>
      <c r="C53" s="11">
        <f t="shared" si="0"/>
        <v>1</v>
      </c>
      <c r="D53" s="11">
        <v>5</v>
      </c>
      <c r="E53" s="11"/>
      <c r="F53" s="11"/>
      <c r="G53" s="89">
        <f>IFERROR(VLOOKUP(F53,COA!$A$1:$K$26,2,FALSE),0)</f>
        <v>0</v>
      </c>
      <c r="H53" s="11"/>
      <c r="I53" s="11"/>
      <c r="J53" s="78"/>
      <c r="K53" s="78"/>
      <c r="L53" s="146">
        <f t="shared" si="2"/>
        <v>1800000</v>
      </c>
      <c r="M53" s="73"/>
      <c r="N53" s="73"/>
      <c r="O53" s="7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 x14ac:dyDescent="0.35">
      <c r="A54" s="9">
        <f t="shared" si="1"/>
        <v>46</v>
      </c>
      <c r="B54" s="15"/>
      <c r="C54" s="11">
        <f t="shared" si="0"/>
        <v>1</v>
      </c>
      <c r="D54" s="11">
        <v>5</v>
      </c>
      <c r="E54" s="11"/>
      <c r="F54" s="14"/>
      <c r="G54" s="89">
        <f>IFERROR(VLOOKUP(F54,COA!$A$1:$K$26,2,FALSE),0)</f>
        <v>0</v>
      </c>
      <c r="H54" s="11"/>
      <c r="I54" s="95"/>
      <c r="J54" s="82"/>
      <c r="K54" s="81"/>
      <c r="L54" s="146">
        <f t="shared" si="2"/>
        <v>1800000</v>
      </c>
      <c r="M54" s="73"/>
      <c r="N54" s="73"/>
      <c r="O54" s="7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 x14ac:dyDescent="0.35">
      <c r="A55" s="9">
        <f t="shared" si="1"/>
        <v>47</v>
      </c>
      <c r="B55" s="15"/>
      <c r="C55" s="11">
        <f t="shared" si="0"/>
        <v>1</v>
      </c>
      <c r="D55" s="11">
        <v>5</v>
      </c>
      <c r="E55" s="11"/>
      <c r="F55" s="14"/>
      <c r="G55" s="89">
        <f>IFERROR(VLOOKUP(F55,COA!$A$1:$K$26,2,FALSE),0)</f>
        <v>0</v>
      </c>
      <c r="H55" s="11"/>
      <c r="I55" s="95"/>
      <c r="J55" s="82"/>
      <c r="K55" s="81"/>
      <c r="L55" s="146">
        <f t="shared" si="2"/>
        <v>1800000</v>
      </c>
      <c r="M55" s="73"/>
      <c r="N55" s="73"/>
      <c r="O55" s="7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 x14ac:dyDescent="0.35">
      <c r="A56" s="9">
        <f t="shared" si="1"/>
        <v>48</v>
      </c>
      <c r="B56" s="15"/>
      <c r="C56" s="11">
        <f t="shared" si="0"/>
        <v>1</v>
      </c>
      <c r="D56" s="11">
        <v>5</v>
      </c>
      <c r="E56" s="11"/>
      <c r="F56" s="14"/>
      <c r="G56" s="89">
        <f>IFERROR(VLOOKUP(F56,COA!$A$1:$K$26,2,FALSE),0)</f>
        <v>0</v>
      </c>
      <c r="H56" s="11"/>
      <c r="I56" s="95"/>
      <c r="J56" s="82"/>
      <c r="K56" s="81"/>
      <c r="L56" s="146">
        <f t="shared" si="2"/>
        <v>1800000</v>
      </c>
      <c r="M56" s="73"/>
      <c r="N56" s="73"/>
      <c r="O56" s="7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x14ac:dyDescent="0.35">
      <c r="A57" s="9">
        <f t="shared" si="1"/>
        <v>49</v>
      </c>
      <c r="B57" s="15"/>
      <c r="C57" s="11">
        <f t="shared" si="0"/>
        <v>1</v>
      </c>
      <c r="D57" s="11">
        <v>5</v>
      </c>
      <c r="E57" s="11"/>
      <c r="F57" s="14"/>
      <c r="G57" s="89">
        <f>IFERROR(VLOOKUP(F57,COA!$A$1:$K$26,2,FALSE),0)</f>
        <v>0</v>
      </c>
      <c r="H57" s="11"/>
      <c r="I57" s="95"/>
      <c r="J57" s="82"/>
      <c r="K57" s="81"/>
      <c r="L57" s="146">
        <f t="shared" si="2"/>
        <v>1800000</v>
      </c>
      <c r="M57" s="73"/>
      <c r="N57" s="73"/>
      <c r="O57" s="7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 x14ac:dyDescent="0.35">
      <c r="A58" s="9">
        <f t="shared" si="1"/>
        <v>50</v>
      </c>
      <c r="B58" s="15"/>
      <c r="C58" s="11">
        <f t="shared" si="0"/>
        <v>1</v>
      </c>
      <c r="D58" s="11">
        <v>5</v>
      </c>
      <c r="E58" s="11"/>
      <c r="F58" s="14"/>
      <c r="G58" s="89">
        <f>IFERROR(VLOOKUP(F58,COA!$A$1:$K$26,2,FALSE),0)</f>
        <v>0</v>
      </c>
      <c r="H58" s="11"/>
      <c r="I58" s="95"/>
      <c r="J58" s="82"/>
      <c r="K58" s="81"/>
      <c r="L58" s="146">
        <f t="shared" si="2"/>
        <v>1800000</v>
      </c>
      <c r="M58" s="73"/>
      <c r="N58" s="73"/>
      <c r="O58" s="7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 x14ac:dyDescent="0.35">
      <c r="A59" s="9">
        <f t="shared" si="1"/>
        <v>51</v>
      </c>
      <c r="B59" s="15"/>
      <c r="C59" s="11">
        <f t="shared" si="0"/>
        <v>1</v>
      </c>
      <c r="D59" s="11">
        <v>5</v>
      </c>
      <c r="E59" s="11"/>
      <c r="F59" s="14"/>
      <c r="G59" s="89">
        <f>IFERROR(VLOOKUP(F59,COA!$A$1:$K$26,2,FALSE),0)</f>
        <v>0</v>
      </c>
      <c r="H59" s="11"/>
      <c r="I59" s="95"/>
      <c r="J59" s="82"/>
      <c r="K59" s="81"/>
      <c r="L59" s="146">
        <f t="shared" si="2"/>
        <v>1800000</v>
      </c>
      <c r="M59" s="73"/>
      <c r="N59" s="73"/>
      <c r="O59" s="7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 x14ac:dyDescent="0.35">
      <c r="A60" s="9">
        <f t="shared" si="1"/>
        <v>52</v>
      </c>
      <c r="B60" s="15"/>
      <c r="C60" s="11">
        <f t="shared" si="0"/>
        <v>1</v>
      </c>
      <c r="D60" s="11">
        <v>5</v>
      </c>
      <c r="E60" s="11"/>
      <c r="F60" s="11"/>
      <c r="G60" s="89">
        <f>IFERROR(VLOOKUP(F60,COA!$A$1:$K$26,2,FALSE),0)</f>
        <v>0</v>
      </c>
      <c r="H60" s="11"/>
      <c r="I60" s="11"/>
      <c r="J60" s="78"/>
      <c r="K60" s="78"/>
      <c r="L60" s="146">
        <f t="shared" si="2"/>
        <v>1800000</v>
      </c>
      <c r="M60" s="73"/>
      <c r="N60" s="73"/>
      <c r="O60" s="7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 x14ac:dyDescent="0.35">
      <c r="A61" s="9">
        <f t="shared" si="1"/>
        <v>53</v>
      </c>
      <c r="B61" s="15"/>
      <c r="C61" s="11">
        <f t="shared" si="0"/>
        <v>1</v>
      </c>
      <c r="D61" s="11">
        <v>5</v>
      </c>
      <c r="E61" s="11"/>
      <c r="F61" s="14"/>
      <c r="G61" s="89">
        <f>IFERROR(VLOOKUP(F61,COA!$A$1:$K$26,2,FALSE),0)</f>
        <v>0</v>
      </c>
      <c r="H61" s="11"/>
      <c r="I61" s="11"/>
      <c r="J61" s="78"/>
      <c r="K61" s="78"/>
      <c r="L61" s="146">
        <f t="shared" si="2"/>
        <v>1800000</v>
      </c>
      <c r="M61" s="73"/>
      <c r="N61" s="73"/>
      <c r="O61" s="7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 x14ac:dyDescent="0.35">
      <c r="A62" s="9">
        <f t="shared" si="1"/>
        <v>54</v>
      </c>
      <c r="B62" s="15"/>
      <c r="C62" s="11">
        <f t="shared" si="0"/>
        <v>1</v>
      </c>
      <c r="D62" s="11">
        <v>5</v>
      </c>
      <c r="E62" s="11"/>
      <c r="F62" s="14"/>
      <c r="G62" s="89">
        <f>IFERROR(VLOOKUP(F62,COA!$A$1:$K$26,2,FALSE),0)</f>
        <v>0</v>
      </c>
      <c r="H62" s="11"/>
      <c r="I62" s="11"/>
      <c r="J62" s="78"/>
      <c r="K62" s="79"/>
      <c r="L62" s="146">
        <f t="shared" si="2"/>
        <v>1800000</v>
      </c>
      <c r="M62" s="73"/>
      <c r="N62" s="73"/>
      <c r="O62" s="7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 x14ac:dyDescent="0.35">
      <c r="A63" s="9">
        <f t="shared" si="1"/>
        <v>55</v>
      </c>
      <c r="B63" s="15"/>
      <c r="C63" s="11">
        <f t="shared" si="0"/>
        <v>1</v>
      </c>
      <c r="D63" s="11">
        <v>5</v>
      </c>
      <c r="E63" s="11"/>
      <c r="F63" s="14"/>
      <c r="G63" s="89">
        <f>IFERROR(VLOOKUP(F63,COA!$A$1:$K$26,2,FALSE),0)</f>
        <v>0</v>
      </c>
      <c r="H63" s="11"/>
      <c r="I63" s="11"/>
      <c r="J63" s="78"/>
      <c r="K63" s="79"/>
      <c r="L63" s="146">
        <f t="shared" si="2"/>
        <v>1800000</v>
      </c>
      <c r="M63" s="73"/>
      <c r="N63" s="73"/>
      <c r="O63" s="7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 x14ac:dyDescent="0.35">
      <c r="A64" s="9">
        <f t="shared" si="1"/>
        <v>56</v>
      </c>
      <c r="B64" s="15"/>
      <c r="C64" s="11">
        <f t="shared" si="0"/>
        <v>1</v>
      </c>
      <c r="D64" s="11">
        <v>5</v>
      </c>
      <c r="E64" s="11"/>
      <c r="F64" s="14"/>
      <c r="G64" s="89">
        <f>IFERROR(VLOOKUP(F64,COA!$A$1:$K$26,2,FALSE),0)</f>
        <v>0</v>
      </c>
      <c r="H64" s="89"/>
      <c r="I64" s="11"/>
      <c r="J64" s="78"/>
      <c r="K64" s="79"/>
      <c r="L64" s="146">
        <f t="shared" si="2"/>
        <v>1800000</v>
      </c>
      <c r="M64" s="73"/>
      <c r="N64" s="73"/>
      <c r="O64" s="7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 x14ac:dyDescent="0.35">
      <c r="A65" s="9">
        <f t="shared" si="1"/>
        <v>57</v>
      </c>
      <c r="B65" s="15"/>
      <c r="C65" s="11">
        <f t="shared" si="0"/>
        <v>1</v>
      </c>
      <c r="D65" s="11">
        <v>5</v>
      </c>
      <c r="E65" s="11"/>
      <c r="F65" s="14"/>
      <c r="G65" s="89">
        <f>IFERROR(VLOOKUP(F65,COA!$A$1:$K$26,2,FALSE),0)</f>
        <v>0</v>
      </c>
      <c r="H65" s="11"/>
      <c r="I65" s="95"/>
      <c r="J65" s="82"/>
      <c r="K65" s="81"/>
      <c r="L65" s="146">
        <f t="shared" si="2"/>
        <v>1800000</v>
      </c>
      <c r="M65" s="73"/>
      <c r="N65" s="73"/>
      <c r="O65" s="7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 x14ac:dyDescent="0.35">
      <c r="A66" s="9">
        <f t="shared" si="1"/>
        <v>58</v>
      </c>
      <c r="B66" s="15"/>
      <c r="C66" s="11">
        <f t="shared" si="0"/>
        <v>1</v>
      </c>
      <c r="D66" s="11">
        <v>5</v>
      </c>
      <c r="E66" s="11"/>
      <c r="F66" s="11"/>
      <c r="G66" s="89">
        <f>IFERROR(VLOOKUP(F66,COA!$A$1:$K$26,2,FALSE),0)</f>
        <v>0</v>
      </c>
      <c r="H66" s="89"/>
      <c r="I66" s="11"/>
      <c r="J66" s="78"/>
      <c r="K66" s="79"/>
      <c r="L66" s="146">
        <f t="shared" si="2"/>
        <v>1800000</v>
      </c>
      <c r="M66" s="73"/>
      <c r="N66" s="73"/>
      <c r="O66" s="7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 x14ac:dyDescent="0.35">
      <c r="A67" s="9">
        <f t="shared" si="1"/>
        <v>59</v>
      </c>
      <c r="B67" s="15"/>
      <c r="C67" s="11">
        <f t="shared" si="0"/>
        <v>1</v>
      </c>
      <c r="D67" s="11">
        <v>5</v>
      </c>
      <c r="E67" s="11"/>
      <c r="F67" s="14"/>
      <c r="G67" s="89">
        <f>IFERROR(VLOOKUP(F67,COA!$A$1:$K$26,2,FALSE),0)</f>
        <v>0</v>
      </c>
      <c r="H67" s="11"/>
      <c r="I67" s="95"/>
      <c r="J67" s="78"/>
      <c r="K67" s="78"/>
      <c r="L67" s="146">
        <f t="shared" si="2"/>
        <v>1800000</v>
      </c>
      <c r="M67" s="73"/>
      <c r="N67" s="73"/>
      <c r="O67" s="7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 x14ac:dyDescent="0.35">
      <c r="A68" s="9">
        <f t="shared" si="1"/>
        <v>60</v>
      </c>
      <c r="B68" s="15"/>
      <c r="C68" s="11">
        <f t="shared" si="0"/>
        <v>1</v>
      </c>
      <c r="D68" s="11">
        <v>5</v>
      </c>
      <c r="E68" s="11"/>
      <c r="F68" s="14"/>
      <c r="G68" s="89">
        <f>IFERROR(VLOOKUP(F68,COA!$A$1:$K$26,2,FALSE),0)</f>
        <v>0</v>
      </c>
      <c r="H68" s="11"/>
      <c r="I68" s="95"/>
      <c r="J68" s="78"/>
      <c r="K68" s="78"/>
      <c r="L68" s="146">
        <f t="shared" si="2"/>
        <v>1800000</v>
      </c>
      <c r="M68" s="73"/>
      <c r="N68" s="73"/>
      <c r="O68" s="7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 x14ac:dyDescent="0.35">
      <c r="A69" s="9">
        <f t="shared" si="1"/>
        <v>61</v>
      </c>
      <c r="B69" s="15"/>
      <c r="C69" s="11">
        <f t="shared" si="0"/>
        <v>1</v>
      </c>
      <c r="D69" s="11">
        <v>5</v>
      </c>
      <c r="E69" s="11"/>
      <c r="F69" s="14"/>
      <c r="G69" s="89">
        <f>IFERROR(VLOOKUP(F69,COA!$A$1:$K$26,2,FALSE),0)</f>
        <v>0</v>
      </c>
      <c r="H69" s="11"/>
      <c r="I69" s="95"/>
      <c r="J69" s="78"/>
      <c r="K69" s="79"/>
      <c r="L69" s="146">
        <f t="shared" si="2"/>
        <v>1800000</v>
      </c>
      <c r="M69" s="73"/>
      <c r="N69" s="73"/>
      <c r="O69" s="7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 x14ac:dyDescent="0.35">
      <c r="A70" s="9">
        <f t="shared" si="1"/>
        <v>62</v>
      </c>
      <c r="B70" s="15"/>
      <c r="C70" s="11">
        <f t="shared" si="0"/>
        <v>1</v>
      </c>
      <c r="D70" s="11">
        <v>5</v>
      </c>
      <c r="E70" s="11"/>
      <c r="F70" s="14"/>
      <c r="G70" s="89">
        <f>IFERROR(VLOOKUP(F70,COA!$A$1:$K$26,2,FALSE),0)</f>
        <v>0</v>
      </c>
      <c r="H70" s="11"/>
      <c r="I70" s="95"/>
      <c r="J70" s="78"/>
      <c r="K70" s="79"/>
      <c r="L70" s="146">
        <f t="shared" si="2"/>
        <v>1800000</v>
      </c>
      <c r="M70" s="73"/>
      <c r="N70" s="73"/>
      <c r="O70" s="7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 x14ac:dyDescent="0.35">
      <c r="A71" s="9">
        <f t="shared" si="1"/>
        <v>63</v>
      </c>
      <c r="B71" s="15"/>
      <c r="C71" s="11">
        <f t="shared" si="0"/>
        <v>1</v>
      </c>
      <c r="D71" s="11">
        <v>5</v>
      </c>
      <c r="E71" s="11"/>
      <c r="F71" s="14"/>
      <c r="G71" s="89">
        <f>IFERROR(VLOOKUP(F71,COA!$A$1:$K$26,2,FALSE),0)</f>
        <v>0</v>
      </c>
      <c r="H71" s="11"/>
      <c r="I71" s="95"/>
      <c r="J71" s="78"/>
      <c r="K71" s="79"/>
      <c r="L71" s="146">
        <f t="shared" si="2"/>
        <v>1800000</v>
      </c>
      <c r="M71" s="73"/>
      <c r="N71" s="73"/>
      <c r="O71" s="7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 x14ac:dyDescent="0.35">
      <c r="A72" s="9">
        <f t="shared" si="1"/>
        <v>64</v>
      </c>
      <c r="B72" s="15"/>
      <c r="C72" s="11">
        <f t="shared" ref="C72:C135" si="3">MONTH(B72)</f>
        <v>1</v>
      </c>
      <c r="D72" s="11">
        <v>5</v>
      </c>
      <c r="E72" s="11"/>
      <c r="F72" s="14"/>
      <c r="G72" s="89">
        <f>IFERROR(VLOOKUP(F72,COA!$A$1:$K$26,2,FALSE),0)</f>
        <v>0</v>
      </c>
      <c r="H72" s="11"/>
      <c r="I72" s="95"/>
      <c r="J72" s="78"/>
      <c r="K72" s="78"/>
      <c r="L72" s="146">
        <f t="shared" si="2"/>
        <v>1800000</v>
      </c>
      <c r="M72" s="73"/>
      <c r="N72" s="73"/>
      <c r="O72" s="7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 x14ac:dyDescent="0.35">
      <c r="A73" s="9">
        <f t="shared" si="1"/>
        <v>65</v>
      </c>
      <c r="B73" s="15"/>
      <c r="C73" s="11">
        <f t="shared" si="3"/>
        <v>1</v>
      </c>
      <c r="D73" s="11">
        <v>5</v>
      </c>
      <c r="E73" s="11"/>
      <c r="F73" s="14"/>
      <c r="G73" s="89">
        <f>IFERROR(VLOOKUP(F73,COA!$A$1:$K$26,2,FALSE),0)</f>
        <v>0</v>
      </c>
      <c r="H73" s="11"/>
      <c r="I73" s="95"/>
      <c r="J73" s="78"/>
      <c r="K73" s="79"/>
      <c r="L73" s="146">
        <f t="shared" si="2"/>
        <v>1800000</v>
      </c>
      <c r="M73" s="73"/>
      <c r="N73" s="73"/>
      <c r="O73" s="7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 x14ac:dyDescent="0.35">
      <c r="A74" s="9">
        <f t="shared" si="1"/>
        <v>66</v>
      </c>
      <c r="B74" s="15"/>
      <c r="C74" s="11">
        <f t="shared" si="3"/>
        <v>1</v>
      </c>
      <c r="D74" s="11">
        <v>5</v>
      </c>
      <c r="E74" s="11"/>
      <c r="F74" s="14"/>
      <c r="G74" s="89">
        <f>IFERROR(VLOOKUP(F74,COA!$A$1:$K$26,2,FALSE),0)</f>
        <v>0</v>
      </c>
      <c r="H74" s="11"/>
      <c r="I74" s="95"/>
      <c r="J74" s="78"/>
      <c r="K74" s="81"/>
      <c r="L74" s="146">
        <f t="shared" si="2"/>
        <v>1800000</v>
      </c>
      <c r="M74" s="73"/>
      <c r="N74" s="73"/>
      <c r="O74" s="7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 x14ac:dyDescent="0.35">
      <c r="A75" s="9">
        <f t="shared" ref="A75:A138" si="4">A74+1</f>
        <v>67</v>
      </c>
      <c r="B75" s="15"/>
      <c r="C75" s="11">
        <f t="shared" si="3"/>
        <v>1</v>
      </c>
      <c r="D75" s="11">
        <v>5</v>
      </c>
      <c r="E75" s="11"/>
      <c r="F75" s="14"/>
      <c r="G75" s="89">
        <f>IFERROR(VLOOKUP(F75,COA!$A$1:$K$26,2,FALSE),0)</f>
        <v>0</v>
      </c>
      <c r="H75" s="11"/>
      <c r="I75" s="95"/>
      <c r="J75" s="78"/>
      <c r="K75" s="81"/>
      <c r="L75" s="146">
        <f t="shared" ref="L75:L138" si="5">L74+J75-K75</f>
        <v>1800000</v>
      </c>
      <c r="M75" s="73"/>
      <c r="N75" s="73"/>
      <c r="O75" s="7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 x14ac:dyDescent="0.35">
      <c r="A76" s="9">
        <f t="shared" si="4"/>
        <v>68</v>
      </c>
      <c r="B76" s="15"/>
      <c r="C76" s="11">
        <f t="shared" si="3"/>
        <v>1</v>
      </c>
      <c r="D76" s="11">
        <v>5</v>
      </c>
      <c r="E76" s="11"/>
      <c r="F76" s="14"/>
      <c r="G76" s="89">
        <f>IFERROR(VLOOKUP(F76,COA!$A$1:$K$26,2,FALSE),0)</f>
        <v>0</v>
      </c>
      <c r="H76" s="11"/>
      <c r="I76" s="95"/>
      <c r="J76" s="78"/>
      <c r="K76" s="79"/>
      <c r="L76" s="146">
        <f t="shared" si="5"/>
        <v>1800000</v>
      </c>
      <c r="M76" s="73"/>
      <c r="N76" s="73"/>
      <c r="O76" s="7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 x14ac:dyDescent="0.35">
      <c r="A77" s="9">
        <f t="shared" si="4"/>
        <v>69</v>
      </c>
      <c r="B77" s="15"/>
      <c r="C77" s="11">
        <f t="shared" si="3"/>
        <v>1</v>
      </c>
      <c r="D77" s="11">
        <v>5</v>
      </c>
      <c r="E77" s="11"/>
      <c r="F77" s="14"/>
      <c r="G77" s="89">
        <f>IFERROR(VLOOKUP(F77,COA!$A$1:$K$26,2,FALSE),0)</f>
        <v>0</v>
      </c>
      <c r="H77" s="11"/>
      <c r="I77" s="95"/>
      <c r="J77" s="78"/>
      <c r="K77" s="79"/>
      <c r="L77" s="146">
        <f t="shared" si="5"/>
        <v>1800000</v>
      </c>
      <c r="M77" s="73"/>
      <c r="N77" s="73"/>
      <c r="O77" s="7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 x14ac:dyDescent="0.35">
      <c r="A78" s="9">
        <f t="shared" si="4"/>
        <v>70</v>
      </c>
      <c r="B78" s="15"/>
      <c r="C78" s="11">
        <f t="shared" si="3"/>
        <v>1</v>
      </c>
      <c r="D78" s="11">
        <v>5</v>
      </c>
      <c r="E78" s="11"/>
      <c r="F78" s="14"/>
      <c r="G78" s="89">
        <f>IFERROR(VLOOKUP(F78,COA!$A$1:$K$26,2,FALSE),0)</f>
        <v>0</v>
      </c>
      <c r="H78" s="11"/>
      <c r="I78" s="95"/>
      <c r="J78" s="78"/>
      <c r="K78" s="81"/>
      <c r="L78" s="146">
        <f t="shared" si="5"/>
        <v>1800000</v>
      </c>
      <c r="M78" s="73"/>
      <c r="N78" s="73"/>
      <c r="O78" s="7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 x14ac:dyDescent="0.35">
      <c r="A79" s="9">
        <f t="shared" si="4"/>
        <v>71</v>
      </c>
      <c r="B79" s="15"/>
      <c r="C79" s="11">
        <f t="shared" si="3"/>
        <v>1</v>
      </c>
      <c r="D79" s="11">
        <v>5</v>
      </c>
      <c r="E79" s="11"/>
      <c r="F79" s="14"/>
      <c r="G79" s="89">
        <f>IFERROR(VLOOKUP(F79,COA!$A$1:$K$26,2,FALSE),0)</f>
        <v>0</v>
      </c>
      <c r="H79" s="11"/>
      <c r="I79" s="95"/>
      <c r="J79" s="82"/>
      <c r="K79" s="81"/>
      <c r="L79" s="146">
        <f t="shared" si="5"/>
        <v>1800000</v>
      </c>
      <c r="M79" s="73"/>
      <c r="N79" s="73"/>
      <c r="O79" s="7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 x14ac:dyDescent="0.35">
      <c r="A80" s="9">
        <f t="shared" si="4"/>
        <v>72</v>
      </c>
      <c r="B80" s="15"/>
      <c r="C80" s="11">
        <f t="shared" si="3"/>
        <v>1</v>
      </c>
      <c r="D80" s="11">
        <v>5</v>
      </c>
      <c r="E80" s="11"/>
      <c r="F80" s="14"/>
      <c r="G80" s="89">
        <f>IFERROR(VLOOKUP(F80,COA!$A$1:$K$26,2,FALSE),0)</f>
        <v>0</v>
      </c>
      <c r="H80" s="11"/>
      <c r="I80" s="95"/>
      <c r="J80" s="82"/>
      <c r="K80" s="79"/>
      <c r="L80" s="146">
        <f t="shared" si="5"/>
        <v>1800000</v>
      </c>
      <c r="M80" s="73"/>
      <c r="N80" s="73"/>
      <c r="O80" s="7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 x14ac:dyDescent="0.35">
      <c r="A81" s="9">
        <f t="shared" si="4"/>
        <v>73</v>
      </c>
      <c r="B81" s="15"/>
      <c r="C81" s="11">
        <f t="shared" si="3"/>
        <v>1</v>
      </c>
      <c r="D81" s="11">
        <v>5</v>
      </c>
      <c r="E81" s="11"/>
      <c r="F81" s="14"/>
      <c r="G81" s="89">
        <f>IFERROR(VLOOKUP(F81,COA!$A$1:$K$26,2,FALSE),0)</f>
        <v>0</v>
      </c>
      <c r="H81" s="11"/>
      <c r="I81" s="95"/>
      <c r="J81" s="82"/>
      <c r="K81" s="79"/>
      <c r="L81" s="146">
        <f t="shared" si="5"/>
        <v>1800000</v>
      </c>
      <c r="M81" s="73"/>
      <c r="N81" s="73"/>
      <c r="O81" s="7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 x14ac:dyDescent="0.35">
      <c r="A82" s="9">
        <f t="shared" si="4"/>
        <v>74</v>
      </c>
      <c r="B82" s="15"/>
      <c r="C82" s="11">
        <f t="shared" si="3"/>
        <v>1</v>
      </c>
      <c r="D82" s="11">
        <v>5</v>
      </c>
      <c r="E82" s="11"/>
      <c r="F82" s="14"/>
      <c r="G82" s="89">
        <f>IFERROR(VLOOKUP(F82,COA!$A$1:$K$26,2,FALSE),0)</f>
        <v>0</v>
      </c>
      <c r="H82" s="11"/>
      <c r="I82" s="95"/>
      <c r="J82" s="82"/>
      <c r="K82" s="81"/>
      <c r="L82" s="146">
        <f t="shared" si="5"/>
        <v>1800000</v>
      </c>
      <c r="M82" s="73"/>
      <c r="N82" s="73"/>
      <c r="O82" s="7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 x14ac:dyDescent="0.35">
      <c r="A83" s="9">
        <f t="shared" si="4"/>
        <v>75</v>
      </c>
      <c r="B83" s="15"/>
      <c r="C83" s="11">
        <f t="shared" si="3"/>
        <v>1</v>
      </c>
      <c r="D83" s="11">
        <v>5</v>
      </c>
      <c r="E83" s="11"/>
      <c r="F83" s="14"/>
      <c r="G83" s="89">
        <f>IFERROR(VLOOKUP(F83,COA!$A$1:$K$26,2,FALSE),0)</f>
        <v>0</v>
      </c>
      <c r="H83" s="11"/>
      <c r="I83" s="95"/>
      <c r="J83" s="78"/>
      <c r="K83" s="81"/>
      <c r="L83" s="146">
        <f t="shared" si="5"/>
        <v>1800000</v>
      </c>
      <c r="M83" s="73"/>
      <c r="N83" s="73"/>
      <c r="O83" s="7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 x14ac:dyDescent="0.35">
      <c r="A84" s="9">
        <f t="shared" si="4"/>
        <v>76</v>
      </c>
      <c r="B84" s="15"/>
      <c r="C84" s="11">
        <f t="shared" si="3"/>
        <v>1</v>
      </c>
      <c r="D84" s="11">
        <v>5</v>
      </c>
      <c r="E84" s="11"/>
      <c r="F84" s="14"/>
      <c r="G84" s="89">
        <f>IFERROR(VLOOKUP(F84,COA!$A$1:$K$26,2,FALSE),0)</f>
        <v>0</v>
      </c>
      <c r="H84" s="11"/>
      <c r="I84" s="95"/>
      <c r="J84" s="79"/>
      <c r="K84" s="78"/>
      <c r="L84" s="146">
        <f t="shared" si="5"/>
        <v>1800000</v>
      </c>
      <c r="M84" s="73"/>
      <c r="N84" s="73"/>
      <c r="O84" s="7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 x14ac:dyDescent="0.35">
      <c r="A85" s="9">
        <f t="shared" si="4"/>
        <v>77</v>
      </c>
      <c r="B85" s="15"/>
      <c r="C85" s="11">
        <f t="shared" si="3"/>
        <v>1</v>
      </c>
      <c r="D85" s="11">
        <v>5</v>
      </c>
      <c r="E85" s="11"/>
      <c r="F85" s="14"/>
      <c r="G85" s="89">
        <f>IFERROR(VLOOKUP(F85,COA!$A$1:$K$26,2,FALSE),0)</f>
        <v>0</v>
      </c>
      <c r="H85" s="11"/>
      <c r="I85" s="95"/>
      <c r="J85" s="79"/>
      <c r="K85" s="78"/>
      <c r="L85" s="146">
        <f t="shared" si="5"/>
        <v>1800000</v>
      </c>
      <c r="M85" s="73"/>
      <c r="N85" s="73"/>
      <c r="O85" s="7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 x14ac:dyDescent="0.35">
      <c r="A86" s="9">
        <f t="shared" si="4"/>
        <v>78</v>
      </c>
      <c r="B86" s="15"/>
      <c r="C86" s="11">
        <f t="shared" si="3"/>
        <v>1</v>
      </c>
      <c r="D86" s="11">
        <v>5</v>
      </c>
      <c r="E86" s="11"/>
      <c r="F86" s="14"/>
      <c r="G86" s="89">
        <f>IFERROR(VLOOKUP(F86,COA!$A$1:$K$26,2,FALSE),0)</f>
        <v>0</v>
      </c>
      <c r="H86" s="11"/>
      <c r="I86" s="95"/>
      <c r="J86" s="78"/>
      <c r="K86" s="79"/>
      <c r="L86" s="146">
        <f t="shared" si="5"/>
        <v>1800000</v>
      </c>
      <c r="M86" s="73"/>
      <c r="N86" s="73"/>
      <c r="O86" s="7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 x14ac:dyDescent="0.35">
      <c r="A87" s="9">
        <f t="shared" si="4"/>
        <v>79</v>
      </c>
      <c r="B87" s="15"/>
      <c r="C87" s="11">
        <f t="shared" si="3"/>
        <v>1</v>
      </c>
      <c r="D87" s="11">
        <v>5</v>
      </c>
      <c r="E87" s="11"/>
      <c r="F87" s="14"/>
      <c r="G87" s="89">
        <f>IFERROR(VLOOKUP(F87,COA!$A$1:$K$26,2,FALSE),0)</f>
        <v>0</v>
      </c>
      <c r="H87" s="11"/>
      <c r="I87" s="95"/>
      <c r="J87" s="78"/>
      <c r="K87" s="78"/>
      <c r="L87" s="146">
        <f t="shared" si="5"/>
        <v>1800000</v>
      </c>
      <c r="M87" s="73"/>
      <c r="N87" s="73"/>
      <c r="O87" s="7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 x14ac:dyDescent="0.35">
      <c r="A88" s="9">
        <f t="shared" si="4"/>
        <v>80</v>
      </c>
      <c r="B88" s="15"/>
      <c r="C88" s="11">
        <f t="shared" si="3"/>
        <v>1</v>
      </c>
      <c r="D88" s="11">
        <v>5</v>
      </c>
      <c r="E88" s="11"/>
      <c r="F88" s="14"/>
      <c r="G88" s="89">
        <f>IFERROR(VLOOKUP(F88,COA!$A$1:$K$26,2,FALSE),0)</f>
        <v>0</v>
      </c>
      <c r="H88" s="11"/>
      <c r="I88" s="95"/>
      <c r="J88" s="78"/>
      <c r="K88" s="79"/>
      <c r="L88" s="146">
        <f t="shared" si="5"/>
        <v>1800000</v>
      </c>
      <c r="M88" s="73"/>
      <c r="N88" s="73"/>
      <c r="O88" s="7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 x14ac:dyDescent="0.35">
      <c r="A89" s="9">
        <f t="shared" si="4"/>
        <v>81</v>
      </c>
      <c r="B89" s="10"/>
      <c r="C89" s="11">
        <f t="shared" si="3"/>
        <v>1</v>
      </c>
      <c r="D89" s="11">
        <v>5</v>
      </c>
      <c r="E89" s="11"/>
      <c r="F89" s="14"/>
      <c r="G89" s="89">
        <f>IFERROR(VLOOKUP(F89,COA!$A$1:$K$26,2,FALSE),0)</f>
        <v>0</v>
      </c>
      <c r="H89" s="89"/>
      <c r="I89" s="11"/>
      <c r="J89" s="78"/>
      <c r="K89" s="79"/>
      <c r="L89" s="146">
        <f t="shared" si="5"/>
        <v>1800000</v>
      </c>
      <c r="M89" s="73"/>
      <c r="N89" s="73"/>
      <c r="O89" s="7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 x14ac:dyDescent="0.35">
      <c r="A90" s="9">
        <f t="shared" si="4"/>
        <v>82</v>
      </c>
      <c r="B90" s="10"/>
      <c r="C90" s="11">
        <f t="shared" si="3"/>
        <v>1</v>
      </c>
      <c r="D90" s="11">
        <v>5</v>
      </c>
      <c r="E90" s="11"/>
      <c r="F90" s="14"/>
      <c r="G90" s="89">
        <f>IFERROR(VLOOKUP(F90,COA!$A$1:$K$26,2,FALSE),0)</f>
        <v>0</v>
      </c>
      <c r="H90" s="89"/>
      <c r="I90" s="11"/>
      <c r="J90" s="79"/>
      <c r="K90" s="78"/>
      <c r="L90" s="146">
        <f t="shared" si="5"/>
        <v>1800000</v>
      </c>
      <c r="M90" s="73"/>
      <c r="N90" s="73"/>
      <c r="O90" s="7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 x14ac:dyDescent="0.35">
      <c r="A91" s="9">
        <f t="shared" si="4"/>
        <v>83</v>
      </c>
      <c r="B91" s="15"/>
      <c r="C91" s="11">
        <f t="shared" si="3"/>
        <v>1</v>
      </c>
      <c r="D91" s="11">
        <v>5</v>
      </c>
      <c r="E91" s="11"/>
      <c r="F91" s="14"/>
      <c r="G91" s="89">
        <f>IFERROR(VLOOKUP(F91,COA!$A$1:$K$26,2,FALSE),0)</f>
        <v>0</v>
      </c>
      <c r="H91" s="11"/>
      <c r="I91" s="95"/>
      <c r="J91" s="78"/>
      <c r="K91" s="79"/>
      <c r="L91" s="146">
        <f t="shared" si="5"/>
        <v>1800000</v>
      </c>
      <c r="M91" s="73"/>
      <c r="N91" s="73"/>
      <c r="O91" s="7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 x14ac:dyDescent="0.35">
      <c r="A92" s="9">
        <f t="shared" si="4"/>
        <v>84</v>
      </c>
      <c r="B92" s="10"/>
      <c r="C92" s="11">
        <f t="shared" si="3"/>
        <v>1</v>
      </c>
      <c r="D92" s="11">
        <v>5</v>
      </c>
      <c r="E92" s="11"/>
      <c r="F92" s="11"/>
      <c r="G92" s="89">
        <f>IFERROR(VLOOKUP(F92,COA!$A$1:$K$26,2,FALSE),0)</f>
        <v>0</v>
      </c>
      <c r="H92" s="11"/>
      <c r="I92" s="11"/>
      <c r="J92" s="78"/>
      <c r="K92" s="78"/>
      <c r="L92" s="146">
        <f t="shared" si="5"/>
        <v>1800000</v>
      </c>
      <c r="M92" s="73"/>
      <c r="N92" s="73"/>
      <c r="O92" s="7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 x14ac:dyDescent="0.35">
      <c r="A93" s="9">
        <f t="shared" si="4"/>
        <v>85</v>
      </c>
      <c r="B93" s="10"/>
      <c r="C93" s="11">
        <f t="shared" si="3"/>
        <v>1</v>
      </c>
      <c r="D93" s="11">
        <v>5</v>
      </c>
      <c r="E93" s="11"/>
      <c r="F93" s="11"/>
      <c r="G93" s="89">
        <f>IFERROR(VLOOKUP(F93,COA!$A$1:$K$26,2,FALSE),0)</f>
        <v>0</v>
      </c>
      <c r="H93" s="11"/>
      <c r="I93" s="11"/>
      <c r="J93" s="78"/>
      <c r="K93" s="78"/>
      <c r="L93" s="146">
        <f t="shared" si="5"/>
        <v>1800000</v>
      </c>
      <c r="M93" s="73"/>
      <c r="N93" s="73"/>
      <c r="O93" s="7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 x14ac:dyDescent="0.35">
      <c r="A94" s="9">
        <f t="shared" si="4"/>
        <v>86</v>
      </c>
      <c r="B94" s="10"/>
      <c r="C94" s="11">
        <f t="shared" si="3"/>
        <v>1</v>
      </c>
      <c r="D94" s="11">
        <v>5</v>
      </c>
      <c r="E94" s="11"/>
      <c r="F94" s="11"/>
      <c r="G94" s="89">
        <f>IFERROR(VLOOKUP(F94,COA!$A$1:$K$26,2,FALSE),0)</f>
        <v>0</v>
      </c>
      <c r="H94" s="11"/>
      <c r="I94" s="11"/>
      <c r="J94" s="78"/>
      <c r="K94" s="78"/>
      <c r="L94" s="146">
        <f t="shared" si="5"/>
        <v>1800000</v>
      </c>
      <c r="M94" s="73"/>
      <c r="N94" s="73"/>
      <c r="O94" s="7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 x14ac:dyDescent="0.35">
      <c r="A95" s="9">
        <f t="shared" si="4"/>
        <v>87</v>
      </c>
      <c r="B95" s="10"/>
      <c r="C95" s="11">
        <f t="shared" si="3"/>
        <v>1</v>
      </c>
      <c r="D95" s="11">
        <v>5</v>
      </c>
      <c r="E95" s="11"/>
      <c r="F95" s="11"/>
      <c r="G95" s="89">
        <f>IFERROR(VLOOKUP(F95,COA!$A$1:$K$26,2,FALSE),0)</f>
        <v>0</v>
      </c>
      <c r="H95" s="11"/>
      <c r="I95" s="11"/>
      <c r="J95" s="78"/>
      <c r="K95" s="78"/>
      <c r="L95" s="146">
        <f t="shared" si="5"/>
        <v>1800000</v>
      </c>
      <c r="M95" s="73"/>
      <c r="N95" s="73"/>
      <c r="O95" s="7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 x14ac:dyDescent="0.35">
      <c r="A96" s="9">
        <f t="shared" si="4"/>
        <v>88</v>
      </c>
      <c r="B96" s="10"/>
      <c r="C96" s="11">
        <f t="shared" si="3"/>
        <v>1</v>
      </c>
      <c r="D96" s="11">
        <v>5</v>
      </c>
      <c r="E96" s="11"/>
      <c r="F96" s="11"/>
      <c r="G96" s="89">
        <f>IFERROR(VLOOKUP(F96,COA!$A$1:$K$26,2,FALSE),0)</f>
        <v>0</v>
      </c>
      <c r="H96" s="11"/>
      <c r="I96" s="11"/>
      <c r="J96" s="78"/>
      <c r="K96" s="79"/>
      <c r="L96" s="146">
        <f t="shared" si="5"/>
        <v>1800000</v>
      </c>
      <c r="M96" s="73"/>
      <c r="N96" s="73"/>
      <c r="O96" s="7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 x14ac:dyDescent="0.35">
      <c r="A97" s="9">
        <f t="shared" si="4"/>
        <v>89</v>
      </c>
      <c r="B97" s="10"/>
      <c r="C97" s="11">
        <f t="shared" si="3"/>
        <v>1</v>
      </c>
      <c r="D97" s="11">
        <v>5</v>
      </c>
      <c r="E97" s="11"/>
      <c r="F97" s="11"/>
      <c r="G97" s="89">
        <f>IFERROR(VLOOKUP(F97,COA!$A$1:$K$26,2,FALSE),0)</f>
        <v>0</v>
      </c>
      <c r="H97" s="11"/>
      <c r="I97" s="11"/>
      <c r="J97" s="78"/>
      <c r="K97" s="79"/>
      <c r="L97" s="146">
        <f t="shared" si="5"/>
        <v>1800000</v>
      </c>
      <c r="M97" s="73"/>
      <c r="N97" s="73"/>
      <c r="O97" s="7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 x14ac:dyDescent="0.35">
      <c r="A98" s="9">
        <f t="shared" si="4"/>
        <v>90</v>
      </c>
      <c r="B98" s="10"/>
      <c r="C98" s="11">
        <f t="shared" si="3"/>
        <v>1</v>
      </c>
      <c r="D98" s="11">
        <v>5</v>
      </c>
      <c r="E98" s="11"/>
      <c r="F98" s="11"/>
      <c r="G98" s="89">
        <f>IFERROR(VLOOKUP(F98,COA!$A$1:$K$26,2,FALSE),0)</f>
        <v>0</v>
      </c>
      <c r="H98" s="11"/>
      <c r="I98" s="11"/>
      <c r="J98" s="78"/>
      <c r="K98" s="79"/>
      <c r="L98" s="146">
        <f t="shared" si="5"/>
        <v>1800000</v>
      </c>
      <c r="M98" s="73"/>
      <c r="N98" s="73"/>
      <c r="O98" s="7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 x14ac:dyDescent="0.35">
      <c r="A99" s="9">
        <f t="shared" si="4"/>
        <v>91</v>
      </c>
      <c r="B99" s="10"/>
      <c r="C99" s="11">
        <f t="shared" si="3"/>
        <v>1</v>
      </c>
      <c r="D99" s="11">
        <v>5</v>
      </c>
      <c r="E99" s="11"/>
      <c r="F99" s="11"/>
      <c r="G99" s="89">
        <f>IFERROR(VLOOKUP(F99,COA!$A$1:$K$26,2,FALSE),0)</f>
        <v>0</v>
      </c>
      <c r="H99" s="11"/>
      <c r="I99" s="11"/>
      <c r="J99" s="78"/>
      <c r="K99" s="79"/>
      <c r="L99" s="146">
        <f t="shared" si="5"/>
        <v>1800000</v>
      </c>
      <c r="M99" s="73"/>
      <c r="N99" s="73"/>
      <c r="O99" s="7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 x14ac:dyDescent="0.35">
      <c r="A100" s="9">
        <f t="shared" si="4"/>
        <v>92</v>
      </c>
      <c r="B100" s="10"/>
      <c r="C100" s="11">
        <f t="shared" si="3"/>
        <v>1</v>
      </c>
      <c r="D100" s="11">
        <v>5</v>
      </c>
      <c r="E100" s="11"/>
      <c r="F100" s="11"/>
      <c r="G100" s="89">
        <f>IFERROR(VLOOKUP(F100,COA!$A$1:$K$26,2,FALSE),0)</f>
        <v>0</v>
      </c>
      <c r="H100" s="11"/>
      <c r="I100" s="11"/>
      <c r="J100" s="78"/>
      <c r="K100" s="79"/>
      <c r="L100" s="146">
        <f t="shared" si="5"/>
        <v>1800000</v>
      </c>
      <c r="M100" s="73"/>
      <c r="N100" s="73"/>
      <c r="O100" s="7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 x14ac:dyDescent="0.35">
      <c r="A101" s="9">
        <f t="shared" si="4"/>
        <v>93</v>
      </c>
      <c r="B101" s="10"/>
      <c r="C101" s="11">
        <f t="shared" si="3"/>
        <v>1</v>
      </c>
      <c r="D101" s="11">
        <v>5</v>
      </c>
      <c r="E101" s="11"/>
      <c r="F101" s="11"/>
      <c r="G101" s="89">
        <f>IFERROR(VLOOKUP(F101,COA!$A$1:$K$26,2,FALSE),0)</f>
        <v>0</v>
      </c>
      <c r="H101" s="11"/>
      <c r="I101" s="11"/>
      <c r="J101" s="78"/>
      <c r="K101" s="78"/>
      <c r="L101" s="146">
        <f t="shared" si="5"/>
        <v>1800000</v>
      </c>
      <c r="M101" s="73"/>
      <c r="N101" s="73"/>
      <c r="O101" s="7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 x14ac:dyDescent="0.35">
      <c r="A102" s="9">
        <f t="shared" si="4"/>
        <v>94</v>
      </c>
      <c r="B102" s="10"/>
      <c r="C102" s="11">
        <f t="shared" si="3"/>
        <v>1</v>
      </c>
      <c r="D102" s="11">
        <v>5</v>
      </c>
      <c r="E102" s="11"/>
      <c r="F102" s="11"/>
      <c r="G102" s="89">
        <f>IFERROR(VLOOKUP(F102,COA!$A$1:$K$26,2,FALSE),0)</f>
        <v>0</v>
      </c>
      <c r="H102" s="11"/>
      <c r="I102" s="11"/>
      <c r="J102" s="78"/>
      <c r="K102" s="78"/>
      <c r="L102" s="146">
        <f t="shared" si="5"/>
        <v>1800000</v>
      </c>
      <c r="M102" s="73"/>
      <c r="N102" s="73"/>
      <c r="O102" s="7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 x14ac:dyDescent="0.35">
      <c r="A103" s="9">
        <f t="shared" si="4"/>
        <v>95</v>
      </c>
      <c r="B103" s="10"/>
      <c r="C103" s="11">
        <f t="shared" si="3"/>
        <v>1</v>
      </c>
      <c r="D103" s="11">
        <v>5</v>
      </c>
      <c r="E103" s="11"/>
      <c r="F103" s="11"/>
      <c r="G103" s="89">
        <f>IFERROR(VLOOKUP(F103,COA!$A$1:$K$26,2,FALSE),0)</f>
        <v>0</v>
      </c>
      <c r="H103" s="11"/>
      <c r="I103" s="11"/>
      <c r="J103" s="78"/>
      <c r="K103" s="79"/>
      <c r="L103" s="146">
        <f t="shared" si="5"/>
        <v>1800000</v>
      </c>
      <c r="M103" s="73"/>
      <c r="N103" s="73"/>
      <c r="O103" s="7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 x14ac:dyDescent="0.35">
      <c r="A104" s="9">
        <f t="shared" si="4"/>
        <v>96</v>
      </c>
      <c r="B104" s="10"/>
      <c r="C104" s="11">
        <f t="shared" si="3"/>
        <v>1</v>
      </c>
      <c r="D104" s="11">
        <v>5</v>
      </c>
      <c r="E104" s="11"/>
      <c r="F104" s="11"/>
      <c r="G104" s="89">
        <f>IFERROR(VLOOKUP(F104,COA!$A$1:$K$26,2,FALSE),0)</f>
        <v>0</v>
      </c>
      <c r="H104" s="11"/>
      <c r="I104" s="11"/>
      <c r="J104" s="78"/>
      <c r="K104" s="79"/>
      <c r="L104" s="146">
        <f t="shared" si="5"/>
        <v>1800000</v>
      </c>
      <c r="M104" s="73"/>
      <c r="N104" s="73"/>
      <c r="O104" s="7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 x14ac:dyDescent="0.35">
      <c r="A105" s="9">
        <f t="shared" si="4"/>
        <v>97</v>
      </c>
      <c r="B105" s="10"/>
      <c r="C105" s="11">
        <f t="shared" si="3"/>
        <v>1</v>
      </c>
      <c r="D105" s="11">
        <v>5</v>
      </c>
      <c r="E105" s="11"/>
      <c r="F105" s="11"/>
      <c r="G105" s="89">
        <f>IFERROR(VLOOKUP(F105,COA!$A$1:$K$26,2,FALSE),0)</f>
        <v>0</v>
      </c>
      <c r="H105" s="11"/>
      <c r="I105" s="11"/>
      <c r="J105" s="78"/>
      <c r="K105" s="79"/>
      <c r="L105" s="146">
        <f t="shared" si="5"/>
        <v>1800000</v>
      </c>
      <c r="M105" s="73"/>
      <c r="N105" s="73"/>
      <c r="O105" s="7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 x14ac:dyDescent="0.35">
      <c r="A106" s="9">
        <f t="shared" si="4"/>
        <v>98</v>
      </c>
      <c r="B106" s="15"/>
      <c r="C106" s="11">
        <f t="shared" si="3"/>
        <v>1</v>
      </c>
      <c r="D106" s="11">
        <v>5</v>
      </c>
      <c r="E106" s="11"/>
      <c r="F106" s="14"/>
      <c r="G106" s="89">
        <f>IFERROR(VLOOKUP(F106,COA!$A$1:$K$26,2,FALSE),0)</f>
        <v>0</v>
      </c>
      <c r="H106" s="11"/>
      <c r="I106" s="95"/>
      <c r="J106" s="78"/>
      <c r="K106" s="78"/>
      <c r="L106" s="146">
        <f t="shared" si="5"/>
        <v>1800000</v>
      </c>
      <c r="M106" s="73"/>
      <c r="N106" s="73"/>
      <c r="O106" s="7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 x14ac:dyDescent="0.35">
      <c r="A107" s="9">
        <f t="shared" si="4"/>
        <v>99</v>
      </c>
      <c r="B107" s="15"/>
      <c r="C107" s="11">
        <f t="shared" si="3"/>
        <v>1</v>
      </c>
      <c r="D107" s="11">
        <v>5</v>
      </c>
      <c r="E107" s="11"/>
      <c r="F107" s="14"/>
      <c r="G107" s="89">
        <f>IFERROR(VLOOKUP(F107,COA!$A$1:$K$26,2,FALSE),0)</f>
        <v>0</v>
      </c>
      <c r="H107" s="11"/>
      <c r="I107" s="95"/>
      <c r="J107" s="78"/>
      <c r="K107" s="78"/>
      <c r="L107" s="146">
        <f t="shared" si="5"/>
        <v>1800000</v>
      </c>
      <c r="M107" s="73"/>
      <c r="N107" s="73"/>
      <c r="O107" s="7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 x14ac:dyDescent="0.35">
      <c r="A108" s="9">
        <f t="shared" si="4"/>
        <v>100</v>
      </c>
      <c r="B108" s="15"/>
      <c r="C108" s="11">
        <f t="shared" si="3"/>
        <v>1</v>
      </c>
      <c r="D108" s="11">
        <v>5</v>
      </c>
      <c r="E108" s="11"/>
      <c r="F108" s="14"/>
      <c r="G108" s="89">
        <f>IFERROR(VLOOKUP(F108,COA!$A$1:$K$26,2,FALSE),0)</f>
        <v>0</v>
      </c>
      <c r="H108" s="11"/>
      <c r="I108" s="95"/>
      <c r="J108" s="78"/>
      <c r="K108" s="78"/>
      <c r="L108" s="146">
        <f t="shared" si="5"/>
        <v>1800000</v>
      </c>
      <c r="M108" s="73"/>
      <c r="N108" s="73"/>
      <c r="O108" s="7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 x14ac:dyDescent="0.35">
      <c r="A109" s="9">
        <f t="shared" si="4"/>
        <v>101</v>
      </c>
      <c r="B109" s="15"/>
      <c r="C109" s="11">
        <f t="shared" si="3"/>
        <v>1</v>
      </c>
      <c r="D109" s="11">
        <v>5</v>
      </c>
      <c r="E109" s="11"/>
      <c r="F109" s="14"/>
      <c r="G109" s="89">
        <f>IFERROR(VLOOKUP(F109,COA!$A$1:$K$26,2,FALSE),0)</f>
        <v>0</v>
      </c>
      <c r="H109" s="11"/>
      <c r="I109" s="95"/>
      <c r="J109" s="78"/>
      <c r="K109" s="81"/>
      <c r="L109" s="146">
        <f t="shared" si="5"/>
        <v>1800000</v>
      </c>
      <c r="M109" s="73"/>
      <c r="N109" s="73"/>
      <c r="O109" s="7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 x14ac:dyDescent="0.35">
      <c r="A110" s="9">
        <f t="shared" si="4"/>
        <v>102</v>
      </c>
      <c r="B110" s="15"/>
      <c r="C110" s="11">
        <f t="shared" si="3"/>
        <v>1</v>
      </c>
      <c r="D110" s="11">
        <v>5</v>
      </c>
      <c r="E110" s="11"/>
      <c r="F110" s="14"/>
      <c r="G110" s="89">
        <f>IFERROR(VLOOKUP(F110,COA!$A$1:$K$26,2,FALSE),0)</f>
        <v>0</v>
      </c>
      <c r="H110" s="11"/>
      <c r="I110" s="95"/>
      <c r="J110" s="78"/>
      <c r="K110" s="81"/>
      <c r="L110" s="146">
        <f t="shared" si="5"/>
        <v>1800000</v>
      </c>
      <c r="M110" s="73"/>
      <c r="N110" s="73"/>
      <c r="O110" s="7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 x14ac:dyDescent="0.35">
      <c r="A111" s="9">
        <f t="shared" si="4"/>
        <v>103</v>
      </c>
      <c r="B111" s="15"/>
      <c r="C111" s="11">
        <f t="shared" si="3"/>
        <v>1</v>
      </c>
      <c r="D111" s="11">
        <v>5</v>
      </c>
      <c r="E111" s="11"/>
      <c r="F111" s="14"/>
      <c r="G111" s="89">
        <f>IFERROR(VLOOKUP(F111,COA!$A$1:$K$26,2,FALSE),0)</f>
        <v>0</v>
      </c>
      <c r="H111" s="11"/>
      <c r="I111" s="95"/>
      <c r="J111" s="78"/>
      <c r="K111" s="81"/>
      <c r="L111" s="146">
        <f t="shared" si="5"/>
        <v>1800000</v>
      </c>
      <c r="M111" s="73"/>
      <c r="N111" s="73"/>
      <c r="O111" s="7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 x14ac:dyDescent="0.35">
      <c r="A112" s="9">
        <f t="shared" si="4"/>
        <v>104</v>
      </c>
      <c r="B112" s="15"/>
      <c r="C112" s="11">
        <f t="shared" si="3"/>
        <v>1</v>
      </c>
      <c r="D112" s="11">
        <v>5</v>
      </c>
      <c r="E112" s="11"/>
      <c r="F112" s="14"/>
      <c r="G112" s="89">
        <f>IFERROR(VLOOKUP(F112,COA!$A$1:$K$26,2,FALSE),0)</f>
        <v>0</v>
      </c>
      <c r="H112" s="11"/>
      <c r="I112" s="95"/>
      <c r="J112" s="78"/>
      <c r="K112" s="81"/>
      <c r="L112" s="146">
        <f t="shared" si="5"/>
        <v>1800000</v>
      </c>
      <c r="M112" s="73"/>
      <c r="N112" s="73"/>
      <c r="O112" s="7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 x14ac:dyDescent="0.35">
      <c r="A113" s="9">
        <f t="shared" si="4"/>
        <v>105</v>
      </c>
      <c r="B113" s="15"/>
      <c r="C113" s="11">
        <f t="shared" si="3"/>
        <v>1</v>
      </c>
      <c r="D113" s="11">
        <v>5</v>
      </c>
      <c r="E113" s="11"/>
      <c r="F113" s="14"/>
      <c r="G113" s="89">
        <f>IFERROR(VLOOKUP(F113,COA!$A$1:$K$26,2,FALSE),0)</f>
        <v>0</v>
      </c>
      <c r="H113" s="11"/>
      <c r="I113" s="95"/>
      <c r="J113" s="78"/>
      <c r="K113" s="81"/>
      <c r="L113" s="146">
        <f t="shared" si="5"/>
        <v>1800000</v>
      </c>
      <c r="M113" s="73"/>
      <c r="N113" s="73"/>
      <c r="O113" s="7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 x14ac:dyDescent="0.35">
      <c r="A114" s="9">
        <f t="shared" si="4"/>
        <v>106</v>
      </c>
      <c r="B114" s="15"/>
      <c r="C114" s="11">
        <f t="shared" si="3"/>
        <v>1</v>
      </c>
      <c r="D114" s="11">
        <v>5</v>
      </c>
      <c r="E114" s="11"/>
      <c r="F114" s="14"/>
      <c r="G114" s="89">
        <f>IFERROR(VLOOKUP(F114,COA!$A$1:$K$26,2,FALSE),0)</f>
        <v>0</v>
      </c>
      <c r="H114" s="11"/>
      <c r="I114" s="95"/>
      <c r="J114" s="78"/>
      <c r="K114" s="81"/>
      <c r="L114" s="146">
        <f t="shared" si="5"/>
        <v>1800000</v>
      </c>
      <c r="M114" s="73"/>
      <c r="N114" s="73"/>
      <c r="O114" s="7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 x14ac:dyDescent="0.35">
      <c r="A115" s="9">
        <f t="shared" si="4"/>
        <v>107</v>
      </c>
      <c r="B115" s="15"/>
      <c r="C115" s="11">
        <f t="shared" si="3"/>
        <v>1</v>
      </c>
      <c r="D115" s="11">
        <v>5</v>
      </c>
      <c r="E115" s="11"/>
      <c r="F115" s="14"/>
      <c r="G115" s="89">
        <f>IFERROR(VLOOKUP(F115,COA!$A$1:$K$26,2,FALSE),0)</f>
        <v>0</v>
      </c>
      <c r="H115" s="11"/>
      <c r="I115" s="95"/>
      <c r="J115" s="78"/>
      <c r="K115" s="81"/>
      <c r="L115" s="146">
        <f t="shared" si="5"/>
        <v>1800000</v>
      </c>
      <c r="M115" s="137"/>
      <c r="N115" s="137"/>
      <c r="O115" s="137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spans="1:29" ht="14.25" customHeight="1" x14ac:dyDescent="0.35">
      <c r="A116" s="9">
        <f t="shared" si="4"/>
        <v>108</v>
      </c>
      <c r="B116" s="15"/>
      <c r="C116" s="11">
        <f t="shared" si="3"/>
        <v>1</v>
      </c>
      <c r="D116" s="11">
        <v>5</v>
      </c>
      <c r="E116" s="11"/>
      <c r="F116" s="14"/>
      <c r="G116" s="89">
        <f>IFERROR(VLOOKUP(F116,COA!$A$1:$K$26,2,FALSE),0)</f>
        <v>0</v>
      </c>
      <c r="H116" s="11"/>
      <c r="I116" s="95"/>
      <c r="J116" s="78"/>
      <c r="K116" s="81"/>
      <c r="L116" s="146">
        <f t="shared" si="5"/>
        <v>1800000</v>
      </c>
      <c r="M116" s="73"/>
      <c r="N116" s="73"/>
      <c r="O116" s="7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 x14ac:dyDescent="0.35">
      <c r="A117" s="9">
        <f t="shared" si="4"/>
        <v>109</v>
      </c>
      <c r="B117" s="15"/>
      <c r="C117" s="11">
        <f t="shared" si="3"/>
        <v>1</v>
      </c>
      <c r="D117" s="11">
        <v>5</v>
      </c>
      <c r="E117" s="11"/>
      <c r="F117" s="14"/>
      <c r="G117" s="89">
        <f>IFERROR(VLOOKUP(F117,COA!$A$1:$K$26,2,FALSE),0)</f>
        <v>0</v>
      </c>
      <c r="H117" s="11"/>
      <c r="I117" s="95"/>
      <c r="J117" s="78"/>
      <c r="K117" s="81"/>
      <c r="L117" s="146">
        <f t="shared" si="5"/>
        <v>1800000</v>
      </c>
      <c r="M117" s="73"/>
      <c r="N117" s="73"/>
      <c r="O117" s="7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 x14ac:dyDescent="0.35">
      <c r="A118" s="9">
        <f t="shared" si="4"/>
        <v>110</v>
      </c>
      <c r="B118" s="15"/>
      <c r="C118" s="11">
        <f t="shared" si="3"/>
        <v>1</v>
      </c>
      <c r="D118" s="11">
        <v>5</v>
      </c>
      <c r="E118" s="11"/>
      <c r="F118" s="14"/>
      <c r="G118" s="89">
        <f>IFERROR(VLOOKUP(F118,COA!$A$1:$K$26,2,FALSE),0)</f>
        <v>0</v>
      </c>
      <c r="H118" s="11"/>
      <c r="I118" s="95"/>
      <c r="J118" s="78"/>
      <c r="K118" s="81"/>
      <c r="L118" s="146">
        <f t="shared" si="5"/>
        <v>1800000</v>
      </c>
      <c r="M118" s="73"/>
      <c r="N118" s="73"/>
      <c r="O118" s="7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customHeight="1" x14ac:dyDescent="0.35">
      <c r="A119" s="9">
        <f t="shared" si="4"/>
        <v>111</v>
      </c>
      <c r="B119" s="15"/>
      <c r="C119" s="11">
        <f t="shared" si="3"/>
        <v>1</v>
      </c>
      <c r="D119" s="11">
        <v>5</v>
      </c>
      <c r="E119" s="11"/>
      <c r="F119" s="14"/>
      <c r="G119" s="89">
        <f>IFERROR(VLOOKUP(F119,COA!$A$1:$K$26,2,FALSE),0)</f>
        <v>0</v>
      </c>
      <c r="H119" s="11"/>
      <c r="I119" s="95"/>
      <c r="J119" s="78"/>
      <c r="K119" s="81"/>
      <c r="L119" s="146">
        <f t="shared" si="5"/>
        <v>1800000</v>
      </c>
      <c r="M119" s="73"/>
      <c r="N119" s="73"/>
      <c r="O119" s="7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 x14ac:dyDescent="0.35">
      <c r="A120" s="9">
        <f t="shared" si="4"/>
        <v>112</v>
      </c>
      <c r="B120" s="15"/>
      <c r="C120" s="11">
        <f t="shared" si="3"/>
        <v>1</v>
      </c>
      <c r="D120" s="11">
        <v>5</v>
      </c>
      <c r="E120" s="11"/>
      <c r="F120" s="14"/>
      <c r="G120" s="89">
        <f>IFERROR(VLOOKUP(F120,COA!$A$1:$K$26,2,FALSE),0)</f>
        <v>0</v>
      </c>
      <c r="H120" s="11"/>
      <c r="I120" s="95"/>
      <c r="J120" s="78"/>
      <c r="K120" s="81"/>
      <c r="L120" s="146">
        <f t="shared" si="5"/>
        <v>1800000</v>
      </c>
      <c r="M120" s="73"/>
      <c r="N120" s="73"/>
      <c r="O120" s="7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 x14ac:dyDescent="0.35">
      <c r="A121" s="9">
        <f t="shared" si="4"/>
        <v>113</v>
      </c>
      <c r="B121" s="15"/>
      <c r="C121" s="11">
        <f t="shared" si="3"/>
        <v>1</v>
      </c>
      <c r="D121" s="11">
        <v>5</v>
      </c>
      <c r="E121" s="11"/>
      <c r="F121" s="14"/>
      <c r="G121" s="89">
        <f>IFERROR(VLOOKUP(F121,COA!$A$1:$K$26,2,FALSE),0)</f>
        <v>0</v>
      </c>
      <c r="H121" s="11"/>
      <c r="I121" s="95"/>
      <c r="J121" s="78"/>
      <c r="K121" s="79"/>
      <c r="L121" s="146">
        <f t="shared" si="5"/>
        <v>1800000</v>
      </c>
      <c r="M121" s="73"/>
      <c r="N121" s="73"/>
      <c r="O121" s="7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 x14ac:dyDescent="0.35">
      <c r="A122" s="9">
        <f t="shared" si="4"/>
        <v>114</v>
      </c>
      <c r="B122" s="15"/>
      <c r="C122" s="11">
        <f t="shared" si="3"/>
        <v>1</v>
      </c>
      <c r="D122" s="11">
        <v>5</v>
      </c>
      <c r="E122" s="11"/>
      <c r="F122" s="14"/>
      <c r="G122" s="89">
        <f>IFERROR(VLOOKUP(F122,COA!$A$1:$K$26,2,FALSE),0)</f>
        <v>0</v>
      </c>
      <c r="H122" s="11"/>
      <c r="I122" s="95"/>
      <c r="J122" s="78"/>
      <c r="K122" s="79"/>
      <c r="L122" s="146">
        <f t="shared" si="5"/>
        <v>1800000</v>
      </c>
      <c r="M122" s="73"/>
      <c r="N122" s="73"/>
      <c r="O122" s="7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 x14ac:dyDescent="0.35">
      <c r="A123" s="9">
        <f t="shared" si="4"/>
        <v>115</v>
      </c>
      <c r="B123" s="10"/>
      <c r="C123" s="11">
        <f t="shared" si="3"/>
        <v>1</v>
      </c>
      <c r="D123" s="11">
        <v>5</v>
      </c>
      <c r="E123" s="11"/>
      <c r="F123" s="11"/>
      <c r="G123" s="89">
        <f>IFERROR(VLOOKUP(F123,COA!$A$1:$K$26,2,FALSE),0)</f>
        <v>0</v>
      </c>
      <c r="H123" s="11"/>
      <c r="I123" s="11"/>
      <c r="J123" s="77"/>
      <c r="K123" s="78"/>
      <c r="L123" s="146">
        <f t="shared" si="5"/>
        <v>1800000</v>
      </c>
      <c r="M123" s="73"/>
      <c r="N123" s="73"/>
      <c r="O123" s="7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 x14ac:dyDescent="0.35">
      <c r="A124" s="9">
        <f t="shared" si="4"/>
        <v>116</v>
      </c>
      <c r="B124" s="10"/>
      <c r="C124" s="11">
        <f t="shared" si="3"/>
        <v>1</v>
      </c>
      <c r="D124" s="11">
        <v>5</v>
      </c>
      <c r="E124" s="11"/>
      <c r="F124" s="11"/>
      <c r="G124" s="89">
        <f>IFERROR(VLOOKUP(F124,COA!$A$1:$K$26,2,FALSE),0)</f>
        <v>0</v>
      </c>
      <c r="H124" s="11"/>
      <c r="I124" s="11"/>
      <c r="J124" s="78"/>
      <c r="K124" s="78"/>
      <c r="L124" s="146">
        <f t="shared" si="5"/>
        <v>1800000</v>
      </c>
      <c r="M124" s="73"/>
      <c r="N124" s="73"/>
      <c r="O124" s="7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 x14ac:dyDescent="0.35">
      <c r="A125" s="9">
        <f t="shared" si="4"/>
        <v>117</v>
      </c>
      <c r="B125" s="10"/>
      <c r="C125" s="11">
        <f t="shared" si="3"/>
        <v>1</v>
      </c>
      <c r="D125" s="11">
        <v>5</v>
      </c>
      <c r="E125" s="11"/>
      <c r="F125" s="11"/>
      <c r="G125" s="89">
        <f>IFERROR(VLOOKUP(F125,COA!$A$1:$K$26,2,FALSE),0)</f>
        <v>0</v>
      </c>
      <c r="H125" s="11"/>
      <c r="I125" s="11"/>
      <c r="J125" s="78"/>
      <c r="K125" s="78"/>
      <c r="L125" s="146">
        <f t="shared" si="5"/>
        <v>1800000</v>
      </c>
      <c r="M125" s="73"/>
      <c r="N125" s="73"/>
      <c r="O125" s="7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 x14ac:dyDescent="0.35">
      <c r="A126" s="9">
        <f t="shared" si="4"/>
        <v>118</v>
      </c>
      <c r="B126" s="10"/>
      <c r="C126" s="11">
        <f t="shared" si="3"/>
        <v>1</v>
      </c>
      <c r="D126" s="11">
        <v>5</v>
      </c>
      <c r="E126" s="11"/>
      <c r="F126" s="11"/>
      <c r="G126" s="89">
        <f>IFERROR(VLOOKUP(F126,COA!$A$1:$K$26,2,FALSE),0)</f>
        <v>0</v>
      </c>
      <c r="H126" s="11"/>
      <c r="I126" s="11"/>
      <c r="J126" s="78"/>
      <c r="K126" s="78"/>
      <c r="L126" s="146">
        <f t="shared" si="5"/>
        <v>1800000</v>
      </c>
      <c r="M126" s="73"/>
      <c r="N126" s="73"/>
      <c r="O126" s="7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 x14ac:dyDescent="0.35">
      <c r="A127" s="9">
        <f t="shared" si="4"/>
        <v>119</v>
      </c>
      <c r="B127" s="10"/>
      <c r="C127" s="11">
        <f t="shared" si="3"/>
        <v>1</v>
      </c>
      <c r="D127" s="11">
        <v>5</v>
      </c>
      <c r="E127" s="11"/>
      <c r="F127" s="11"/>
      <c r="G127" s="89">
        <f>IFERROR(VLOOKUP(F127,COA!$A$1:$K$26,2,FALSE),0)</f>
        <v>0</v>
      </c>
      <c r="H127" s="11"/>
      <c r="I127" s="11"/>
      <c r="J127" s="78"/>
      <c r="K127" s="78"/>
      <c r="L127" s="146">
        <f t="shared" si="5"/>
        <v>1800000</v>
      </c>
      <c r="M127" s="73"/>
      <c r="N127" s="73"/>
      <c r="O127" s="7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 x14ac:dyDescent="0.35">
      <c r="A128" s="9">
        <f t="shared" si="4"/>
        <v>120</v>
      </c>
      <c r="B128" s="10"/>
      <c r="C128" s="11">
        <f t="shared" si="3"/>
        <v>1</v>
      </c>
      <c r="D128" s="11">
        <v>5</v>
      </c>
      <c r="E128" s="11"/>
      <c r="F128" s="11"/>
      <c r="G128" s="89">
        <f>IFERROR(VLOOKUP(F128,COA!$A$1:$K$26,2,FALSE),0)</f>
        <v>0</v>
      </c>
      <c r="H128" s="11"/>
      <c r="I128" s="11"/>
      <c r="J128" s="78"/>
      <c r="K128" s="78"/>
      <c r="L128" s="146">
        <f t="shared" si="5"/>
        <v>1800000</v>
      </c>
      <c r="M128" s="73"/>
      <c r="N128" s="73"/>
      <c r="O128" s="7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 x14ac:dyDescent="0.35">
      <c r="A129" s="9">
        <f t="shared" si="4"/>
        <v>121</v>
      </c>
      <c r="B129" s="10"/>
      <c r="C129" s="11">
        <f t="shared" si="3"/>
        <v>1</v>
      </c>
      <c r="D129" s="11">
        <v>5</v>
      </c>
      <c r="E129" s="11"/>
      <c r="F129" s="11"/>
      <c r="G129" s="89">
        <f>IFERROR(VLOOKUP(F129,COA!$A$1:$K$26,2,FALSE),0)</f>
        <v>0</v>
      </c>
      <c r="H129" s="11"/>
      <c r="I129" s="11"/>
      <c r="J129" s="78"/>
      <c r="K129" s="78"/>
      <c r="L129" s="146">
        <f t="shared" si="5"/>
        <v>1800000</v>
      </c>
      <c r="M129" s="73"/>
      <c r="N129" s="73"/>
      <c r="O129" s="7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 x14ac:dyDescent="0.35">
      <c r="A130" s="9">
        <f t="shared" si="4"/>
        <v>122</v>
      </c>
      <c r="B130" s="10"/>
      <c r="C130" s="11">
        <f t="shared" si="3"/>
        <v>1</v>
      </c>
      <c r="D130" s="11">
        <v>5</v>
      </c>
      <c r="E130" s="11"/>
      <c r="F130" s="11"/>
      <c r="G130" s="89">
        <f>IFERROR(VLOOKUP(F130,COA!$A$1:$K$26,2,FALSE),0)</f>
        <v>0</v>
      </c>
      <c r="H130" s="11"/>
      <c r="I130" s="11"/>
      <c r="J130" s="78"/>
      <c r="K130" s="78"/>
      <c r="L130" s="146">
        <f t="shared" si="5"/>
        <v>1800000</v>
      </c>
      <c r="M130" s="73"/>
      <c r="N130" s="73"/>
      <c r="O130" s="7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 x14ac:dyDescent="0.35">
      <c r="A131" s="9">
        <f t="shared" si="4"/>
        <v>123</v>
      </c>
      <c r="B131" s="10"/>
      <c r="C131" s="11">
        <f t="shared" si="3"/>
        <v>1</v>
      </c>
      <c r="D131" s="11">
        <v>5</v>
      </c>
      <c r="E131" s="11"/>
      <c r="F131" s="11"/>
      <c r="G131" s="89">
        <f>IFERROR(VLOOKUP(F131,COA!$A$1:$K$26,2,FALSE),0)</f>
        <v>0</v>
      </c>
      <c r="H131" s="11"/>
      <c r="I131" s="11"/>
      <c r="J131" s="78"/>
      <c r="K131" s="79"/>
      <c r="L131" s="146">
        <f t="shared" si="5"/>
        <v>1800000</v>
      </c>
      <c r="M131" s="73"/>
      <c r="N131" s="73"/>
      <c r="O131" s="7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 x14ac:dyDescent="0.35">
      <c r="A132" s="9">
        <f t="shared" si="4"/>
        <v>124</v>
      </c>
      <c r="B132" s="10"/>
      <c r="C132" s="11">
        <f t="shared" si="3"/>
        <v>1</v>
      </c>
      <c r="D132" s="11">
        <v>5</v>
      </c>
      <c r="E132" s="11"/>
      <c r="F132" s="11"/>
      <c r="G132" s="89">
        <f>IFERROR(VLOOKUP(F132,COA!$A$1:$K$26,2,FALSE),0)</f>
        <v>0</v>
      </c>
      <c r="H132" s="11"/>
      <c r="I132" s="11"/>
      <c r="J132" s="78"/>
      <c r="K132" s="79"/>
      <c r="L132" s="146">
        <f t="shared" si="5"/>
        <v>1800000</v>
      </c>
      <c r="M132" s="73"/>
      <c r="N132" s="73"/>
      <c r="O132" s="7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 x14ac:dyDescent="0.35">
      <c r="A133" s="9">
        <f t="shared" si="4"/>
        <v>125</v>
      </c>
      <c r="B133" s="10"/>
      <c r="C133" s="11">
        <f t="shared" si="3"/>
        <v>1</v>
      </c>
      <c r="D133" s="11">
        <v>5</v>
      </c>
      <c r="E133" s="11"/>
      <c r="F133" s="11"/>
      <c r="G133" s="89">
        <f>IFERROR(VLOOKUP(F133,COA!$A$1:$K$26,2,FALSE),0)</f>
        <v>0</v>
      </c>
      <c r="H133" s="11"/>
      <c r="I133" s="11"/>
      <c r="J133" s="78"/>
      <c r="K133" s="79"/>
      <c r="L133" s="146">
        <f t="shared" si="5"/>
        <v>1800000</v>
      </c>
      <c r="M133" s="73"/>
      <c r="N133" s="73"/>
      <c r="O133" s="7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 x14ac:dyDescent="0.35">
      <c r="A134" s="9">
        <f t="shared" si="4"/>
        <v>126</v>
      </c>
      <c r="B134" s="10"/>
      <c r="C134" s="11">
        <f t="shared" si="3"/>
        <v>1</v>
      </c>
      <c r="D134" s="11">
        <v>5</v>
      </c>
      <c r="E134" s="11"/>
      <c r="F134" s="11"/>
      <c r="G134" s="89">
        <f>IFERROR(VLOOKUP(F134,COA!$A$1:$K$26,2,FALSE),0)</f>
        <v>0</v>
      </c>
      <c r="H134" s="11"/>
      <c r="I134" s="11"/>
      <c r="J134" s="78"/>
      <c r="K134" s="79"/>
      <c r="L134" s="146">
        <f t="shared" si="5"/>
        <v>1800000</v>
      </c>
      <c r="M134" s="73"/>
      <c r="N134" s="73"/>
      <c r="O134" s="7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 x14ac:dyDescent="0.35">
      <c r="A135" s="9">
        <f t="shared" si="4"/>
        <v>127</v>
      </c>
      <c r="B135" s="10"/>
      <c r="C135" s="11">
        <f t="shared" si="3"/>
        <v>1</v>
      </c>
      <c r="D135" s="11">
        <v>5</v>
      </c>
      <c r="E135" s="11"/>
      <c r="F135" s="11"/>
      <c r="G135" s="89">
        <f>IFERROR(VLOOKUP(F135,COA!$A$1:$K$26,2,FALSE),0)</f>
        <v>0</v>
      </c>
      <c r="H135" s="11"/>
      <c r="I135" s="11"/>
      <c r="J135" s="78"/>
      <c r="K135" s="78"/>
      <c r="L135" s="146">
        <f t="shared" si="5"/>
        <v>1800000</v>
      </c>
      <c r="M135" s="73"/>
      <c r="N135" s="73"/>
      <c r="O135" s="7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 x14ac:dyDescent="0.35">
      <c r="A136" s="9">
        <f t="shared" si="4"/>
        <v>128</v>
      </c>
      <c r="B136" s="10"/>
      <c r="C136" s="11">
        <f t="shared" ref="C136:C199" si="6">MONTH(B136)</f>
        <v>1</v>
      </c>
      <c r="D136" s="11">
        <v>5</v>
      </c>
      <c r="E136" s="11"/>
      <c r="F136" s="11"/>
      <c r="G136" s="89">
        <f>IFERROR(VLOOKUP(F136,COA!$A$1:$K$26,2,FALSE),0)</f>
        <v>0</v>
      </c>
      <c r="H136" s="11"/>
      <c r="I136" s="11"/>
      <c r="J136" s="78"/>
      <c r="K136" s="78"/>
      <c r="L136" s="146">
        <f t="shared" si="5"/>
        <v>1800000</v>
      </c>
      <c r="M136" s="73"/>
      <c r="N136" s="73"/>
      <c r="O136" s="7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 x14ac:dyDescent="0.35">
      <c r="A137" s="9">
        <f t="shared" si="4"/>
        <v>129</v>
      </c>
      <c r="B137" s="10"/>
      <c r="C137" s="11">
        <f t="shared" si="6"/>
        <v>1</v>
      </c>
      <c r="D137" s="11">
        <v>5</v>
      </c>
      <c r="E137" s="11"/>
      <c r="F137" s="11"/>
      <c r="G137" s="89">
        <f>IFERROR(VLOOKUP(F137,COA!$A$1:$K$26,2,FALSE),0)</f>
        <v>0</v>
      </c>
      <c r="H137" s="11"/>
      <c r="I137" s="11"/>
      <c r="J137" s="78"/>
      <c r="K137" s="78"/>
      <c r="L137" s="146">
        <f t="shared" si="5"/>
        <v>1800000</v>
      </c>
      <c r="M137" s="73"/>
      <c r="N137" s="73"/>
      <c r="O137" s="7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 x14ac:dyDescent="0.35">
      <c r="A138" s="9">
        <f t="shared" si="4"/>
        <v>130</v>
      </c>
      <c r="B138" s="15"/>
      <c r="C138" s="11">
        <f t="shared" si="6"/>
        <v>1</v>
      </c>
      <c r="D138" s="11">
        <v>5</v>
      </c>
      <c r="E138" s="11"/>
      <c r="F138" s="14"/>
      <c r="G138" s="89">
        <f>IFERROR(VLOOKUP(F138,COA!$A$1:$K$26,2,FALSE),0)</f>
        <v>0</v>
      </c>
      <c r="H138" s="11"/>
      <c r="I138" s="95"/>
      <c r="J138" s="78"/>
      <c r="K138" s="79"/>
      <c r="L138" s="146">
        <f t="shared" si="5"/>
        <v>1800000</v>
      </c>
      <c r="M138" s="73"/>
      <c r="N138" s="73"/>
      <c r="O138" s="7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 x14ac:dyDescent="0.35">
      <c r="A139" s="9">
        <f t="shared" ref="A139:A202" si="7">A138+1</f>
        <v>131</v>
      </c>
      <c r="B139" s="10"/>
      <c r="C139" s="11">
        <f t="shared" si="6"/>
        <v>1</v>
      </c>
      <c r="D139" s="11">
        <v>5</v>
      </c>
      <c r="E139" s="11"/>
      <c r="F139" s="11"/>
      <c r="G139" s="89">
        <f>IFERROR(VLOOKUP(F139,COA!$A$1:$K$26,2,FALSE),0)</f>
        <v>0</v>
      </c>
      <c r="H139" s="11"/>
      <c r="I139" s="11"/>
      <c r="J139" s="77"/>
      <c r="K139" s="78"/>
      <c r="L139" s="146">
        <f t="shared" ref="L139:L202" si="8">L138+J139-K139</f>
        <v>1800000</v>
      </c>
      <c r="M139" s="73"/>
      <c r="N139" s="73"/>
      <c r="O139" s="7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 x14ac:dyDescent="0.35">
      <c r="A140" s="9">
        <f t="shared" si="7"/>
        <v>132</v>
      </c>
      <c r="B140" s="15"/>
      <c r="C140" s="11">
        <f t="shared" si="6"/>
        <v>1</v>
      </c>
      <c r="D140" s="11">
        <v>5</v>
      </c>
      <c r="E140" s="11"/>
      <c r="F140" s="14"/>
      <c r="G140" s="89">
        <f>IFERROR(VLOOKUP(F140,COA!$A$1:$K$26,2,FALSE),0)</f>
        <v>0</v>
      </c>
      <c r="H140" s="11"/>
      <c r="I140" s="95"/>
      <c r="J140" s="78"/>
      <c r="K140" s="78"/>
      <c r="L140" s="146">
        <f t="shared" si="8"/>
        <v>1800000</v>
      </c>
      <c r="M140" s="73"/>
      <c r="N140" s="73"/>
      <c r="O140" s="7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 x14ac:dyDescent="0.35">
      <c r="A141" s="9">
        <f t="shared" si="7"/>
        <v>133</v>
      </c>
      <c r="B141" s="15"/>
      <c r="C141" s="11">
        <f t="shared" si="6"/>
        <v>1</v>
      </c>
      <c r="D141" s="11">
        <v>5</v>
      </c>
      <c r="E141" s="11"/>
      <c r="F141" s="14"/>
      <c r="G141" s="89">
        <f>IFERROR(VLOOKUP(F141,COA!$A$1:$K$26,2,FALSE),0)</f>
        <v>0</v>
      </c>
      <c r="H141" s="11"/>
      <c r="I141" s="95"/>
      <c r="J141" s="78"/>
      <c r="K141" s="78"/>
      <c r="L141" s="146">
        <f t="shared" si="8"/>
        <v>1800000</v>
      </c>
      <c r="M141" s="73"/>
      <c r="N141" s="73"/>
      <c r="O141" s="7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 x14ac:dyDescent="0.35">
      <c r="A142" s="9">
        <f t="shared" si="7"/>
        <v>134</v>
      </c>
      <c r="B142" s="15"/>
      <c r="C142" s="11">
        <f t="shared" si="6"/>
        <v>1</v>
      </c>
      <c r="D142" s="11">
        <v>5</v>
      </c>
      <c r="E142" s="11"/>
      <c r="F142" s="14"/>
      <c r="G142" s="89">
        <f>IFERROR(VLOOKUP(F142,COA!$A$1:$K$26,2,FALSE),0)</f>
        <v>0</v>
      </c>
      <c r="H142" s="11"/>
      <c r="I142" s="95"/>
      <c r="J142" s="78"/>
      <c r="K142" s="79"/>
      <c r="L142" s="146">
        <f t="shared" si="8"/>
        <v>1800000</v>
      </c>
      <c r="M142" s="73"/>
      <c r="N142" s="73"/>
      <c r="O142" s="7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 x14ac:dyDescent="0.35">
      <c r="A143" s="9">
        <f t="shared" si="7"/>
        <v>135</v>
      </c>
      <c r="B143" s="15"/>
      <c r="C143" s="11">
        <f t="shared" si="6"/>
        <v>1</v>
      </c>
      <c r="D143" s="11">
        <v>5</v>
      </c>
      <c r="E143" s="11"/>
      <c r="F143" s="14"/>
      <c r="G143" s="89">
        <f>IFERROR(VLOOKUP(F143,COA!$A$1:$K$26,2,FALSE),0)</f>
        <v>0</v>
      </c>
      <c r="H143" s="11"/>
      <c r="I143" s="95"/>
      <c r="J143" s="78"/>
      <c r="K143" s="79"/>
      <c r="L143" s="146">
        <f t="shared" si="8"/>
        <v>1800000</v>
      </c>
      <c r="M143" s="73"/>
      <c r="N143" s="73"/>
      <c r="O143" s="7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 x14ac:dyDescent="0.35">
      <c r="A144" s="9">
        <f t="shared" si="7"/>
        <v>136</v>
      </c>
      <c r="B144" s="15"/>
      <c r="C144" s="11">
        <f t="shared" si="6"/>
        <v>1</v>
      </c>
      <c r="D144" s="11">
        <v>5</v>
      </c>
      <c r="E144" s="11"/>
      <c r="F144" s="14"/>
      <c r="G144" s="89">
        <f>IFERROR(VLOOKUP(F144,COA!$A$1:$K$26,2,FALSE),0)</f>
        <v>0</v>
      </c>
      <c r="H144" s="11"/>
      <c r="I144" s="95"/>
      <c r="J144" s="78"/>
      <c r="K144" s="79"/>
      <c r="L144" s="146">
        <f t="shared" si="8"/>
        <v>1800000</v>
      </c>
      <c r="M144" s="73"/>
      <c r="N144" s="73"/>
      <c r="O144" s="7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 x14ac:dyDescent="0.35">
      <c r="A145" s="9">
        <f t="shared" si="7"/>
        <v>137</v>
      </c>
      <c r="B145" s="15"/>
      <c r="C145" s="11">
        <f t="shared" si="6"/>
        <v>1</v>
      </c>
      <c r="D145" s="11">
        <v>5</v>
      </c>
      <c r="E145" s="11"/>
      <c r="F145" s="14"/>
      <c r="G145" s="89">
        <f>IFERROR(VLOOKUP(F145,COA!$A$1:$K$26,2,FALSE),0)</f>
        <v>0</v>
      </c>
      <c r="H145" s="11"/>
      <c r="I145" s="95"/>
      <c r="J145" s="78"/>
      <c r="K145" s="79"/>
      <c r="L145" s="146">
        <f t="shared" si="8"/>
        <v>1800000</v>
      </c>
      <c r="M145" s="73"/>
      <c r="N145" s="73"/>
      <c r="O145" s="7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 x14ac:dyDescent="0.35">
      <c r="A146" s="9">
        <f t="shared" si="7"/>
        <v>138</v>
      </c>
      <c r="B146" s="15"/>
      <c r="C146" s="11">
        <f t="shared" si="6"/>
        <v>1</v>
      </c>
      <c r="D146" s="11">
        <v>5</v>
      </c>
      <c r="E146" s="11"/>
      <c r="F146" s="14"/>
      <c r="G146" s="89">
        <f>IFERROR(VLOOKUP(F146,COA!$A$1:$K$26,2,FALSE),0)</f>
        <v>0</v>
      </c>
      <c r="H146" s="11"/>
      <c r="I146" s="95"/>
      <c r="J146" s="78"/>
      <c r="K146" s="79"/>
      <c r="L146" s="146">
        <f t="shared" si="8"/>
        <v>1800000</v>
      </c>
      <c r="M146" s="73"/>
      <c r="N146" s="73"/>
      <c r="O146" s="7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 x14ac:dyDescent="0.35">
      <c r="A147" s="9">
        <f t="shared" si="7"/>
        <v>139</v>
      </c>
      <c r="B147" s="15"/>
      <c r="C147" s="11">
        <f t="shared" si="6"/>
        <v>1</v>
      </c>
      <c r="D147" s="11">
        <v>5</v>
      </c>
      <c r="E147" s="11"/>
      <c r="F147" s="14"/>
      <c r="G147" s="89">
        <f>IFERROR(VLOOKUP(F147,COA!$A$1:$K$26,2,FALSE),0)</f>
        <v>0</v>
      </c>
      <c r="H147" s="11"/>
      <c r="I147" s="95"/>
      <c r="J147" s="78"/>
      <c r="K147" s="79"/>
      <c r="L147" s="146">
        <f t="shared" si="8"/>
        <v>1800000</v>
      </c>
      <c r="M147" s="73"/>
      <c r="N147" s="73"/>
      <c r="O147" s="7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 x14ac:dyDescent="0.35">
      <c r="A148" s="9">
        <f t="shared" si="7"/>
        <v>140</v>
      </c>
      <c r="B148" s="15"/>
      <c r="C148" s="11">
        <f t="shared" si="6"/>
        <v>1</v>
      </c>
      <c r="D148" s="11">
        <v>5</v>
      </c>
      <c r="E148" s="11"/>
      <c r="F148" s="14"/>
      <c r="G148" s="89">
        <f>IFERROR(VLOOKUP(F148,COA!$A$1:$K$26,2,FALSE),0)</f>
        <v>0</v>
      </c>
      <c r="H148" s="11"/>
      <c r="I148" s="95"/>
      <c r="J148" s="78"/>
      <c r="K148" s="79"/>
      <c r="L148" s="146">
        <f t="shared" si="8"/>
        <v>1800000</v>
      </c>
      <c r="M148" s="73"/>
      <c r="N148" s="73"/>
      <c r="O148" s="7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 x14ac:dyDescent="0.35">
      <c r="A149" s="9">
        <f t="shared" si="7"/>
        <v>141</v>
      </c>
      <c r="B149" s="15"/>
      <c r="C149" s="11">
        <f t="shared" si="6"/>
        <v>1</v>
      </c>
      <c r="D149" s="11">
        <v>5</v>
      </c>
      <c r="E149" s="11"/>
      <c r="F149" s="11"/>
      <c r="G149" s="89">
        <f>IFERROR(VLOOKUP(F149,COA!$A$1:$K$26,2,FALSE),0)</f>
        <v>0</v>
      </c>
      <c r="H149" s="89"/>
      <c r="I149" s="11"/>
      <c r="J149" s="78"/>
      <c r="K149" s="79"/>
      <c r="L149" s="146">
        <f t="shared" si="8"/>
        <v>1800000</v>
      </c>
      <c r="M149" s="73"/>
      <c r="N149" s="73"/>
      <c r="O149" s="7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 x14ac:dyDescent="0.35">
      <c r="A150" s="9">
        <f t="shared" si="7"/>
        <v>142</v>
      </c>
      <c r="B150" s="15"/>
      <c r="C150" s="11">
        <f t="shared" si="6"/>
        <v>1</v>
      </c>
      <c r="D150" s="11">
        <v>5</v>
      </c>
      <c r="E150" s="11"/>
      <c r="F150" s="14"/>
      <c r="G150" s="89">
        <f>IFERROR(VLOOKUP(F150,COA!$A$1:$K$26,2,FALSE),0)</f>
        <v>0</v>
      </c>
      <c r="H150" s="89"/>
      <c r="I150" s="11"/>
      <c r="J150" s="78"/>
      <c r="K150" s="78"/>
      <c r="L150" s="146">
        <f t="shared" si="8"/>
        <v>1800000</v>
      </c>
      <c r="M150" s="73"/>
      <c r="N150" s="73"/>
      <c r="O150" s="7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 x14ac:dyDescent="0.35">
      <c r="A151" s="9">
        <f t="shared" si="7"/>
        <v>143</v>
      </c>
      <c r="B151" s="15"/>
      <c r="C151" s="11">
        <f t="shared" si="6"/>
        <v>1</v>
      </c>
      <c r="D151" s="11">
        <v>5</v>
      </c>
      <c r="E151" s="11"/>
      <c r="F151" s="14"/>
      <c r="G151" s="89">
        <f>IFERROR(VLOOKUP(F151,COA!$A$1:$K$26,2,FALSE),0)</f>
        <v>0</v>
      </c>
      <c r="H151" s="11"/>
      <c r="I151" s="95"/>
      <c r="J151" s="78"/>
      <c r="K151" s="79"/>
      <c r="L151" s="146">
        <f t="shared" si="8"/>
        <v>1800000</v>
      </c>
      <c r="M151" s="73"/>
      <c r="N151" s="73"/>
      <c r="O151" s="7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 x14ac:dyDescent="0.35">
      <c r="A152" s="9">
        <f t="shared" si="7"/>
        <v>144</v>
      </c>
      <c r="B152" s="15"/>
      <c r="C152" s="11">
        <f t="shared" si="6"/>
        <v>1</v>
      </c>
      <c r="D152" s="11">
        <v>5</v>
      </c>
      <c r="E152" s="11"/>
      <c r="F152" s="14"/>
      <c r="G152" s="89">
        <f>IFERROR(VLOOKUP(F152,COA!$A$1:$K$26,2,FALSE),0)</f>
        <v>0</v>
      </c>
      <c r="H152" s="11"/>
      <c r="I152" s="95"/>
      <c r="J152" s="78"/>
      <c r="K152" s="79"/>
      <c r="L152" s="146">
        <f t="shared" si="8"/>
        <v>1800000</v>
      </c>
      <c r="M152" s="73"/>
      <c r="N152" s="73"/>
      <c r="O152" s="7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 x14ac:dyDescent="0.35">
      <c r="A153" s="9">
        <f t="shared" si="7"/>
        <v>145</v>
      </c>
      <c r="B153" s="15"/>
      <c r="C153" s="11">
        <f t="shared" si="6"/>
        <v>1</v>
      </c>
      <c r="D153" s="11">
        <v>5</v>
      </c>
      <c r="E153" s="11"/>
      <c r="F153" s="11"/>
      <c r="G153" s="89">
        <f>IFERROR(VLOOKUP(F153,COA!$A$1:$K$26,2,FALSE),0)</f>
        <v>0</v>
      </c>
      <c r="H153" s="11"/>
      <c r="I153" s="11"/>
      <c r="J153" s="78"/>
      <c r="K153" s="78"/>
      <c r="L153" s="146">
        <f t="shared" si="8"/>
        <v>1800000</v>
      </c>
      <c r="M153" s="73"/>
      <c r="N153" s="73"/>
      <c r="O153" s="7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 x14ac:dyDescent="0.35">
      <c r="A154" s="9">
        <f t="shared" si="7"/>
        <v>146</v>
      </c>
      <c r="B154" s="15"/>
      <c r="C154" s="11">
        <f t="shared" si="6"/>
        <v>1</v>
      </c>
      <c r="D154" s="11">
        <v>5</v>
      </c>
      <c r="E154" s="11"/>
      <c r="F154" s="14"/>
      <c r="G154" s="89">
        <f>IFERROR(VLOOKUP(F154,COA!$A$1:$K$26,2,FALSE),0)</f>
        <v>0</v>
      </c>
      <c r="H154" s="95"/>
      <c r="I154" s="11"/>
      <c r="J154" s="78"/>
      <c r="K154" s="78"/>
      <c r="L154" s="146">
        <f t="shared" si="8"/>
        <v>1800000</v>
      </c>
      <c r="M154" s="73"/>
      <c r="N154" s="73"/>
      <c r="O154" s="7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 x14ac:dyDescent="0.35">
      <c r="A155" s="9">
        <f t="shared" si="7"/>
        <v>147</v>
      </c>
      <c r="B155" s="15"/>
      <c r="C155" s="11">
        <f t="shared" si="6"/>
        <v>1</v>
      </c>
      <c r="D155" s="11">
        <v>5</v>
      </c>
      <c r="E155" s="11"/>
      <c r="F155" s="14"/>
      <c r="G155" s="89">
        <f>IFERROR(VLOOKUP(F155,COA!$A$1:$K$26,2,FALSE),0)</f>
        <v>0</v>
      </c>
      <c r="H155" s="89"/>
      <c r="I155" s="11"/>
      <c r="J155" s="78"/>
      <c r="K155" s="78"/>
      <c r="L155" s="146">
        <f t="shared" si="8"/>
        <v>1800000</v>
      </c>
      <c r="M155" s="73"/>
      <c r="N155" s="73"/>
      <c r="O155" s="7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 x14ac:dyDescent="0.35">
      <c r="A156" s="9">
        <f t="shared" si="7"/>
        <v>148</v>
      </c>
      <c r="B156" s="15"/>
      <c r="C156" s="11">
        <f t="shared" si="6"/>
        <v>1</v>
      </c>
      <c r="D156" s="11">
        <v>5</v>
      </c>
      <c r="E156" s="11"/>
      <c r="F156" s="11"/>
      <c r="G156" s="89">
        <f>IFERROR(VLOOKUP(F156,COA!$A$1:$K$26,2,FALSE),0)</f>
        <v>0</v>
      </c>
      <c r="H156" s="89"/>
      <c r="I156" s="11"/>
      <c r="J156" s="78"/>
      <c r="K156" s="78"/>
      <c r="L156" s="146">
        <f t="shared" si="8"/>
        <v>1800000</v>
      </c>
      <c r="M156" s="73"/>
      <c r="N156" s="73"/>
      <c r="O156" s="7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35">
      <c r="A157" s="9">
        <f t="shared" si="7"/>
        <v>149</v>
      </c>
      <c r="B157" s="15"/>
      <c r="C157" s="11">
        <f t="shared" si="6"/>
        <v>1</v>
      </c>
      <c r="D157" s="11">
        <v>5</v>
      </c>
      <c r="E157" s="13"/>
      <c r="F157" s="11"/>
      <c r="G157" s="89">
        <f>IFERROR(VLOOKUP(F157,COA!$A$1:$K$26,2,FALSE),0)</f>
        <v>0</v>
      </c>
      <c r="H157" s="89"/>
      <c r="I157" s="11"/>
      <c r="J157" s="78"/>
      <c r="K157" s="78"/>
      <c r="L157" s="146">
        <f t="shared" si="8"/>
        <v>1800000</v>
      </c>
      <c r="M157" s="73"/>
      <c r="N157" s="73"/>
      <c r="O157" s="7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 x14ac:dyDescent="0.35">
      <c r="A158" s="9">
        <f t="shared" si="7"/>
        <v>150</v>
      </c>
      <c r="B158" s="15"/>
      <c r="C158" s="11">
        <f t="shared" si="6"/>
        <v>1</v>
      </c>
      <c r="D158" s="11">
        <v>5</v>
      </c>
      <c r="E158" s="11"/>
      <c r="F158" s="11"/>
      <c r="G158" s="89">
        <f>IFERROR(VLOOKUP(F158,COA!$A$1:$K$26,2,FALSE),0)</f>
        <v>0</v>
      </c>
      <c r="H158" s="89"/>
      <c r="I158" s="11"/>
      <c r="J158" s="78"/>
      <c r="K158" s="78"/>
      <c r="L158" s="146">
        <f t="shared" si="8"/>
        <v>1800000</v>
      </c>
      <c r="M158" s="73"/>
      <c r="N158" s="73"/>
      <c r="O158" s="7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 x14ac:dyDescent="0.35">
      <c r="A159" s="9">
        <f t="shared" si="7"/>
        <v>151</v>
      </c>
      <c r="B159" s="15"/>
      <c r="C159" s="11">
        <f t="shared" si="6"/>
        <v>1</v>
      </c>
      <c r="D159" s="11">
        <v>5</v>
      </c>
      <c r="E159" s="11"/>
      <c r="F159" s="11"/>
      <c r="G159" s="89">
        <f>IFERROR(VLOOKUP(F159,COA!$A$1:$K$26,2,FALSE),0)</f>
        <v>0</v>
      </c>
      <c r="H159" s="11"/>
      <c r="I159" s="11"/>
      <c r="J159" s="78"/>
      <c r="K159" s="79"/>
      <c r="L159" s="146">
        <f t="shared" si="8"/>
        <v>1800000</v>
      </c>
      <c r="M159" s="73"/>
      <c r="N159" s="73"/>
      <c r="O159" s="7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 x14ac:dyDescent="0.35">
      <c r="A160" s="9">
        <f t="shared" si="7"/>
        <v>152</v>
      </c>
      <c r="B160" s="15"/>
      <c r="C160" s="11">
        <f t="shared" si="6"/>
        <v>1</v>
      </c>
      <c r="D160" s="11">
        <v>5</v>
      </c>
      <c r="E160" s="11"/>
      <c r="F160" s="14"/>
      <c r="G160" s="89">
        <f>IFERROR(VLOOKUP(F160,COA!$A$1:$K$26,2,FALSE),0)</f>
        <v>0</v>
      </c>
      <c r="H160" s="11"/>
      <c r="I160" s="95"/>
      <c r="J160" s="82"/>
      <c r="K160" s="79"/>
      <c r="L160" s="146">
        <f t="shared" si="8"/>
        <v>1800000</v>
      </c>
      <c r="M160" s="73"/>
      <c r="N160" s="73"/>
      <c r="O160" s="7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 x14ac:dyDescent="0.35">
      <c r="A161" s="9">
        <f t="shared" si="7"/>
        <v>153</v>
      </c>
      <c r="B161" s="15"/>
      <c r="C161" s="11">
        <f t="shared" si="6"/>
        <v>1</v>
      </c>
      <c r="D161" s="11">
        <v>5</v>
      </c>
      <c r="E161" s="11"/>
      <c r="F161" s="14"/>
      <c r="G161" s="89">
        <f>IFERROR(VLOOKUP(F161,COA!$A$1:$K$26,2,FALSE),0)</f>
        <v>0</v>
      </c>
      <c r="H161" s="11"/>
      <c r="I161" s="95"/>
      <c r="J161" s="82"/>
      <c r="K161" s="81"/>
      <c r="L161" s="146">
        <f t="shared" si="8"/>
        <v>1800000</v>
      </c>
      <c r="M161" s="73"/>
      <c r="N161" s="73"/>
      <c r="O161" s="7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 x14ac:dyDescent="0.35">
      <c r="A162" s="9">
        <f t="shared" si="7"/>
        <v>154</v>
      </c>
      <c r="B162" s="15"/>
      <c r="C162" s="11">
        <f t="shared" si="6"/>
        <v>1</v>
      </c>
      <c r="D162" s="11">
        <v>5</v>
      </c>
      <c r="E162" s="11"/>
      <c r="F162" s="14"/>
      <c r="G162" s="89">
        <f>IFERROR(VLOOKUP(F162,COA!$A$1:$K$26,2,FALSE),0)</f>
        <v>0</v>
      </c>
      <c r="H162" s="11"/>
      <c r="I162" s="95"/>
      <c r="J162" s="82"/>
      <c r="K162" s="79"/>
      <c r="L162" s="146">
        <f t="shared" si="8"/>
        <v>1800000</v>
      </c>
      <c r="M162" s="73"/>
      <c r="N162" s="73"/>
      <c r="O162" s="7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 x14ac:dyDescent="0.35">
      <c r="A163" s="9">
        <f t="shared" si="7"/>
        <v>155</v>
      </c>
      <c r="B163" s="15"/>
      <c r="C163" s="11">
        <f t="shared" si="6"/>
        <v>1</v>
      </c>
      <c r="D163" s="11">
        <v>5</v>
      </c>
      <c r="E163" s="11"/>
      <c r="F163" s="14"/>
      <c r="G163" s="89">
        <f>IFERROR(VLOOKUP(F163,COA!$A$1:$K$26,2,FALSE),0)</f>
        <v>0</v>
      </c>
      <c r="H163" s="11"/>
      <c r="I163" s="95"/>
      <c r="J163" s="82"/>
      <c r="K163" s="79"/>
      <c r="L163" s="146">
        <f t="shared" si="8"/>
        <v>1800000</v>
      </c>
      <c r="M163" s="73"/>
      <c r="N163" s="73"/>
      <c r="O163" s="7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 x14ac:dyDescent="0.35">
      <c r="A164" s="9">
        <f t="shared" si="7"/>
        <v>156</v>
      </c>
      <c r="B164" s="15"/>
      <c r="C164" s="11">
        <f t="shared" si="6"/>
        <v>1</v>
      </c>
      <c r="D164" s="11">
        <v>5</v>
      </c>
      <c r="E164" s="11"/>
      <c r="F164" s="14"/>
      <c r="G164" s="89">
        <f>IFERROR(VLOOKUP(F164,COA!$A$1:$K$26,2,FALSE),0)</f>
        <v>0</v>
      </c>
      <c r="H164" s="11"/>
      <c r="I164" s="95"/>
      <c r="J164" s="82"/>
      <c r="K164" s="79"/>
      <c r="L164" s="146">
        <f t="shared" si="8"/>
        <v>1800000</v>
      </c>
      <c r="M164" s="73"/>
      <c r="N164" s="73"/>
      <c r="O164" s="7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 x14ac:dyDescent="0.35">
      <c r="A165" s="9">
        <f t="shared" si="7"/>
        <v>157</v>
      </c>
      <c r="B165" s="15"/>
      <c r="C165" s="11">
        <f t="shared" si="6"/>
        <v>1</v>
      </c>
      <c r="D165" s="11">
        <v>5</v>
      </c>
      <c r="E165" s="11"/>
      <c r="F165" s="14"/>
      <c r="G165" s="89">
        <f>IFERROR(VLOOKUP(F165,COA!$A$1:$K$26,2,FALSE),0)</f>
        <v>0</v>
      </c>
      <c r="H165" s="11"/>
      <c r="I165" s="95"/>
      <c r="J165" s="82"/>
      <c r="K165" s="78"/>
      <c r="L165" s="146">
        <f t="shared" si="8"/>
        <v>1800000</v>
      </c>
      <c r="M165" s="73"/>
      <c r="N165" s="73"/>
      <c r="O165" s="7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 x14ac:dyDescent="0.35">
      <c r="A166" s="9">
        <f t="shared" si="7"/>
        <v>158</v>
      </c>
      <c r="B166" s="15"/>
      <c r="C166" s="11">
        <f t="shared" si="6"/>
        <v>1</v>
      </c>
      <c r="D166" s="11">
        <v>5</v>
      </c>
      <c r="E166" s="11"/>
      <c r="F166" s="14"/>
      <c r="G166" s="89">
        <f>IFERROR(VLOOKUP(F166,COA!$A$1:$K$26,2,FALSE),0)</f>
        <v>0</v>
      </c>
      <c r="H166" s="11"/>
      <c r="I166" s="95"/>
      <c r="J166" s="82"/>
      <c r="K166" s="78"/>
      <c r="L166" s="146">
        <f t="shared" si="8"/>
        <v>1800000</v>
      </c>
      <c r="M166" s="73"/>
      <c r="N166" s="73"/>
      <c r="O166" s="7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 x14ac:dyDescent="0.35">
      <c r="A167" s="9">
        <f t="shared" si="7"/>
        <v>159</v>
      </c>
      <c r="B167" s="15"/>
      <c r="C167" s="11">
        <f t="shared" si="6"/>
        <v>1</v>
      </c>
      <c r="D167" s="11">
        <v>5</v>
      </c>
      <c r="E167" s="13"/>
      <c r="F167" s="14"/>
      <c r="G167" s="89">
        <f>IFERROR(VLOOKUP(F167,COA!$A$1:$K$26,2,FALSE),0)</f>
        <v>0</v>
      </c>
      <c r="H167" s="11"/>
      <c r="I167" s="95"/>
      <c r="J167" s="82"/>
      <c r="K167" s="78"/>
      <c r="L167" s="146">
        <f t="shared" si="8"/>
        <v>1800000</v>
      </c>
      <c r="M167" s="73"/>
      <c r="N167" s="73"/>
      <c r="O167" s="7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 x14ac:dyDescent="0.35">
      <c r="A168" s="9">
        <f t="shared" si="7"/>
        <v>160</v>
      </c>
      <c r="B168" s="15"/>
      <c r="C168" s="11">
        <f t="shared" si="6"/>
        <v>1</v>
      </c>
      <c r="D168" s="11">
        <v>5</v>
      </c>
      <c r="E168" s="11"/>
      <c r="F168" s="14"/>
      <c r="G168" s="89">
        <f>IFERROR(VLOOKUP(F168,COA!$A$1:$K$26,2,FALSE),0)</f>
        <v>0</v>
      </c>
      <c r="H168" s="11"/>
      <c r="I168" s="95"/>
      <c r="J168" s="82"/>
      <c r="K168" s="78"/>
      <c r="L168" s="146">
        <f t="shared" si="8"/>
        <v>1800000</v>
      </c>
      <c r="M168" s="73"/>
      <c r="N168" s="73"/>
      <c r="O168" s="7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 x14ac:dyDescent="0.35">
      <c r="A169" s="9">
        <f t="shared" si="7"/>
        <v>161</v>
      </c>
      <c r="B169" s="15"/>
      <c r="C169" s="11">
        <f t="shared" si="6"/>
        <v>1</v>
      </c>
      <c r="D169" s="11">
        <v>5</v>
      </c>
      <c r="E169" s="11"/>
      <c r="F169" s="14"/>
      <c r="G169" s="89">
        <f>IFERROR(VLOOKUP(F169,COA!$A$1:$K$26,2,FALSE),0)</f>
        <v>0</v>
      </c>
      <c r="H169" s="11"/>
      <c r="I169" s="95"/>
      <c r="J169" s="82"/>
      <c r="K169" s="78"/>
      <c r="L169" s="146">
        <f t="shared" si="8"/>
        <v>1800000</v>
      </c>
      <c r="M169" s="73"/>
      <c r="N169" s="73"/>
      <c r="O169" s="7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 x14ac:dyDescent="0.35">
      <c r="A170" s="9">
        <f t="shared" si="7"/>
        <v>162</v>
      </c>
      <c r="B170" s="15"/>
      <c r="C170" s="11">
        <f t="shared" si="6"/>
        <v>1</v>
      </c>
      <c r="D170" s="11">
        <v>5</v>
      </c>
      <c r="E170" s="11"/>
      <c r="F170" s="14"/>
      <c r="G170" s="89">
        <f>IFERROR(VLOOKUP(F170,COA!$A$1:$K$26,2,FALSE),0)</f>
        <v>0</v>
      </c>
      <c r="H170" s="11"/>
      <c r="I170" s="95"/>
      <c r="J170" s="87"/>
      <c r="K170" s="78"/>
      <c r="L170" s="146">
        <f t="shared" si="8"/>
        <v>1800000</v>
      </c>
      <c r="M170" s="73"/>
      <c r="N170" s="73"/>
      <c r="O170" s="7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 x14ac:dyDescent="0.35">
      <c r="A171" s="9">
        <f t="shared" si="7"/>
        <v>163</v>
      </c>
      <c r="B171" s="15"/>
      <c r="C171" s="11">
        <f t="shared" si="6"/>
        <v>1</v>
      </c>
      <c r="D171" s="11">
        <v>5</v>
      </c>
      <c r="E171" s="11"/>
      <c r="F171" s="14"/>
      <c r="G171" s="89">
        <f>IFERROR(VLOOKUP(F171,COA!$A$1:$K$26,2,FALSE),0)</f>
        <v>0</v>
      </c>
      <c r="H171" s="11"/>
      <c r="I171" s="95"/>
      <c r="J171" s="87"/>
      <c r="K171" s="78"/>
      <c r="L171" s="146">
        <f t="shared" si="8"/>
        <v>1800000</v>
      </c>
      <c r="M171" s="73"/>
      <c r="N171" s="73"/>
      <c r="O171" s="7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 x14ac:dyDescent="0.35">
      <c r="A172" s="9">
        <f t="shared" si="7"/>
        <v>164</v>
      </c>
      <c r="B172" s="15"/>
      <c r="C172" s="11">
        <f t="shared" si="6"/>
        <v>1</v>
      </c>
      <c r="D172" s="11">
        <v>5</v>
      </c>
      <c r="E172" s="11"/>
      <c r="F172" s="14"/>
      <c r="G172" s="89">
        <f>IFERROR(VLOOKUP(F172,COA!$A$1:$K$26,2,FALSE),0)</f>
        <v>0</v>
      </c>
      <c r="H172" s="11"/>
      <c r="I172" s="95"/>
      <c r="J172" s="82"/>
      <c r="K172" s="79"/>
      <c r="L172" s="146">
        <f t="shared" si="8"/>
        <v>1800000</v>
      </c>
      <c r="M172" s="73"/>
      <c r="N172" s="73"/>
      <c r="O172" s="7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 x14ac:dyDescent="0.35">
      <c r="A173" s="9">
        <f t="shared" si="7"/>
        <v>165</v>
      </c>
      <c r="B173" s="15"/>
      <c r="C173" s="11">
        <f t="shared" si="6"/>
        <v>1</v>
      </c>
      <c r="D173" s="11">
        <v>5</v>
      </c>
      <c r="E173" s="11"/>
      <c r="F173" s="14"/>
      <c r="G173" s="89">
        <f>IFERROR(VLOOKUP(F173,COA!$A$1:$K$26,2,FALSE),0)</f>
        <v>0</v>
      </c>
      <c r="H173" s="11"/>
      <c r="I173" s="95"/>
      <c r="J173" s="78"/>
      <c r="K173" s="79"/>
      <c r="L173" s="146">
        <f t="shared" si="8"/>
        <v>1800000</v>
      </c>
      <c r="M173" s="73"/>
      <c r="N173" s="73"/>
      <c r="O173" s="7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 x14ac:dyDescent="0.35">
      <c r="A174" s="9">
        <f t="shared" si="7"/>
        <v>166</v>
      </c>
      <c r="B174" s="15"/>
      <c r="C174" s="11">
        <f t="shared" si="6"/>
        <v>1</v>
      </c>
      <c r="D174" s="11">
        <v>5</v>
      </c>
      <c r="E174" s="11"/>
      <c r="F174" s="14"/>
      <c r="G174" s="89">
        <f>IFERROR(VLOOKUP(F174,COA!$A$1:$K$26,2,FALSE),0)</f>
        <v>0</v>
      </c>
      <c r="H174" s="11"/>
      <c r="I174" s="96"/>
      <c r="J174" s="78"/>
      <c r="K174" s="79"/>
      <c r="L174" s="146">
        <f t="shared" si="8"/>
        <v>1800000</v>
      </c>
      <c r="M174" s="73"/>
      <c r="N174" s="73"/>
      <c r="O174" s="7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 x14ac:dyDescent="0.35">
      <c r="A175" s="9">
        <f t="shared" si="7"/>
        <v>167</v>
      </c>
      <c r="B175" s="15"/>
      <c r="C175" s="11">
        <f t="shared" si="6"/>
        <v>1</v>
      </c>
      <c r="D175" s="11">
        <v>5</v>
      </c>
      <c r="E175" s="11"/>
      <c r="F175" s="14"/>
      <c r="G175" s="89">
        <f>IFERROR(VLOOKUP(F175,COA!$A$1:$K$26,2,FALSE),0)</f>
        <v>0</v>
      </c>
      <c r="H175" s="11"/>
      <c r="I175" s="96"/>
      <c r="J175" s="78"/>
      <c r="K175" s="79"/>
      <c r="L175" s="146">
        <f t="shared" si="8"/>
        <v>1800000</v>
      </c>
      <c r="M175" s="73"/>
      <c r="N175" s="73"/>
      <c r="O175" s="7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 x14ac:dyDescent="0.35">
      <c r="A176" s="9">
        <f t="shared" si="7"/>
        <v>168</v>
      </c>
      <c r="B176" s="15"/>
      <c r="C176" s="11">
        <f t="shared" si="6"/>
        <v>1</v>
      </c>
      <c r="D176" s="11">
        <v>5</v>
      </c>
      <c r="E176" s="11"/>
      <c r="F176" s="14"/>
      <c r="G176" s="89">
        <f>IFERROR(VLOOKUP(F176,COA!$A$1:$K$26,2,FALSE),0)</f>
        <v>0</v>
      </c>
      <c r="H176" s="11"/>
      <c r="I176" s="96"/>
      <c r="J176" s="82"/>
      <c r="K176" s="79"/>
      <c r="L176" s="146">
        <f t="shared" si="8"/>
        <v>1800000</v>
      </c>
      <c r="M176" s="73"/>
      <c r="N176" s="73"/>
      <c r="O176" s="7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 x14ac:dyDescent="0.35">
      <c r="A177" s="9">
        <f t="shared" si="7"/>
        <v>169</v>
      </c>
      <c r="B177" s="10"/>
      <c r="C177" s="11">
        <f t="shared" si="6"/>
        <v>1</v>
      </c>
      <c r="D177" s="11">
        <v>5</v>
      </c>
      <c r="E177" s="11"/>
      <c r="F177" s="11"/>
      <c r="G177" s="89">
        <f>IFERROR(VLOOKUP(F177,COA!$A$1:$K$26,2,FALSE),0)</f>
        <v>0</v>
      </c>
      <c r="H177" s="11"/>
      <c r="I177" s="13"/>
      <c r="J177" s="77"/>
      <c r="K177" s="78"/>
      <c r="L177" s="146">
        <f t="shared" si="8"/>
        <v>1800000</v>
      </c>
      <c r="M177" s="73"/>
      <c r="N177" s="73"/>
      <c r="O177" s="7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 x14ac:dyDescent="0.35">
      <c r="A178" s="9">
        <f t="shared" si="7"/>
        <v>170</v>
      </c>
      <c r="B178" s="10"/>
      <c r="C178" s="11">
        <f t="shared" si="6"/>
        <v>1</v>
      </c>
      <c r="D178" s="11">
        <v>5</v>
      </c>
      <c r="E178" s="11"/>
      <c r="F178" s="11"/>
      <c r="G178" s="89">
        <f>IFERROR(VLOOKUP(F178,COA!$A$1:$K$26,2,FALSE),0)</f>
        <v>0</v>
      </c>
      <c r="H178" s="11"/>
      <c r="I178" s="13"/>
      <c r="J178" s="77"/>
      <c r="K178" s="78"/>
      <c r="L178" s="146">
        <f t="shared" si="8"/>
        <v>1800000</v>
      </c>
      <c r="M178" s="73"/>
      <c r="N178" s="73"/>
      <c r="O178" s="7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35">
      <c r="A179" s="9">
        <f t="shared" si="7"/>
        <v>171</v>
      </c>
      <c r="B179" s="10"/>
      <c r="C179" s="11">
        <f t="shared" si="6"/>
        <v>1</v>
      </c>
      <c r="D179" s="11">
        <v>5</v>
      </c>
      <c r="E179" s="11"/>
      <c r="F179" s="11"/>
      <c r="G179" s="89">
        <f>IFERROR(VLOOKUP(F179,COA!$A$1:$K$26,2,FALSE),0)</f>
        <v>0</v>
      </c>
      <c r="H179" s="13"/>
      <c r="I179" s="13"/>
      <c r="J179" s="77"/>
      <c r="K179" s="78"/>
      <c r="L179" s="146">
        <f t="shared" si="8"/>
        <v>1800000</v>
      </c>
      <c r="M179" s="73"/>
      <c r="N179" s="73"/>
      <c r="O179" s="7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 x14ac:dyDescent="0.35">
      <c r="A180" s="9">
        <f t="shared" si="7"/>
        <v>172</v>
      </c>
      <c r="B180" s="15"/>
      <c r="C180" s="11">
        <f t="shared" si="6"/>
        <v>1</v>
      </c>
      <c r="D180" s="11">
        <v>5</v>
      </c>
      <c r="E180" s="11"/>
      <c r="F180" s="14"/>
      <c r="G180" s="89">
        <f>IFERROR(VLOOKUP(F180,COA!$A$1:$K$26,2,FALSE),0)</f>
        <v>0</v>
      </c>
      <c r="H180" s="13"/>
      <c r="I180" s="96"/>
      <c r="J180" s="82"/>
      <c r="K180" s="81"/>
      <c r="L180" s="146">
        <f t="shared" si="8"/>
        <v>1800000</v>
      </c>
      <c r="M180" s="73"/>
      <c r="N180" s="73"/>
      <c r="O180" s="7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 x14ac:dyDescent="0.35">
      <c r="A181" s="9">
        <f t="shared" si="7"/>
        <v>173</v>
      </c>
      <c r="B181" s="15"/>
      <c r="C181" s="11">
        <f t="shared" si="6"/>
        <v>1</v>
      </c>
      <c r="D181" s="11">
        <v>5</v>
      </c>
      <c r="E181" s="11"/>
      <c r="F181" s="14"/>
      <c r="G181" s="89">
        <f>IFERROR(VLOOKUP(F181,COA!$A$1:$K$26,2,FALSE),0)</f>
        <v>0</v>
      </c>
      <c r="H181" s="13"/>
      <c r="I181" s="96"/>
      <c r="J181" s="82"/>
      <c r="K181" s="81"/>
      <c r="L181" s="146">
        <f t="shared" si="8"/>
        <v>1800000</v>
      </c>
      <c r="M181" s="73"/>
      <c r="N181" s="73"/>
      <c r="O181" s="7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 x14ac:dyDescent="0.35">
      <c r="A182" s="9">
        <f t="shared" si="7"/>
        <v>174</v>
      </c>
      <c r="B182" s="15"/>
      <c r="C182" s="11">
        <f t="shared" si="6"/>
        <v>1</v>
      </c>
      <c r="D182" s="11">
        <v>5</v>
      </c>
      <c r="E182" s="11"/>
      <c r="F182" s="11"/>
      <c r="G182" s="89">
        <f>IFERROR(VLOOKUP(F182,COA!$A$1:$K$26,2,FALSE),0)</f>
        <v>0</v>
      </c>
      <c r="H182" s="13"/>
      <c r="I182" s="13"/>
      <c r="J182" s="78"/>
      <c r="K182" s="78"/>
      <c r="L182" s="146">
        <f t="shared" si="8"/>
        <v>1800000</v>
      </c>
      <c r="M182" s="73"/>
      <c r="N182" s="73"/>
      <c r="O182" s="7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 x14ac:dyDescent="0.35">
      <c r="A183" s="9">
        <f t="shared" si="7"/>
        <v>175</v>
      </c>
      <c r="B183" s="15"/>
      <c r="C183" s="11">
        <f t="shared" si="6"/>
        <v>1</v>
      </c>
      <c r="D183" s="11">
        <v>5</v>
      </c>
      <c r="E183" s="11"/>
      <c r="F183" s="11"/>
      <c r="G183" s="89">
        <f>IFERROR(VLOOKUP(F183,COA!$A$1:$K$26,2,FALSE),0)</f>
        <v>0</v>
      </c>
      <c r="H183" s="13"/>
      <c r="I183" s="13"/>
      <c r="J183" s="78"/>
      <c r="K183" s="78"/>
      <c r="L183" s="146">
        <f t="shared" si="8"/>
        <v>1800000</v>
      </c>
      <c r="M183" s="73"/>
      <c r="N183" s="73"/>
      <c r="O183" s="7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 x14ac:dyDescent="0.35">
      <c r="A184" s="9">
        <f t="shared" si="7"/>
        <v>176</v>
      </c>
      <c r="B184" s="15"/>
      <c r="C184" s="11">
        <f t="shared" si="6"/>
        <v>1</v>
      </c>
      <c r="D184" s="11">
        <v>5</v>
      </c>
      <c r="E184" s="11"/>
      <c r="F184" s="11"/>
      <c r="G184" s="89">
        <f>IFERROR(VLOOKUP(F184,COA!$A$1:$K$26,2,FALSE),0)</f>
        <v>0</v>
      </c>
      <c r="H184" s="13"/>
      <c r="I184" s="13"/>
      <c r="J184" s="78"/>
      <c r="K184" s="78"/>
      <c r="L184" s="146">
        <f t="shared" si="8"/>
        <v>1800000</v>
      </c>
      <c r="M184" s="73"/>
      <c r="N184" s="73"/>
      <c r="O184" s="7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 x14ac:dyDescent="0.35">
      <c r="A185" s="9">
        <f t="shared" si="7"/>
        <v>177</v>
      </c>
      <c r="B185" s="15"/>
      <c r="C185" s="11">
        <f t="shared" si="6"/>
        <v>1</v>
      </c>
      <c r="D185" s="11">
        <v>5</v>
      </c>
      <c r="E185" s="11"/>
      <c r="F185" s="11"/>
      <c r="G185" s="89">
        <f>IFERROR(VLOOKUP(F185,COA!$A$1:$K$26,2,FALSE),0)</f>
        <v>0</v>
      </c>
      <c r="H185" s="13"/>
      <c r="I185" s="13"/>
      <c r="J185" s="78"/>
      <c r="K185" s="78"/>
      <c r="L185" s="146">
        <f t="shared" si="8"/>
        <v>1800000</v>
      </c>
      <c r="M185" s="73"/>
      <c r="N185" s="73"/>
      <c r="O185" s="7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 x14ac:dyDescent="0.35">
      <c r="A186" s="9">
        <f t="shared" si="7"/>
        <v>178</v>
      </c>
      <c r="B186" s="15"/>
      <c r="C186" s="11">
        <f t="shared" si="6"/>
        <v>1</v>
      </c>
      <c r="D186" s="11">
        <v>5</v>
      </c>
      <c r="E186" s="11"/>
      <c r="F186" s="11"/>
      <c r="G186" s="89">
        <f>IFERROR(VLOOKUP(F186,COA!$A$1:$K$26,2,FALSE),0)</f>
        <v>0</v>
      </c>
      <c r="H186" s="13"/>
      <c r="I186" s="13"/>
      <c r="J186" s="78"/>
      <c r="K186" s="78"/>
      <c r="L186" s="146">
        <f t="shared" si="8"/>
        <v>1800000</v>
      </c>
      <c r="M186" s="73"/>
      <c r="N186" s="73"/>
      <c r="O186" s="7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 x14ac:dyDescent="0.35">
      <c r="A187" s="9">
        <f t="shared" si="7"/>
        <v>179</v>
      </c>
      <c r="B187" s="15"/>
      <c r="C187" s="11">
        <f t="shared" si="6"/>
        <v>1</v>
      </c>
      <c r="D187" s="11">
        <v>5</v>
      </c>
      <c r="E187" s="11"/>
      <c r="F187" s="14"/>
      <c r="G187" s="89">
        <f>IFERROR(VLOOKUP(F187,COA!$A$1:$K$26,2,FALSE),0)</f>
        <v>0</v>
      </c>
      <c r="H187" s="13"/>
      <c r="I187" s="13"/>
      <c r="J187" s="78"/>
      <c r="K187" s="78"/>
      <c r="L187" s="146">
        <f t="shared" si="8"/>
        <v>1800000</v>
      </c>
      <c r="M187" s="73"/>
      <c r="N187" s="73"/>
      <c r="O187" s="7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 x14ac:dyDescent="0.35">
      <c r="A188" s="9">
        <f t="shared" si="7"/>
        <v>180</v>
      </c>
      <c r="B188" s="15"/>
      <c r="C188" s="11">
        <f t="shared" si="6"/>
        <v>1</v>
      </c>
      <c r="D188" s="11">
        <v>5</v>
      </c>
      <c r="E188" s="11"/>
      <c r="F188" s="14"/>
      <c r="G188" s="89">
        <f>IFERROR(VLOOKUP(F188,COA!$A$1:$K$26,2,FALSE),0)</f>
        <v>0</v>
      </c>
      <c r="H188" s="13"/>
      <c r="I188" s="13"/>
      <c r="J188" s="78"/>
      <c r="K188" s="78"/>
      <c r="L188" s="146">
        <f t="shared" si="8"/>
        <v>1800000</v>
      </c>
      <c r="M188" s="73"/>
      <c r="N188" s="73"/>
      <c r="O188" s="7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 x14ac:dyDescent="0.35">
      <c r="A189" s="9">
        <f t="shared" si="7"/>
        <v>181</v>
      </c>
      <c r="B189" s="15"/>
      <c r="C189" s="11">
        <f t="shared" si="6"/>
        <v>1</v>
      </c>
      <c r="D189" s="11">
        <v>5</v>
      </c>
      <c r="E189" s="11"/>
      <c r="F189" s="14"/>
      <c r="G189" s="89">
        <f>IFERROR(VLOOKUP(F189,COA!$A$1:$K$26,2,FALSE),0)</f>
        <v>0</v>
      </c>
      <c r="H189" s="13"/>
      <c r="I189" s="13"/>
      <c r="J189" s="78"/>
      <c r="K189" s="78"/>
      <c r="L189" s="146">
        <f t="shared" si="8"/>
        <v>1800000</v>
      </c>
      <c r="M189" s="73"/>
      <c r="N189" s="73"/>
      <c r="O189" s="7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 x14ac:dyDescent="0.35">
      <c r="A190" s="9">
        <f t="shared" si="7"/>
        <v>182</v>
      </c>
      <c r="B190" s="15"/>
      <c r="C190" s="11">
        <f t="shared" si="6"/>
        <v>1</v>
      </c>
      <c r="D190" s="11">
        <v>5</v>
      </c>
      <c r="E190" s="13"/>
      <c r="F190" s="14"/>
      <c r="G190" s="89">
        <f>IFERROR(VLOOKUP(F190,COA!$A$1:$K$26,2,FALSE),0)</f>
        <v>0</v>
      </c>
      <c r="H190" s="13"/>
      <c r="I190" s="13"/>
      <c r="J190" s="78"/>
      <c r="K190" s="78"/>
      <c r="L190" s="146">
        <f t="shared" si="8"/>
        <v>1800000</v>
      </c>
      <c r="M190" s="73"/>
      <c r="N190" s="73"/>
      <c r="O190" s="7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 x14ac:dyDescent="0.35">
      <c r="A191" s="9">
        <f t="shared" si="7"/>
        <v>183</v>
      </c>
      <c r="B191" s="15"/>
      <c r="C191" s="11">
        <f t="shared" si="6"/>
        <v>1</v>
      </c>
      <c r="D191" s="11">
        <v>5</v>
      </c>
      <c r="E191" s="13"/>
      <c r="F191" s="14"/>
      <c r="G191" s="89">
        <f>IFERROR(VLOOKUP(F191,COA!$A$1:$K$26,2,FALSE),0)</f>
        <v>0</v>
      </c>
      <c r="H191" s="13"/>
      <c r="I191" s="13"/>
      <c r="J191" s="78"/>
      <c r="K191" s="78"/>
      <c r="L191" s="146">
        <f t="shared" si="8"/>
        <v>1800000</v>
      </c>
      <c r="M191" s="73"/>
      <c r="N191" s="73"/>
      <c r="O191" s="7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 x14ac:dyDescent="0.35">
      <c r="A192" s="9">
        <f t="shared" si="7"/>
        <v>184</v>
      </c>
      <c r="B192" s="15"/>
      <c r="C192" s="11">
        <f t="shared" si="6"/>
        <v>1</v>
      </c>
      <c r="D192" s="11">
        <v>5</v>
      </c>
      <c r="E192" s="13"/>
      <c r="F192" s="14"/>
      <c r="G192" s="89">
        <f>IFERROR(VLOOKUP(F192,COA!$A$1:$K$26,2,FALSE),0)</f>
        <v>0</v>
      </c>
      <c r="H192" s="13"/>
      <c r="I192" s="96"/>
      <c r="J192" s="78"/>
      <c r="K192" s="79"/>
      <c r="L192" s="146">
        <f t="shared" si="8"/>
        <v>1800000</v>
      </c>
      <c r="M192" s="73"/>
      <c r="N192" s="73"/>
      <c r="O192" s="7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 x14ac:dyDescent="0.35">
      <c r="A193" s="9">
        <f t="shared" si="7"/>
        <v>185</v>
      </c>
      <c r="B193" s="15"/>
      <c r="C193" s="11">
        <f t="shared" si="6"/>
        <v>1</v>
      </c>
      <c r="D193" s="11">
        <v>5</v>
      </c>
      <c r="E193" s="13"/>
      <c r="F193" s="14"/>
      <c r="G193" s="89">
        <f>IFERROR(VLOOKUP(F193,COA!$A$1:$K$26,2,FALSE),0)</f>
        <v>0</v>
      </c>
      <c r="H193" s="13"/>
      <c r="I193" s="96"/>
      <c r="J193" s="82"/>
      <c r="K193" s="81"/>
      <c r="L193" s="146">
        <f t="shared" si="8"/>
        <v>1800000</v>
      </c>
      <c r="M193" s="73"/>
      <c r="N193" s="73"/>
      <c r="O193" s="7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 x14ac:dyDescent="0.35">
      <c r="A194" s="9">
        <f t="shared" si="7"/>
        <v>186</v>
      </c>
      <c r="B194" s="15"/>
      <c r="C194" s="11">
        <f t="shared" si="6"/>
        <v>1</v>
      </c>
      <c r="D194" s="11">
        <v>5</v>
      </c>
      <c r="E194" s="13"/>
      <c r="F194" s="14"/>
      <c r="G194" s="89">
        <f>IFERROR(VLOOKUP(F194,COA!$A$1:$K$26,2,FALSE),0)</f>
        <v>0</v>
      </c>
      <c r="H194" s="96"/>
      <c r="I194" s="96"/>
      <c r="J194" s="82"/>
      <c r="K194" s="81"/>
      <c r="L194" s="146">
        <f t="shared" si="8"/>
        <v>1800000</v>
      </c>
      <c r="M194" s="73"/>
      <c r="N194" s="73"/>
      <c r="O194" s="7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 x14ac:dyDescent="0.35">
      <c r="A195" s="9">
        <f t="shared" si="7"/>
        <v>187</v>
      </c>
      <c r="B195" s="15"/>
      <c r="C195" s="11">
        <f t="shared" si="6"/>
        <v>1</v>
      </c>
      <c r="D195" s="11">
        <v>5</v>
      </c>
      <c r="E195" s="13"/>
      <c r="F195" s="14"/>
      <c r="G195" s="89">
        <f>IFERROR(VLOOKUP(F195,COA!$A$1:$K$26,2,FALSE),0)</f>
        <v>0</v>
      </c>
      <c r="H195" s="96"/>
      <c r="I195" s="96"/>
      <c r="J195" s="82"/>
      <c r="K195" s="81"/>
      <c r="L195" s="146">
        <f t="shared" si="8"/>
        <v>1800000</v>
      </c>
      <c r="M195" s="73"/>
      <c r="N195" s="73"/>
      <c r="O195" s="7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 x14ac:dyDescent="0.35">
      <c r="A196" s="9">
        <f t="shared" si="7"/>
        <v>188</v>
      </c>
      <c r="B196" s="15"/>
      <c r="C196" s="11">
        <f t="shared" si="6"/>
        <v>1</v>
      </c>
      <c r="D196" s="11">
        <v>5</v>
      </c>
      <c r="E196" s="13"/>
      <c r="F196" s="14"/>
      <c r="G196" s="89">
        <f>IFERROR(VLOOKUP(F196,COA!$A$1:$K$26,2,FALSE),0)</f>
        <v>0</v>
      </c>
      <c r="H196" s="96"/>
      <c r="I196" s="96"/>
      <c r="J196" s="82"/>
      <c r="K196" s="81"/>
      <c r="L196" s="146">
        <f t="shared" si="8"/>
        <v>1800000</v>
      </c>
      <c r="M196" s="73"/>
      <c r="N196" s="73"/>
      <c r="O196" s="7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 x14ac:dyDescent="0.35">
      <c r="A197" s="9">
        <f t="shared" si="7"/>
        <v>189</v>
      </c>
      <c r="B197" s="15"/>
      <c r="C197" s="11">
        <f t="shared" si="6"/>
        <v>1</v>
      </c>
      <c r="D197" s="11">
        <v>5</v>
      </c>
      <c r="E197" s="13"/>
      <c r="F197" s="14"/>
      <c r="G197" s="89">
        <f>IFERROR(VLOOKUP(F197,COA!$A$1:$K$26,2,FALSE),0)</f>
        <v>0</v>
      </c>
      <c r="H197" s="96"/>
      <c r="I197" s="96"/>
      <c r="J197" s="82"/>
      <c r="K197" s="81"/>
      <c r="L197" s="146">
        <f t="shared" si="8"/>
        <v>1800000</v>
      </c>
      <c r="M197" s="73"/>
      <c r="N197" s="73"/>
      <c r="O197" s="7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 x14ac:dyDescent="0.35">
      <c r="A198" s="9">
        <f t="shared" si="7"/>
        <v>190</v>
      </c>
      <c r="B198" s="15"/>
      <c r="C198" s="11">
        <f t="shared" si="6"/>
        <v>1</v>
      </c>
      <c r="D198" s="11">
        <v>5</v>
      </c>
      <c r="E198" s="13"/>
      <c r="F198" s="14"/>
      <c r="G198" s="89">
        <f>IFERROR(VLOOKUP(F198,COA!$A$1:$K$26,2,FALSE),0)</f>
        <v>0</v>
      </c>
      <c r="H198" s="96"/>
      <c r="I198" s="96"/>
      <c r="J198" s="82"/>
      <c r="K198" s="81"/>
      <c r="L198" s="146">
        <f t="shared" si="8"/>
        <v>1800000</v>
      </c>
      <c r="M198" s="73"/>
      <c r="N198" s="73"/>
      <c r="O198" s="7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 x14ac:dyDescent="0.35">
      <c r="A199" s="9">
        <f t="shared" si="7"/>
        <v>191</v>
      </c>
      <c r="B199" s="15"/>
      <c r="C199" s="11">
        <f t="shared" si="6"/>
        <v>1</v>
      </c>
      <c r="D199" s="11">
        <v>5</v>
      </c>
      <c r="E199" s="13"/>
      <c r="F199" s="14"/>
      <c r="G199" s="89">
        <f>IFERROR(VLOOKUP(F199,COA!$A$1:$K$26,2,FALSE),0)</f>
        <v>0</v>
      </c>
      <c r="H199" s="96"/>
      <c r="I199" s="96"/>
      <c r="J199" s="82"/>
      <c r="K199" s="81"/>
      <c r="L199" s="146">
        <f t="shared" si="8"/>
        <v>1800000</v>
      </c>
      <c r="M199" s="73"/>
      <c r="N199" s="73"/>
      <c r="O199" s="7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 x14ac:dyDescent="0.35">
      <c r="A200" s="9">
        <f t="shared" si="7"/>
        <v>192</v>
      </c>
      <c r="B200" s="15"/>
      <c r="C200" s="11">
        <f t="shared" ref="C200:C263" si="9">MONTH(B200)</f>
        <v>1</v>
      </c>
      <c r="D200" s="11">
        <v>5</v>
      </c>
      <c r="E200" s="13"/>
      <c r="F200" s="14"/>
      <c r="G200" s="89">
        <f>IFERROR(VLOOKUP(F200,COA!$A$1:$K$26,2,FALSE),0)</f>
        <v>0</v>
      </c>
      <c r="H200" s="96"/>
      <c r="I200" s="96"/>
      <c r="J200" s="82"/>
      <c r="K200" s="81"/>
      <c r="L200" s="146">
        <f t="shared" si="8"/>
        <v>1800000</v>
      </c>
      <c r="M200" s="73"/>
      <c r="N200" s="73"/>
      <c r="O200" s="7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35">
      <c r="A201" s="9">
        <f t="shared" si="7"/>
        <v>193</v>
      </c>
      <c r="B201" s="15"/>
      <c r="C201" s="11">
        <f t="shared" si="9"/>
        <v>1</v>
      </c>
      <c r="D201" s="11">
        <v>5</v>
      </c>
      <c r="E201" s="13"/>
      <c r="F201" s="14"/>
      <c r="G201" s="89">
        <f>IFERROR(VLOOKUP(F201,COA!$A$1:$K$26,2,FALSE),0)</f>
        <v>0</v>
      </c>
      <c r="H201" s="96"/>
      <c r="I201" s="96"/>
      <c r="J201" s="82"/>
      <c r="K201" s="81"/>
      <c r="L201" s="146">
        <f t="shared" si="8"/>
        <v>1800000</v>
      </c>
      <c r="M201" s="73"/>
      <c r="N201" s="73"/>
      <c r="O201" s="7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 x14ac:dyDescent="0.35">
      <c r="A202" s="9">
        <f t="shared" si="7"/>
        <v>194</v>
      </c>
      <c r="B202" s="15"/>
      <c r="C202" s="11">
        <f t="shared" si="9"/>
        <v>1</v>
      </c>
      <c r="D202" s="11">
        <v>5</v>
      </c>
      <c r="E202" s="13"/>
      <c r="F202" s="14"/>
      <c r="G202" s="89">
        <f>IFERROR(VLOOKUP(F202,COA!$A$1:$K$26,2,FALSE),0)</f>
        <v>0</v>
      </c>
      <c r="H202" s="96"/>
      <c r="I202" s="96"/>
      <c r="J202" s="82"/>
      <c r="K202" s="81"/>
      <c r="L202" s="146">
        <f t="shared" si="8"/>
        <v>1800000</v>
      </c>
      <c r="M202" s="73"/>
      <c r="N202" s="73"/>
      <c r="O202" s="7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 x14ac:dyDescent="0.35">
      <c r="A203" s="9">
        <f t="shared" ref="A203:A266" si="10">A202+1</f>
        <v>195</v>
      </c>
      <c r="B203" s="15"/>
      <c r="C203" s="11">
        <f t="shared" si="9"/>
        <v>1</v>
      </c>
      <c r="D203" s="11">
        <v>5</v>
      </c>
      <c r="E203" s="13"/>
      <c r="F203" s="14"/>
      <c r="G203" s="89">
        <f>IFERROR(VLOOKUP(F203,COA!$A$1:$K$26,2,FALSE),0)</f>
        <v>0</v>
      </c>
      <c r="H203" s="96"/>
      <c r="I203" s="96"/>
      <c r="J203" s="82"/>
      <c r="K203" s="81"/>
      <c r="L203" s="146">
        <f t="shared" ref="L203:L266" si="11">L202+J203-K203</f>
        <v>1800000</v>
      </c>
      <c r="M203" s="73"/>
      <c r="N203" s="73"/>
      <c r="O203" s="7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 x14ac:dyDescent="0.35">
      <c r="A204" s="9">
        <f t="shared" si="10"/>
        <v>196</v>
      </c>
      <c r="B204" s="15"/>
      <c r="C204" s="11">
        <f t="shared" si="9"/>
        <v>1</v>
      </c>
      <c r="D204" s="11">
        <v>5</v>
      </c>
      <c r="E204" s="13"/>
      <c r="F204" s="14"/>
      <c r="G204" s="89">
        <f>IFERROR(VLOOKUP(F204,COA!$A$1:$K$26,2,FALSE),0)</f>
        <v>0</v>
      </c>
      <c r="H204" s="96"/>
      <c r="I204" s="96"/>
      <c r="J204" s="82"/>
      <c r="K204" s="81"/>
      <c r="L204" s="146">
        <f t="shared" si="11"/>
        <v>1800000</v>
      </c>
      <c r="M204" s="73"/>
      <c r="N204" s="73"/>
      <c r="O204" s="7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 x14ac:dyDescent="0.35">
      <c r="A205" s="9">
        <f t="shared" si="10"/>
        <v>197</v>
      </c>
      <c r="B205" s="15"/>
      <c r="C205" s="11">
        <f t="shared" si="9"/>
        <v>1</v>
      </c>
      <c r="D205" s="11">
        <v>5</v>
      </c>
      <c r="E205" s="13"/>
      <c r="F205" s="14"/>
      <c r="G205" s="89">
        <f>IFERROR(VLOOKUP(F205,COA!$A$1:$K$26,2,FALSE),0)</f>
        <v>0</v>
      </c>
      <c r="H205" s="96"/>
      <c r="I205" s="96"/>
      <c r="J205" s="82"/>
      <c r="K205" s="81"/>
      <c r="L205" s="146">
        <f t="shared" si="11"/>
        <v>1800000</v>
      </c>
      <c r="M205" s="73"/>
      <c r="N205" s="73"/>
      <c r="O205" s="7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 x14ac:dyDescent="0.35">
      <c r="A206" s="9">
        <f t="shared" si="10"/>
        <v>198</v>
      </c>
      <c r="B206" s="15"/>
      <c r="C206" s="11">
        <f t="shared" si="9"/>
        <v>1</v>
      </c>
      <c r="D206" s="11">
        <v>5</v>
      </c>
      <c r="E206" s="13"/>
      <c r="F206" s="14"/>
      <c r="G206" s="89">
        <f>IFERROR(VLOOKUP(F206,COA!$A$1:$K$26,2,FALSE),0)</f>
        <v>0</v>
      </c>
      <c r="H206" s="96"/>
      <c r="I206" s="96"/>
      <c r="J206" s="82"/>
      <c r="K206" s="81"/>
      <c r="L206" s="146">
        <f t="shared" si="11"/>
        <v>1800000</v>
      </c>
      <c r="M206" s="73"/>
      <c r="N206" s="73"/>
      <c r="O206" s="7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 x14ac:dyDescent="0.35">
      <c r="A207" s="9">
        <f t="shared" si="10"/>
        <v>199</v>
      </c>
      <c r="B207" s="15"/>
      <c r="C207" s="11">
        <f t="shared" si="9"/>
        <v>1</v>
      </c>
      <c r="D207" s="11">
        <v>5</v>
      </c>
      <c r="E207" s="13"/>
      <c r="F207" s="14"/>
      <c r="G207" s="89">
        <f>IFERROR(VLOOKUP(F207,COA!$A$1:$K$26,2,FALSE),0)</f>
        <v>0</v>
      </c>
      <c r="H207" s="96"/>
      <c r="I207" s="96"/>
      <c r="J207" s="82"/>
      <c r="K207" s="81"/>
      <c r="L207" s="146">
        <f t="shared" si="11"/>
        <v>1800000</v>
      </c>
      <c r="M207" s="73"/>
      <c r="N207" s="73"/>
      <c r="O207" s="7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 x14ac:dyDescent="0.35">
      <c r="A208" s="9">
        <f t="shared" si="10"/>
        <v>200</v>
      </c>
      <c r="B208" s="15"/>
      <c r="C208" s="11">
        <f t="shared" si="9"/>
        <v>1</v>
      </c>
      <c r="D208" s="11">
        <v>5</v>
      </c>
      <c r="E208" s="13"/>
      <c r="F208" s="14"/>
      <c r="G208" s="89">
        <f>IFERROR(VLOOKUP(F208,COA!$A$1:$K$26,2,FALSE),0)</f>
        <v>0</v>
      </c>
      <c r="H208" s="96"/>
      <c r="I208" s="96"/>
      <c r="J208" s="82"/>
      <c r="K208" s="81"/>
      <c r="L208" s="146">
        <f t="shared" si="11"/>
        <v>1800000</v>
      </c>
      <c r="M208" s="73"/>
      <c r="N208" s="73"/>
      <c r="O208" s="7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 x14ac:dyDescent="0.35">
      <c r="A209" s="9">
        <f t="shared" si="10"/>
        <v>201</v>
      </c>
      <c r="B209" s="15"/>
      <c r="C209" s="11">
        <f t="shared" si="9"/>
        <v>1</v>
      </c>
      <c r="D209" s="11">
        <v>5</v>
      </c>
      <c r="E209" s="13"/>
      <c r="F209" s="14"/>
      <c r="G209" s="89">
        <f>IFERROR(VLOOKUP(F209,COA!$A$1:$K$26,2,FALSE),0)</f>
        <v>0</v>
      </c>
      <c r="H209" s="96"/>
      <c r="I209" s="96"/>
      <c r="J209" s="82"/>
      <c r="K209" s="81"/>
      <c r="L209" s="146">
        <f t="shared" si="11"/>
        <v>1800000</v>
      </c>
      <c r="M209" s="73"/>
      <c r="N209" s="73"/>
      <c r="O209" s="7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 x14ac:dyDescent="0.35">
      <c r="A210" s="9">
        <f t="shared" si="10"/>
        <v>202</v>
      </c>
      <c r="B210" s="15"/>
      <c r="C210" s="11">
        <f t="shared" si="9"/>
        <v>1</v>
      </c>
      <c r="D210" s="11">
        <v>5</v>
      </c>
      <c r="E210" s="13"/>
      <c r="F210" s="14"/>
      <c r="G210" s="89">
        <f>IFERROR(VLOOKUP(F210,COA!$A$1:$K$26,2,FALSE),0)</f>
        <v>0</v>
      </c>
      <c r="H210" s="96"/>
      <c r="I210" s="96"/>
      <c r="J210" s="82"/>
      <c r="K210" s="81"/>
      <c r="L210" s="146">
        <f t="shared" si="11"/>
        <v>1800000</v>
      </c>
      <c r="M210" s="73"/>
      <c r="N210" s="73"/>
      <c r="O210" s="7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 x14ac:dyDescent="0.35">
      <c r="A211" s="9">
        <f t="shared" si="10"/>
        <v>203</v>
      </c>
      <c r="B211" s="15"/>
      <c r="C211" s="11">
        <f t="shared" si="9"/>
        <v>1</v>
      </c>
      <c r="D211" s="11">
        <v>5</v>
      </c>
      <c r="E211" s="91"/>
      <c r="F211" s="11"/>
      <c r="G211" s="89">
        <f>IFERROR(VLOOKUP(F211,COA!$A$1:$K$26,2,FALSE),0)</f>
        <v>0</v>
      </c>
      <c r="H211" s="91"/>
      <c r="I211" s="91"/>
      <c r="J211" s="90"/>
      <c r="K211" s="78"/>
      <c r="L211" s="146">
        <f t="shared" si="11"/>
        <v>1800000</v>
      </c>
      <c r="M211" s="73"/>
      <c r="N211" s="73"/>
      <c r="O211" s="7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 x14ac:dyDescent="0.35">
      <c r="A212" s="9">
        <f t="shared" si="10"/>
        <v>204</v>
      </c>
      <c r="B212" s="15"/>
      <c r="C212" s="11">
        <f t="shared" si="9"/>
        <v>1</v>
      </c>
      <c r="D212" s="11">
        <v>5</v>
      </c>
      <c r="E212" s="91"/>
      <c r="F212" s="11"/>
      <c r="G212" s="89">
        <f>IFERROR(VLOOKUP(F212,COA!$A$1:$K$26,2,FALSE),0)</f>
        <v>0</v>
      </c>
      <c r="H212" s="91"/>
      <c r="I212" s="91"/>
      <c r="J212" s="90"/>
      <c r="K212" s="78"/>
      <c r="L212" s="146">
        <f t="shared" si="11"/>
        <v>1800000</v>
      </c>
      <c r="M212" s="73"/>
      <c r="N212" s="73"/>
      <c r="O212" s="7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 x14ac:dyDescent="0.35">
      <c r="A213" s="9">
        <f t="shared" si="10"/>
        <v>205</v>
      </c>
      <c r="B213" s="15"/>
      <c r="C213" s="11">
        <f t="shared" si="9"/>
        <v>1</v>
      </c>
      <c r="D213" s="11">
        <v>5</v>
      </c>
      <c r="E213" s="91"/>
      <c r="F213" s="14"/>
      <c r="G213" s="89">
        <f>IFERROR(VLOOKUP(F213,COA!$A$1:$K$26,2,FALSE),0)</f>
        <v>0</v>
      </c>
      <c r="H213" s="89"/>
      <c r="I213" s="91"/>
      <c r="J213" s="93"/>
      <c r="K213" s="78"/>
      <c r="L213" s="146">
        <f t="shared" si="11"/>
        <v>1800000</v>
      </c>
      <c r="M213" s="73"/>
      <c r="N213" s="73"/>
      <c r="O213" s="7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 x14ac:dyDescent="0.35">
      <c r="A214" s="9">
        <f t="shared" si="10"/>
        <v>206</v>
      </c>
      <c r="B214" s="15"/>
      <c r="C214" s="11">
        <f t="shared" si="9"/>
        <v>1</v>
      </c>
      <c r="D214" s="11">
        <v>5</v>
      </c>
      <c r="E214" s="91"/>
      <c r="F214" s="11"/>
      <c r="G214" s="89">
        <f>IFERROR(VLOOKUP(F214,COA!$A$1:$K$26,2,FALSE),0)</f>
        <v>0</v>
      </c>
      <c r="H214" s="91"/>
      <c r="I214" s="91"/>
      <c r="J214" s="93"/>
      <c r="K214" s="78"/>
      <c r="L214" s="146">
        <f t="shared" si="11"/>
        <v>1800000</v>
      </c>
      <c r="M214" s="73"/>
      <c r="N214" s="73"/>
      <c r="O214" s="7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 x14ac:dyDescent="0.35">
      <c r="A215" s="9">
        <f t="shared" si="10"/>
        <v>207</v>
      </c>
      <c r="B215" s="15"/>
      <c r="C215" s="11">
        <f t="shared" si="9"/>
        <v>1</v>
      </c>
      <c r="D215" s="11">
        <v>5</v>
      </c>
      <c r="E215" s="91"/>
      <c r="F215" s="14"/>
      <c r="G215" s="89">
        <f>IFERROR(VLOOKUP(F215,COA!$A$1:$K$26,2,FALSE),0)</f>
        <v>0</v>
      </c>
      <c r="H215" s="91"/>
      <c r="I215" s="91"/>
      <c r="J215" s="93"/>
      <c r="K215" s="78"/>
      <c r="L215" s="146">
        <f t="shared" si="11"/>
        <v>1800000</v>
      </c>
      <c r="M215" s="73"/>
      <c r="N215" s="73"/>
      <c r="O215" s="7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 x14ac:dyDescent="0.35">
      <c r="A216" s="9">
        <f t="shared" si="10"/>
        <v>208</v>
      </c>
      <c r="B216" s="15"/>
      <c r="C216" s="11">
        <f t="shared" si="9"/>
        <v>1</v>
      </c>
      <c r="D216" s="11">
        <v>5</v>
      </c>
      <c r="E216" s="91"/>
      <c r="F216" s="14"/>
      <c r="G216" s="89">
        <f>IFERROR(VLOOKUP(F216,COA!$A$1:$K$26,2,FALSE),0)</f>
        <v>0</v>
      </c>
      <c r="H216" s="91"/>
      <c r="I216" s="91"/>
      <c r="J216" s="93"/>
      <c r="K216" s="78"/>
      <c r="L216" s="146">
        <f t="shared" si="11"/>
        <v>1800000</v>
      </c>
      <c r="M216" s="73"/>
      <c r="N216" s="73"/>
      <c r="O216" s="7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 x14ac:dyDescent="0.35">
      <c r="A217" s="9">
        <f t="shared" si="10"/>
        <v>209</v>
      </c>
      <c r="B217" s="15"/>
      <c r="C217" s="11">
        <f t="shared" si="9"/>
        <v>1</v>
      </c>
      <c r="D217" s="11">
        <v>5</v>
      </c>
      <c r="E217" s="91"/>
      <c r="F217" s="11"/>
      <c r="G217" s="89">
        <f>IFERROR(VLOOKUP(F217,COA!$A$1:$K$26,2,FALSE),0)</f>
        <v>0</v>
      </c>
      <c r="H217" s="91"/>
      <c r="I217" s="91"/>
      <c r="J217" s="93"/>
      <c r="K217" s="78"/>
      <c r="L217" s="146">
        <f t="shared" si="11"/>
        <v>1800000</v>
      </c>
      <c r="M217" s="73"/>
      <c r="N217" s="73"/>
      <c r="O217" s="7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 x14ac:dyDescent="0.35">
      <c r="A218" s="9">
        <f t="shared" si="10"/>
        <v>210</v>
      </c>
      <c r="B218" s="15"/>
      <c r="C218" s="11">
        <f t="shared" si="9"/>
        <v>1</v>
      </c>
      <c r="D218" s="11">
        <v>5</v>
      </c>
      <c r="E218" s="91"/>
      <c r="F218" s="11"/>
      <c r="G218" s="89">
        <f>IFERROR(VLOOKUP(F218,COA!$A$1:$K$26,2,FALSE),0)</f>
        <v>0</v>
      </c>
      <c r="H218" s="91"/>
      <c r="I218" s="91"/>
      <c r="J218" s="93"/>
      <c r="K218" s="78"/>
      <c r="L218" s="146">
        <f t="shared" si="11"/>
        <v>1800000</v>
      </c>
      <c r="M218" s="73"/>
      <c r="N218" s="73"/>
      <c r="O218" s="7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 x14ac:dyDescent="0.35">
      <c r="A219" s="9">
        <f t="shared" si="10"/>
        <v>211</v>
      </c>
      <c r="B219" s="15"/>
      <c r="C219" s="11">
        <f t="shared" si="9"/>
        <v>1</v>
      </c>
      <c r="D219" s="11">
        <v>5</v>
      </c>
      <c r="E219" s="91"/>
      <c r="F219" s="11"/>
      <c r="G219" s="89">
        <f>IFERROR(VLOOKUP(F219,COA!$A$1:$K$26,2,FALSE),0)</f>
        <v>0</v>
      </c>
      <c r="H219" s="91"/>
      <c r="I219" s="91"/>
      <c r="J219" s="93"/>
      <c r="K219" s="78"/>
      <c r="L219" s="146">
        <f t="shared" si="11"/>
        <v>1800000</v>
      </c>
      <c r="M219" s="73"/>
      <c r="N219" s="73"/>
      <c r="O219" s="7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 x14ac:dyDescent="0.35">
      <c r="A220" s="9">
        <f t="shared" si="10"/>
        <v>212</v>
      </c>
      <c r="B220" s="15"/>
      <c r="C220" s="11">
        <f t="shared" si="9"/>
        <v>1</v>
      </c>
      <c r="D220" s="11">
        <v>5</v>
      </c>
      <c r="E220" s="91"/>
      <c r="F220" s="11"/>
      <c r="G220" s="89">
        <f>IFERROR(VLOOKUP(F220,COA!$A$1:$K$26,2,FALSE),0)</f>
        <v>0</v>
      </c>
      <c r="H220" s="91"/>
      <c r="I220" s="91"/>
      <c r="J220" s="93"/>
      <c r="K220" s="78"/>
      <c r="L220" s="146">
        <f t="shared" si="11"/>
        <v>1800000</v>
      </c>
      <c r="M220" s="73"/>
      <c r="N220" s="73"/>
      <c r="O220" s="7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 x14ac:dyDescent="0.35">
      <c r="A221" s="9">
        <f t="shared" si="10"/>
        <v>213</v>
      </c>
      <c r="B221" s="15"/>
      <c r="C221" s="11">
        <f t="shared" si="9"/>
        <v>1</v>
      </c>
      <c r="D221" s="11">
        <v>5</v>
      </c>
      <c r="E221" s="91"/>
      <c r="F221" s="11"/>
      <c r="G221" s="89">
        <f>IFERROR(VLOOKUP(F221,COA!$A$1:$K$26,2,FALSE),0)</f>
        <v>0</v>
      </c>
      <c r="H221" s="91"/>
      <c r="I221" s="91"/>
      <c r="J221" s="93"/>
      <c r="K221" s="78"/>
      <c r="L221" s="146">
        <f t="shared" si="11"/>
        <v>1800000</v>
      </c>
      <c r="M221" s="73"/>
      <c r="N221" s="73"/>
      <c r="O221" s="7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 x14ac:dyDescent="0.35">
      <c r="A222" s="9">
        <f t="shared" si="10"/>
        <v>214</v>
      </c>
      <c r="B222" s="15"/>
      <c r="C222" s="11">
        <f t="shared" si="9"/>
        <v>1</v>
      </c>
      <c r="D222" s="11">
        <v>5</v>
      </c>
      <c r="E222" s="13"/>
      <c r="F222" s="11"/>
      <c r="G222" s="89">
        <f>IFERROR(VLOOKUP(F222,COA!$A$1:$K$26,2,FALSE),0)</f>
        <v>0</v>
      </c>
      <c r="H222" s="13"/>
      <c r="I222" s="13"/>
      <c r="J222" s="78"/>
      <c r="K222" s="79"/>
      <c r="L222" s="146">
        <f t="shared" si="11"/>
        <v>1800000</v>
      </c>
      <c r="M222" s="73"/>
      <c r="N222" s="73"/>
      <c r="O222" s="7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 x14ac:dyDescent="0.35">
      <c r="A223" s="9">
        <f t="shared" si="10"/>
        <v>215</v>
      </c>
      <c r="B223" s="15"/>
      <c r="C223" s="11">
        <f t="shared" si="9"/>
        <v>1</v>
      </c>
      <c r="D223" s="11">
        <v>5</v>
      </c>
      <c r="E223" s="13"/>
      <c r="F223" s="11"/>
      <c r="G223" s="89">
        <f>IFERROR(VLOOKUP(F223,COA!$A$1:$K$26,2,FALSE),0)</f>
        <v>0</v>
      </c>
      <c r="H223" s="13"/>
      <c r="I223" s="13"/>
      <c r="J223" s="78"/>
      <c r="K223" s="79"/>
      <c r="L223" s="146">
        <f t="shared" si="11"/>
        <v>1800000</v>
      </c>
      <c r="M223" s="73"/>
      <c r="N223" s="73"/>
      <c r="O223" s="7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 x14ac:dyDescent="0.35">
      <c r="A224" s="9">
        <f t="shared" si="10"/>
        <v>216</v>
      </c>
      <c r="B224" s="15"/>
      <c r="C224" s="11">
        <f t="shared" si="9"/>
        <v>1</v>
      </c>
      <c r="D224" s="11">
        <v>5</v>
      </c>
      <c r="E224" s="13"/>
      <c r="F224" s="11"/>
      <c r="G224" s="89">
        <f>IFERROR(VLOOKUP(F224,COA!$A$1:$K$26,2,FALSE),0)</f>
        <v>0</v>
      </c>
      <c r="H224" s="13"/>
      <c r="I224" s="13"/>
      <c r="J224" s="78"/>
      <c r="K224" s="79"/>
      <c r="L224" s="146">
        <f t="shared" si="11"/>
        <v>1800000</v>
      </c>
      <c r="M224" s="73"/>
      <c r="N224" s="73"/>
      <c r="O224" s="7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 x14ac:dyDescent="0.35">
      <c r="A225" s="9">
        <f t="shared" si="10"/>
        <v>217</v>
      </c>
      <c r="B225" s="15"/>
      <c r="C225" s="11">
        <f t="shared" si="9"/>
        <v>1</v>
      </c>
      <c r="D225" s="11">
        <v>5</v>
      </c>
      <c r="E225" s="13"/>
      <c r="F225" s="11"/>
      <c r="G225" s="89">
        <f>IFERROR(VLOOKUP(F225,COA!$A$1:$K$26,2,FALSE),0)</f>
        <v>0</v>
      </c>
      <c r="H225" s="13"/>
      <c r="I225" s="13"/>
      <c r="J225" s="78"/>
      <c r="K225" s="79"/>
      <c r="L225" s="146">
        <f t="shared" si="11"/>
        <v>1800000</v>
      </c>
      <c r="M225" s="73"/>
      <c r="N225" s="73"/>
      <c r="O225" s="7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 x14ac:dyDescent="0.35">
      <c r="A226" s="9">
        <f t="shared" si="10"/>
        <v>218</v>
      </c>
      <c r="B226" s="15"/>
      <c r="C226" s="11">
        <f t="shared" si="9"/>
        <v>1</v>
      </c>
      <c r="D226" s="11">
        <v>5</v>
      </c>
      <c r="E226" s="13"/>
      <c r="F226" s="11"/>
      <c r="G226" s="89">
        <f>IFERROR(VLOOKUP(F226,COA!$A$1:$K$26,2,FALSE),0)</f>
        <v>0</v>
      </c>
      <c r="H226" s="13"/>
      <c r="I226" s="13"/>
      <c r="J226" s="78"/>
      <c r="K226" s="79"/>
      <c r="L226" s="146">
        <f t="shared" si="11"/>
        <v>1800000</v>
      </c>
      <c r="M226" s="73"/>
      <c r="N226" s="73"/>
      <c r="O226" s="7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 x14ac:dyDescent="0.35">
      <c r="A227" s="9">
        <f t="shared" si="10"/>
        <v>219</v>
      </c>
      <c r="B227" s="15"/>
      <c r="C227" s="11">
        <f t="shared" si="9"/>
        <v>1</v>
      </c>
      <c r="D227" s="11">
        <v>5</v>
      </c>
      <c r="E227" s="13"/>
      <c r="F227" s="11"/>
      <c r="G227" s="89">
        <f>IFERROR(VLOOKUP(F227,COA!$A$1:$K$26,2,FALSE),0)</f>
        <v>0</v>
      </c>
      <c r="H227" s="13"/>
      <c r="I227" s="13"/>
      <c r="J227" s="78"/>
      <c r="K227" s="79"/>
      <c r="L227" s="146">
        <f t="shared" si="11"/>
        <v>1800000</v>
      </c>
      <c r="M227" s="73"/>
      <c r="N227" s="73"/>
      <c r="O227" s="7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 x14ac:dyDescent="0.35">
      <c r="A228" s="9">
        <f t="shared" si="10"/>
        <v>220</v>
      </c>
      <c r="B228" s="15"/>
      <c r="C228" s="11">
        <f t="shared" si="9"/>
        <v>1</v>
      </c>
      <c r="D228" s="11">
        <v>5</v>
      </c>
      <c r="E228" s="13"/>
      <c r="F228" s="14"/>
      <c r="G228" s="89">
        <f>IFERROR(VLOOKUP(F228,COA!$A$1:$K$26,2,FALSE),0)</f>
        <v>0</v>
      </c>
      <c r="H228" s="13"/>
      <c r="I228" s="96"/>
      <c r="J228" s="82"/>
      <c r="K228" s="79"/>
      <c r="L228" s="146">
        <f t="shared" si="11"/>
        <v>1800000</v>
      </c>
      <c r="M228" s="73"/>
      <c r="N228" s="73"/>
      <c r="O228" s="7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 x14ac:dyDescent="0.35">
      <c r="A229" s="9">
        <f t="shared" si="10"/>
        <v>221</v>
      </c>
      <c r="B229" s="15"/>
      <c r="C229" s="11">
        <f t="shared" si="9"/>
        <v>1</v>
      </c>
      <c r="D229" s="11">
        <v>5</v>
      </c>
      <c r="E229" s="13"/>
      <c r="F229" s="14"/>
      <c r="G229" s="89">
        <f>IFERROR(VLOOKUP(F229,COA!$A$1:$K$26,2,FALSE),0)</f>
        <v>0</v>
      </c>
      <c r="H229" s="13"/>
      <c r="I229" s="96"/>
      <c r="J229" s="82"/>
      <c r="K229" s="79"/>
      <c r="L229" s="146">
        <f t="shared" si="11"/>
        <v>1800000</v>
      </c>
      <c r="M229" s="73"/>
      <c r="N229" s="73"/>
      <c r="O229" s="7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 x14ac:dyDescent="0.35">
      <c r="A230" s="9">
        <f t="shared" si="10"/>
        <v>222</v>
      </c>
      <c r="B230" s="10"/>
      <c r="C230" s="11">
        <f t="shared" si="9"/>
        <v>1</v>
      </c>
      <c r="D230" s="11">
        <v>5</v>
      </c>
      <c r="E230" s="11"/>
      <c r="F230" s="11"/>
      <c r="G230" s="89">
        <f>IFERROR(VLOOKUP(F230,COA!$A$1:$K$26,2,FALSE),0)</f>
        <v>0</v>
      </c>
      <c r="H230" s="13"/>
      <c r="I230" s="13"/>
      <c r="J230" s="77"/>
      <c r="K230" s="78"/>
      <c r="L230" s="146">
        <f t="shared" si="11"/>
        <v>1800000</v>
      </c>
      <c r="M230" s="73"/>
      <c r="N230" s="73"/>
      <c r="O230" s="7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 x14ac:dyDescent="0.35">
      <c r="A231" s="9">
        <f t="shared" si="10"/>
        <v>223</v>
      </c>
      <c r="B231" s="10"/>
      <c r="C231" s="11">
        <f t="shared" si="9"/>
        <v>1</v>
      </c>
      <c r="D231" s="11">
        <v>5</v>
      </c>
      <c r="E231" s="11"/>
      <c r="F231" s="11"/>
      <c r="G231" s="89">
        <f>IFERROR(VLOOKUP(F231,COA!$A$1:$K$26,2,FALSE),0)</f>
        <v>0</v>
      </c>
      <c r="H231" s="13"/>
      <c r="I231" s="13"/>
      <c r="J231" s="77"/>
      <c r="K231" s="78"/>
      <c r="L231" s="146">
        <f t="shared" si="11"/>
        <v>1800000</v>
      </c>
      <c r="M231" s="73"/>
      <c r="N231" s="73"/>
      <c r="O231" s="7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 x14ac:dyDescent="0.35">
      <c r="A232" s="9">
        <f t="shared" si="10"/>
        <v>224</v>
      </c>
      <c r="B232" s="16"/>
      <c r="C232" s="11">
        <f t="shared" si="9"/>
        <v>1</v>
      </c>
      <c r="D232" s="11">
        <v>5</v>
      </c>
      <c r="E232" s="11"/>
      <c r="F232" s="14"/>
      <c r="G232" s="89">
        <f>IFERROR(VLOOKUP(F232,COA!$A$1:$K$26,2,FALSE),0)</f>
        <v>0</v>
      </c>
      <c r="H232" s="11"/>
      <c r="I232" s="11"/>
      <c r="J232" s="78"/>
      <c r="K232" s="79"/>
      <c r="L232" s="146">
        <f t="shared" si="11"/>
        <v>1800000</v>
      </c>
      <c r="M232" s="73"/>
      <c r="N232" s="73"/>
      <c r="O232" s="7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 x14ac:dyDescent="0.35">
      <c r="A233" s="9">
        <f t="shared" si="10"/>
        <v>225</v>
      </c>
      <c r="B233" s="16"/>
      <c r="C233" s="11">
        <f t="shared" si="9"/>
        <v>1</v>
      </c>
      <c r="D233" s="11">
        <v>5</v>
      </c>
      <c r="E233" s="11"/>
      <c r="F233" s="14"/>
      <c r="G233" s="89">
        <f>IFERROR(VLOOKUP(F233,COA!$A$1:$K$26,2,FALSE),0)</f>
        <v>0</v>
      </c>
      <c r="H233" s="11"/>
      <c r="I233" s="11"/>
      <c r="J233" s="78"/>
      <c r="K233" s="79"/>
      <c r="L233" s="146">
        <f t="shared" si="11"/>
        <v>1800000</v>
      </c>
      <c r="M233" s="73"/>
      <c r="N233" s="73"/>
      <c r="O233" s="7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 x14ac:dyDescent="0.35">
      <c r="A234" s="9">
        <f t="shared" si="10"/>
        <v>226</v>
      </c>
      <c r="B234" s="16"/>
      <c r="C234" s="11">
        <f t="shared" si="9"/>
        <v>1</v>
      </c>
      <c r="D234" s="11">
        <v>5</v>
      </c>
      <c r="E234" s="11"/>
      <c r="F234" s="14"/>
      <c r="G234" s="89">
        <f>IFERROR(VLOOKUP(F234,COA!$A$1:$K$26,2,FALSE),0)</f>
        <v>0</v>
      </c>
      <c r="H234" s="11"/>
      <c r="I234" s="11"/>
      <c r="J234" s="78"/>
      <c r="K234" s="79"/>
      <c r="L234" s="146">
        <f t="shared" si="11"/>
        <v>1800000</v>
      </c>
      <c r="M234" s="73"/>
      <c r="N234" s="73"/>
      <c r="O234" s="7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 x14ac:dyDescent="0.35">
      <c r="A235" s="9">
        <f t="shared" si="10"/>
        <v>227</v>
      </c>
      <c r="B235" s="16"/>
      <c r="C235" s="11">
        <f t="shared" si="9"/>
        <v>1</v>
      </c>
      <c r="D235" s="11">
        <v>5</v>
      </c>
      <c r="E235" s="11"/>
      <c r="F235" s="14"/>
      <c r="G235" s="89">
        <f>IFERROR(VLOOKUP(F235,COA!$A$1:$K$26,2,FALSE),0)</f>
        <v>0</v>
      </c>
      <c r="H235" s="11"/>
      <c r="I235" s="11"/>
      <c r="J235" s="78"/>
      <c r="K235" s="78"/>
      <c r="L235" s="146">
        <f t="shared" si="11"/>
        <v>1800000</v>
      </c>
      <c r="M235" s="73"/>
      <c r="N235" s="73"/>
      <c r="O235" s="7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 x14ac:dyDescent="0.35">
      <c r="A236" s="9">
        <f t="shared" si="10"/>
        <v>228</v>
      </c>
      <c r="B236" s="16"/>
      <c r="C236" s="11">
        <f t="shared" si="9"/>
        <v>1</v>
      </c>
      <c r="D236" s="11">
        <v>5</v>
      </c>
      <c r="E236" s="11"/>
      <c r="F236" s="14"/>
      <c r="G236" s="89">
        <f>IFERROR(VLOOKUP(F236,COA!$A$1:$K$26,2,FALSE),0)</f>
        <v>0</v>
      </c>
      <c r="H236" s="11"/>
      <c r="I236" s="11"/>
      <c r="J236" s="78"/>
      <c r="K236" s="78"/>
      <c r="L236" s="146">
        <f t="shared" si="11"/>
        <v>1800000</v>
      </c>
      <c r="M236" s="73"/>
      <c r="N236" s="73"/>
      <c r="O236" s="7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 x14ac:dyDescent="0.35">
      <c r="A237" s="9">
        <f t="shared" si="10"/>
        <v>229</v>
      </c>
      <c r="B237" s="16"/>
      <c r="C237" s="11">
        <f t="shared" si="9"/>
        <v>1</v>
      </c>
      <c r="D237" s="11">
        <v>5</v>
      </c>
      <c r="E237" s="11"/>
      <c r="F237" s="14"/>
      <c r="G237" s="89">
        <f>IFERROR(VLOOKUP(F237,COA!$A$1:$K$26,2,FALSE),0)</f>
        <v>0</v>
      </c>
      <c r="H237" s="11"/>
      <c r="I237" s="11"/>
      <c r="J237" s="78"/>
      <c r="K237" s="78"/>
      <c r="L237" s="146">
        <f t="shared" si="11"/>
        <v>1800000</v>
      </c>
      <c r="M237" s="73"/>
      <c r="N237" s="73"/>
      <c r="O237" s="7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 x14ac:dyDescent="0.35">
      <c r="A238" s="9">
        <f t="shared" si="10"/>
        <v>230</v>
      </c>
      <c r="B238" s="16"/>
      <c r="C238" s="11">
        <f t="shared" si="9"/>
        <v>1</v>
      </c>
      <c r="D238" s="11">
        <v>5</v>
      </c>
      <c r="E238" s="11"/>
      <c r="F238" s="14"/>
      <c r="G238" s="89">
        <f>IFERROR(VLOOKUP(F238,COA!$A$1:$K$26,2,FALSE),0)</f>
        <v>0</v>
      </c>
      <c r="H238" s="11"/>
      <c r="I238" s="11"/>
      <c r="J238" s="78"/>
      <c r="K238" s="78"/>
      <c r="L238" s="146">
        <f t="shared" si="11"/>
        <v>1800000</v>
      </c>
      <c r="M238" s="73"/>
      <c r="N238" s="73"/>
      <c r="O238" s="7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 x14ac:dyDescent="0.35">
      <c r="A239" s="9">
        <f t="shared" si="10"/>
        <v>231</v>
      </c>
      <c r="B239" s="16"/>
      <c r="C239" s="11">
        <f t="shared" si="9"/>
        <v>1</v>
      </c>
      <c r="D239" s="11">
        <v>5</v>
      </c>
      <c r="E239" s="11"/>
      <c r="F239" s="14"/>
      <c r="G239" s="89">
        <f>IFERROR(VLOOKUP(F239,COA!$A$1:$K$26,2,FALSE),0)</f>
        <v>0</v>
      </c>
      <c r="H239" s="11"/>
      <c r="I239" s="11"/>
      <c r="J239" s="78"/>
      <c r="K239" s="78"/>
      <c r="L239" s="146">
        <f t="shared" si="11"/>
        <v>1800000</v>
      </c>
      <c r="M239" s="73"/>
      <c r="N239" s="73"/>
      <c r="O239" s="7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 x14ac:dyDescent="0.35">
      <c r="A240" s="9">
        <f t="shared" si="10"/>
        <v>232</v>
      </c>
      <c r="B240" s="16"/>
      <c r="C240" s="11">
        <f t="shared" si="9"/>
        <v>1</v>
      </c>
      <c r="D240" s="11">
        <v>5</v>
      </c>
      <c r="E240" s="11"/>
      <c r="F240" s="14"/>
      <c r="G240" s="89">
        <f>IFERROR(VLOOKUP(F240,COA!$A$1:$K$26,2,FALSE),0)</f>
        <v>0</v>
      </c>
      <c r="H240" s="11"/>
      <c r="I240" s="11"/>
      <c r="J240" s="78"/>
      <c r="K240" s="78"/>
      <c r="L240" s="146">
        <f t="shared" si="11"/>
        <v>1800000</v>
      </c>
      <c r="M240" s="73"/>
      <c r="N240" s="73"/>
      <c r="O240" s="7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 x14ac:dyDescent="0.35">
      <c r="A241" s="9">
        <f t="shared" si="10"/>
        <v>233</v>
      </c>
      <c r="B241" s="16"/>
      <c r="C241" s="11">
        <f t="shared" si="9"/>
        <v>1</v>
      </c>
      <c r="D241" s="11">
        <v>5</v>
      </c>
      <c r="E241" s="11"/>
      <c r="F241" s="14"/>
      <c r="G241" s="89">
        <f>IFERROR(VLOOKUP(F241,COA!$A$1:$K$26,2,FALSE),0)</f>
        <v>0</v>
      </c>
      <c r="H241" s="11"/>
      <c r="I241" s="11"/>
      <c r="J241" s="78"/>
      <c r="K241" s="79"/>
      <c r="L241" s="146">
        <f t="shared" si="11"/>
        <v>1800000</v>
      </c>
      <c r="M241" s="73"/>
      <c r="N241" s="73"/>
      <c r="O241" s="7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 x14ac:dyDescent="0.35">
      <c r="A242" s="9">
        <f t="shared" si="10"/>
        <v>234</v>
      </c>
      <c r="B242" s="16"/>
      <c r="C242" s="11">
        <f t="shared" si="9"/>
        <v>1</v>
      </c>
      <c r="D242" s="11">
        <v>5</v>
      </c>
      <c r="E242" s="11"/>
      <c r="F242" s="14"/>
      <c r="G242" s="89">
        <f>IFERROR(VLOOKUP(F242,COA!$A$1:$K$26,2,FALSE),0)</f>
        <v>0</v>
      </c>
      <c r="H242" s="11"/>
      <c r="I242" s="11"/>
      <c r="J242" s="78"/>
      <c r="K242" s="79"/>
      <c r="L242" s="146">
        <f t="shared" si="11"/>
        <v>1800000</v>
      </c>
      <c r="M242" s="73"/>
      <c r="N242" s="73"/>
      <c r="O242" s="7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 x14ac:dyDescent="0.35">
      <c r="A243" s="9">
        <f t="shared" si="10"/>
        <v>235</v>
      </c>
      <c r="B243" s="16"/>
      <c r="C243" s="11">
        <f t="shared" si="9"/>
        <v>1</v>
      </c>
      <c r="D243" s="11">
        <v>5</v>
      </c>
      <c r="E243" s="11"/>
      <c r="F243" s="14"/>
      <c r="G243" s="89">
        <f>IFERROR(VLOOKUP(F243,COA!$A$1:$K$26,2,FALSE),0)</f>
        <v>0</v>
      </c>
      <c r="H243" s="11"/>
      <c r="I243" s="11"/>
      <c r="J243" s="78"/>
      <c r="K243" s="79"/>
      <c r="L243" s="146">
        <f t="shared" si="11"/>
        <v>1800000</v>
      </c>
      <c r="M243" s="73"/>
      <c r="N243" s="73"/>
      <c r="O243" s="7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 x14ac:dyDescent="0.35">
      <c r="A244" s="9">
        <f t="shared" si="10"/>
        <v>236</v>
      </c>
      <c r="B244" s="16"/>
      <c r="C244" s="11">
        <f t="shared" si="9"/>
        <v>1</v>
      </c>
      <c r="D244" s="11">
        <v>5</v>
      </c>
      <c r="E244" s="11"/>
      <c r="F244" s="14"/>
      <c r="G244" s="89">
        <f>IFERROR(VLOOKUP(F244,COA!$A$1:$K$26,2,FALSE),0)</f>
        <v>0</v>
      </c>
      <c r="H244" s="11"/>
      <c r="I244" s="11"/>
      <c r="J244" s="78"/>
      <c r="K244" s="79"/>
      <c r="L244" s="146">
        <f t="shared" si="11"/>
        <v>1800000</v>
      </c>
      <c r="M244" s="73"/>
      <c r="N244" s="73"/>
      <c r="O244" s="7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 x14ac:dyDescent="0.35">
      <c r="A245" s="9">
        <f t="shared" si="10"/>
        <v>237</v>
      </c>
      <c r="B245" s="16"/>
      <c r="C245" s="11">
        <f t="shared" si="9"/>
        <v>1</v>
      </c>
      <c r="D245" s="11">
        <v>5</v>
      </c>
      <c r="E245" s="11"/>
      <c r="F245" s="14"/>
      <c r="G245" s="89">
        <f>IFERROR(VLOOKUP(F245,COA!$A$1:$K$26,2,FALSE),0)</f>
        <v>0</v>
      </c>
      <c r="H245" s="11"/>
      <c r="I245" s="11"/>
      <c r="J245" s="78"/>
      <c r="K245" s="78"/>
      <c r="L245" s="146">
        <f t="shared" si="11"/>
        <v>1800000</v>
      </c>
      <c r="M245" s="73"/>
      <c r="N245" s="73"/>
      <c r="O245" s="7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 x14ac:dyDescent="0.35">
      <c r="A246" s="9">
        <f t="shared" si="10"/>
        <v>238</v>
      </c>
      <c r="B246" s="16"/>
      <c r="C246" s="11">
        <f t="shared" si="9"/>
        <v>1</v>
      </c>
      <c r="D246" s="11">
        <v>5</v>
      </c>
      <c r="E246" s="11"/>
      <c r="F246" s="14"/>
      <c r="G246" s="89">
        <f>IFERROR(VLOOKUP(F246,COA!$A$1:$K$26,2,FALSE),0)</f>
        <v>0</v>
      </c>
      <c r="H246" s="11"/>
      <c r="I246" s="11"/>
      <c r="J246" s="78"/>
      <c r="K246" s="79"/>
      <c r="L246" s="146">
        <f t="shared" si="11"/>
        <v>1800000</v>
      </c>
      <c r="M246" s="73"/>
      <c r="N246" s="73"/>
      <c r="O246" s="7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 x14ac:dyDescent="0.35">
      <c r="A247" s="9">
        <f t="shared" si="10"/>
        <v>239</v>
      </c>
      <c r="B247" s="16"/>
      <c r="C247" s="11">
        <f t="shared" si="9"/>
        <v>1</v>
      </c>
      <c r="D247" s="11">
        <v>5</v>
      </c>
      <c r="E247" s="11"/>
      <c r="F247" s="14"/>
      <c r="G247" s="89">
        <f>IFERROR(VLOOKUP(F247,COA!$A$1:$K$26,2,FALSE),0)</f>
        <v>0</v>
      </c>
      <c r="H247" s="11"/>
      <c r="I247" s="11"/>
      <c r="J247" s="78"/>
      <c r="K247" s="79"/>
      <c r="L247" s="146">
        <f t="shared" si="11"/>
        <v>1800000</v>
      </c>
      <c r="M247" s="73"/>
      <c r="N247" s="73"/>
      <c r="O247" s="7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 x14ac:dyDescent="0.35">
      <c r="A248" s="9">
        <f t="shared" si="10"/>
        <v>240</v>
      </c>
      <c r="B248" s="16"/>
      <c r="C248" s="11">
        <f t="shared" si="9"/>
        <v>1</v>
      </c>
      <c r="D248" s="11">
        <v>5</v>
      </c>
      <c r="E248" s="11"/>
      <c r="F248" s="14"/>
      <c r="G248" s="89">
        <f>IFERROR(VLOOKUP(F248,COA!$A$1:$K$26,2,FALSE),0)</f>
        <v>0</v>
      </c>
      <c r="H248" s="11"/>
      <c r="I248" s="11"/>
      <c r="J248" s="78"/>
      <c r="K248" s="79"/>
      <c r="L248" s="146">
        <f t="shared" si="11"/>
        <v>1800000</v>
      </c>
      <c r="M248" s="73"/>
      <c r="N248" s="73"/>
      <c r="O248" s="7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 x14ac:dyDescent="0.35">
      <c r="A249" s="9">
        <f t="shared" si="10"/>
        <v>241</v>
      </c>
      <c r="B249" s="16"/>
      <c r="C249" s="11">
        <f t="shared" si="9"/>
        <v>1</v>
      </c>
      <c r="D249" s="11">
        <v>5</v>
      </c>
      <c r="E249" s="11"/>
      <c r="F249" s="14"/>
      <c r="G249" s="89">
        <f>IFERROR(VLOOKUP(F249,COA!$A$1:$K$26,2,FALSE),0)</f>
        <v>0</v>
      </c>
      <c r="H249" s="11"/>
      <c r="I249" s="11"/>
      <c r="J249" s="78"/>
      <c r="K249" s="78"/>
      <c r="L249" s="146">
        <f t="shared" si="11"/>
        <v>1800000</v>
      </c>
      <c r="M249" s="73"/>
      <c r="N249" s="73"/>
      <c r="O249" s="7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 x14ac:dyDescent="0.35">
      <c r="A250" s="9">
        <f t="shared" si="10"/>
        <v>242</v>
      </c>
      <c r="B250" s="16"/>
      <c r="C250" s="11">
        <f t="shared" si="9"/>
        <v>1</v>
      </c>
      <c r="D250" s="11">
        <v>5</v>
      </c>
      <c r="E250" s="11"/>
      <c r="F250" s="14"/>
      <c r="G250" s="89">
        <f>IFERROR(VLOOKUP(F250,COA!$A$1:$K$26,2,FALSE),0)</f>
        <v>0</v>
      </c>
      <c r="H250" s="11"/>
      <c r="I250" s="11"/>
      <c r="J250" s="78"/>
      <c r="K250" s="78"/>
      <c r="L250" s="146">
        <f t="shared" si="11"/>
        <v>1800000</v>
      </c>
      <c r="M250" s="73"/>
      <c r="N250" s="73"/>
      <c r="O250" s="7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 x14ac:dyDescent="0.35">
      <c r="A251" s="9">
        <f t="shared" si="10"/>
        <v>243</v>
      </c>
      <c r="B251" s="16"/>
      <c r="C251" s="11">
        <f t="shared" si="9"/>
        <v>1</v>
      </c>
      <c r="D251" s="11">
        <v>5</v>
      </c>
      <c r="E251" s="11"/>
      <c r="F251" s="14"/>
      <c r="G251" s="89">
        <f>IFERROR(VLOOKUP(F251,COA!$A$1:$K$26,2,FALSE),0)</f>
        <v>0</v>
      </c>
      <c r="H251" s="11"/>
      <c r="I251" s="11"/>
      <c r="J251" s="78"/>
      <c r="K251" s="78"/>
      <c r="L251" s="146">
        <f t="shared" si="11"/>
        <v>1800000</v>
      </c>
      <c r="M251" s="73"/>
      <c r="N251" s="73"/>
      <c r="O251" s="7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 x14ac:dyDescent="0.35">
      <c r="A252" s="9">
        <f t="shared" si="10"/>
        <v>244</v>
      </c>
      <c r="B252" s="16"/>
      <c r="C252" s="11">
        <f t="shared" si="9"/>
        <v>1</v>
      </c>
      <c r="D252" s="11">
        <v>5</v>
      </c>
      <c r="E252" s="11"/>
      <c r="F252" s="14"/>
      <c r="G252" s="89">
        <f>IFERROR(VLOOKUP(F252,COA!$A$1:$K$26,2,FALSE),0)</f>
        <v>0</v>
      </c>
      <c r="H252" s="11"/>
      <c r="I252" s="11"/>
      <c r="J252" s="78"/>
      <c r="K252" s="78"/>
      <c r="L252" s="146">
        <f t="shared" si="11"/>
        <v>1800000</v>
      </c>
      <c r="M252" s="73"/>
      <c r="N252" s="73"/>
      <c r="O252" s="7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 x14ac:dyDescent="0.35">
      <c r="A253" s="9">
        <f t="shared" si="10"/>
        <v>245</v>
      </c>
      <c r="B253" s="16"/>
      <c r="C253" s="11">
        <f t="shared" si="9"/>
        <v>1</v>
      </c>
      <c r="D253" s="11">
        <v>5</v>
      </c>
      <c r="E253" s="11"/>
      <c r="F253" s="14"/>
      <c r="G253" s="89">
        <f>IFERROR(VLOOKUP(F253,COA!$A$1:$K$26,2,FALSE),0)</f>
        <v>0</v>
      </c>
      <c r="H253" s="11"/>
      <c r="I253" s="11"/>
      <c r="J253" s="78"/>
      <c r="K253" s="79"/>
      <c r="L253" s="146">
        <f t="shared" si="11"/>
        <v>1800000</v>
      </c>
      <c r="M253" s="73"/>
      <c r="N253" s="73"/>
      <c r="O253" s="7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 x14ac:dyDescent="0.35">
      <c r="A254" s="9">
        <f t="shared" si="10"/>
        <v>246</v>
      </c>
      <c r="B254" s="16"/>
      <c r="C254" s="11">
        <f t="shared" si="9"/>
        <v>1</v>
      </c>
      <c r="D254" s="11">
        <v>5</v>
      </c>
      <c r="E254" s="11"/>
      <c r="F254" s="14"/>
      <c r="G254" s="89">
        <f>IFERROR(VLOOKUP(F254,COA!$A$1:$K$26,2,FALSE),0)</f>
        <v>0</v>
      </c>
      <c r="H254" s="11"/>
      <c r="I254" s="11"/>
      <c r="J254" s="78"/>
      <c r="K254" s="79"/>
      <c r="L254" s="146">
        <f t="shared" si="11"/>
        <v>1800000</v>
      </c>
      <c r="M254" s="73"/>
      <c r="N254" s="73"/>
      <c r="O254" s="7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 x14ac:dyDescent="0.35">
      <c r="A255" s="9">
        <f t="shared" si="10"/>
        <v>247</v>
      </c>
      <c r="B255" s="16"/>
      <c r="C255" s="11">
        <f t="shared" si="9"/>
        <v>1</v>
      </c>
      <c r="D255" s="11">
        <v>5</v>
      </c>
      <c r="E255" s="11"/>
      <c r="F255" s="14"/>
      <c r="G255" s="89">
        <f>IFERROR(VLOOKUP(F255,COA!$A$1:$K$26,2,FALSE),0)</f>
        <v>0</v>
      </c>
      <c r="H255" s="11"/>
      <c r="I255" s="11"/>
      <c r="J255" s="78"/>
      <c r="K255" s="79"/>
      <c r="L255" s="146">
        <f t="shared" si="11"/>
        <v>1800000</v>
      </c>
      <c r="M255" s="73"/>
      <c r="N255" s="73"/>
      <c r="O255" s="7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 x14ac:dyDescent="0.35">
      <c r="A256" s="9">
        <f t="shared" si="10"/>
        <v>248</v>
      </c>
      <c r="B256" s="16"/>
      <c r="C256" s="11">
        <f t="shared" si="9"/>
        <v>1</v>
      </c>
      <c r="D256" s="11">
        <v>5</v>
      </c>
      <c r="E256" s="11"/>
      <c r="F256" s="14"/>
      <c r="G256" s="89">
        <f>IFERROR(VLOOKUP(F256,COA!$A$1:$K$26,2,FALSE),0)</f>
        <v>0</v>
      </c>
      <c r="H256" s="11"/>
      <c r="I256" s="11"/>
      <c r="J256" s="78"/>
      <c r="K256" s="79"/>
      <c r="L256" s="146">
        <f t="shared" si="11"/>
        <v>1800000</v>
      </c>
      <c r="M256" s="73"/>
      <c r="N256" s="73"/>
      <c r="O256" s="7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 x14ac:dyDescent="0.35">
      <c r="A257" s="9">
        <f t="shared" si="10"/>
        <v>249</v>
      </c>
      <c r="B257" s="16"/>
      <c r="C257" s="11">
        <f t="shared" si="9"/>
        <v>1</v>
      </c>
      <c r="D257" s="11">
        <v>5</v>
      </c>
      <c r="E257" s="13"/>
      <c r="F257" s="14"/>
      <c r="G257" s="89">
        <f>IFERROR(VLOOKUP(F257,COA!$A$1:$K$26,2,FALSE),0)</f>
        <v>0</v>
      </c>
      <c r="H257" s="13"/>
      <c r="I257" s="13"/>
      <c r="J257" s="78"/>
      <c r="K257" s="78"/>
      <c r="L257" s="146">
        <f t="shared" si="11"/>
        <v>1800000</v>
      </c>
      <c r="M257" s="73"/>
      <c r="N257" s="73"/>
      <c r="O257" s="7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 x14ac:dyDescent="0.35">
      <c r="A258" s="9">
        <f t="shared" si="10"/>
        <v>250</v>
      </c>
      <c r="B258" s="16"/>
      <c r="C258" s="11">
        <f t="shared" si="9"/>
        <v>1</v>
      </c>
      <c r="D258" s="11">
        <v>5</v>
      </c>
      <c r="E258" s="13"/>
      <c r="F258" s="14"/>
      <c r="G258" s="89">
        <f>IFERROR(VLOOKUP(F258,COA!$A$1:$K$26,2,FALSE),0)</f>
        <v>0</v>
      </c>
      <c r="H258" s="13"/>
      <c r="I258" s="13"/>
      <c r="J258" s="78"/>
      <c r="K258" s="78"/>
      <c r="L258" s="146">
        <f t="shared" si="11"/>
        <v>1800000</v>
      </c>
      <c r="M258" s="73"/>
      <c r="N258" s="73"/>
      <c r="O258" s="7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 x14ac:dyDescent="0.35">
      <c r="A259" s="9">
        <f t="shared" si="10"/>
        <v>251</v>
      </c>
      <c r="B259" s="15"/>
      <c r="C259" s="11">
        <f t="shared" si="9"/>
        <v>1</v>
      </c>
      <c r="D259" s="11">
        <v>5</v>
      </c>
      <c r="E259" s="13"/>
      <c r="F259" s="14"/>
      <c r="G259" s="89">
        <f>IFERROR(VLOOKUP(F259,COA!$A$1:$K$26,2,FALSE),0)</f>
        <v>0</v>
      </c>
      <c r="H259" s="13"/>
      <c r="I259" s="96"/>
      <c r="J259" s="78"/>
      <c r="K259" s="78"/>
      <c r="L259" s="146">
        <f t="shared" si="11"/>
        <v>1800000</v>
      </c>
      <c r="M259" s="73"/>
      <c r="N259" s="73"/>
      <c r="O259" s="7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 x14ac:dyDescent="0.35">
      <c r="A260" s="9">
        <f t="shared" si="10"/>
        <v>252</v>
      </c>
      <c r="B260" s="15"/>
      <c r="C260" s="11">
        <f t="shared" si="9"/>
        <v>1</v>
      </c>
      <c r="D260" s="11">
        <v>5</v>
      </c>
      <c r="E260" s="13"/>
      <c r="F260" s="14"/>
      <c r="G260" s="89">
        <f>IFERROR(VLOOKUP(F260,COA!$A$1:$K$26,2,FALSE),0)</f>
        <v>0</v>
      </c>
      <c r="H260" s="13"/>
      <c r="I260" s="96"/>
      <c r="J260" s="78"/>
      <c r="K260" s="78"/>
      <c r="L260" s="146">
        <f t="shared" si="11"/>
        <v>1800000</v>
      </c>
      <c r="M260" s="73"/>
      <c r="N260" s="73"/>
      <c r="O260" s="7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 x14ac:dyDescent="0.35">
      <c r="A261" s="9">
        <f t="shared" si="10"/>
        <v>253</v>
      </c>
      <c r="B261" s="15"/>
      <c r="C261" s="11">
        <f t="shared" si="9"/>
        <v>1</v>
      </c>
      <c r="D261" s="11">
        <v>5</v>
      </c>
      <c r="E261" s="13"/>
      <c r="F261" s="14"/>
      <c r="G261" s="89">
        <f>IFERROR(VLOOKUP(F261,COA!$A$1:$K$26,2,FALSE),0)</f>
        <v>0</v>
      </c>
      <c r="H261" s="13"/>
      <c r="I261" s="96"/>
      <c r="J261" s="78"/>
      <c r="K261" s="78"/>
      <c r="L261" s="146">
        <f t="shared" si="11"/>
        <v>1800000</v>
      </c>
      <c r="M261" s="73"/>
      <c r="N261" s="73"/>
      <c r="O261" s="7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 x14ac:dyDescent="0.35">
      <c r="A262" s="9">
        <f t="shared" si="10"/>
        <v>254</v>
      </c>
      <c r="B262" s="15"/>
      <c r="C262" s="11">
        <f t="shared" si="9"/>
        <v>1</v>
      </c>
      <c r="D262" s="11">
        <v>5</v>
      </c>
      <c r="E262" s="13"/>
      <c r="F262" s="14"/>
      <c r="G262" s="89">
        <f>IFERROR(VLOOKUP(F262,COA!$A$1:$K$26,2,FALSE),0)</f>
        <v>0</v>
      </c>
      <c r="H262" s="13"/>
      <c r="I262" s="96"/>
      <c r="J262" s="78"/>
      <c r="K262" s="78"/>
      <c r="L262" s="146">
        <f t="shared" si="11"/>
        <v>1800000</v>
      </c>
      <c r="M262" s="73"/>
      <c r="N262" s="73"/>
      <c r="O262" s="7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 x14ac:dyDescent="0.35">
      <c r="A263" s="9">
        <f t="shared" si="10"/>
        <v>255</v>
      </c>
      <c r="B263" s="15"/>
      <c r="C263" s="11">
        <f t="shared" si="9"/>
        <v>1</v>
      </c>
      <c r="D263" s="11">
        <v>5</v>
      </c>
      <c r="E263" s="13"/>
      <c r="F263" s="14"/>
      <c r="G263" s="89">
        <f>IFERROR(VLOOKUP(F263,COA!$A$1:$K$26,2,FALSE),0)</f>
        <v>0</v>
      </c>
      <c r="H263" s="13"/>
      <c r="I263" s="96"/>
      <c r="J263" s="78"/>
      <c r="K263" s="78"/>
      <c r="L263" s="146">
        <f t="shared" si="11"/>
        <v>1800000</v>
      </c>
      <c r="M263" s="73"/>
      <c r="N263" s="73"/>
      <c r="O263" s="7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 x14ac:dyDescent="0.35">
      <c r="A264" s="9">
        <f t="shared" si="10"/>
        <v>256</v>
      </c>
      <c r="B264" s="15"/>
      <c r="C264" s="11">
        <f t="shared" ref="C264:C327" si="12">MONTH(B264)</f>
        <v>1</v>
      </c>
      <c r="D264" s="11">
        <v>5</v>
      </c>
      <c r="E264" s="13"/>
      <c r="F264" s="14"/>
      <c r="G264" s="89">
        <f>IFERROR(VLOOKUP(F264,COA!$A$1:$K$26,2,FALSE),0)</f>
        <v>0</v>
      </c>
      <c r="H264" s="13"/>
      <c r="I264" s="96"/>
      <c r="J264" s="78"/>
      <c r="K264" s="78"/>
      <c r="L264" s="146">
        <f t="shared" si="11"/>
        <v>1800000</v>
      </c>
      <c r="M264" s="73"/>
      <c r="N264" s="73"/>
      <c r="O264" s="7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 x14ac:dyDescent="0.35">
      <c r="A265" s="9">
        <f t="shared" si="10"/>
        <v>257</v>
      </c>
      <c r="B265" s="15"/>
      <c r="C265" s="11">
        <f t="shared" si="12"/>
        <v>1</v>
      </c>
      <c r="D265" s="11">
        <v>5</v>
      </c>
      <c r="E265" s="13"/>
      <c r="F265" s="14"/>
      <c r="G265" s="89">
        <f>IFERROR(VLOOKUP(F265,COA!$A$1:$K$26,2,FALSE),0)</f>
        <v>0</v>
      </c>
      <c r="H265" s="13"/>
      <c r="I265" s="96"/>
      <c r="J265" s="78"/>
      <c r="K265" s="78"/>
      <c r="L265" s="146">
        <f t="shared" si="11"/>
        <v>1800000</v>
      </c>
      <c r="M265" s="73"/>
      <c r="N265" s="73"/>
      <c r="O265" s="7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 x14ac:dyDescent="0.35">
      <c r="A266" s="9">
        <f t="shared" si="10"/>
        <v>258</v>
      </c>
      <c r="B266" s="15"/>
      <c r="C266" s="11">
        <f t="shared" si="12"/>
        <v>1</v>
      </c>
      <c r="D266" s="11">
        <v>5</v>
      </c>
      <c r="E266" s="11"/>
      <c r="F266" s="14"/>
      <c r="G266" s="89">
        <f>IFERROR(VLOOKUP(F266,COA!$A$1:$K$26,2,FALSE),0)</f>
        <v>0</v>
      </c>
      <c r="H266" s="11"/>
      <c r="I266" s="95"/>
      <c r="J266" s="78"/>
      <c r="K266" s="78"/>
      <c r="L266" s="146">
        <f t="shared" si="11"/>
        <v>1800000</v>
      </c>
      <c r="M266" s="73"/>
      <c r="N266" s="73"/>
      <c r="O266" s="7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 x14ac:dyDescent="0.35">
      <c r="A267" s="9">
        <f t="shared" ref="A267:A330" si="13">A266+1</f>
        <v>259</v>
      </c>
      <c r="B267" s="16"/>
      <c r="C267" s="11">
        <f t="shared" si="12"/>
        <v>1</v>
      </c>
      <c r="D267" s="11">
        <v>5</v>
      </c>
      <c r="E267" s="11"/>
      <c r="F267" s="14"/>
      <c r="G267" s="89">
        <f>IFERROR(VLOOKUP(F267,COA!$A$1:$K$26,2,FALSE),0)</f>
        <v>0</v>
      </c>
      <c r="H267" s="11"/>
      <c r="I267" s="11"/>
      <c r="J267" s="78"/>
      <c r="K267" s="79"/>
      <c r="L267" s="146">
        <f t="shared" ref="L267:L330" si="14">L266+J267-K267</f>
        <v>1800000</v>
      </c>
      <c r="M267" s="73"/>
      <c r="N267" s="73"/>
      <c r="O267" s="7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 x14ac:dyDescent="0.35">
      <c r="A268" s="9">
        <f t="shared" si="13"/>
        <v>260</v>
      </c>
      <c r="B268" s="16"/>
      <c r="C268" s="11">
        <f t="shared" si="12"/>
        <v>1</v>
      </c>
      <c r="D268" s="11">
        <v>5</v>
      </c>
      <c r="E268" s="11"/>
      <c r="F268" s="14"/>
      <c r="G268" s="89">
        <f>IFERROR(VLOOKUP(F268,COA!$A$1:$K$26,2,FALSE),0)</f>
        <v>0</v>
      </c>
      <c r="H268" s="11"/>
      <c r="I268" s="11"/>
      <c r="J268" s="78"/>
      <c r="K268" s="79"/>
      <c r="L268" s="146">
        <f t="shared" si="14"/>
        <v>1800000</v>
      </c>
      <c r="M268" s="73"/>
      <c r="N268" s="73"/>
      <c r="O268" s="7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 x14ac:dyDescent="0.35">
      <c r="A269" s="9">
        <f t="shared" si="13"/>
        <v>261</v>
      </c>
      <c r="B269" s="16"/>
      <c r="C269" s="11">
        <f t="shared" si="12"/>
        <v>1</v>
      </c>
      <c r="D269" s="11">
        <v>5</v>
      </c>
      <c r="E269" s="11"/>
      <c r="F269" s="14"/>
      <c r="G269" s="89">
        <f>IFERROR(VLOOKUP(F269,COA!$A$1:$K$26,2,FALSE),0)</f>
        <v>0</v>
      </c>
      <c r="H269" s="11"/>
      <c r="I269" s="11"/>
      <c r="J269" s="78"/>
      <c r="K269" s="79"/>
      <c r="L269" s="146">
        <f t="shared" si="14"/>
        <v>1800000</v>
      </c>
      <c r="M269" s="73"/>
      <c r="N269" s="73"/>
      <c r="O269" s="7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 x14ac:dyDescent="0.35">
      <c r="A270" s="9">
        <f t="shared" si="13"/>
        <v>262</v>
      </c>
      <c r="B270" s="16"/>
      <c r="C270" s="11">
        <f t="shared" si="12"/>
        <v>1</v>
      </c>
      <c r="D270" s="11">
        <v>5</v>
      </c>
      <c r="E270" s="11"/>
      <c r="F270" s="14"/>
      <c r="G270" s="89">
        <f>IFERROR(VLOOKUP(F270,COA!$A$1:$K$26,2,FALSE),0)</f>
        <v>0</v>
      </c>
      <c r="H270" s="11"/>
      <c r="I270" s="11"/>
      <c r="J270" s="78"/>
      <c r="K270" s="79"/>
      <c r="L270" s="146">
        <f t="shared" si="14"/>
        <v>1800000</v>
      </c>
      <c r="M270" s="73"/>
      <c r="N270" s="73"/>
      <c r="O270" s="7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 x14ac:dyDescent="0.35">
      <c r="A271" s="9">
        <f t="shared" si="13"/>
        <v>263</v>
      </c>
      <c r="B271" s="16"/>
      <c r="C271" s="11">
        <f t="shared" si="12"/>
        <v>1</v>
      </c>
      <c r="D271" s="11">
        <v>5</v>
      </c>
      <c r="E271" s="11"/>
      <c r="F271" s="14"/>
      <c r="G271" s="89">
        <f>IFERROR(VLOOKUP(F271,COA!$A$1:$K$26,2,FALSE),0)</f>
        <v>0</v>
      </c>
      <c r="H271" s="11"/>
      <c r="I271" s="11"/>
      <c r="J271" s="78"/>
      <c r="K271" s="79"/>
      <c r="L271" s="146">
        <f t="shared" si="14"/>
        <v>1800000</v>
      </c>
      <c r="M271" s="73"/>
      <c r="N271" s="73"/>
      <c r="O271" s="7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 x14ac:dyDescent="0.35">
      <c r="A272" s="9">
        <f t="shared" si="13"/>
        <v>264</v>
      </c>
      <c r="B272" s="16"/>
      <c r="C272" s="11">
        <f t="shared" si="12"/>
        <v>1</v>
      </c>
      <c r="D272" s="11">
        <v>5</v>
      </c>
      <c r="E272" s="11"/>
      <c r="F272" s="14"/>
      <c r="G272" s="89">
        <f>IFERROR(VLOOKUP(F272,COA!$A$1:$K$26,2,FALSE),0)</f>
        <v>0</v>
      </c>
      <c r="H272" s="11"/>
      <c r="I272" s="11"/>
      <c r="J272" s="78"/>
      <c r="K272" s="78"/>
      <c r="L272" s="146">
        <f t="shared" si="14"/>
        <v>1800000</v>
      </c>
      <c r="M272" s="73"/>
      <c r="N272" s="73"/>
      <c r="O272" s="7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 x14ac:dyDescent="0.35">
      <c r="A273" s="9">
        <f t="shared" si="13"/>
        <v>265</v>
      </c>
      <c r="B273" s="16"/>
      <c r="C273" s="11">
        <f t="shared" si="12"/>
        <v>1</v>
      </c>
      <c r="D273" s="11">
        <v>5</v>
      </c>
      <c r="E273" s="11"/>
      <c r="F273" s="14"/>
      <c r="G273" s="89">
        <f>IFERROR(VLOOKUP(F273,COA!$A$1:$K$26,2,FALSE),0)</f>
        <v>0</v>
      </c>
      <c r="H273" s="11"/>
      <c r="I273" s="11"/>
      <c r="J273" s="78"/>
      <c r="K273" s="78"/>
      <c r="L273" s="146">
        <f t="shared" si="14"/>
        <v>1800000</v>
      </c>
      <c r="M273" s="73"/>
      <c r="N273" s="73"/>
      <c r="O273" s="7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 x14ac:dyDescent="0.35">
      <c r="A274" s="9">
        <f t="shared" si="13"/>
        <v>266</v>
      </c>
      <c r="B274" s="16"/>
      <c r="C274" s="11">
        <f t="shared" si="12"/>
        <v>1</v>
      </c>
      <c r="D274" s="11">
        <v>5</v>
      </c>
      <c r="E274" s="11"/>
      <c r="F274" s="14"/>
      <c r="G274" s="89">
        <f>IFERROR(VLOOKUP(F274,COA!$A$1:$K$26,2,FALSE),0)</f>
        <v>0</v>
      </c>
      <c r="H274" s="11"/>
      <c r="I274" s="11"/>
      <c r="J274" s="78"/>
      <c r="K274" s="78"/>
      <c r="L274" s="146">
        <f t="shared" si="14"/>
        <v>1800000</v>
      </c>
      <c r="M274" s="73"/>
      <c r="N274" s="73"/>
      <c r="O274" s="7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 x14ac:dyDescent="0.35">
      <c r="A275" s="9">
        <f t="shared" si="13"/>
        <v>267</v>
      </c>
      <c r="B275" s="16"/>
      <c r="C275" s="11">
        <f t="shared" si="12"/>
        <v>1</v>
      </c>
      <c r="D275" s="11">
        <v>5</v>
      </c>
      <c r="E275" s="11"/>
      <c r="F275" s="14"/>
      <c r="G275" s="89">
        <f>IFERROR(VLOOKUP(F275,COA!$A$1:$K$26,2,FALSE),0)</f>
        <v>0</v>
      </c>
      <c r="H275" s="11"/>
      <c r="I275" s="11"/>
      <c r="J275" s="78"/>
      <c r="K275" s="78"/>
      <c r="L275" s="146">
        <f t="shared" si="14"/>
        <v>1800000</v>
      </c>
      <c r="M275" s="73"/>
      <c r="N275" s="73"/>
      <c r="O275" s="7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 x14ac:dyDescent="0.35">
      <c r="A276" s="9">
        <f t="shared" si="13"/>
        <v>268</v>
      </c>
      <c r="B276" s="16"/>
      <c r="C276" s="11">
        <f t="shared" si="12"/>
        <v>1</v>
      </c>
      <c r="D276" s="11">
        <v>5</v>
      </c>
      <c r="E276" s="11"/>
      <c r="F276" s="14"/>
      <c r="G276" s="89">
        <f>IFERROR(VLOOKUP(F276,COA!$A$1:$K$26,2,FALSE),0)</f>
        <v>0</v>
      </c>
      <c r="H276" s="11"/>
      <c r="I276" s="95"/>
      <c r="J276" s="78"/>
      <c r="K276" s="78"/>
      <c r="L276" s="146">
        <f t="shared" si="14"/>
        <v>1800000</v>
      </c>
      <c r="M276" s="73"/>
      <c r="N276" s="73"/>
      <c r="O276" s="7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 x14ac:dyDescent="0.35">
      <c r="A277" s="9">
        <f t="shared" si="13"/>
        <v>269</v>
      </c>
      <c r="B277" s="16"/>
      <c r="C277" s="11">
        <f t="shared" si="12"/>
        <v>1</v>
      </c>
      <c r="D277" s="11">
        <v>5</v>
      </c>
      <c r="E277" s="11"/>
      <c r="F277" s="14"/>
      <c r="G277" s="89">
        <f>IFERROR(VLOOKUP(F277,COA!$A$1:$K$26,2,FALSE),0)</f>
        <v>0</v>
      </c>
      <c r="H277" s="11"/>
      <c r="I277" s="95"/>
      <c r="J277" s="78"/>
      <c r="K277" s="78"/>
      <c r="L277" s="146">
        <f t="shared" si="14"/>
        <v>1800000</v>
      </c>
      <c r="M277" s="73"/>
      <c r="N277" s="73"/>
      <c r="O277" s="7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 x14ac:dyDescent="0.35">
      <c r="A278" s="9">
        <f t="shared" si="13"/>
        <v>270</v>
      </c>
      <c r="B278" s="16"/>
      <c r="C278" s="11">
        <f t="shared" si="12"/>
        <v>1</v>
      </c>
      <c r="D278" s="11">
        <v>5</v>
      </c>
      <c r="E278" s="11"/>
      <c r="F278" s="14"/>
      <c r="G278" s="89">
        <f>IFERROR(VLOOKUP(F278,COA!$A$1:$K$26,2,FALSE),0)</f>
        <v>0</v>
      </c>
      <c r="H278" s="11"/>
      <c r="I278" s="95"/>
      <c r="J278" s="78"/>
      <c r="K278" s="78"/>
      <c r="L278" s="146">
        <f t="shared" si="14"/>
        <v>1800000</v>
      </c>
      <c r="M278" s="73"/>
      <c r="N278" s="73"/>
      <c r="O278" s="7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 x14ac:dyDescent="0.35">
      <c r="A279" s="9">
        <f t="shared" si="13"/>
        <v>271</v>
      </c>
      <c r="B279" s="16"/>
      <c r="C279" s="11">
        <f t="shared" si="12"/>
        <v>1</v>
      </c>
      <c r="D279" s="11">
        <v>5</v>
      </c>
      <c r="E279" s="11"/>
      <c r="F279" s="14"/>
      <c r="G279" s="89">
        <f>IFERROR(VLOOKUP(F279,COA!$A$1:$K$26,2,FALSE),0)</f>
        <v>0</v>
      </c>
      <c r="H279" s="11"/>
      <c r="I279" s="95"/>
      <c r="J279" s="78"/>
      <c r="K279" s="78"/>
      <c r="L279" s="146">
        <f t="shared" si="14"/>
        <v>1800000</v>
      </c>
      <c r="M279" s="73"/>
      <c r="N279" s="73"/>
      <c r="O279" s="7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 x14ac:dyDescent="0.35">
      <c r="A280" s="9">
        <f t="shared" si="13"/>
        <v>272</v>
      </c>
      <c r="B280" s="16"/>
      <c r="C280" s="11">
        <f t="shared" si="12"/>
        <v>1</v>
      </c>
      <c r="D280" s="11">
        <v>5</v>
      </c>
      <c r="E280" s="11"/>
      <c r="F280" s="14"/>
      <c r="G280" s="89">
        <f>IFERROR(VLOOKUP(F280,COA!$A$1:$K$26,2,FALSE),0)</f>
        <v>0</v>
      </c>
      <c r="H280" s="11"/>
      <c r="I280" s="95"/>
      <c r="J280" s="78"/>
      <c r="K280" s="78"/>
      <c r="L280" s="146">
        <f t="shared" si="14"/>
        <v>1800000</v>
      </c>
      <c r="M280" s="73"/>
      <c r="N280" s="73"/>
      <c r="O280" s="7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 x14ac:dyDescent="0.35">
      <c r="A281" s="9">
        <f t="shared" si="13"/>
        <v>273</v>
      </c>
      <c r="B281" s="16"/>
      <c r="C281" s="11">
        <f t="shared" si="12"/>
        <v>1</v>
      </c>
      <c r="D281" s="11">
        <v>5</v>
      </c>
      <c r="E281" s="11"/>
      <c r="F281" s="14"/>
      <c r="G281" s="89">
        <f>IFERROR(VLOOKUP(F281,COA!$A$1:$K$26,2,FALSE),0)</f>
        <v>0</v>
      </c>
      <c r="H281" s="11"/>
      <c r="I281" s="95"/>
      <c r="J281" s="78"/>
      <c r="K281" s="78"/>
      <c r="L281" s="146">
        <f t="shared" si="14"/>
        <v>1800000</v>
      </c>
      <c r="M281" s="73"/>
      <c r="N281" s="73"/>
      <c r="O281" s="7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 x14ac:dyDescent="0.35">
      <c r="A282" s="9">
        <f t="shared" si="13"/>
        <v>274</v>
      </c>
      <c r="B282" s="16"/>
      <c r="C282" s="11">
        <f t="shared" si="12"/>
        <v>1</v>
      </c>
      <c r="D282" s="11">
        <v>5</v>
      </c>
      <c r="E282" s="11"/>
      <c r="F282" s="14"/>
      <c r="G282" s="89">
        <f>IFERROR(VLOOKUP(F282,COA!$A$1:$K$26,2,FALSE),0)</f>
        <v>0</v>
      </c>
      <c r="H282" s="11"/>
      <c r="I282" s="11"/>
      <c r="J282" s="78"/>
      <c r="K282" s="78"/>
      <c r="L282" s="146">
        <f t="shared" si="14"/>
        <v>1800000</v>
      </c>
      <c r="M282" s="73"/>
      <c r="N282" s="73"/>
      <c r="O282" s="7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 x14ac:dyDescent="0.35">
      <c r="A283" s="9">
        <f t="shared" si="13"/>
        <v>275</v>
      </c>
      <c r="B283" s="16"/>
      <c r="C283" s="11">
        <f t="shared" si="12"/>
        <v>1</v>
      </c>
      <c r="D283" s="11">
        <v>5</v>
      </c>
      <c r="E283" s="11"/>
      <c r="F283" s="14"/>
      <c r="G283" s="89">
        <f>IFERROR(VLOOKUP(F283,COA!$A$1:$K$26,2,FALSE),0)</f>
        <v>0</v>
      </c>
      <c r="H283" s="11"/>
      <c r="I283" s="11"/>
      <c r="J283" s="78"/>
      <c r="K283" s="79"/>
      <c r="L283" s="146">
        <f t="shared" si="14"/>
        <v>1800000</v>
      </c>
      <c r="M283" s="73"/>
      <c r="N283" s="73"/>
      <c r="O283" s="7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 x14ac:dyDescent="0.35">
      <c r="A284" s="9">
        <f t="shared" si="13"/>
        <v>276</v>
      </c>
      <c r="B284" s="16"/>
      <c r="C284" s="11">
        <f t="shared" si="12"/>
        <v>1</v>
      </c>
      <c r="D284" s="11">
        <v>5</v>
      </c>
      <c r="E284" s="11"/>
      <c r="F284" s="14"/>
      <c r="G284" s="89">
        <f>IFERROR(VLOOKUP(F284,COA!$A$1:$K$26,2,FALSE),0)</f>
        <v>0</v>
      </c>
      <c r="H284" s="11"/>
      <c r="I284" s="11"/>
      <c r="J284" s="78"/>
      <c r="K284" s="79"/>
      <c r="L284" s="146">
        <f t="shared" si="14"/>
        <v>1800000</v>
      </c>
      <c r="M284" s="73"/>
      <c r="N284" s="73"/>
      <c r="O284" s="7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 x14ac:dyDescent="0.35">
      <c r="A285" s="9">
        <f t="shared" si="13"/>
        <v>277</v>
      </c>
      <c r="B285" s="16"/>
      <c r="C285" s="11">
        <f t="shared" si="12"/>
        <v>1</v>
      </c>
      <c r="D285" s="11">
        <v>5</v>
      </c>
      <c r="E285" s="11"/>
      <c r="F285" s="14"/>
      <c r="G285" s="89">
        <f>IFERROR(VLOOKUP(F285,COA!$A$1:$K$26,2,FALSE),0)</f>
        <v>0</v>
      </c>
      <c r="H285" s="11"/>
      <c r="I285" s="11"/>
      <c r="J285" s="78"/>
      <c r="K285" s="79"/>
      <c r="L285" s="146">
        <f t="shared" si="14"/>
        <v>1800000</v>
      </c>
      <c r="M285" s="73"/>
      <c r="N285" s="73"/>
      <c r="O285" s="7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 x14ac:dyDescent="0.35">
      <c r="A286" s="9">
        <f t="shared" si="13"/>
        <v>278</v>
      </c>
      <c r="B286" s="16"/>
      <c r="C286" s="11">
        <f t="shared" si="12"/>
        <v>1</v>
      </c>
      <c r="D286" s="11">
        <v>5</v>
      </c>
      <c r="E286" s="11"/>
      <c r="F286" s="14"/>
      <c r="G286" s="89">
        <f>IFERROR(VLOOKUP(F286,COA!$A$1:$K$26,2,FALSE),0)</f>
        <v>0</v>
      </c>
      <c r="H286" s="11"/>
      <c r="I286" s="11"/>
      <c r="J286" s="78"/>
      <c r="K286" s="79"/>
      <c r="L286" s="146">
        <f t="shared" si="14"/>
        <v>1800000</v>
      </c>
      <c r="M286" s="73"/>
      <c r="N286" s="73"/>
      <c r="O286" s="7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 x14ac:dyDescent="0.35">
      <c r="A287" s="9">
        <f t="shared" si="13"/>
        <v>279</v>
      </c>
      <c r="B287" s="16"/>
      <c r="C287" s="11">
        <f t="shared" si="12"/>
        <v>1</v>
      </c>
      <c r="D287" s="11">
        <v>5</v>
      </c>
      <c r="E287" s="11"/>
      <c r="F287" s="14"/>
      <c r="G287" s="89">
        <f>IFERROR(VLOOKUP(F287,COA!$A$1:$K$26,2,FALSE),0)</f>
        <v>0</v>
      </c>
      <c r="H287" s="11"/>
      <c r="I287" s="11"/>
      <c r="J287" s="78"/>
      <c r="K287" s="78"/>
      <c r="L287" s="146">
        <f t="shared" si="14"/>
        <v>1800000</v>
      </c>
      <c r="M287" s="73"/>
      <c r="N287" s="73"/>
      <c r="O287" s="7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 x14ac:dyDescent="0.35">
      <c r="A288" s="9">
        <f t="shared" si="13"/>
        <v>280</v>
      </c>
      <c r="B288" s="16"/>
      <c r="C288" s="11">
        <f t="shared" si="12"/>
        <v>1</v>
      </c>
      <c r="D288" s="11">
        <v>5</v>
      </c>
      <c r="E288" s="11"/>
      <c r="F288" s="14"/>
      <c r="G288" s="89">
        <f>IFERROR(VLOOKUP(F288,COA!$A$1:$K$26,2,FALSE),0)</f>
        <v>0</v>
      </c>
      <c r="H288" s="11"/>
      <c r="I288" s="11"/>
      <c r="J288" s="78"/>
      <c r="K288" s="78"/>
      <c r="L288" s="146">
        <f t="shared" si="14"/>
        <v>1800000</v>
      </c>
      <c r="M288" s="73"/>
      <c r="N288" s="73"/>
      <c r="O288" s="7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 x14ac:dyDescent="0.35">
      <c r="A289" s="9">
        <f t="shared" si="13"/>
        <v>281</v>
      </c>
      <c r="B289" s="16"/>
      <c r="C289" s="11">
        <f t="shared" si="12"/>
        <v>1</v>
      </c>
      <c r="D289" s="11">
        <v>5</v>
      </c>
      <c r="E289" s="11"/>
      <c r="F289" s="14"/>
      <c r="G289" s="89">
        <f>IFERROR(VLOOKUP(F289,COA!$A$1:$K$26,2,FALSE),0)</f>
        <v>0</v>
      </c>
      <c r="H289" s="11"/>
      <c r="I289" s="11"/>
      <c r="J289" s="78"/>
      <c r="K289" s="79"/>
      <c r="L289" s="146">
        <f t="shared" si="14"/>
        <v>1800000</v>
      </c>
      <c r="M289" s="73"/>
      <c r="N289" s="73"/>
      <c r="O289" s="7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 x14ac:dyDescent="0.35">
      <c r="A290" s="9">
        <f t="shared" si="13"/>
        <v>282</v>
      </c>
      <c r="B290" s="15"/>
      <c r="C290" s="11">
        <f t="shared" si="12"/>
        <v>1</v>
      </c>
      <c r="D290" s="11">
        <v>5</v>
      </c>
      <c r="E290" s="11"/>
      <c r="F290" s="14"/>
      <c r="G290" s="89">
        <f>IFERROR(VLOOKUP(F290,COA!$A$1:$K$26,2,FALSE),0)</f>
        <v>0</v>
      </c>
      <c r="H290" s="11"/>
      <c r="I290" s="95"/>
      <c r="J290" s="78"/>
      <c r="K290" s="79"/>
      <c r="L290" s="146">
        <f t="shared" si="14"/>
        <v>1800000</v>
      </c>
      <c r="M290" s="73"/>
      <c r="N290" s="73"/>
      <c r="O290" s="7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 x14ac:dyDescent="0.35">
      <c r="A291" s="9">
        <f t="shared" si="13"/>
        <v>283</v>
      </c>
      <c r="B291" s="15"/>
      <c r="C291" s="11">
        <f t="shared" si="12"/>
        <v>1</v>
      </c>
      <c r="D291" s="11">
        <v>5</v>
      </c>
      <c r="E291" s="11"/>
      <c r="F291" s="14"/>
      <c r="G291" s="89">
        <f>IFERROR(VLOOKUP(F291,COA!$A$1:$K$26,2,FALSE),0)</f>
        <v>0</v>
      </c>
      <c r="H291" s="11"/>
      <c r="I291" s="95"/>
      <c r="J291" s="78"/>
      <c r="K291" s="79"/>
      <c r="L291" s="146">
        <f t="shared" si="14"/>
        <v>1800000</v>
      </c>
      <c r="M291" s="73"/>
      <c r="N291" s="73"/>
      <c r="O291" s="7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 x14ac:dyDescent="0.35">
      <c r="A292" s="9">
        <f t="shared" si="13"/>
        <v>284</v>
      </c>
      <c r="B292" s="15"/>
      <c r="C292" s="11">
        <f t="shared" si="12"/>
        <v>1</v>
      </c>
      <c r="D292" s="11">
        <v>5</v>
      </c>
      <c r="E292" s="11"/>
      <c r="F292" s="14"/>
      <c r="G292" s="89">
        <f>IFERROR(VLOOKUP(F292,COA!$A$1:$K$26,2,FALSE),0)</f>
        <v>0</v>
      </c>
      <c r="H292" s="11"/>
      <c r="I292" s="95"/>
      <c r="J292" s="78"/>
      <c r="K292" s="78"/>
      <c r="L292" s="146">
        <f t="shared" si="14"/>
        <v>1800000</v>
      </c>
      <c r="M292" s="73"/>
      <c r="N292" s="73"/>
      <c r="O292" s="7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 x14ac:dyDescent="0.35">
      <c r="A293" s="9">
        <f t="shared" si="13"/>
        <v>285</v>
      </c>
      <c r="B293" s="15"/>
      <c r="C293" s="11">
        <f t="shared" si="12"/>
        <v>1</v>
      </c>
      <c r="D293" s="11">
        <v>5</v>
      </c>
      <c r="E293" s="11"/>
      <c r="F293" s="14"/>
      <c r="G293" s="89">
        <f>IFERROR(VLOOKUP(F293,COA!$A$1:$K$26,2,FALSE),0)</f>
        <v>0</v>
      </c>
      <c r="H293" s="11"/>
      <c r="I293" s="95"/>
      <c r="J293" s="78"/>
      <c r="K293" s="78"/>
      <c r="L293" s="146">
        <f t="shared" si="14"/>
        <v>1800000</v>
      </c>
      <c r="M293" s="73"/>
      <c r="N293" s="73"/>
      <c r="O293" s="7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 x14ac:dyDescent="0.35">
      <c r="A294" s="9">
        <f t="shared" si="13"/>
        <v>286</v>
      </c>
      <c r="B294" s="15"/>
      <c r="C294" s="11">
        <f t="shared" si="12"/>
        <v>1</v>
      </c>
      <c r="D294" s="11">
        <v>5</v>
      </c>
      <c r="E294" s="13"/>
      <c r="F294" s="14"/>
      <c r="G294" s="89">
        <f>IFERROR(VLOOKUP(F294,COA!$A$1:$K$26,2,FALSE),0)</f>
        <v>0</v>
      </c>
      <c r="H294" s="11"/>
      <c r="I294" s="95"/>
      <c r="J294" s="78"/>
      <c r="K294" s="78"/>
      <c r="L294" s="146">
        <f t="shared" si="14"/>
        <v>1800000</v>
      </c>
      <c r="M294" s="73"/>
      <c r="N294" s="73"/>
      <c r="O294" s="7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 x14ac:dyDescent="0.35">
      <c r="A295" s="9">
        <f t="shared" si="13"/>
        <v>287</v>
      </c>
      <c r="B295" s="15"/>
      <c r="C295" s="11">
        <f t="shared" si="12"/>
        <v>1</v>
      </c>
      <c r="D295" s="11">
        <v>5</v>
      </c>
      <c r="E295" s="11"/>
      <c r="F295" s="14"/>
      <c r="G295" s="89">
        <f>IFERROR(VLOOKUP(F295,COA!$A$1:$K$26,2,FALSE),0)</f>
        <v>0</v>
      </c>
      <c r="H295" s="11"/>
      <c r="I295" s="95"/>
      <c r="J295" s="82"/>
      <c r="K295" s="79"/>
      <c r="L295" s="146">
        <f t="shared" si="14"/>
        <v>1800000</v>
      </c>
      <c r="M295" s="73"/>
      <c r="N295" s="73"/>
      <c r="O295" s="7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 x14ac:dyDescent="0.35">
      <c r="A296" s="9">
        <f t="shared" si="13"/>
        <v>288</v>
      </c>
      <c r="B296" s="15"/>
      <c r="C296" s="11">
        <f t="shared" si="12"/>
        <v>1</v>
      </c>
      <c r="D296" s="11">
        <v>5</v>
      </c>
      <c r="E296" s="11"/>
      <c r="F296" s="14"/>
      <c r="G296" s="89">
        <f>IFERROR(VLOOKUP(F296,COA!$A$1:$K$26,2,FALSE),0)</f>
        <v>0</v>
      </c>
      <c r="H296" s="11"/>
      <c r="I296" s="95"/>
      <c r="J296" s="82"/>
      <c r="K296" s="79"/>
      <c r="L296" s="146">
        <f t="shared" si="14"/>
        <v>1800000</v>
      </c>
      <c r="M296" s="73"/>
      <c r="N296" s="73"/>
      <c r="O296" s="7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 x14ac:dyDescent="0.35">
      <c r="A297" s="9">
        <f t="shared" si="13"/>
        <v>289</v>
      </c>
      <c r="B297" s="15"/>
      <c r="C297" s="11">
        <f t="shared" si="12"/>
        <v>1</v>
      </c>
      <c r="D297" s="11">
        <v>5</v>
      </c>
      <c r="E297" s="11"/>
      <c r="F297" s="14"/>
      <c r="G297" s="89">
        <f>IFERROR(VLOOKUP(F297,COA!$A$1:$K$26,2,FALSE),0)</f>
        <v>0</v>
      </c>
      <c r="H297" s="11"/>
      <c r="I297" s="95"/>
      <c r="J297" s="82"/>
      <c r="K297" s="79"/>
      <c r="L297" s="146">
        <f t="shared" si="14"/>
        <v>1800000</v>
      </c>
      <c r="M297" s="73"/>
      <c r="N297" s="73"/>
      <c r="O297" s="7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 x14ac:dyDescent="0.35">
      <c r="A298" s="9">
        <f t="shared" si="13"/>
        <v>290</v>
      </c>
      <c r="B298" s="15"/>
      <c r="C298" s="11">
        <f t="shared" si="12"/>
        <v>1</v>
      </c>
      <c r="D298" s="11">
        <v>5</v>
      </c>
      <c r="E298" s="11"/>
      <c r="F298" s="14"/>
      <c r="G298" s="89">
        <f>IFERROR(VLOOKUP(F298,COA!$A$1:$K$26,2,FALSE),0)</f>
        <v>0</v>
      </c>
      <c r="H298" s="11"/>
      <c r="I298" s="95"/>
      <c r="J298" s="82"/>
      <c r="K298" s="79"/>
      <c r="L298" s="146">
        <f t="shared" si="14"/>
        <v>1800000</v>
      </c>
      <c r="M298" s="73"/>
      <c r="N298" s="73"/>
      <c r="O298" s="7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 x14ac:dyDescent="0.35">
      <c r="A299" s="9">
        <f t="shared" si="13"/>
        <v>291</v>
      </c>
      <c r="B299" s="15"/>
      <c r="C299" s="11">
        <f t="shared" si="12"/>
        <v>1</v>
      </c>
      <c r="D299" s="11">
        <v>5</v>
      </c>
      <c r="E299" s="11"/>
      <c r="F299" s="14"/>
      <c r="G299" s="89">
        <f>IFERROR(VLOOKUP(F299,COA!$A$1:$K$26,2,FALSE),0)</f>
        <v>0</v>
      </c>
      <c r="H299" s="11"/>
      <c r="I299" s="95"/>
      <c r="J299" s="82"/>
      <c r="K299" s="79"/>
      <c r="L299" s="146">
        <f t="shared" si="14"/>
        <v>1800000</v>
      </c>
      <c r="M299" s="73"/>
      <c r="N299" s="73"/>
      <c r="O299" s="7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 x14ac:dyDescent="0.35">
      <c r="A300" s="9">
        <f t="shared" si="13"/>
        <v>292</v>
      </c>
      <c r="B300" s="15"/>
      <c r="C300" s="11">
        <f t="shared" si="12"/>
        <v>1</v>
      </c>
      <c r="D300" s="11">
        <v>5</v>
      </c>
      <c r="E300" s="88"/>
      <c r="F300" s="14"/>
      <c r="G300" s="89">
        <f>IFERROR(VLOOKUP(F300,COA!$A$1:$K$26,2,FALSE),0)</f>
        <v>0</v>
      </c>
      <c r="H300" s="95"/>
      <c r="I300" s="95"/>
      <c r="J300" s="87"/>
      <c r="K300" s="78"/>
      <c r="L300" s="146">
        <f t="shared" si="14"/>
        <v>1800000</v>
      </c>
      <c r="M300" s="73"/>
      <c r="N300" s="73"/>
      <c r="O300" s="7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 x14ac:dyDescent="0.35">
      <c r="A301" s="9">
        <f t="shared" si="13"/>
        <v>293</v>
      </c>
      <c r="B301" s="15"/>
      <c r="C301" s="11">
        <f t="shared" si="12"/>
        <v>1</v>
      </c>
      <c r="D301" s="11">
        <v>5</v>
      </c>
      <c r="E301" s="11"/>
      <c r="F301" s="14"/>
      <c r="G301" s="89">
        <f>IFERROR(VLOOKUP(F301,COA!$A$1:$K$26,2,FALSE),0)</f>
        <v>0</v>
      </c>
      <c r="H301" s="11"/>
      <c r="I301" s="95"/>
      <c r="J301" s="78"/>
      <c r="K301" s="78"/>
      <c r="L301" s="146">
        <f t="shared" si="14"/>
        <v>1800000</v>
      </c>
      <c r="M301" s="73"/>
      <c r="N301" s="73"/>
      <c r="O301" s="7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 x14ac:dyDescent="0.35">
      <c r="A302" s="9">
        <f t="shared" si="13"/>
        <v>294</v>
      </c>
      <c r="B302" s="15"/>
      <c r="C302" s="11">
        <f t="shared" si="12"/>
        <v>1</v>
      </c>
      <c r="D302" s="11">
        <v>5</v>
      </c>
      <c r="E302" s="11"/>
      <c r="F302" s="14"/>
      <c r="G302" s="89">
        <f>IFERROR(VLOOKUP(F302,COA!$A$1:$K$26,2,FALSE),0)</f>
        <v>0</v>
      </c>
      <c r="H302" s="11"/>
      <c r="I302" s="95"/>
      <c r="J302" s="87"/>
      <c r="K302" s="78"/>
      <c r="L302" s="146">
        <f t="shared" si="14"/>
        <v>1800000</v>
      </c>
      <c r="M302" s="73"/>
      <c r="N302" s="73"/>
      <c r="O302" s="7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 x14ac:dyDescent="0.35">
      <c r="A303" s="9">
        <f t="shared" si="13"/>
        <v>295</v>
      </c>
      <c r="B303" s="15"/>
      <c r="C303" s="11">
        <f t="shared" si="12"/>
        <v>1</v>
      </c>
      <c r="D303" s="11">
        <v>5</v>
      </c>
      <c r="E303" s="88"/>
      <c r="F303" s="14"/>
      <c r="G303" s="89">
        <f>IFERROR(VLOOKUP(F303,COA!$A$1:$K$26,2,FALSE),0)</f>
        <v>0</v>
      </c>
      <c r="H303" s="11"/>
      <c r="I303" s="95"/>
      <c r="J303" s="87"/>
      <c r="K303" s="78"/>
      <c r="L303" s="146">
        <f t="shared" si="14"/>
        <v>1800000</v>
      </c>
      <c r="M303" s="73"/>
      <c r="N303" s="73"/>
      <c r="O303" s="7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 x14ac:dyDescent="0.35">
      <c r="A304" s="9">
        <f t="shared" si="13"/>
        <v>296</v>
      </c>
      <c r="B304" s="15"/>
      <c r="C304" s="11">
        <f t="shared" si="12"/>
        <v>1</v>
      </c>
      <c r="D304" s="11">
        <v>5</v>
      </c>
      <c r="E304" s="11"/>
      <c r="F304" s="14"/>
      <c r="G304" s="89">
        <f>IFERROR(VLOOKUP(F304,COA!$A$1:$K$26,2,FALSE),0)</f>
        <v>0</v>
      </c>
      <c r="H304" s="11"/>
      <c r="I304" s="95"/>
      <c r="J304" s="87"/>
      <c r="K304" s="78"/>
      <c r="L304" s="146">
        <f t="shared" si="14"/>
        <v>1800000</v>
      </c>
      <c r="M304" s="73"/>
      <c r="N304" s="73"/>
      <c r="O304" s="7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 x14ac:dyDescent="0.35">
      <c r="A305" s="9">
        <f t="shared" si="13"/>
        <v>297</v>
      </c>
      <c r="B305" s="15"/>
      <c r="C305" s="11">
        <f t="shared" si="12"/>
        <v>1</v>
      </c>
      <c r="D305" s="11">
        <v>5</v>
      </c>
      <c r="E305" s="88"/>
      <c r="F305" s="14"/>
      <c r="G305" s="89">
        <f>IFERROR(VLOOKUP(F305,COA!$A$1:$K$26,2,FALSE),0)</f>
        <v>0</v>
      </c>
      <c r="H305" s="11"/>
      <c r="I305" s="95"/>
      <c r="J305" s="87"/>
      <c r="K305" s="78"/>
      <c r="L305" s="146">
        <f t="shared" si="14"/>
        <v>1800000</v>
      </c>
      <c r="M305" s="73"/>
      <c r="N305" s="73"/>
      <c r="O305" s="7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 x14ac:dyDescent="0.35">
      <c r="A306" s="9">
        <f t="shared" si="13"/>
        <v>298</v>
      </c>
      <c r="B306" s="15"/>
      <c r="C306" s="11">
        <f t="shared" si="12"/>
        <v>1</v>
      </c>
      <c r="D306" s="11">
        <v>5</v>
      </c>
      <c r="E306" s="11"/>
      <c r="F306" s="14"/>
      <c r="G306" s="89">
        <f>IFERROR(VLOOKUP(F306,COA!$A$1:$K$26,2,FALSE),0)</f>
        <v>0</v>
      </c>
      <c r="H306" s="11"/>
      <c r="I306" s="95"/>
      <c r="J306" s="87"/>
      <c r="K306" s="79"/>
      <c r="L306" s="146">
        <f t="shared" si="14"/>
        <v>1800000</v>
      </c>
      <c r="M306" s="73"/>
      <c r="N306" s="73"/>
      <c r="O306" s="7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 x14ac:dyDescent="0.35">
      <c r="A307" s="9">
        <f t="shared" si="13"/>
        <v>299</v>
      </c>
      <c r="B307" s="15"/>
      <c r="C307" s="11">
        <f t="shared" si="12"/>
        <v>1</v>
      </c>
      <c r="D307" s="11">
        <v>5</v>
      </c>
      <c r="E307" s="11"/>
      <c r="F307" s="14"/>
      <c r="G307" s="89">
        <f>IFERROR(VLOOKUP(F307,COA!$A$1:$K$26,2,FALSE),0)</f>
        <v>0</v>
      </c>
      <c r="H307" s="11"/>
      <c r="I307" s="95"/>
      <c r="J307" s="87"/>
      <c r="K307" s="81"/>
      <c r="L307" s="146">
        <f t="shared" si="14"/>
        <v>1800000</v>
      </c>
      <c r="M307" s="73"/>
      <c r="N307" s="73"/>
      <c r="O307" s="7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 x14ac:dyDescent="0.35">
      <c r="A308" s="9">
        <f t="shared" si="13"/>
        <v>300</v>
      </c>
      <c r="B308" s="15"/>
      <c r="C308" s="11">
        <f t="shared" si="12"/>
        <v>1</v>
      </c>
      <c r="D308" s="11">
        <v>5</v>
      </c>
      <c r="E308" s="11"/>
      <c r="F308" s="14"/>
      <c r="G308" s="89">
        <f>IFERROR(VLOOKUP(F308,COA!$A$1:$K$26,2,FALSE),0)</f>
        <v>0</v>
      </c>
      <c r="H308" s="11"/>
      <c r="I308" s="95"/>
      <c r="J308" s="87"/>
      <c r="K308" s="79"/>
      <c r="L308" s="146">
        <f t="shared" si="14"/>
        <v>1800000</v>
      </c>
      <c r="M308" s="73"/>
      <c r="N308" s="73"/>
      <c r="O308" s="7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 x14ac:dyDescent="0.35">
      <c r="A309" s="9">
        <f t="shared" si="13"/>
        <v>301</v>
      </c>
      <c r="B309" s="15"/>
      <c r="C309" s="11">
        <f t="shared" si="12"/>
        <v>1</v>
      </c>
      <c r="D309" s="11">
        <v>5</v>
      </c>
      <c r="E309" s="11"/>
      <c r="F309" s="14"/>
      <c r="G309" s="89">
        <f>IFERROR(VLOOKUP(F309,COA!$A$1:$K$26,2,FALSE),0)</f>
        <v>0</v>
      </c>
      <c r="H309" s="11"/>
      <c r="I309" s="95"/>
      <c r="J309" s="87"/>
      <c r="K309" s="79"/>
      <c r="L309" s="146">
        <f t="shared" si="14"/>
        <v>1800000</v>
      </c>
      <c r="M309" s="73"/>
      <c r="N309" s="73"/>
      <c r="O309" s="7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 x14ac:dyDescent="0.35">
      <c r="A310" s="9">
        <f t="shared" si="13"/>
        <v>302</v>
      </c>
      <c r="B310" s="15"/>
      <c r="C310" s="11">
        <f t="shared" si="12"/>
        <v>1</v>
      </c>
      <c r="D310" s="11">
        <v>5</v>
      </c>
      <c r="E310" s="11"/>
      <c r="F310" s="14"/>
      <c r="G310" s="89">
        <f>IFERROR(VLOOKUP(F310,COA!$A$1:$K$26,2,FALSE),0)</f>
        <v>0</v>
      </c>
      <c r="H310" s="11"/>
      <c r="I310" s="95"/>
      <c r="J310" s="87"/>
      <c r="K310" s="79"/>
      <c r="L310" s="146">
        <f t="shared" si="14"/>
        <v>1800000</v>
      </c>
      <c r="M310" s="73"/>
      <c r="N310" s="73"/>
      <c r="O310" s="7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 x14ac:dyDescent="0.35">
      <c r="A311" s="9">
        <f t="shared" si="13"/>
        <v>303</v>
      </c>
      <c r="B311" s="15"/>
      <c r="C311" s="11">
        <f t="shared" si="12"/>
        <v>1</v>
      </c>
      <c r="D311" s="11">
        <v>5</v>
      </c>
      <c r="E311" s="11"/>
      <c r="F311" s="14"/>
      <c r="G311" s="89">
        <f>IFERROR(VLOOKUP(F311,COA!$A$1:$K$26,2,FALSE),0)</f>
        <v>0</v>
      </c>
      <c r="H311" s="11"/>
      <c r="I311" s="95"/>
      <c r="J311" s="87"/>
      <c r="K311" s="81"/>
      <c r="L311" s="146">
        <f t="shared" si="14"/>
        <v>1800000</v>
      </c>
      <c r="M311" s="73"/>
      <c r="N311" s="73"/>
      <c r="O311" s="7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 x14ac:dyDescent="0.35">
      <c r="A312" s="9">
        <f t="shared" si="13"/>
        <v>304</v>
      </c>
      <c r="B312" s="15"/>
      <c r="C312" s="11">
        <f t="shared" si="12"/>
        <v>1</v>
      </c>
      <c r="D312" s="11">
        <v>5</v>
      </c>
      <c r="E312" s="11"/>
      <c r="F312" s="14"/>
      <c r="G312" s="89">
        <f>IFERROR(VLOOKUP(F312,COA!$A$1:$K$26,2,FALSE),0)</f>
        <v>0</v>
      </c>
      <c r="H312" s="11"/>
      <c r="I312" s="95"/>
      <c r="J312" s="87"/>
      <c r="K312" s="81"/>
      <c r="L312" s="146">
        <f t="shared" si="14"/>
        <v>1800000</v>
      </c>
      <c r="M312" s="73"/>
      <c r="N312" s="73"/>
      <c r="O312" s="7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 x14ac:dyDescent="0.35">
      <c r="A313" s="9">
        <f t="shared" si="13"/>
        <v>305</v>
      </c>
      <c r="B313" s="15"/>
      <c r="C313" s="11">
        <f t="shared" si="12"/>
        <v>1</v>
      </c>
      <c r="D313" s="11">
        <v>5</v>
      </c>
      <c r="E313" s="11"/>
      <c r="F313" s="14"/>
      <c r="G313" s="89">
        <f>IFERROR(VLOOKUP(F313,COA!$A$1:$K$26,2,FALSE),0)</f>
        <v>0</v>
      </c>
      <c r="H313" s="11"/>
      <c r="I313" s="95"/>
      <c r="J313" s="87"/>
      <c r="K313" s="79"/>
      <c r="L313" s="146">
        <f t="shared" si="14"/>
        <v>1800000</v>
      </c>
      <c r="M313" s="73"/>
      <c r="N313" s="73"/>
      <c r="O313" s="7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 x14ac:dyDescent="0.35">
      <c r="A314" s="9">
        <f t="shared" si="13"/>
        <v>306</v>
      </c>
      <c r="B314" s="15"/>
      <c r="C314" s="11">
        <f t="shared" si="12"/>
        <v>1</v>
      </c>
      <c r="D314" s="11">
        <v>5</v>
      </c>
      <c r="E314" s="11"/>
      <c r="F314" s="14"/>
      <c r="G314" s="89">
        <f>IFERROR(VLOOKUP(F314,COA!$A$1:$K$26,2,FALSE),0)</f>
        <v>0</v>
      </c>
      <c r="H314" s="11"/>
      <c r="I314" s="95"/>
      <c r="J314" s="87"/>
      <c r="K314" s="79"/>
      <c r="L314" s="146">
        <f t="shared" si="14"/>
        <v>1800000</v>
      </c>
      <c r="M314" s="73"/>
      <c r="N314" s="73"/>
      <c r="O314" s="7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 x14ac:dyDescent="0.35">
      <c r="A315" s="9">
        <f t="shared" si="13"/>
        <v>307</v>
      </c>
      <c r="B315" s="15"/>
      <c r="C315" s="11">
        <f t="shared" si="12"/>
        <v>1</v>
      </c>
      <c r="D315" s="11">
        <v>5</v>
      </c>
      <c r="E315" s="11"/>
      <c r="F315" s="14"/>
      <c r="G315" s="89">
        <f>IFERROR(VLOOKUP(F315,COA!$A$1:$K$26,2,FALSE),0)</f>
        <v>0</v>
      </c>
      <c r="H315" s="13"/>
      <c r="I315" s="95"/>
      <c r="J315" s="87"/>
      <c r="K315" s="79"/>
      <c r="L315" s="146">
        <f t="shared" si="14"/>
        <v>1800000</v>
      </c>
      <c r="M315" s="73"/>
      <c r="N315" s="73"/>
      <c r="O315" s="7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 x14ac:dyDescent="0.35">
      <c r="A316" s="9">
        <f t="shared" si="13"/>
        <v>308</v>
      </c>
      <c r="B316" s="15"/>
      <c r="C316" s="11">
        <f t="shared" si="12"/>
        <v>1</v>
      </c>
      <c r="D316" s="11">
        <v>5</v>
      </c>
      <c r="E316" s="11"/>
      <c r="F316" s="14"/>
      <c r="G316" s="89">
        <f>IFERROR(VLOOKUP(F316,COA!$A$1:$K$26,2,FALSE),0)</f>
        <v>0</v>
      </c>
      <c r="H316" s="11"/>
      <c r="I316" s="95"/>
      <c r="J316" s="87"/>
      <c r="K316" s="81"/>
      <c r="L316" s="146">
        <f t="shared" si="14"/>
        <v>1800000</v>
      </c>
      <c r="M316" s="73"/>
      <c r="N316" s="73"/>
      <c r="O316" s="7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 x14ac:dyDescent="0.35">
      <c r="A317" s="9">
        <f t="shared" si="13"/>
        <v>309</v>
      </c>
      <c r="B317" s="15"/>
      <c r="C317" s="11">
        <f t="shared" si="12"/>
        <v>1</v>
      </c>
      <c r="D317" s="11">
        <v>5</v>
      </c>
      <c r="E317" s="11"/>
      <c r="F317" s="14"/>
      <c r="G317" s="89">
        <f>IFERROR(VLOOKUP(F317,COA!$A$1:$K$26,2,FALSE),0)</f>
        <v>0</v>
      </c>
      <c r="H317" s="11"/>
      <c r="I317" s="95"/>
      <c r="J317" s="87"/>
      <c r="K317" s="79"/>
      <c r="L317" s="146">
        <f t="shared" si="14"/>
        <v>1800000</v>
      </c>
      <c r="M317" s="73"/>
      <c r="N317" s="73"/>
      <c r="O317" s="7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 x14ac:dyDescent="0.35">
      <c r="A318" s="9">
        <f t="shared" si="13"/>
        <v>310</v>
      </c>
      <c r="B318" s="15"/>
      <c r="C318" s="11">
        <f t="shared" si="12"/>
        <v>1</v>
      </c>
      <c r="D318" s="11">
        <v>5</v>
      </c>
      <c r="E318" s="11"/>
      <c r="F318" s="14"/>
      <c r="G318" s="89">
        <f>IFERROR(VLOOKUP(F318,COA!$A$1:$K$26,2,FALSE),0)</f>
        <v>0</v>
      </c>
      <c r="H318" s="95"/>
      <c r="I318" s="11"/>
      <c r="J318" s="85"/>
      <c r="K318" s="79"/>
      <c r="L318" s="146">
        <f t="shared" si="14"/>
        <v>1800000</v>
      </c>
      <c r="M318" s="73"/>
      <c r="N318" s="73"/>
      <c r="O318" s="7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 x14ac:dyDescent="0.35">
      <c r="A319" s="9">
        <f t="shared" si="13"/>
        <v>311</v>
      </c>
      <c r="B319" s="15"/>
      <c r="C319" s="11">
        <f t="shared" si="12"/>
        <v>1</v>
      </c>
      <c r="D319" s="11">
        <v>5</v>
      </c>
      <c r="E319" s="13"/>
      <c r="F319" s="14"/>
      <c r="G319" s="89">
        <f>IFERROR(VLOOKUP(F319,COA!$A$1:$K$26,2,FALSE),0)</f>
        <v>0</v>
      </c>
      <c r="H319" s="96"/>
      <c r="I319" s="13"/>
      <c r="J319" s="85"/>
      <c r="K319" s="79"/>
      <c r="L319" s="146">
        <f t="shared" si="14"/>
        <v>1800000</v>
      </c>
      <c r="M319" s="73"/>
      <c r="N319" s="73"/>
      <c r="O319" s="7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 x14ac:dyDescent="0.35">
      <c r="A320" s="9">
        <f t="shared" si="13"/>
        <v>312</v>
      </c>
      <c r="B320" s="15"/>
      <c r="C320" s="11">
        <f t="shared" si="12"/>
        <v>1</v>
      </c>
      <c r="D320" s="11">
        <v>5</v>
      </c>
      <c r="E320" s="88"/>
      <c r="F320" s="14"/>
      <c r="G320" s="89">
        <f>IFERROR(VLOOKUP(F320,COA!$A$1:$K$26,2,FALSE),0)</f>
        <v>0</v>
      </c>
      <c r="H320" s="95"/>
      <c r="I320" s="88"/>
      <c r="J320" s="85"/>
      <c r="K320" s="78"/>
      <c r="L320" s="146">
        <f t="shared" si="14"/>
        <v>1800000</v>
      </c>
      <c r="M320" s="73"/>
      <c r="N320" s="73"/>
      <c r="O320" s="7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 x14ac:dyDescent="0.35">
      <c r="A321" s="9">
        <f t="shared" si="13"/>
        <v>313</v>
      </c>
      <c r="B321" s="15"/>
      <c r="C321" s="11">
        <f t="shared" si="12"/>
        <v>1</v>
      </c>
      <c r="D321" s="11">
        <v>5</v>
      </c>
      <c r="E321" s="11"/>
      <c r="F321" s="14"/>
      <c r="G321" s="89">
        <f>IFERROR(VLOOKUP(F321,COA!$A$1:$K$26,2,FALSE),0)</f>
        <v>0</v>
      </c>
      <c r="H321" s="95"/>
      <c r="I321" s="11"/>
      <c r="J321" s="87"/>
      <c r="K321" s="81"/>
      <c r="L321" s="146">
        <f t="shared" si="14"/>
        <v>1800000</v>
      </c>
      <c r="M321" s="73"/>
      <c r="N321" s="73"/>
      <c r="O321" s="7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 x14ac:dyDescent="0.35">
      <c r="A322" s="9">
        <f t="shared" si="13"/>
        <v>314</v>
      </c>
      <c r="B322" s="15"/>
      <c r="C322" s="11">
        <f t="shared" si="12"/>
        <v>1</v>
      </c>
      <c r="D322" s="11">
        <v>5</v>
      </c>
      <c r="E322" s="11"/>
      <c r="F322" s="14"/>
      <c r="G322" s="89">
        <f>IFERROR(VLOOKUP(F322,COA!$A$1:$K$26,2,FALSE),0)</f>
        <v>0</v>
      </c>
      <c r="H322" s="95"/>
      <c r="I322" s="95"/>
      <c r="J322" s="85"/>
      <c r="K322" s="79"/>
      <c r="L322" s="146">
        <f t="shared" si="14"/>
        <v>1800000</v>
      </c>
      <c r="M322" s="73"/>
      <c r="N322" s="73"/>
      <c r="O322" s="7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 x14ac:dyDescent="0.35">
      <c r="A323" s="9">
        <f t="shared" si="13"/>
        <v>315</v>
      </c>
      <c r="B323" s="15"/>
      <c r="C323" s="11">
        <f t="shared" si="12"/>
        <v>1</v>
      </c>
      <c r="D323" s="11">
        <v>5</v>
      </c>
      <c r="E323" s="11"/>
      <c r="F323" s="14"/>
      <c r="G323" s="89">
        <f>IFERROR(VLOOKUP(F323,COA!$A$1:$K$26,2,FALSE),0)</f>
        <v>0</v>
      </c>
      <c r="H323" s="89"/>
      <c r="I323" s="11"/>
      <c r="J323" s="87"/>
      <c r="K323" s="81"/>
      <c r="L323" s="146">
        <f t="shared" si="14"/>
        <v>1800000</v>
      </c>
      <c r="M323" s="73"/>
      <c r="N323" s="73"/>
      <c r="O323" s="7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 x14ac:dyDescent="0.35">
      <c r="A324" s="9">
        <f t="shared" si="13"/>
        <v>316</v>
      </c>
      <c r="B324" s="15"/>
      <c r="C324" s="11">
        <f t="shared" si="12"/>
        <v>1</v>
      </c>
      <c r="D324" s="11">
        <v>5</v>
      </c>
      <c r="E324" s="11"/>
      <c r="F324" s="14"/>
      <c r="G324" s="89">
        <f>IFERROR(VLOOKUP(F324,COA!$A$1:$K$26,2,FALSE),0)</f>
        <v>0</v>
      </c>
      <c r="H324" s="95"/>
      <c r="I324" s="11"/>
      <c r="J324" s="81"/>
      <c r="K324" s="79"/>
      <c r="L324" s="146">
        <f t="shared" si="14"/>
        <v>1800000</v>
      </c>
      <c r="M324" s="73"/>
      <c r="N324" s="73"/>
      <c r="O324" s="7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 x14ac:dyDescent="0.35">
      <c r="A325" s="9">
        <f t="shared" si="13"/>
        <v>317</v>
      </c>
      <c r="B325" s="15"/>
      <c r="C325" s="11">
        <f t="shared" si="12"/>
        <v>1</v>
      </c>
      <c r="D325" s="11">
        <v>5</v>
      </c>
      <c r="E325" s="89"/>
      <c r="F325" s="14"/>
      <c r="G325" s="89">
        <f>IFERROR(VLOOKUP(F325,COA!$A$1:$K$26,2,FALSE),0)</f>
        <v>0</v>
      </c>
      <c r="H325" s="89"/>
      <c r="I325" s="89"/>
      <c r="J325" s="90"/>
      <c r="K325" s="79"/>
      <c r="L325" s="146">
        <f t="shared" si="14"/>
        <v>1800000</v>
      </c>
      <c r="M325" s="73"/>
      <c r="N325" s="73"/>
      <c r="O325" s="7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 x14ac:dyDescent="0.35">
      <c r="A326" s="9">
        <f t="shared" si="13"/>
        <v>318</v>
      </c>
      <c r="B326" s="15"/>
      <c r="C326" s="11">
        <f t="shared" si="12"/>
        <v>1</v>
      </c>
      <c r="D326" s="11">
        <v>5</v>
      </c>
      <c r="E326" s="89"/>
      <c r="F326" s="14"/>
      <c r="G326" s="89">
        <f>IFERROR(VLOOKUP(F326,COA!$A$1:$K$26,2,FALSE),0)</f>
        <v>0</v>
      </c>
      <c r="H326" s="89"/>
      <c r="I326" s="89"/>
      <c r="J326" s="90"/>
      <c r="K326" s="79"/>
      <c r="L326" s="146">
        <f t="shared" si="14"/>
        <v>1800000</v>
      </c>
      <c r="M326" s="73"/>
      <c r="N326" s="73"/>
      <c r="O326" s="7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 x14ac:dyDescent="0.35">
      <c r="A327" s="9">
        <f t="shared" si="13"/>
        <v>319</v>
      </c>
      <c r="B327" s="15"/>
      <c r="C327" s="11">
        <f t="shared" si="12"/>
        <v>1</v>
      </c>
      <c r="D327" s="11">
        <v>5</v>
      </c>
      <c r="E327" s="89"/>
      <c r="F327" s="14"/>
      <c r="G327" s="89">
        <f>IFERROR(VLOOKUP(F327,COA!$A$1:$K$26,2,FALSE),0)</f>
        <v>0</v>
      </c>
      <c r="H327" s="89"/>
      <c r="I327" s="89"/>
      <c r="J327" s="90"/>
      <c r="K327" s="79"/>
      <c r="L327" s="146">
        <f t="shared" si="14"/>
        <v>1800000</v>
      </c>
      <c r="M327" s="73"/>
      <c r="N327" s="73"/>
      <c r="O327" s="7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 x14ac:dyDescent="0.35">
      <c r="A328" s="9">
        <f t="shared" si="13"/>
        <v>320</v>
      </c>
      <c r="B328" s="15"/>
      <c r="C328" s="11">
        <f t="shared" ref="C328:C391" si="15">MONTH(B328)</f>
        <v>1</v>
      </c>
      <c r="D328" s="11">
        <v>5</v>
      </c>
      <c r="E328" s="89"/>
      <c r="F328" s="11"/>
      <c r="G328" s="89">
        <f>IFERROR(VLOOKUP(F328,COA!$A$1:$K$26,2,FALSE),0)</f>
        <v>0</v>
      </c>
      <c r="H328" s="89"/>
      <c r="I328" s="89"/>
      <c r="J328" s="90"/>
      <c r="K328" s="79"/>
      <c r="L328" s="146">
        <f t="shared" si="14"/>
        <v>1800000</v>
      </c>
      <c r="M328" s="73"/>
      <c r="N328" s="73"/>
      <c r="O328" s="7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 x14ac:dyDescent="0.35">
      <c r="A329" s="9">
        <f t="shared" si="13"/>
        <v>321</v>
      </c>
      <c r="B329" s="15"/>
      <c r="C329" s="11">
        <f t="shared" si="15"/>
        <v>1</v>
      </c>
      <c r="D329" s="11">
        <v>5</v>
      </c>
      <c r="E329" s="89"/>
      <c r="F329" s="11"/>
      <c r="G329" s="89">
        <f>IFERROR(VLOOKUP(F329,COA!$A$1:$K$26,2,FALSE),0)</f>
        <v>0</v>
      </c>
      <c r="H329" s="89"/>
      <c r="I329" s="89"/>
      <c r="J329" s="90"/>
      <c r="K329" s="78"/>
      <c r="L329" s="146">
        <f t="shared" si="14"/>
        <v>1800000</v>
      </c>
      <c r="M329" s="138"/>
      <c r="N329" s="138"/>
      <c r="O329" s="138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4.25" customHeight="1" x14ac:dyDescent="0.35">
      <c r="A330" s="9">
        <f t="shared" si="13"/>
        <v>322</v>
      </c>
      <c r="B330" s="15"/>
      <c r="C330" s="11">
        <f t="shared" si="15"/>
        <v>1</v>
      </c>
      <c r="D330" s="11">
        <v>5</v>
      </c>
      <c r="E330" s="89"/>
      <c r="F330" s="11"/>
      <c r="G330" s="89">
        <f>IFERROR(VLOOKUP(F330,COA!$A$1:$K$26,2,FALSE),0)</f>
        <v>0</v>
      </c>
      <c r="H330" s="89"/>
      <c r="I330" s="89"/>
      <c r="J330" s="90"/>
      <c r="K330" s="78"/>
      <c r="L330" s="146">
        <f t="shared" si="14"/>
        <v>1800000</v>
      </c>
      <c r="M330" s="73"/>
      <c r="N330" s="73"/>
      <c r="O330" s="7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 x14ac:dyDescent="0.35">
      <c r="A331" s="9">
        <f t="shared" ref="A331:A394" si="16">A330+1</f>
        <v>323</v>
      </c>
      <c r="B331" s="15"/>
      <c r="C331" s="11">
        <f t="shared" si="15"/>
        <v>1</v>
      </c>
      <c r="D331" s="11">
        <v>5</v>
      </c>
      <c r="E331" s="89"/>
      <c r="F331" s="11"/>
      <c r="G331" s="89">
        <f>IFERROR(VLOOKUP(F331,COA!$A$1:$K$26,2,FALSE),0)</f>
        <v>0</v>
      </c>
      <c r="H331" s="89"/>
      <c r="I331" s="89"/>
      <c r="J331" s="90"/>
      <c r="K331" s="78"/>
      <c r="L331" s="146">
        <f t="shared" ref="L331:L394" si="17">L330+J331-K331</f>
        <v>1800000</v>
      </c>
      <c r="M331" s="139"/>
      <c r="N331" s="73"/>
      <c r="O331" s="7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 x14ac:dyDescent="0.35">
      <c r="A332" s="9">
        <f t="shared" si="16"/>
        <v>324</v>
      </c>
      <c r="B332" s="15"/>
      <c r="C332" s="11">
        <f t="shared" si="15"/>
        <v>1</v>
      </c>
      <c r="D332" s="11">
        <v>5</v>
      </c>
      <c r="E332" s="89"/>
      <c r="F332" s="11"/>
      <c r="G332" s="89">
        <f>IFERROR(VLOOKUP(F332,COA!$A$1:$K$26,2,FALSE),0)</f>
        <v>0</v>
      </c>
      <c r="H332" s="89"/>
      <c r="I332" s="89"/>
      <c r="J332" s="90"/>
      <c r="K332" s="78"/>
      <c r="L332" s="146">
        <f t="shared" si="17"/>
        <v>1800000</v>
      </c>
      <c r="M332" s="73"/>
      <c r="N332" s="73"/>
      <c r="O332" s="7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 x14ac:dyDescent="0.35">
      <c r="A333" s="9">
        <f t="shared" si="16"/>
        <v>325</v>
      </c>
      <c r="B333" s="15"/>
      <c r="C333" s="11">
        <f t="shared" si="15"/>
        <v>1</v>
      </c>
      <c r="D333" s="11">
        <v>5</v>
      </c>
      <c r="E333" s="89"/>
      <c r="F333" s="11"/>
      <c r="G333" s="89">
        <f>IFERROR(VLOOKUP(F333,COA!$A$1:$K$26,2,FALSE),0)</f>
        <v>0</v>
      </c>
      <c r="H333" s="89"/>
      <c r="I333" s="89"/>
      <c r="J333" s="90"/>
      <c r="K333" s="78"/>
      <c r="L333" s="146">
        <f t="shared" si="17"/>
        <v>1800000</v>
      </c>
      <c r="M333" s="140"/>
      <c r="N333" s="73"/>
      <c r="O333" s="7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 x14ac:dyDescent="0.35">
      <c r="A334" s="9">
        <f t="shared" si="16"/>
        <v>326</v>
      </c>
      <c r="B334" s="15"/>
      <c r="C334" s="11">
        <f t="shared" si="15"/>
        <v>1</v>
      </c>
      <c r="D334" s="11">
        <v>5</v>
      </c>
      <c r="E334" s="11"/>
      <c r="F334" s="11"/>
      <c r="G334" s="89">
        <f>IFERROR(VLOOKUP(F334,COA!$A$1:$K$26,2,FALSE),0)</f>
        <v>0</v>
      </c>
      <c r="H334" s="89"/>
      <c r="I334" s="89"/>
      <c r="J334" s="93"/>
      <c r="K334" s="78"/>
      <c r="L334" s="146">
        <f t="shared" si="17"/>
        <v>1800000</v>
      </c>
      <c r="M334" s="73"/>
      <c r="N334" s="73"/>
      <c r="O334" s="7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 x14ac:dyDescent="0.35">
      <c r="A335" s="9">
        <f t="shared" si="16"/>
        <v>327</v>
      </c>
      <c r="B335" s="15"/>
      <c r="C335" s="11">
        <f t="shared" si="15"/>
        <v>1</v>
      </c>
      <c r="D335" s="11">
        <v>5</v>
      </c>
      <c r="E335" s="11"/>
      <c r="F335" s="11"/>
      <c r="G335" s="89">
        <f>IFERROR(VLOOKUP(F335,COA!$A$1:$K$26,2,FALSE),0)</f>
        <v>0</v>
      </c>
      <c r="H335" s="89"/>
      <c r="I335" s="89"/>
      <c r="J335" s="90"/>
      <c r="K335" s="79"/>
      <c r="L335" s="146">
        <f t="shared" si="17"/>
        <v>1800000</v>
      </c>
      <c r="M335" s="73"/>
      <c r="N335" s="73"/>
      <c r="O335" s="7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 x14ac:dyDescent="0.35">
      <c r="A336" s="9">
        <f t="shared" si="16"/>
        <v>328</v>
      </c>
      <c r="B336" s="15"/>
      <c r="C336" s="11">
        <f t="shared" si="15"/>
        <v>1</v>
      </c>
      <c r="D336" s="11">
        <v>5</v>
      </c>
      <c r="E336" s="11"/>
      <c r="F336" s="14"/>
      <c r="G336" s="89">
        <f>IFERROR(VLOOKUP(F336,COA!$A$1:$K$26,2,FALSE),0)</f>
        <v>0</v>
      </c>
      <c r="H336" s="89"/>
      <c r="I336" s="89"/>
      <c r="J336" s="90"/>
      <c r="K336" s="79"/>
      <c r="L336" s="146">
        <f t="shared" si="17"/>
        <v>1800000</v>
      </c>
      <c r="M336" s="73"/>
      <c r="N336" s="73"/>
      <c r="O336" s="7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 x14ac:dyDescent="0.35">
      <c r="A337" s="9">
        <f t="shared" si="16"/>
        <v>329</v>
      </c>
      <c r="B337" s="15"/>
      <c r="C337" s="11">
        <f t="shared" si="15"/>
        <v>1</v>
      </c>
      <c r="D337" s="11">
        <v>5</v>
      </c>
      <c r="E337" s="11"/>
      <c r="F337" s="14"/>
      <c r="G337" s="89">
        <f>IFERROR(VLOOKUP(F337,COA!$A$1:$K$26,2,FALSE),0)</f>
        <v>0</v>
      </c>
      <c r="H337" s="89"/>
      <c r="I337" s="89"/>
      <c r="J337" s="90"/>
      <c r="K337" s="79"/>
      <c r="L337" s="146">
        <f t="shared" si="17"/>
        <v>1800000</v>
      </c>
      <c r="M337" s="73"/>
      <c r="N337" s="73"/>
      <c r="O337" s="7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 x14ac:dyDescent="0.35">
      <c r="A338" s="9">
        <f t="shared" si="16"/>
        <v>330</v>
      </c>
      <c r="B338" s="15"/>
      <c r="C338" s="11">
        <f t="shared" si="15"/>
        <v>1</v>
      </c>
      <c r="D338" s="11">
        <v>5</v>
      </c>
      <c r="E338" s="11"/>
      <c r="F338" s="11"/>
      <c r="G338" s="89">
        <f>IFERROR(VLOOKUP(F338,COA!$A$1:$K$26,2,FALSE),0)</f>
        <v>0</v>
      </c>
      <c r="H338" s="89"/>
      <c r="I338" s="89"/>
      <c r="J338" s="90"/>
      <c r="K338" s="78"/>
      <c r="L338" s="146">
        <f t="shared" si="17"/>
        <v>1800000</v>
      </c>
      <c r="M338" s="73"/>
      <c r="N338" s="73"/>
      <c r="O338" s="7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 x14ac:dyDescent="0.35">
      <c r="A339" s="9">
        <f t="shared" si="16"/>
        <v>331</v>
      </c>
      <c r="B339" s="15"/>
      <c r="C339" s="11">
        <f t="shared" si="15"/>
        <v>1</v>
      </c>
      <c r="D339" s="11">
        <v>5</v>
      </c>
      <c r="E339" s="11"/>
      <c r="F339" s="11"/>
      <c r="G339" s="89">
        <f>IFERROR(VLOOKUP(F339,COA!$A$1:$K$26,2,FALSE),0)</f>
        <v>0</v>
      </c>
      <c r="H339" s="89"/>
      <c r="I339" s="89"/>
      <c r="J339" s="90"/>
      <c r="K339" s="78"/>
      <c r="L339" s="146">
        <f t="shared" si="17"/>
        <v>1800000</v>
      </c>
      <c r="M339" s="73"/>
      <c r="N339" s="73"/>
      <c r="O339" s="7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 x14ac:dyDescent="0.35">
      <c r="A340" s="9">
        <f t="shared" si="16"/>
        <v>332</v>
      </c>
      <c r="B340" s="15"/>
      <c r="C340" s="11">
        <f t="shared" si="15"/>
        <v>1</v>
      </c>
      <c r="D340" s="11">
        <v>5</v>
      </c>
      <c r="E340" s="11"/>
      <c r="F340" s="11"/>
      <c r="G340" s="89">
        <f>IFERROR(VLOOKUP(F340,COA!$A$1:$K$26,2,FALSE),0)</f>
        <v>0</v>
      </c>
      <c r="H340" s="89"/>
      <c r="I340" s="89"/>
      <c r="J340" s="90"/>
      <c r="K340" s="78"/>
      <c r="L340" s="146">
        <f t="shared" si="17"/>
        <v>1800000</v>
      </c>
      <c r="M340" s="73"/>
      <c r="N340" s="73"/>
      <c r="O340" s="7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 x14ac:dyDescent="0.35">
      <c r="A341" s="9">
        <f t="shared" si="16"/>
        <v>333</v>
      </c>
      <c r="B341" s="15"/>
      <c r="C341" s="11">
        <f t="shared" si="15"/>
        <v>1</v>
      </c>
      <c r="D341" s="11">
        <v>5</v>
      </c>
      <c r="E341" s="11"/>
      <c r="F341" s="11"/>
      <c r="G341" s="89">
        <f>IFERROR(VLOOKUP(F341,COA!$A$1:$K$26,2,FALSE),0)</f>
        <v>0</v>
      </c>
      <c r="H341" s="89"/>
      <c r="I341" s="89"/>
      <c r="J341" s="90"/>
      <c r="K341" s="78"/>
      <c r="L341" s="146">
        <f t="shared" si="17"/>
        <v>1800000</v>
      </c>
      <c r="M341" s="73"/>
      <c r="N341" s="73"/>
      <c r="O341" s="7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 x14ac:dyDescent="0.35">
      <c r="A342" s="9">
        <f t="shared" si="16"/>
        <v>334</v>
      </c>
      <c r="B342" s="15"/>
      <c r="C342" s="11">
        <f t="shared" si="15"/>
        <v>1</v>
      </c>
      <c r="D342" s="11">
        <v>5</v>
      </c>
      <c r="E342" s="11"/>
      <c r="F342" s="11"/>
      <c r="G342" s="89">
        <f>IFERROR(VLOOKUP(F342,COA!$A$1:$K$26,2,FALSE),0)</f>
        <v>0</v>
      </c>
      <c r="H342" s="89"/>
      <c r="I342" s="89"/>
      <c r="J342" s="90"/>
      <c r="K342" s="78"/>
      <c r="L342" s="146">
        <f t="shared" si="17"/>
        <v>1800000</v>
      </c>
      <c r="M342" s="73"/>
      <c r="N342" s="73"/>
      <c r="O342" s="7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 x14ac:dyDescent="0.35">
      <c r="A343" s="9">
        <f t="shared" si="16"/>
        <v>335</v>
      </c>
      <c r="B343" s="15"/>
      <c r="C343" s="11">
        <f t="shared" si="15"/>
        <v>1</v>
      </c>
      <c r="D343" s="11">
        <v>5</v>
      </c>
      <c r="E343" s="11"/>
      <c r="F343" s="11"/>
      <c r="G343" s="89">
        <f>IFERROR(VLOOKUP(F343,COA!$A$1:$K$26,2,FALSE),0)</f>
        <v>0</v>
      </c>
      <c r="H343" s="89"/>
      <c r="I343" s="89"/>
      <c r="J343" s="90"/>
      <c r="K343" s="79"/>
      <c r="L343" s="146">
        <f t="shared" si="17"/>
        <v>1800000</v>
      </c>
      <c r="M343" s="73"/>
      <c r="N343" s="73"/>
      <c r="O343" s="7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 x14ac:dyDescent="0.35">
      <c r="A344" s="9">
        <f t="shared" si="16"/>
        <v>336</v>
      </c>
      <c r="B344" s="15"/>
      <c r="C344" s="11">
        <f t="shared" si="15"/>
        <v>1</v>
      </c>
      <c r="D344" s="11">
        <v>5</v>
      </c>
      <c r="E344" s="11"/>
      <c r="F344" s="11"/>
      <c r="G344" s="89">
        <f>IFERROR(VLOOKUP(F344,COA!$A$1:$K$26,2,FALSE),0)</f>
        <v>0</v>
      </c>
      <c r="H344" s="89"/>
      <c r="I344" s="89"/>
      <c r="J344" s="90"/>
      <c r="K344" s="79"/>
      <c r="L344" s="146">
        <f t="shared" si="17"/>
        <v>1800000</v>
      </c>
      <c r="M344" s="73"/>
      <c r="N344" s="73"/>
      <c r="O344" s="7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 x14ac:dyDescent="0.35">
      <c r="A345" s="9">
        <f t="shared" si="16"/>
        <v>337</v>
      </c>
      <c r="B345" s="15"/>
      <c r="C345" s="11">
        <f t="shared" si="15"/>
        <v>1</v>
      </c>
      <c r="D345" s="11">
        <v>5</v>
      </c>
      <c r="E345" s="144"/>
      <c r="F345" s="11"/>
      <c r="G345" s="89">
        <f>IFERROR(VLOOKUP(F345,COA!$A$1:$K$26,2,FALSE),0)</f>
        <v>0</v>
      </c>
      <c r="H345" s="89"/>
      <c r="I345" s="89"/>
      <c r="J345" s="90"/>
      <c r="K345" s="79"/>
      <c r="L345" s="146">
        <f t="shared" si="17"/>
        <v>1800000</v>
      </c>
      <c r="M345" s="73"/>
      <c r="N345" s="73"/>
      <c r="O345" s="7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 x14ac:dyDescent="0.35">
      <c r="A346" s="9">
        <f t="shared" si="16"/>
        <v>338</v>
      </c>
      <c r="B346" s="15"/>
      <c r="C346" s="11">
        <f t="shared" si="15"/>
        <v>1</v>
      </c>
      <c r="D346" s="11">
        <v>5</v>
      </c>
      <c r="E346" s="144"/>
      <c r="F346" s="11"/>
      <c r="G346" s="89">
        <f>IFERROR(VLOOKUP(F346,COA!$A$1:$K$26,2,FALSE),0)</f>
        <v>0</v>
      </c>
      <c r="H346" s="89"/>
      <c r="I346" s="89"/>
      <c r="J346" s="90"/>
      <c r="K346" s="79"/>
      <c r="L346" s="146">
        <f t="shared" si="17"/>
        <v>1800000</v>
      </c>
      <c r="M346" s="73"/>
      <c r="N346" s="73"/>
      <c r="O346" s="7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 x14ac:dyDescent="0.35">
      <c r="A347" s="9">
        <f t="shared" si="16"/>
        <v>339</v>
      </c>
      <c r="B347" s="15"/>
      <c r="C347" s="11">
        <f t="shared" si="15"/>
        <v>1</v>
      </c>
      <c r="D347" s="11">
        <v>5</v>
      </c>
      <c r="E347" s="11"/>
      <c r="F347" s="11"/>
      <c r="G347" s="89">
        <f>IFERROR(VLOOKUP(F347,COA!$A$1:$K$26,2,FALSE),0)</f>
        <v>0</v>
      </c>
      <c r="H347" s="89"/>
      <c r="I347" s="89"/>
      <c r="J347" s="90"/>
      <c r="K347" s="78"/>
      <c r="L347" s="146">
        <f t="shared" si="17"/>
        <v>1800000</v>
      </c>
      <c r="M347" s="73"/>
      <c r="N347" s="73"/>
      <c r="O347" s="7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 x14ac:dyDescent="0.35">
      <c r="A348" s="9">
        <f t="shared" si="16"/>
        <v>340</v>
      </c>
      <c r="B348" s="19"/>
      <c r="C348" s="11">
        <f t="shared" si="15"/>
        <v>1</v>
      </c>
      <c r="D348" s="11">
        <v>5</v>
      </c>
      <c r="E348" s="11"/>
      <c r="F348" s="11"/>
      <c r="G348" s="89">
        <f>IFERROR(VLOOKUP(F348,COA!$A$1:$K$26,2,FALSE),0)</f>
        <v>0</v>
      </c>
      <c r="H348" s="89"/>
      <c r="I348" s="89"/>
      <c r="J348" s="93"/>
      <c r="K348" s="79"/>
      <c r="L348" s="146">
        <f t="shared" si="17"/>
        <v>1800000</v>
      </c>
      <c r="M348" s="73"/>
      <c r="N348" s="73"/>
      <c r="O348" s="7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 x14ac:dyDescent="0.35">
      <c r="A349" s="9">
        <f t="shared" si="16"/>
        <v>341</v>
      </c>
      <c r="B349" s="19"/>
      <c r="C349" s="11">
        <f t="shared" si="15"/>
        <v>1</v>
      </c>
      <c r="D349" s="11">
        <v>5</v>
      </c>
      <c r="E349" s="11"/>
      <c r="F349" s="14"/>
      <c r="G349" s="89">
        <f>IFERROR(VLOOKUP(F349,COA!$A$1:$K$26,2,FALSE),0)</f>
        <v>0</v>
      </c>
      <c r="H349" s="89"/>
      <c r="I349" s="89"/>
      <c r="J349" s="93"/>
      <c r="K349" s="79"/>
      <c r="L349" s="146">
        <f t="shared" si="17"/>
        <v>1800000</v>
      </c>
      <c r="M349" s="73"/>
      <c r="N349" s="73"/>
      <c r="O349" s="7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customHeight="1" x14ac:dyDescent="0.35">
      <c r="A350" s="9">
        <f t="shared" si="16"/>
        <v>342</v>
      </c>
      <c r="B350" s="19"/>
      <c r="C350" s="11">
        <f t="shared" si="15"/>
        <v>1</v>
      </c>
      <c r="D350" s="11">
        <v>5</v>
      </c>
      <c r="E350" s="11"/>
      <c r="F350" s="14"/>
      <c r="G350" s="89">
        <f>IFERROR(VLOOKUP(F350,COA!$A$1:$K$26,2,FALSE),0)</f>
        <v>0</v>
      </c>
      <c r="H350" s="89"/>
      <c r="I350" s="89"/>
      <c r="J350" s="93"/>
      <c r="K350" s="78"/>
      <c r="L350" s="146">
        <f t="shared" si="17"/>
        <v>1800000</v>
      </c>
      <c r="M350" s="73"/>
      <c r="N350" s="73"/>
      <c r="O350" s="7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 x14ac:dyDescent="0.35">
      <c r="A351" s="9">
        <f t="shared" si="16"/>
        <v>343</v>
      </c>
      <c r="B351" s="19"/>
      <c r="C351" s="11">
        <f t="shared" si="15"/>
        <v>1</v>
      </c>
      <c r="D351" s="11">
        <v>5</v>
      </c>
      <c r="E351" s="11"/>
      <c r="F351" s="11"/>
      <c r="G351" s="89">
        <f>IFERROR(VLOOKUP(F351,COA!$A$1:$K$26,2,FALSE),0)</f>
        <v>0</v>
      </c>
      <c r="H351" s="89"/>
      <c r="I351" s="89"/>
      <c r="J351" s="93"/>
      <c r="K351" s="78"/>
      <c r="L351" s="146">
        <f t="shared" si="17"/>
        <v>1800000</v>
      </c>
      <c r="M351" s="73"/>
      <c r="N351" s="73"/>
      <c r="O351" s="7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 x14ac:dyDescent="0.35">
      <c r="A352" s="9">
        <f t="shared" si="16"/>
        <v>344</v>
      </c>
      <c r="B352" s="15"/>
      <c r="C352" s="11">
        <f t="shared" si="15"/>
        <v>1</v>
      </c>
      <c r="D352" s="11">
        <v>5</v>
      </c>
      <c r="E352" s="11"/>
      <c r="F352" s="11"/>
      <c r="G352" s="89">
        <f>IFERROR(VLOOKUP(F352,COA!$A$1:$K$26,2,FALSE),0)</f>
        <v>0</v>
      </c>
      <c r="H352" s="89"/>
      <c r="I352" s="89"/>
      <c r="J352" s="90"/>
      <c r="K352" s="78"/>
      <c r="L352" s="146">
        <f t="shared" si="17"/>
        <v>1800000</v>
      </c>
      <c r="M352" s="138"/>
      <c r="N352" s="138"/>
      <c r="O352" s="138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4.25" customHeight="1" x14ac:dyDescent="0.35">
      <c r="A353" s="9">
        <f t="shared" si="16"/>
        <v>345</v>
      </c>
      <c r="B353" s="15"/>
      <c r="C353" s="11">
        <f t="shared" si="15"/>
        <v>1</v>
      </c>
      <c r="D353" s="11">
        <v>5</v>
      </c>
      <c r="E353" s="11"/>
      <c r="F353" s="14"/>
      <c r="G353" s="89">
        <f>IFERROR(VLOOKUP(F353,COA!$A$1:$K$26,2,FALSE),0)</f>
        <v>0</v>
      </c>
      <c r="H353" s="89"/>
      <c r="I353" s="89"/>
      <c r="J353" s="90"/>
      <c r="K353" s="79"/>
      <c r="L353" s="146">
        <f t="shared" si="17"/>
        <v>1800000</v>
      </c>
      <c r="M353" s="73"/>
      <c r="N353" s="73"/>
      <c r="O353" s="7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 x14ac:dyDescent="0.35">
      <c r="A354" s="9">
        <f t="shared" si="16"/>
        <v>346</v>
      </c>
      <c r="B354" s="15"/>
      <c r="C354" s="11">
        <f t="shared" si="15"/>
        <v>1</v>
      </c>
      <c r="D354" s="11">
        <v>5</v>
      </c>
      <c r="E354" s="11"/>
      <c r="F354" s="11"/>
      <c r="G354" s="89">
        <f>IFERROR(VLOOKUP(F354,COA!$A$1:$K$26,2,FALSE),0)</f>
        <v>0</v>
      </c>
      <c r="H354" s="89"/>
      <c r="I354" s="89"/>
      <c r="J354" s="93"/>
      <c r="K354" s="79"/>
      <c r="L354" s="146">
        <f t="shared" si="17"/>
        <v>1800000</v>
      </c>
      <c r="M354" s="73"/>
      <c r="N354" s="73"/>
      <c r="O354" s="7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 x14ac:dyDescent="0.35">
      <c r="A355" s="9">
        <f t="shared" si="16"/>
        <v>347</v>
      </c>
      <c r="B355" s="15"/>
      <c r="C355" s="11">
        <f t="shared" si="15"/>
        <v>1</v>
      </c>
      <c r="D355" s="11">
        <v>5</v>
      </c>
      <c r="E355" s="11"/>
      <c r="F355" s="11"/>
      <c r="G355" s="89">
        <f>IFERROR(VLOOKUP(F355,COA!$A$1:$K$26,2,FALSE),0)</f>
        <v>0</v>
      </c>
      <c r="H355" s="89"/>
      <c r="I355" s="89"/>
      <c r="J355" s="93"/>
      <c r="K355" s="79"/>
      <c r="L355" s="146">
        <f t="shared" si="17"/>
        <v>1800000</v>
      </c>
      <c r="M355" s="73"/>
      <c r="N355" s="73"/>
      <c r="O355" s="7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 x14ac:dyDescent="0.35">
      <c r="A356" s="9">
        <f t="shared" si="16"/>
        <v>348</v>
      </c>
      <c r="B356" s="15"/>
      <c r="C356" s="11">
        <f t="shared" si="15"/>
        <v>1</v>
      </c>
      <c r="D356" s="11">
        <v>5</v>
      </c>
      <c r="E356" s="11"/>
      <c r="F356" s="11"/>
      <c r="G356" s="89">
        <f>IFERROR(VLOOKUP(F356,COA!$A$1:$K$26,2,FALSE),0)</f>
        <v>0</v>
      </c>
      <c r="H356" s="89"/>
      <c r="I356" s="89"/>
      <c r="J356" s="93"/>
      <c r="K356" s="83"/>
      <c r="L356" s="146">
        <f t="shared" si="17"/>
        <v>1800000</v>
      </c>
      <c r="M356" s="73"/>
      <c r="N356" s="73"/>
      <c r="O356" s="7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 x14ac:dyDescent="0.35">
      <c r="A357" s="9">
        <f t="shared" si="16"/>
        <v>349</v>
      </c>
      <c r="B357" s="15"/>
      <c r="C357" s="11">
        <f t="shared" si="15"/>
        <v>1</v>
      </c>
      <c r="D357" s="11">
        <v>5</v>
      </c>
      <c r="E357" s="11"/>
      <c r="F357" s="11"/>
      <c r="G357" s="89">
        <f>IFERROR(VLOOKUP(F357,COA!$A$1:$K$26,2,FALSE),0)</f>
        <v>0</v>
      </c>
      <c r="H357" s="91"/>
      <c r="I357" s="89"/>
      <c r="J357" s="93"/>
      <c r="K357" s="78"/>
      <c r="L357" s="146">
        <f t="shared" si="17"/>
        <v>1800000</v>
      </c>
      <c r="M357" s="73"/>
      <c r="N357" s="73"/>
      <c r="O357" s="7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 x14ac:dyDescent="0.35">
      <c r="A358" s="9">
        <f t="shared" si="16"/>
        <v>350</v>
      </c>
      <c r="B358" s="15"/>
      <c r="C358" s="11">
        <f t="shared" si="15"/>
        <v>1</v>
      </c>
      <c r="D358" s="11">
        <v>5</v>
      </c>
      <c r="E358" s="11"/>
      <c r="F358" s="11"/>
      <c r="G358" s="89">
        <f>IFERROR(VLOOKUP(F358,COA!$A$1:$K$26,2,FALSE),0)</f>
        <v>0</v>
      </c>
      <c r="H358" s="89"/>
      <c r="I358" s="89"/>
      <c r="J358" s="93"/>
      <c r="K358" s="79"/>
      <c r="L358" s="146">
        <f t="shared" si="17"/>
        <v>1800000</v>
      </c>
      <c r="M358" s="73"/>
      <c r="N358" s="73"/>
      <c r="O358" s="7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 x14ac:dyDescent="0.35">
      <c r="A359" s="9">
        <f t="shared" si="16"/>
        <v>351</v>
      </c>
      <c r="B359" s="15"/>
      <c r="C359" s="11">
        <f t="shared" si="15"/>
        <v>1</v>
      </c>
      <c r="D359" s="11">
        <v>5</v>
      </c>
      <c r="E359" s="11"/>
      <c r="F359" s="11"/>
      <c r="G359" s="89">
        <f>IFERROR(VLOOKUP(F359,COA!$A$1:$K$26,2,FALSE),0)</f>
        <v>0</v>
      </c>
      <c r="H359" s="89"/>
      <c r="I359" s="89"/>
      <c r="J359" s="93"/>
      <c r="K359" s="81"/>
      <c r="L359" s="146">
        <f t="shared" si="17"/>
        <v>1800000</v>
      </c>
      <c r="M359" s="73">
        <v>12535852</v>
      </c>
      <c r="N359" s="73">
        <v>304000</v>
      </c>
      <c r="O359" s="73">
        <f>L359-M359-N359</f>
        <v>-11039852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 x14ac:dyDescent="0.35">
      <c r="A360" s="9">
        <f t="shared" si="16"/>
        <v>352</v>
      </c>
      <c r="B360" s="15"/>
      <c r="C360" s="11">
        <f t="shared" si="15"/>
        <v>1</v>
      </c>
      <c r="D360" s="11">
        <v>5</v>
      </c>
      <c r="E360" s="11"/>
      <c r="F360" s="11"/>
      <c r="G360" s="89">
        <f>IFERROR(VLOOKUP(F360,COA!$A$1:$K$26,2,FALSE),0)</f>
        <v>0</v>
      </c>
      <c r="H360" s="89"/>
      <c r="I360" s="89"/>
      <c r="J360" s="90"/>
      <c r="K360" s="78"/>
      <c r="L360" s="146">
        <f t="shared" si="17"/>
        <v>1800000</v>
      </c>
      <c r="M360" s="73"/>
      <c r="N360" s="73"/>
      <c r="O360" s="7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 x14ac:dyDescent="0.35">
      <c r="A361" s="9">
        <f t="shared" si="16"/>
        <v>353</v>
      </c>
      <c r="B361" s="15"/>
      <c r="C361" s="11">
        <f t="shared" si="15"/>
        <v>1</v>
      </c>
      <c r="D361" s="11">
        <v>5</v>
      </c>
      <c r="E361" s="11"/>
      <c r="F361" s="14"/>
      <c r="G361" s="89">
        <f>IFERROR(VLOOKUP(F361,COA!$A$1:$K$26,2,FALSE),0)</f>
        <v>0</v>
      </c>
      <c r="H361" s="89"/>
      <c r="I361" s="89"/>
      <c r="J361" s="93"/>
      <c r="K361" s="78"/>
      <c r="L361" s="146">
        <f t="shared" si="17"/>
        <v>1800000</v>
      </c>
      <c r="M361" s="73"/>
      <c r="N361" s="73"/>
      <c r="O361" s="7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 x14ac:dyDescent="0.35">
      <c r="A362" s="9">
        <f t="shared" si="16"/>
        <v>354</v>
      </c>
      <c r="B362" s="15"/>
      <c r="C362" s="11">
        <f t="shared" si="15"/>
        <v>1</v>
      </c>
      <c r="D362" s="11">
        <v>5</v>
      </c>
      <c r="E362" s="11"/>
      <c r="F362" s="14"/>
      <c r="G362" s="89">
        <f>IFERROR(VLOOKUP(F362,COA!$A$1:$K$26,2,FALSE),0)</f>
        <v>0</v>
      </c>
      <c r="H362" s="89"/>
      <c r="I362" s="89"/>
      <c r="J362" s="90"/>
      <c r="K362" s="79"/>
      <c r="L362" s="146">
        <f t="shared" si="17"/>
        <v>1800000</v>
      </c>
      <c r="M362" s="73"/>
      <c r="N362" s="73"/>
      <c r="O362" s="7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 x14ac:dyDescent="0.35">
      <c r="A363" s="9">
        <f t="shared" si="16"/>
        <v>355</v>
      </c>
      <c r="B363" s="15"/>
      <c r="C363" s="11">
        <f t="shared" si="15"/>
        <v>1</v>
      </c>
      <c r="D363" s="11">
        <v>5</v>
      </c>
      <c r="E363" s="11"/>
      <c r="F363" s="14"/>
      <c r="G363" s="89">
        <f>IFERROR(VLOOKUP(F363,COA!$A$1:$K$26,2,FALSE),0)</f>
        <v>0</v>
      </c>
      <c r="H363" s="89"/>
      <c r="I363" s="89"/>
      <c r="J363" s="90"/>
      <c r="K363" s="79"/>
      <c r="L363" s="146">
        <f t="shared" si="17"/>
        <v>1800000</v>
      </c>
      <c r="M363" s="73"/>
      <c r="N363" s="73"/>
      <c r="O363" s="7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 x14ac:dyDescent="0.35">
      <c r="A364" s="9">
        <f t="shared" si="16"/>
        <v>356</v>
      </c>
      <c r="B364" s="15"/>
      <c r="C364" s="11">
        <f t="shared" si="15"/>
        <v>1</v>
      </c>
      <c r="D364" s="11">
        <v>5</v>
      </c>
      <c r="E364" s="11"/>
      <c r="F364" s="14"/>
      <c r="G364" s="89">
        <f>IFERROR(VLOOKUP(F364,COA!$A$1:$K$26,2,FALSE),0)</f>
        <v>0</v>
      </c>
      <c r="H364" s="89"/>
      <c r="I364" s="89"/>
      <c r="J364" s="90"/>
      <c r="K364" s="79"/>
      <c r="L364" s="146">
        <f t="shared" si="17"/>
        <v>1800000</v>
      </c>
      <c r="M364" s="73"/>
      <c r="N364" s="73"/>
      <c r="O364" s="7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 x14ac:dyDescent="0.35">
      <c r="A365" s="9">
        <f t="shared" si="16"/>
        <v>357</v>
      </c>
      <c r="B365" s="15"/>
      <c r="C365" s="11">
        <f t="shared" si="15"/>
        <v>1</v>
      </c>
      <c r="D365" s="11">
        <v>5</v>
      </c>
      <c r="E365" s="11"/>
      <c r="F365" s="14"/>
      <c r="G365" s="89">
        <f>IFERROR(VLOOKUP(F365,COA!$A$1:$K$26,2,FALSE),0)</f>
        <v>0</v>
      </c>
      <c r="H365" s="89"/>
      <c r="I365" s="89"/>
      <c r="J365" s="93"/>
      <c r="K365" s="78"/>
      <c r="L365" s="146">
        <f t="shared" si="17"/>
        <v>1800000</v>
      </c>
      <c r="M365" s="73"/>
      <c r="N365" s="73"/>
      <c r="O365" s="7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 x14ac:dyDescent="0.35">
      <c r="A366" s="9">
        <f t="shared" si="16"/>
        <v>358</v>
      </c>
      <c r="B366" s="15"/>
      <c r="C366" s="11">
        <f t="shared" si="15"/>
        <v>1</v>
      </c>
      <c r="D366" s="11">
        <v>5</v>
      </c>
      <c r="E366" s="11"/>
      <c r="F366" s="14"/>
      <c r="G366" s="89">
        <f>IFERROR(VLOOKUP(F366,COA!$A$1:$K$26,2,FALSE),0)</f>
        <v>0</v>
      </c>
      <c r="H366" s="89"/>
      <c r="I366" s="89"/>
      <c r="J366" s="90"/>
      <c r="K366" s="79"/>
      <c r="L366" s="146">
        <f t="shared" si="17"/>
        <v>1800000</v>
      </c>
      <c r="M366" s="73"/>
      <c r="N366" s="73"/>
      <c r="O366" s="7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 x14ac:dyDescent="0.35">
      <c r="A367" s="9">
        <f t="shared" si="16"/>
        <v>359</v>
      </c>
      <c r="B367" s="15"/>
      <c r="C367" s="11">
        <f t="shared" si="15"/>
        <v>1</v>
      </c>
      <c r="D367" s="11">
        <v>5</v>
      </c>
      <c r="E367" s="11"/>
      <c r="F367" s="14"/>
      <c r="G367" s="89">
        <f>IFERROR(VLOOKUP(F367,COA!$A$1:$K$26,2,FALSE),0)</f>
        <v>0</v>
      </c>
      <c r="H367" s="89"/>
      <c r="I367" s="89"/>
      <c r="J367" s="90"/>
      <c r="K367" s="79"/>
      <c r="L367" s="146">
        <f t="shared" si="17"/>
        <v>1800000</v>
      </c>
      <c r="M367" s="73"/>
      <c r="N367" s="73"/>
      <c r="O367" s="7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 x14ac:dyDescent="0.35">
      <c r="A368" s="9">
        <f t="shared" si="16"/>
        <v>360</v>
      </c>
      <c r="B368" s="15"/>
      <c r="C368" s="11">
        <f t="shared" si="15"/>
        <v>1</v>
      </c>
      <c r="D368" s="11">
        <v>5</v>
      </c>
      <c r="E368" s="11"/>
      <c r="F368" s="14"/>
      <c r="G368" s="89">
        <f>IFERROR(VLOOKUP(F368,COA!$A$1:$K$26,2,FALSE),0)</f>
        <v>0</v>
      </c>
      <c r="H368" s="89"/>
      <c r="I368" s="89"/>
      <c r="J368" s="90"/>
      <c r="K368" s="79"/>
      <c r="L368" s="146">
        <f t="shared" si="17"/>
        <v>1800000</v>
      </c>
      <c r="M368" s="78"/>
      <c r="N368" s="78"/>
      <c r="O368" s="7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 x14ac:dyDescent="0.35">
      <c r="A369" s="9">
        <f t="shared" si="16"/>
        <v>361</v>
      </c>
      <c r="B369" s="15"/>
      <c r="C369" s="11">
        <f t="shared" si="15"/>
        <v>1</v>
      </c>
      <c r="D369" s="11">
        <v>5</v>
      </c>
      <c r="E369" s="11"/>
      <c r="F369" s="14"/>
      <c r="G369" s="89">
        <f>IFERROR(VLOOKUP(F369,COA!$A$1:$K$26,2,FALSE),0)</f>
        <v>0</v>
      </c>
      <c r="H369" s="89"/>
      <c r="I369" s="89"/>
      <c r="J369" s="93"/>
      <c r="K369" s="78"/>
      <c r="L369" s="146">
        <f t="shared" si="17"/>
        <v>1800000</v>
      </c>
      <c r="M369" s="78"/>
      <c r="N369" s="78"/>
      <c r="O369" s="7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 x14ac:dyDescent="0.35">
      <c r="A370" s="9">
        <f t="shared" si="16"/>
        <v>362</v>
      </c>
      <c r="B370" s="15"/>
      <c r="C370" s="11">
        <f t="shared" si="15"/>
        <v>1</v>
      </c>
      <c r="D370" s="11">
        <v>5</v>
      </c>
      <c r="E370" s="11"/>
      <c r="F370" s="14"/>
      <c r="G370" s="89">
        <f>IFERROR(VLOOKUP(F370,COA!$A$1:$K$26,2,FALSE),0)</f>
        <v>0</v>
      </c>
      <c r="H370" s="89"/>
      <c r="I370" s="89"/>
      <c r="J370" s="90"/>
      <c r="K370" s="79"/>
      <c r="L370" s="146">
        <f t="shared" si="17"/>
        <v>1800000</v>
      </c>
      <c r="M370" s="78"/>
      <c r="N370" s="78"/>
      <c r="O370" s="7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 x14ac:dyDescent="0.35">
      <c r="A371" s="9">
        <f t="shared" si="16"/>
        <v>363</v>
      </c>
      <c r="B371" s="15"/>
      <c r="C371" s="11">
        <f t="shared" si="15"/>
        <v>1</v>
      </c>
      <c r="D371" s="11">
        <v>5</v>
      </c>
      <c r="E371" s="11"/>
      <c r="F371" s="14"/>
      <c r="G371" s="89">
        <f>IFERROR(VLOOKUP(F371,COA!$A$1:$K$26,2,FALSE),0)</f>
        <v>0</v>
      </c>
      <c r="H371" s="89"/>
      <c r="I371" s="89"/>
      <c r="J371" s="90"/>
      <c r="K371" s="79"/>
      <c r="L371" s="146">
        <f t="shared" si="17"/>
        <v>1800000</v>
      </c>
      <c r="M371" s="78"/>
      <c r="N371" s="78"/>
      <c r="O371" s="7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 x14ac:dyDescent="0.35">
      <c r="A372" s="9">
        <f t="shared" si="16"/>
        <v>364</v>
      </c>
      <c r="B372" s="15"/>
      <c r="C372" s="11">
        <f t="shared" si="15"/>
        <v>1</v>
      </c>
      <c r="D372" s="11">
        <v>5</v>
      </c>
      <c r="E372" s="11"/>
      <c r="F372" s="14"/>
      <c r="G372" s="89">
        <f>IFERROR(VLOOKUP(F372,COA!$A$1:$K$26,2,FALSE),0)</f>
        <v>0</v>
      </c>
      <c r="H372" s="89"/>
      <c r="I372" s="89"/>
      <c r="J372" s="90"/>
      <c r="K372" s="79"/>
      <c r="L372" s="146">
        <f t="shared" si="17"/>
        <v>1800000</v>
      </c>
      <c r="M372" s="78"/>
      <c r="N372" s="78"/>
      <c r="O372" s="7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customHeight="1" x14ac:dyDescent="0.35">
      <c r="A373" s="9">
        <f t="shared" si="16"/>
        <v>365</v>
      </c>
      <c r="B373" s="15"/>
      <c r="C373" s="11">
        <f t="shared" si="15"/>
        <v>1</v>
      </c>
      <c r="D373" s="11">
        <v>5</v>
      </c>
      <c r="E373" s="11"/>
      <c r="F373" s="11"/>
      <c r="G373" s="89">
        <f>IFERROR(VLOOKUP(F373,COA!$A$1:$K$26,2,FALSE),0)</f>
        <v>0</v>
      </c>
      <c r="H373" s="91"/>
      <c r="I373" s="91"/>
      <c r="J373" s="90"/>
      <c r="K373" s="78"/>
      <c r="L373" s="146">
        <f t="shared" si="17"/>
        <v>1800000</v>
      </c>
      <c r="M373" s="78"/>
      <c r="N373" s="78"/>
      <c r="O373" s="7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 x14ac:dyDescent="0.35">
      <c r="A374" s="9">
        <f t="shared" si="16"/>
        <v>366</v>
      </c>
      <c r="B374" s="15"/>
      <c r="C374" s="11">
        <f t="shared" si="15"/>
        <v>1</v>
      </c>
      <c r="D374" s="11">
        <v>5</v>
      </c>
      <c r="E374" s="11"/>
      <c r="F374" s="14"/>
      <c r="G374" s="89">
        <f>IFERROR(VLOOKUP(F374,COA!$A$1:$K$26,2,FALSE),0)</f>
        <v>0</v>
      </c>
      <c r="H374" s="89"/>
      <c r="I374" s="89"/>
      <c r="J374" s="93"/>
      <c r="K374" s="78"/>
      <c r="L374" s="146">
        <f t="shared" si="17"/>
        <v>1800000</v>
      </c>
      <c r="M374" s="78"/>
      <c r="N374" s="78"/>
      <c r="O374" s="7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 x14ac:dyDescent="0.35">
      <c r="A375" s="9">
        <f t="shared" si="16"/>
        <v>367</v>
      </c>
      <c r="B375" s="15"/>
      <c r="C375" s="11">
        <f t="shared" si="15"/>
        <v>1</v>
      </c>
      <c r="D375" s="11">
        <v>5</v>
      </c>
      <c r="E375" s="11"/>
      <c r="F375" s="14"/>
      <c r="G375" s="89">
        <f>IFERROR(VLOOKUP(F375,COA!$A$1:$K$26,2,FALSE),0)</f>
        <v>0</v>
      </c>
      <c r="H375" s="89"/>
      <c r="I375" s="89"/>
      <c r="J375" s="90"/>
      <c r="K375" s="79"/>
      <c r="L375" s="146">
        <f t="shared" si="17"/>
        <v>1800000</v>
      </c>
      <c r="M375" s="78"/>
      <c r="N375" s="78"/>
      <c r="O375" s="7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 x14ac:dyDescent="0.35">
      <c r="A376" s="9">
        <f t="shared" si="16"/>
        <v>368</v>
      </c>
      <c r="B376" s="15"/>
      <c r="C376" s="11">
        <f t="shared" si="15"/>
        <v>1</v>
      </c>
      <c r="D376" s="11">
        <v>5</v>
      </c>
      <c r="E376" s="11"/>
      <c r="F376" s="14"/>
      <c r="G376" s="89">
        <f>IFERROR(VLOOKUP(F376,COA!$A$1:$K$26,2,FALSE),0)</f>
        <v>0</v>
      </c>
      <c r="H376" s="89"/>
      <c r="I376" s="89"/>
      <c r="J376" s="90"/>
      <c r="K376" s="79"/>
      <c r="L376" s="146">
        <f t="shared" si="17"/>
        <v>1800000</v>
      </c>
      <c r="M376" s="78"/>
      <c r="N376" s="78"/>
      <c r="O376" s="7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 x14ac:dyDescent="0.35">
      <c r="A377" s="9">
        <f t="shared" si="16"/>
        <v>369</v>
      </c>
      <c r="B377" s="15"/>
      <c r="C377" s="11">
        <f t="shared" si="15"/>
        <v>1</v>
      </c>
      <c r="D377" s="11">
        <v>5</v>
      </c>
      <c r="E377" s="11"/>
      <c r="F377" s="14"/>
      <c r="G377" s="89">
        <f>IFERROR(VLOOKUP(F377,COA!$A$1:$K$26,2,FALSE),0)</f>
        <v>0</v>
      </c>
      <c r="H377" s="89"/>
      <c r="I377" s="89"/>
      <c r="J377" s="90"/>
      <c r="K377" s="79"/>
      <c r="L377" s="146">
        <f t="shared" si="17"/>
        <v>1800000</v>
      </c>
      <c r="M377" s="78"/>
      <c r="N377" s="78"/>
      <c r="O377" s="7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 x14ac:dyDescent="0.35">
      <c r="A378" s="9">
        <f t="shared" si="16"/>
        <v>370</v>
      </c>
      <c r="B378" s="15"/>
      <c r="C378" s="11">
        <f t="shared" si="15"/>
        <v>1</v>
      </c>
      <c r="D378" s="11">
        <v>5</v>
      </c>
      <c r="E378" s="11"/>
      <c r="F378" s="11"/>
      <c r="G378" s="89">
        <f>IFERROR(VLOOKUP(F378,COA!$A$1:$K$26,2,FALSE),0)</f>
        <v>0</v>
      </c>
      <c r="H378" s="89"/>
      <c r="I378" s="89"/>
      <c r="J378" s="92"/>
      <c r="K378" s="81"/>
      <c r="L378" s="146">
        <f t="shared" si="17"/>
        <v>1800000</v>
      </c>
      <c r="M378" s="78"/>
      <c r="N378" s="78"/>
      <c r="O378" s="7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 x14ac:dyDescent="0.35">
      <c r="A379" s="9">
        <f t="shared" si="16"/>
        <v>371</v>
      </c>
      <c r="B379" s="15"/>
      <c r="C379" s="11">
        <f t="shared" si="15"/>
        <v>1</v>
      </c>
      <c r="D379" s="11">
        <v>5</v>
      </c>
      <c r="E379" s="11"/>
      <c r="F379" s="14"/>
      <c r="G379" s="89">
        <f>IFERROR(VLOOKUP(F379,COA!$A$1:$K$26,2,FALSE),0)</f>
        <v>0</v>
      </c>
      <c r="H379" s="89"/>
      <c r="I379" s="89"/>
      <c r="J379" s="93"/>
      <c r="K379" s="78"/>
      <c r="L379" s="146">
        <f t="shared" si="17"/>
        <v>1800000</v>
      </c>
      <c r="M379" s="78"/>
      <c r="N379" s="78"/>
      <c r="O379" s="73"/>
      <c r="P379" s="20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 x14ac:dyDescent="0.35">
      <c r="A380" s="9">
        <f t="shared" si="16"/>
        <v>372</v>
      </c>
      <c r="B380" s="15"/>
      <c r="C380" s="11">
        <f t="shared" si="15"/>
        <v>1</v>
      </c>
      <c r="D380" s="11">
        <v>5</v>
      </c>
      <c r="E380" s="11"/>
      <c r="F380" s="14"/>
      <c r="G380" s="89">
        <f>IFERROR(VLOOKUP(F380,COA!$A$1:$K$26,2,FALSE),0)</f>
        <v>0</v>
      </c>
      <c r="H380" s="89"/>
      <c r="I380" s="89"/>
      <c r="J380" s="90"/>
      <c r="K380" s="79"/>
      <c r="L380" s="146">
        <f t="shared" si="17"/>
        <v>1800000</v>
      </c>
      <c r="M380" s="78"/>
      <c r="N380" s="78"/>
      <c r="O380" s="7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 x14ac:dyDescent="0.35">
      <c r="A381" s="9">
        <f t="shared" si="16"/>
        <v>373</v>
      </c>
      <c r="B381" s="15"/>
      <c r="C381" s="11">
        <f t="shared" si="15"/>
        <v>1</v>
      </c>
      <c r="D381" s="11">
        <v>5</v>
      </c>
      <c r="E381" s="11"/>
      <c r="F381" s="14"/>
      <c r="G381" s="89">
        <f>IFERROR(VLOOKUP(F381,COA!$A$1:$K$26,2,FALSE),0)</f>
        <v>0</v>
      </c>
      <c r="H381" s="89"/>
      <c r="I381" s="89"/>
      <c r="J381" s="90"/>
      <c r="K381" s="79"/>
      <c r="L381" s="146">
        <f t="shared" si="17"/>
        <v>1800000</v>
      </c>
      <c r="M381" s="78"/>
      <c r="N381" s="78"/>
      <c r="O381" s="7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 x14ac:dyDescent="0.35">
      <c r="A382" s="9">
        <f t="shared" si="16"/>
        <v>374</v>
      </c>
      <c r="B382" s="15"/>
      <c r="C382" s="11">
        <f t="shared" si="15"/>
        <v>1</v>
      </c>
      <c r="D382" s="11">
        <v>5</v>
      </c>
      <c r="E382" s="11"/>
      <c r="F382" s="14"/>
      <c r="G382" s="89">
        <f>IFERROR(VLOOKUP(F382,COA!$A$1:$K$26,2,FALSE),0)</f>
        <v>0</v>
      </c>
      <c r="H382" s="89"/>
      <c r="I382" s="89"/>
      <c r="J382" s="90"/>
      <c r="K382" s="79"/>
      <c r="L382" s="146">
        <f t="shared" si="17"/>
        <v>1800000</v>
      </c>
      <c r="M382" s="78"/>
      <c r="N382" s="78"/>
      <c r="O382" s="7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 x14ac:dyDescent="0.35">
      <c r="A383" s="9">
        <f t="shared" si="16"/>
        <v>375</v>
      </c>
      <c r="B383" s="15"/>
      <c r="C383" s="11">
        <f t="shared" si="15"/>
        <v>1</v>
      </c>
      <c r="D383" s="11">
        <v>5</v>
      </c>
      <c r="E383" s="11"/>
      <c r="F383" s="14"/>
      <c r="G383" s="89">
        <f>IFERROR(VLOOKUP(F383,COA!$A$1:$K$26,2,FALSE),0)</f>
        <v>0</v>
      </c>
      <c r="H383" s="89"/>
      <c r="I383" s="89"/>
      <c r="J383" s="93"/>
      <c r="K383" s="78"/>
      <c r="L383" s="146">
        <f t="shared" si="17"/>
        <v>1800000</v>
      </c>
      <c r="M383" s="78"/>
      <c r="N383" s="78"/>
      <c r="O383" s="7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 x14ac:dyDescent="0.35">
      <c r="A384" s="9">
        <f t="shared" si="16"/>
        <v>376</v>
      </c>
      <c r="B384" s="15"/>
      <c r="C384" s="11">
        <f t="shared" si="15"/>
        <v>1</v>
      </c>
      <c r="D384" s="11">
        <v>5</v>
      </c>
      <c r="E384" s="11"/>
      <c r="F384" s="14"/>
      <c r="G384" s="89">
        <f>IFERROR(VLOOKUP(F384,COA!$A$1:$K$26,2,FALSE),0)</f>
        <v>0</v>
      </c>
      <c r="H384" s="89"/>
      <c r="I384" s="89"/>
      <c r="J384" s="90"/>
      <c r="K384" s="79"/>
      <c r="L384" s="146">
        <f t="shared" si="17"/>
        <v>1800000</v>
      </c>
      <c r="M384" s="78"/>
      <c r="N384" s="78"/>
      <c r="O384" s="7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 x14ac:dyDescent="0.35">
      <c r="A385" s="9">
        <f t="shared" si="16"/>
        <v>377</v>
      </c>
      <c r="B385" s="15"/>
      <c r="C385" s="11">
        <f t="shared" si="15"/>
        <v>1</v>
      </c>
      <c r="D385" s="11">
        <v>5</v>
      </c>
      <c r="E385" s="11"/>
      <c r="F385" s="14"/>
      <c r="G385" s="89">
        <f>IFERROR(VLOOKUP(F385,COA!$A$1:$K$26,2,FALSE),0)</f>
        <v>0</v>
      </c>
      <c r="H385" s="89"/>
      <c r="I385" s="89"/>
      <c r="J385" s="90"/>
      <c r="K385" s="79"/>
      <c r="L385" s="146">
        <f t="shared" si="17"/>
        <v>1800000</v>
      </c>
      <c r="M385" s="78"/>
      <c r="N385" s="78"/>
      <c r="O385" s="7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 x14ac:dyDescent="0.35">
      <c r="A386" s="9">
        <f t="shared" si="16"/>
        <v>378</v>
      </c>
      <c r="B386" s="15"/>
      <c r="C386" s="11">
        <f t="shared" si="15"/>
        <v>1</v>
      </c>
      <c r="D386" s="11">
        <v>5</v>
      </c>
      <c r="E386" s="11"/>
      <c r="F386" s="14"/>
      <c r="G386" s="89">
        <f>IFERROR(VLOOKUP(F386,COA!$A$1:$K$26,2,FALSE),0)</f>
        <v>0</v>
      </c>
      <c r="H386" s="89"/>
      <c r="I386" s="89"/>
      <c r="J386" s="90"/>
      <c r="K386" s="79"/>
      <c r="L386" s="146">
        <f t="shared" si="17"/>
        <v>1800000</v>
      </c>
      <c r="M386" s="78"/>
      <c r="N386" s="78"/>
      <c r="O386" s="7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 x14ac:dyDescent="0.35">
      <c r="A387" s="9">
        <f t="shared" si="16"/>
        <v>379</v>
      </c>
      <c r="B387" s="15"/>
      <c r="C387" s="11">
        <f t="shared" si="15"/>
        <v>1</v>
      </c>
      <c r="D387" s="11">
        <v>5</v>
      </c>
      <c r="E387" s="11"/>
      <c r="F387" s="14"/>
      <c r="G387" s="89">
        <f>IFERROR(VLOOKUP(F387,COA!$A$1:$K$26,2,FALSE),0)</f>
        <v>0</v>
      </c>
      <c r="H387" s="89"/>
      <c r="I387" s="89"/>
      <c r="J387" s="93"/>
      <c r="K387" s="78"/>
      <c r="L387" s="146">
        <f t="shared" si="17"/>
        <v>1800000</v>
      </c>
      <c r="M387" s="78"/>
      <c r="N387" s="78"/>
      <c r="O387" s="7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 x14ac:dyDescent="0.35">
      <c r="A388" s="9">
        <f t="shared" si="16"/>
        <v>380</v>
      </c>
      <c r="B388" s="15"/>
      <c r="C388" s="11">
        <f t="shared" si="15"/>
        <v>1</v>
      </c>
      <c r="D388" s="11">
        <v>5</v>
      </c>
      <c r="E388" s="11"/>
      <c r="F388" s="14"/>
      <c r="G388" s="89">
        <f>IFERROR(VLOOKUP(F388,COA!$A$1:$K$26,2,FALSE),0)</f>
        <v>0</v>
      </c>
      <c r="H388" s="89"/>
      <c r="I388" s="89"/>
      <c r="J388" s="90"/>
      <c r="K388" s="79"/>
      <c r="L388" s="146">
        <f t="shared" si="17"/>
        <v>1800000</v>
      </c>
      <c r="M388" s="78"/>
      <c r="N388" s="78"/>
      <c r="O388" s="7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 x14ac:dyDescent="0.35">
      <c r="A389" s="9">
        <f t="shared" si="16"/>
        <v>381</v>
      </c>
      <c r="B389" s="15"/>
      <c r="C389" s="11">
        <f t="shared" si="15"/>
        <v>1</v>
      </c>
      <c r="D389" s="11">
        <v>5</v>
      </c>
      <c r="E389" s="11"/>
      <c r="F389" s="14"/>
      <c r="G389" s="89">
        <f>IFERROR(VLOOKUP(F389,COA!$A$1:$K$26,2,FALSE),0)</f>
        <v>0</v>
      </c>
      <c r="H389" s="89"/>
      <c r="I389" s="89"/>
      <c r="J389" s="90"/>
      <c r="K389" s="79"/>
      <c r="L389" s="146">
        <f t="shared" si="17"/>
        <v>1800000</v>
      </c>
      <c r="M389" s="78"/>
      <c r="N389" s="78"/>
      <c r="O389" s="7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 x14ac:dyDescent="0.35">
      <c r="A390" s="9">
        <f t="shared" si="16"/>
        <v>382</v>
      </c>
      <c r="B390" s="15"/>
      <c r="C390" s="11">
        <f t="shared" si="15"/>
        <v>1</v>
      </c>
      <c r="D390" s="11">
        <v>5</v>
      </c>
      <c r="E390" s="11"/>
      <c r="F390" s="14"/>
      <c r="G390" s="89">
        <f>IFERROR(VLOOKUP(F390,COA!$A$1:$K$26,2,FALSE),0)</f>
        <v>0</v>
      </c>
      <c r="H390" s="89"/>
      <c r="I390" s="89"/>
      <c r="J390" s="90"/>
      <c r="K390" s="79"/>
      <c r="L390" s="146">
        <f t="shared" si="17"/>
        <v>1800000</v>
      </c>
      <c r="M390" s="78"/>
      <c r="N390" s="78"/>
      <c r="O390" s="7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 x14ac:dyDescent="0.35">
      <c r="A391" s="9">
        <f t="shared" si="16"/>
        <v>383</v>
      </c>
      <c r="B391" s="15"/>
      <c r="C391" s="11">
        <f t="shared" si="15"/>
        <v>1</v>
      </c>
      <c r="D391" s="11">
        <v>5</v>
      </c>
      <c r="E391" s="11"/>
      <c r="F391" s="11"/>
      <c r="G391" s="89">
        <f>IFERROR(VLOOKUP(F391,COA!$A$1:$K$26,2,FALSE),0)</f>
        <v>0</v>
      </c>
      <c r="H391" s="89"/>
      <c r="I391" s="89"/>
      <c r="J391" s="90"/>
      <c r="K391" s="78"/>
      <c r="L391" s="146">
        <f t="shared" si="17"/>
        <v>1800000</v>
      </c>
      <c r="M391" s="78"/>
      <c r="N391" s="78"/>
      <c r="O391" s="7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 x14ac:dyDescent="0.35">
      <c r="A392" s="9">
        <f t="shared" si="16"/>
        <v>384</v>
      </c>
      <c r="B392" s="15"/>
      <c r="C392" s="11">
        <f t="shared" ref="C392:C455" si="18">MONTH(B392)</f>
        <v>1</v>
      </c>
      <c r="D392" s="11">
        <v>5</v>
      </c>
      <c r="E392" s="11"/>
      <c r="F392" s="11"/>
      <c r="G392" s="89">
        <f>IFERROR(VLOOKUP(F392,COA!$A$1:$K$26,2,FALSE),0)</f>
        <v>0</v>
      </c>
      <c r="H392" s="91"/>
      <c r="I392" s="91"/>
      <c r="J392" s="94"/>
      <c r="K392" s="78"/>
      <c r="L392" s="146">
        <f t="shared" si="17"/>
        <v>1800000</v>
      </c>
      <c r="M392" s="78"/>
      <c r="N392" s="78"/>
      <c r="O392" s="7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 x14ac:dyDescent="0.35">
      <c r="A393" s="9">
        <f t="shared" si="16"/>
        <v>385</v>
      </c>
      <c r="B393" s="15"/>
      <c r="C393" s="11">
        <f t="shared" si="18"/>
        <v>1</v>
      </c>
      <c r="D393" s="11">
        <v>5</v>
      </c>
      <c r="E393" s="11"/>
      <c r="F393" s="11"/>
      <c r="G393" s="89">
        <f>IFERROR(VLOOKUP(F393,COA!$A$1:$K$26,2,FALSE),0)</f>
        <v>0</v>
      </c>
      <c r="H393" s="91"/>
      <c r="I393" s="91"/>
      <c r="J393" s="94"/>
      <c r="K393" s="78"/>
      <c r="L393" s="146">
        <f t="shared" si="17"/>
        <v>1800000</v>
      </c>
      <c r="M393" s="78"/>
      <c r="N393" s="78"/>
      <c r="O393" s="7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 x14ac:dyDescent="0.35">
      <c r="A394" s="9">
        <f t="shared" si="16"/>
        <v>386</v>
      </c>
      <c r="B394" s="15"/>
      <c r="C394" s="11">
        <f t="shared" si="18"/>
        <v>1</v>
      </c>
      <c r="D394" s="11">
        <v>5</v>
      </c>
      <c r="E394" s="11"/>
      <c r="F394" s="11"/>
      <c r="G394" s="89">
        <f>IFERROR(VLOOKUP(F394,COA!$A$1:$K$26,2,FALSE),0)</f>
        <v>0</v>
      </c>
      <c r="H394" s="91"/>
      <c r="I394" s="91"/>
      <c r="J394" s="94"/>
      <c r="K394" s="78"/>
      <c r="L394" s="146">
        <f t="shared" si="17"/>
        <v>1800000</v>
      </c>
      <c r="M394" s="78"/>
      <c r="N394" s="78"/>
      <c r="O394" s="7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 x14ac:dyDescent="0.35">
      <c r="A395" s="9">
        <f t="shared" ref="A395:A458" si="19">A394+1</f>
        <v>387</v>
      </c>
      <c r="B395" s="15"/>
      <c r="C395" s="11">
        <f t="shared" si="18"/>
        <v>1</v>
      </c>
      <c r="D395" s="11">
        <v>5</v>
      </c>
      <c r="E395" s="11"/>
      <c r="F395" s="11"/>
      <c r="G395" s="89">
        <f>IFERROR(VLOOKUP(F395,COA!$A$1:$K$26,2,FALSE),0)</f>
        <v>0</v>
      </c>
      <c r="H395" s="91"/>
      <c r="I395" s="91"/>
      <c r="J395" s="94"/>
      <c r="K395" s="78"/>
      <c r="L395" s="146">
        <f t="shared" ref="L395:L458" si="20">L394+J395-K395</f>
        <v>1800000</v>
      </c>
      <c r="M395" s="78"/>
      <c r="N395" s="78"/>
      <c r="O395" s="7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 x14ac:dyDescent="0.35">
      <c r="A396" s="9">
        <f t="shared" si="19"/>
        <v>388</v>
      </c>
      <c r="B396" s="15"/>
      <c r="C396" s="11">
        <f t="shared" si="18"/>
        <v>1</v>
      </c>
      <c r="D396" s="11">
        <v>5</v>
      </c>
      <c r="E396" s="11"/>
      <c r="F396" s="11"/>
      <c r="G396" s="89">
        <f>IFERROR(VLOOKUP(F396,COA!$A$1:$K$26,2,FALSE),0)</f>
        <v>0</v>
      </c>
      <c r="H396" s="91"/>
      <c r="I396" s="91"/>
      <c r="J396" s="94"/>
      <c r="K396" s="78"/>
      <c r="L396" s="146">
        <f t="shared" si="20"/>
        <v>1800000</v>
      </c>
      <c r="M396" s="78"/>
      <c r="N396" s="78"/>
      <c r="O396" s="7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 x14ac:dyDescent="0.35">
      <c r="A397" s="9">
        <f t="shared" si="19"/>
        <v>389</v>
      </c>
      <c r="B397" s="15"/>
      <c r="C397" s="11">
        <f t="shared" si="18"/>
        <v>1</v>
      </c>
      <c r="D397" s="11">
        <v>5</v>
      </c>
      <c r="E397" s="11"/>
      <c r="F397" s="11"/>
      <c r="G397" s="89">
        <f>IFERROR(VLOOKUP(F397,COA!$A$1:$K$26,2,FALSE),0)</f>
        <v>0</v>
      </c>
      <c r="H397" s="89"/>
      <c r="I397" s="89"/>
      <c r="J397" s="92"/>
      <c r="K397" s="81"/>
      <c r="L397" s="146">
        <f t="shared" si="20"/>
        <v>1800000</v>
      </c>
      <c r="M397" s="78"/>
      <c r="N397" s="78"/>
      <c r="O397" s="7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 x14ac:dyDescent="0.35">
      <c r="A398" s="9">
        <f t="shared" si="19"/>
        <v>390</v>
      </c>
      <c r="B398" s="15"/>
      <c r="C398" s="11">
        <f t="shared" si="18"/>
        <v>1</v>
      </c>
      <c r="D398" s="11">
        <v>5</v>
      </c>
      <c r="E398" s="11"/>
      <c r="F398" s="11"/>
      <c r="G398" s="89">
        <f>IFERROR(VLOOKUP(F398,COA!$A$1:$K$26,2,FALSE),0)</f>
        <v>0</v>
      </c>
      <c r="H398" s="91"/>
      <c r="I398" s="91"/>
      <c r="J398" s="94"/>
      <c r="K398" s="81"/>
      <c r="L398" s="146">
        <f t="shared" si="20"/>
        <v>1800000</v>
      </c>
      <c r="M398" s="78"/>
      <c r="N398" s="78"/>
      <c r="O398" s="7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 x14ac:dyDescent="0.35">
      <c r="A399" s="9">
        <f t="shared" si="19"/>
        <v>391</v>
      </c>
      <c r="B399" s="15"/>
      <c r="C399" s="11">
        <f t="shared" si="18"/>
        <v>1</v>
      </c>
      <c r="D399" s="11">
        <v>5</v>
      </c>
      <c r="E399" s="11"/>
      <c r="F399" s="11"/>
      <c r="G399" s="89">
        <f>IFERROR(VLOOKUP(F399,COA!$A$1:$K$26,2,FALSE),0)</f>
        <v>0</v>
      </c>
      <c r="H399" s="91"/>
      <c r="I399" s="91"/>
      <c r="J399" s="94"/>
      <c r="K399" s="78"/>
      <c r="L399" s="146">
        <f t="shared" si="20"/>
        <v>1800000</v>
      </c>
      <c r="M399" s="78"/>
      <c r="N399" s="78"/>
      <c r="O399" s="7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 x14ac:dyDescent="0.35">
      <c r="A400" s="9">
        <f t="shared" si="19"/>
        <v>392</v>
      </c>
      <c r="B400" s="15"/>
      <c r="C400" s="11">
        <f t="shared" si="18"/>
        <v>1</v>
      </c>
      <c r="D400" s="11">
        <v>5</v>
      </c>
      <c r="E400" s="11"/>
      <c r="F400" s="11"/>
      <c r="G400" s="89">
        <f>IFERROR(VLOOKUP(F400,COA!$A$1:$K$26,2,FALSE),0)</f>
        <v>0</v>
      </c>
      <c r="H400" s="13"/>
      <c r="I400" s="13"/>
      <c r="J400" s="77"/>
      <c r="K400" s="78"/>
      <c r="L400" s="146">
        <f t="shared" si="20"/>
        <v>1800000</v>
      </c>
      <c r="M400" s="78"/>
      <c r="N400" s="73"/>
      <c r="O400" s="7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 x14ac:dyDescent="0.35">
      <c r="A401" s="9">
        <f t="shared" si="19"/>
        <v>393</v>
      </c>
      <c r="B401" s="15"/>
      <c r="C401" s="11">
        <f t="shared" si="18"/>
        <v>1</v>
      </c>
      <c r="D401" s="11">
        <v>5</v>
      </c>
      <c r="E401" s="11"/>
      <c r="F401" s="11"/>
      <c r="G401" s="89">
        <f>IFERROR(VLOOKUP(F401,COA!$A$1:$K$26,2,FALSE),0)</f>
        <v>0</v>
      </c>
      <c r="H401" s="13"/>
      <c r="I401" s="13"/>
      <c r="J401" s="77"/>
      <c r="K401" s="78"/>
      <c r="L401" s="146">
        <f t="shared" si="20"/>
        <v>1800000</v>
      </c>
      <c r="M401" s="78"/>
      <c r="N401" s="73"/>
      <c r="O401" s="7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 x14ac:dyDescent="0.35">
      <c r="A402" s="9">
        <f t="shared" si="19"/>
        <v>394</v>
      </c>
      <c r="B402" s="15"/>
      <c r="C402" s="11">
        <f t="shared" si="18"/>
        <v>1</v>
      </c>
      <c r="D402" s="11">
        <v>5</v>
      </c>
      <c r="E402" s="11"/>
      <c r="F402" s="11"/>
      <c r="G402" s="89">
        <f>IFERROR(VLOOKUP(F402,COA!$A$1:$K$26,2,FALSE),0)</f>
        <v>0</v>
      </c>
      <c r="H402" s="13"/>
      <c r="I402" s="13"/>
      <c r="J402" s="77"/>
      <c r="K402" s="78"/>
      <c r="L402" s="146">
        <f t="shared" si="20"/>
        <v>1800000</v>
      </c>
      <c r="M402" s="73"/>
      <c r="N402" s="73"/>
      <c r="O402" s="7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 x14ac:dyDescent="0.35">
      <c r="A403" s="9">
        <f t="shared" si="19"/>
        <v>395</v>
      </c>
      <c r="B403" s="15"/>
      <c r="C403" s="11">
        <f t="shared" si="18"/>
        <v>1</v>
      </c>
      <c r="D403" s="11">
        <v>5</v>
      </c>
      <c r="E403" s="11"/>
      <c r="F403" s="11"/>
      <c r="G403" s="89">
        <f>IFERROR(VLOOKUP(F403,COA!$A$1:$K$26,2,FALSE),0)</f>
        <v>0</v>
      </c>
      <c r="H403" s="13"/>
      <c r="I403" s="13"/>
      <c r="J403" s="77"/>
      <c r="K403" s="78"/>
      <c r="L403" s="146">
        <f t="shared" si="20"/>
        <v>1800000</v>
      </c>
      <c r="M403" s="78"/>
      <c r="N403" s="78"/>
      <c r="O403" s="7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 x14ac:dyDescent="0.35">
      <c r="A404" s="9">
        <f t="shared" si="19"/>
        <v>396</v>
      </c>
      <c r="B404" s="15"/>
      <c r="C404" s="11">
        <f t="shared" si="18"/>
        <v>1</v>
      </c>
      <c r="D404" s="11">
        <v>5</v>
      </c>
      <c r="E404" s="11"/>
      <c r="F404" s="14"/>
      <c r="G404" s="89">
        <f>IFERROR(VLOOKUP(F404,COA!$A$1:$K$26,2,FALSE),0)</f>
        <v>0</v>
      </c>
      <c r="H404" s="11"/>
      <c r="I404" s="11"/>
      <c r="J404" s="79"/>
      <c r="K404" s="78"/>
      <c r="L404" s="146">
        <f t="shared" si="20"/>
        <v>1800000</v>
      </c>
      <c r="M404" s="78"/>
      <c r="N404" s="78"/>
      <c r="O404" s="7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 x14ac:dyDescent="0.35">
      <c r="A405" s="9">
        <f t="shared" si="19"/>
        <v>397</v>
      </c>
      <c r="B405" s="15"/>
      <c r="C405" s="11">
        <f t="shared" si="18"/>
        <v>1</v>
      </c>
      <c r="D405" s="11">
        <v>5</v>
      </c>
      <c r="E405" s="11"/>
      <c r="F405" s="14"/>
      <c r="G405" s="89">
        <f>IFERROR(VLOOKUP(F405,COA!$A$1:$K$26,2,FALSE),0)</f>
        <v>0</v>
      </c>
      <c r="H405" s="11"/>
      <c r="I405" s="11"/>
      <c r="J405" s="78"/>
      <c r="K405" s="79"/>
      <c r="L405" s="146">
        <f t="shared" si="20"/>
        <v>1800000</v>
      </c>
      <c r="M405" s="78"/>
      <c r="N405" s="78"/>
      <c r="O405" s="7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 x14ac:dyDescent="0.35">
      <c r="A406" s="9">
        <f t="shared" si="19"/>
        <v>398</v>
      </c>
      <c r="B406" s="15"/>
      <c r="C406" s="11">
        <f t="shared" si="18"/>
        <v>1</v>
      </c>
      <c r="D406" s="11">
        <v>5</v>
      </c>
      <c r="E406" s="11"/>
      <c r="F406" s="14"/>
      <c r="G406" s="89">
        <f>IFERROR(VLOOKUP(F406,COA!$A$1:$K$26,2,FALSE),0)</f>
        <v>0</v>
      </c>
      <c r="H406" s="11"/>
      <c r="I406" s="11"/>
      <c r="J406" s="78"/>
      <c r="K406" s="79"/>
      <c r="L406" s="146">
        <f t="shared" si="20"/>
        <v>1800000</v>
      </c>
      <c r="M406" s="78"/>
      <c r="N406" s="78"/>
      <c r="O406" s="7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 x14ac:dyDescent="0.35">
      <c r="A407" s="9">
        <f t="shared" si="19"/>
        <v>399</v>
      </c>
      <c r="B407" s="15"/>
      <c r="C407" s="11">
        <f t="shared" si="18"/>
        <v>1</v>
      </c>
      <c r="D407" s="11">
        <v>5</v>
      </c>
      <c r="E407" s="11"/>
      <c r="F407" s="14"/>
      <c r="G407" s="89">
        <f>IFERROR(VLOOKUP(F407,COA!$A$1:$K$26,2,FALSE),0)</f>
        <v>0</v>
      </c>
      <c r="H407" s="11"/>
      <c r="I407" s="11"/>
      <c r="J407" s="78"/>
      <c r="K407" s="79"/>
      <c r="L407" s="146">
        <f t="shared" si="20"/>
        <v>1800000</v>
      </c>
      <c r="M407" s="78"/>
      <c r="N407" s="78"/>
      <c r="O407" s="7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 x14ac:dyDescent="0.35">
      <c r="A408" s="9">
        <f t="shared" si="19"/>
        <v>400</v>
      </c>
      <c r="B408" s="15"/>
      <c r="C408" s="11">
        <f t="shared" si="18"/>
        <v>1</v>
      </c>
      <c r="D408" s="11">
        <v>5</v>
      </c>
      <c r="E408" s="11"/>
      <c r="F408" s="11"/>
      <c r="G408" s="89">
        <f>IFERROR(VLOOKUP(F408,COA!$A$1:$K$26,2,FALSE),0)</f>
        <v>0</v>
      </c>
      <c r="H408" s="13"/>
      <c r="I408" s="13"/>
      <c r="J408" s="81"/>
      <c r="K408" s="81"/>
      <c r="L408" s="146">
        <f t="shared" si="20"/>
        <v>1800000</v>
      </c>
      <c r="M408" s="78"/>
      <c r="N408" s="78"/>
      <c r="O408" s="7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 x14ac:dyDescent="0.35">
      <c r="A409" s="9">
        <f t="shared" si="19"/>
        <v>401</v>
      </c>
      <c r="B409" s="15"/>
      <c r="C409" s="11">
        <f t="shared" si="18"/>
        <v>1</v>
      </c>
      <c r="D409" s="11"/>
      <c r="E409" s="11"/>
      <c r="F409" s="14"/>
      <c r="G409" s="89">
        <f>IFERROR(VLOOKUP(F409,COA!$A$1:$K$26,2,FALSE),0)</f>
        <v>0</v>
      </c>
      <c r="H409" s="11"/>
      <c r="I409" s="11"/>
      <c r="J409" s="78"/>
      <c r="K409" s="79"/>
      <c r="L409" s="146">
        <f t="shared" si="20"/>
        <v>1800000</v>
      </c>
      <c r="M409" s="78"/>
      <c r="N409" s="78"/>
      <c r="O409" s="7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 x14ac:dyDescent="0.35">
      <c r="A410" s="9">
        <f t="shared" si="19"/>
        <v>402</v>
      </c>
      <c r="B410" s="15"/>
      <c r="C410" s="11">
        <f t="shared" si="18"/>
        <v>1</v>
      </c>
      <c r="D410" s="11"/>
      <c r="E410" s="11"/>
      <c r="F410" s="14"/>
      <c r="G410" s="89">
        <f>IFERROR(VLOOKUP(F410,COA!$A$1:$K$26,2,FALSE),0)</f>
        <v>0</v>
      </c>
      <c r="H410" s="11"/>
      <c r="I410" s="11"/>
      <c r="J410" s="79"/>
      <c r="K410" s="78"/>
      <c r="L410" s="146">
        <f t="shared" si="20"/>
        <v>1800000</v>
      </c>
      <c r="M410" s="78"/>
      <c r="N410" s="78"/>
      <c r="O410" s="7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 x14ac:dyDescent="0.35">
      <c r="A411" s="9">
        <f t="shared" si="19"/>
        <v>403</v>
      </c>
      <c r="B411" s="15"/>
      <c r="C411" s="11">
        <f t="shared" si="18"/>
        <v>1</v>
      </c>
      <c r="D411" s="11"/>
      <c r="E411" s="11"/>
      <c r="F411" s="14"/>
      <c r="G411" s="89">
        <f>IFERROR(VLOOKUP(F411,COA!$A$1:$K$26,2,FALSE),0)</f>
        <v>0</v>
      </c>
      <c r="H411" s="11"/>
      <c r="I411" s="11"/>
      <c r="J411" s="78"/>
      <c r="K411" s="79"/>
      <c r="L411" s="146">
        <f t="shared" si="20"/>
        <v>1800000</v>
      </c>
      <c r="M411" s="73"/>
      <c r="N411" s="73"/>
      <c r="O411" s="7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 x14ac:dyDescent="0.35">
      <c r="A412" s="9">
        <f t="shared" si="19"/>
        <v>404</v>
      </c>
      <c r="B412" s="15"/>
      <c r="C412" s="11">
        <f t="shared" si="18"/>
        <v>1</v>
      </c>
      <c r="D412" s="11"/>
      <c r="E412" s="11"/>
      <c r="F412" s="14"/>
      <c r="G412" s="89">
        <f>IFERROR(VLOOKUP(F412,COA!$A$1:$K$26,2,FALSE),0)</f>
        <v>0</v>
      </c>
      <c r="H412" s="11"/>
      <c r="I412" s="11"/>
      <c r="J412" s="78"/>
      <c r="K412" s="79"/>
      <c r="L412" s="146">
        <f t="shared" si="20"/>
        <v>1800000</v>
      </c>
      <c r="M412" s="73"/>
      <c r="N412" s="73"/>
      <c r="O412" s="7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 x14ac:dyDescent="0.35">
      <c r="A413" s="9">
        <f t="shared" si="19"/>
        <v>405</v>
      </c>
      <c r="B413" s="15"/>
      <c r="C413" s="11">
        <f t="shared" si="18"/>
        <v>1</v>
      </c>
      <c r="D413" s="11"/>
      <c r="E413" s="11"/>
      <c r="F413" s="14"/>
      <c r="G413" s="89">
        <f>IFERROR(VLOOKUP(F413,COA!$A$1:$K$26,2,FALSE),0)</f>
        <v>0</v>
      </c>
      <c r="H413" s="11"/>
      <c r="I413" s="11"/>
      <c r="J413" s="78"/>
      <c r="K413" s="79"/>
      <c r="L413" s="146">
        <f t="shared" si="20"/>
        <v>1800000</v>
      </c>
      <c r="M413" s="73"/>
      <c r="N413" s="73"/>
      <c r="O413" s="7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 x14ac:dyDescent="0.35">
      <c r="A414" s="9">
        <f t="shared" si="19"/>
        <v>406</v>
      </c>
      <c r="B414" s="15"/>
      <c r="C414" s="11">
        <f t="shared" si="18"/>
        <v>1</v>
      </c>
      <c r="D414" s="11"/>
      <c r="E414" s="11"/>
      <c r="F414" s="11"/>
      <c r="G414" s="89">
        <f>IFERROR(VLOOKUP(F414,COA!$A$1:$K$26,2,FALSE),0)</f>
        <v>0</v>
      </c>
      <c r="H414" s="11"/>
      <c r="I414" s="11"/>
      <c r="J414" s="78"/>
      <c r="K414" s="78"/>
      <c r="L414" s="146">
        <f t="shared" si="20"/>
        <v>1800000</v>
      </c>
      <c r="M414" s="73"/>
      <c r="N414" s="73"/>
      <c r="O414" s="7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 x14ac:dyDescent="0.35">
      <c r="A415" s="9">
        <f t="shared" si="19"/>
        <v>407</v>
      </c>
      <c r="B415" s="15"/>
      <c r="C415" s="11">
        <f t="shared" si="18"/>
        <v>1</v>
      </c>
      <c r="D415" s="11"/>
      <c r="E415" s="11"/>
      <c r="F415" s="11"/>
      <c r="G415" s="89">
        <f>IFERROR(VLOOKUP(F415,COA!$A$1:$K$26,2,FALSE),0)</f>
        <v>0</v>
      </c>
      <c r="H415" s="13"/>
      <c r="I415" s="13"/>
      <c r="J415" s="77"/>
      <c r="K415" s="78"/>
      <c r="L415" s="146">
        <f t="shared" si="20"/>
        <v>1800000</v>
      </c>
      <c r="M415" s="73"/>
      <c r="N415" s="73"/>
      <c r="O415" s="7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 x14ac:dyDescent="0.35">
      <c r="A416" s="9">
        <f t="shared" si="19"/>
        <v>408</v>
      </c>
      <c r="B416" s="15"/>
      <c r="C416" s="11">
        <f t="shared" si="18"/>
        <v>1</v>
      </c>
      <c r="D416" s="11"/>
      <c r="E416" s="11"/>
      <c r="F416" s="11"/>
      <c r="G416" s="89">
        <f>IFERROR(VLOOKUP(F416,COA!$A$1:$K$26,2,FALSE),0)</f>
        <v>0</v>
      </c>
      <c r="H416" s="11"/>
      <c r="I416" s="11"/>
      <c r="J416" s="81"/>
      <c r="K416" s="81"/>
      <c r="L416" s="146">
        <f t="shared" si="20"/>
        <v>1800000</v>
      </c>
      <c r="M416" s="73"/>
      <c r="N416" s="73"/>
      <c r="O416" s="7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 x14ac:dyDescent="0.35">
      <c r="A417" s="9">
        <f t="shared" si="19"/>
        <v>409</v>
      </c>
      <c r="B417" s="15"/>
      <c r="C417" s="11">
        <f t="shared" si="18"/>
        <v>1</v>
      </c>
      <c r="D417" s="11"/>
      <c r="E417" s="11"/>
      <c r="F417" s="14"/>
      <c r="G417" s="89">
        <f>IFERROR(VLOOKUP(F417,COA!$A$1:$K$26,2,FALSE),0)</f>
        <v>0</v>
      </c>
      <c r="H417" s="11"/>
      <c r="I417" s="11"/>
      <c r="J417" s="79"/>
      <c r="K417" s="78"/>
      <c r="L417" s="146">
        <f t="shared" si="20"/>
        <v>1800000</v>
      </c>
      <c r="M417" s="73"/>
      <c r="N417" s="73"/>
      <c r="O417" s="7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 x14ac:dyDescent="0.35">
      <c r="A418" s="9">
        <f t="shared" si="19"/>
        <v>410</v>
      </c>
      <c r="B418" s="15"/>
      <c r="C418" s="11">
        <f t="shared" si="18"/>
        <v>1</v>
      </c>
      <c r="D418" s="11"/>
      <c r="E418" s="11"/>
      <c r="F418" s="14"/>
      <c r="G418" s="89">
        <f>IFERROR(VLOOKUP(F418,COA!$A$1:$K$26,2,FALSE),0)</f>
        <v>0</v>
      </c>
      <c r="H418" s="11"/>
      <c r="I418" s="11"/>
      <c r="J418" s="78"/>
      <c r="K418" s="79"/>
      <c r="L418" s="146">
        <f t="shared" si="20"/>
        <v>1800000</v>
      </c>
      <c r="M418" s="73"/>
      <c r="N418" s="73"/>
      <c r="O418" s="7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 x14ac:dyDescent="0.35">
      <c r="A419" s="9">
        <f t="shared" si="19"/>
        <v>411</v>
      </c>
      <c r="B419" s="15"/>
      <c r="C419" s="11">
        <f t="shared" si="18"/>
        <v>1</v>
      </c>
      <c r="D419" s="11"/>
      <c r="E419" s="11"/>
      <c r="F419" s="14"/>
      <c r="G419" s="89">
        <f>IFERROR(VLOOKUP(F419,COA!$A$1:$K$26,2,FALSE),0)</f>
        <v>0</v>
      </c>
      <c r="H419" s="11"/>
      <c r="I419" s="11"/>
      <c r="J419" s="78"/>
      <c r="K419" s="79"/>
      <c r="L419" s="146">
        <f t="shared" si="20"/>
        <v>1800000</v>
      </c>
      <c r="M419" s="73"/>
      <c r="N419" s="73"/>
      <c r="O419" s="7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 x14ac:dyDescent="0.35">
      <c r="A420" s="9">
        <f t="shared" si="19"/>
        <v>412</v>
      </c>
      <c r="B420" s="15"/>
      <c r="C420" s="11">
        <f t="shared" si="18"/>
        <v>1</v>
      </c>
      <c r="D420" s="11"/>
      <c r="E420" s="11"/>
      <c r="F420" s="14"/>
      <c r="G420" s="89">
        <f>IFERROR(VLOOKUP(F420,COA!$A$1:$K$26,2,FALSE),0)</f>
        <v>0</v>
      </c>
      <c r="H420" s="11"/>
      <c r="I420" s="11"/>
      <c r="J420" s="78"/>
      <c r="K420" s="79"/>
      <c r="L420" s="146">
        <f t="shared" si="20"/>
        <v>1800000</v>
      </c>
      <c r="M420" s="73"/>
      <c r="N420" s="73"/>
      <c r="O420" s="7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 x14ac:dyDescent="0.35">
      <c r="A421" s="9">
        <f t="shared" si="19"/>
        <v>413</v>
      </c>
      <c r="B421" s="15"/>
      <c r="C421" s="11">
        <f t="shared" si="18"/>
        <v>1</v>
      </c>
      <c r="D421" s="11"/>
      <c r="E421" s="11"/>
      <c r="F421" s="11"/>
      <c r="G421" s="89">
        <f>IFERROR(VLOOKUP(F421,COA!$A$1:$K$26,2,FALSE),0)</f>
        <v>0</v>
      </c>
      <c r="H421" s="13"/>
      <c r="I421" s="13"/>
      <c r="J421" s="78"/>
      <c r="K421" s="78"/>
      <c r="L421" s="146">
        <f t="shared" si="20"/>
        <v>1800000</v>
      </c>
      <c r="M421" s="73"/>
      <c r="N421" s="73"/>
      <c r="O421" s="7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 x14ac:dyDescent="0.35">
      <c r="A422" s="9">
        <f t="shared" si="19"/>
        <v>414</v>
      </c>
      <c r="B422" s="15"/>
      <c r="C422" s="11">
        <f t="shared" si="18"/>
        <v>1</v>
      </c>
      <c r="D422" s="11"/>
      <c r="E422" s="11"/>
      <c r="F422" s="14"/>
      <c r="G422" s="89">
        <f>IFERROR(VLOOKUP(F422,COA!$A$1:$K$26,2,FALSE),0)</f>
        <v>0</v>
      </c>
      <c r="H422" s="11"/>
      <c r="I422" s="11"/>
      <c r="J422" s="79"/>
      <c r="K422" s="78"/>
      <c r="L422" s="146">
        <f t="shared" si="20"/>
        <v>1800000</v>
      </c>
      <c r="M422" s="73"/>
      <c r="N422" s="73"/>
      <c r="O422" s="7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 x14ac:dyDescent="0.35">
      <c r="A423" s="9">
        <f t="shared" si="19"/>
        <v>415</v>
      </c>
      <c r="B423" s="15"/>
      <c r="C423" s="11">
        <f t="shared" si="18"/>
        <v>1</v>
      </c>
      <c r="D423" s="11"/>
      <c r="E423" s="11"/>
      <c r="F423" s="14"/>
      <c r="G423" s="89">
        <f>IFERROR(VLOOKUP(F423,COA!$A$1:$K$26,2,FALSE),0)</f>
        <v>0</v>
      </c>
      <c r="H423" s="11"/>
      <c r="I423" s="11"/>
      <c r="J423" s="78"/>
      <c r="K423" s="79"/>
      <c r="L423" s="146">
        <f t="shared" si="20"/>
        <v>1800000</v>
      </c>
      <c r="M423" s="73"/>
      <c r="N423" s="73"/>
      <c r="O423" s="7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 x14ac:dyDescent="0.35">
      <c r="A424" s="9">
        <f t="shared" si="19"/>
        <v>416</v>
      </c>
      <c r="B424" s="15"/>
      <c r="C424" s="11">
        <f t="shared" si="18"/>
        <v>1</v>
      </c>
      <c r="D424" s="11"/>
      <c r="E424" s="11"/>
      <c r="F424" s="14"/>
      <c r="G424" s="89">
        <f>IFERROR(VLOOKUP(F424,COA!$A$1:$K$26,2,FALSE),0)</f>
        <v>0</v>
      </c>
      <c r="H424" s="11"/>
      <c r="I424" s="11"/>
      <c r="J424" s="78"/>
      <c r="K424" s="79"/>
      <c r="L424" s="146">
        <f t="shared" si="20"/>
        <v>1800000</v>
      </c>
      <c r="M424" s="73"/>
      <c r="N424" s="73"/>
      <c r="O424" s="7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 x14ac:dyDescent="0.35">
      <c r="A425" s="9">
        <f t="shared" si="19"/>
        <v>417</v>
      </c>
      <c r="B425" s="15"/>
      <c r="C425" s="11">
        <f t="shared" si="18"/>
        <v>1</v>
      </c>
      <c r="D425" s="11"/>
      <c r="E425" s="11"/>
      <c r="F425" s="14"/>
      <c r="G425" s="89">
        <f>IFERROR(VLOOKUP(F425,COA!$A$1:$K$26,2,FALSE),0)</f>
        <v>0</v>
      </c>
      <c r="H425" s="11"/>
      <c r="I425" s="11"/>
      <c r="J425" s="78"/>
      <c r="K425" s="79"/>
      <c r="L425" s="146">
        <f t="shared" si="20"/>
        <v>1800000</v>
      </c>
      <c r="M425" s="73"/>
      <c r="N425" s="73"/>
      <c r="O425" s="7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 x14ac:dyDescent="0.35">
      <c r="A426" s="9">
        <f t="shared" si="19"/>
        <v>418</v>
      </c>
      <c r="B426" s="15"/>
      <c r="C426" s="11">
        <f t="shared" si="18"/>
        <v>1</v>
      </c>
      <c r="D426" s="11"/>
      <c r="E426" s="11"/>
      <c r="F426" s="14"/>
      <c r="G426" s="89">
        <f>IFERROR(VLOOKUP(F426,COA!$A$1:$K$26,2,FALSE),0)</f>
        <v>0</v>
      </c>
      <c r="H426" s="11"/>
      <c r="I426" s="11"/>
      <c r="J426" s="79"/>
      <c r="K426" s="78"/>
      <c r="L426" s="146">
        <f t="shared" si="20"/>
        <v>1800000</v>
      </c>
      <c r="M426" s="73"/>
      <c r="N426" s="73"/>
      <c r="O426" s="7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 x14ac:dyDescent="0.35">
      <c r="A427" s="9">
        <f t="shared" si="19"/>
        <v>419</v>
      </c>
      <c r="B427" s="15"/>
      <c r="C427" s="11">
        <f t="shared" si="18"/>
        <v>1</v>
      </c>
      <c r="D427" s="11"/>
      <c r="E427" s="11"/>
      <c r="F427" s="14"/>
      <c r="G427" s="89">
        <f>IFERROR(VLOOKUP(F427,COA!$A$1:$K$26,2,FALSE),0)</f>
        <v>0</v>
      </c>
      <c r="H427" s="11"/>
      <c r="I427" s="11"/>
      <c r="J427" s="78"/>
      <c r="K427" s="79"/>
      <c r="L427" s="146">
        <f t="shared" si="20"/>
        <v>1800000</v>
      </c>
      <c r="M427" s="73"/>
      <c r="N427" s="73"/>
      <c r="O427" s="7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 x14ac:dyDescent="0.35">
      <c r="A428" s="9">
        <f t="shared" si="19"/>
        <v>420</v>
      </c>
      <c r="B428" s="15"/>
      <c r="C428" s="11">
        <f t="shared" si="18"/>
        <v>1</v>
      </c>
      <c r="D428" s="11"/>
      <c r="E428" s="11"/>
      <c r="F428" s="14"/>
      <c r="G428" s="89">
        <f>IFERROR(VLOOKUP(F428,COA!$A$1:$K$26,2,FALSE),0)</f>
        <v>0</v>
      </c>
      <c r="H428" s="11"/>
      <c r="I428" s="11"/>
      <c r="J428" s="78"/>
      <c r="K428" s="79"/>
      <c r="L428" s="146">
        <f t="shared" si="20"/>
        <v>1800000</v>
      </c>
      <c r="M428" s="73"/>
      <c r="N428" s="73"/>
      <c r="O428" s="7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 x14ac:dyDescent="0.35">
      <c r="A429" s="9">
        <f t="shared" si="19"/>
        <v>421</v>
      </c>
      <c r="B429" s="15"/>
      <c r="C429" s="11">
        <f t="shared" si="18"/>
        <v>1</v>
      </c>
      <c r="D429" s="11"/>
      <c r="E429" s="11"/>
      <c r="F429" s="14"/>
      <c r="G429" s="89">
        <f>IFERROR(VLOOKUP(F429,COA!$A$1:$K$26,2,FALSE),0)</f>
        <v>0</v>
      </c>
      <c r="H429" s="11"/>
      <c r="I429" s="11"/>
      <c r="J429" s="78"/>
      <c r="K429" s="79"/>
      <c r="L429" s="146">
        <f t="shared" si="20"/>
        <v>1800000</v>
      </c>
      <c r="M429" s="73"/>
      <c r="N429" s="73"/>
      <c r="O429" s="7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 x14ac:dyDescent="0.35">
      <c r="A430" s="9">
        <f t="shared" si="19"/>
        <v>422</v>
      </c>
      <c r="B430" s="15"/>
      <c r="C430" s="11">
        <f t="shared" si="18"/>
        <v>1</v>
      </c>
      <c r="D430" s="11"/>
      <c r="E430" s="11"/>
      <c r="F430" s="14"/>
      <c r="G430" s="89">
        <f>IFERROR(VLOOKUP(F430,COA!$A$1:$K$26,2,FALSE),0)</f>
        <v>0</v>
      </c>
      <c r="H430" s="11"/>
      <c r="I430" s="11"/>
      <c r="J430" s="79"/>
      <c r="K430" s="78"/>
      <c r="L430" s="146">
        <f t="shared" si="20"/>
        <v>1800000</v>
      </c>
      <c r="M430" s="73"/>
      <c r="N430" s="73"/>
      <c r="O430" s="7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 x14ac:dyDescent="0.35">
      <c r="A431" s="9">
        <f t="shared" si="19"/>
        <v>423</v>
      </c>
      <c r="B431" s="15"/>
      <c r="C431" s="11">
        <f t="shared" si="18"/>
        <v>1</v>
      </c>
      <c r="D431" s="11"/>
      <c r="E431" s="11"/>
      <c r="F431" s="14"/>
      <c r="G431" s="89">
        <f>IFERROR(VLOOKUP(F431,COA!$A$1:$K$26,2,FALSE),0)</f>
        <v>0</v>
      </c>
      <c r="H431" s="11"/>
      <c r="I431" s="11"/>
      <c r="J431" s="78"/>
      <c r="K431" s="79"/>
      <c r="L431" s="146">
        <f t="shared" si="20"/>
        <v>1800000</v>
      </c>
      <c r="M431" s="73"/>
      <c r="N431" s="73"/>
      <c r="O431" s="7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 x14ac:dyDescent="0.35">
      <c r="A432" s="9">
        <f t="shared" si="19"/>
        <v>424</v>
      </c>
      <c r="B432" s="15"/>
      <c r="C432" s="11">
        <f t="shared" si="18"/>
        <v>1</v>
      </c>
      <c r="D432" s="11"/>
      <c r="E432" s="11"/>
      <c r="F432" s="14"/>
      <c r="G432" s="89">
        <f>IFERROR(VLOOKUP(F432,COA!$A$1:$K$26,2,FALSE),0)</f>
        <v>0</v>
      </c>
      <c r="H432" s="11"/>
      <c r="I432" s="11"/>
      <c r="J432" s="78"/>
      <c r="K432" s="79"/>
      <c r="L432" s="146">
        <f t="shared" si="20"/>
        <v>1800000</v>
      </c>
      <c r="M432" s="73"/>
      <c r="N432" s="73"/>
      <c r="O432" s="7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 x14ac:dyDescent="0.35">
      <c r="A433" s="9">
        <f t="shared" si="19"/>
        <v>425</v>
      </c>
      <c r="B433" s="15"/>
      <c r="C433" s="11">
        <f t="shared" si="18"/>
        <v>1</v>
      </c>
      <c r="D433" s="11"/>
      <c r="E433" s="11"/>
      <c r="F433" s="14"/>
      <c r="G433" s="89">
        <f>IFERROR(VLOOKUP(F433,COA!$A$1:$K$26,2,FALSE),0)</f>
        <v>0</v>
      </c>
      <c r="H433" s="11"/>
      <c r="I433" s="11"/>
      <c r="J433" s="78"/>
      <c r="K433" s="79"/>
      <c r="L433" s="146">
        <f t="shared" si="20"/>
        <v>1800000</v>
      </c>
      <c r="M433" s="73"/>
      <c r="N433" s="73"/>
      <c r="O433" s="7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 x14ac:dyDescent="0.35">
      <c r="A434" s="9">
        <f t="shared" si="19"/>
        <v>426</v>
      </c>
      <c r="B434" s="15"/>
      <c r="C434" s="11">
        <f t="shared" si="18"/>
        <v>1</v>
      </c>
      <c r="D434" s="11"/>
      <c r="E434" s="11"/>
      <c r="F434" s="14"/>
      <c r="G434" s="89">
        <f>IFERROR(VLOOKUP(F434,COA!$A$1:$K$26,2,FALSE),0)</f>
        <v>0</v>
      </c>
      <c r="H434" s="11"/>
      <c r="I434" s="11"/>
      <c r="J434" s="79"/>
      <c r="K434" s="78"/>
      <c r="L434" s="146">
        <f t="shared" si="20"/>
        <v>1800000</v>
      </c>
      <c r="M434" s="73"/>
      <c r="N434" s="73"/>
      <c r="O434" s="7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 x14ac:dyDescent="0.35">
      <c r="A435" s="9">
        <f t="shared" si="19"/>
        <v>427</v>
      </c>
      <c r="B435" s="15"/>
      <c r="C435" s="11">
        <f t="shared" si="18"/>
        <v>1</v>
      </c>
      <c r="D435" s="11"/>
      <c r="E435" s="11"/>
      <c r="F435" s="14"/>
      <c r="G435" s="89">
        <f>IFERROR(VLOOKUP(F435,COA!$A$1:$K$26,2,FALSE),0)</f>
        <v>0</v>
      </c>
      <c r="H435" s="11"/>
      <c r="I435" s="11"/>
      <c r="J435" s="78"/>
      <c r="K435" s="79"/>
      <c r="L435" s="146">
        <f t="shared" si="20"/>
        <v>1800000</v>
      </c>
      <c r="M435" s="73"/>
      <c r="N435" s="73"/>
      <c r="O435" s="7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 x14ac:dyDescent="0.35">
      <c r="A436" s="9">
        <f t="shared" si="19"/>
        <v>428</v>
      </c>
      <c r="B436" s="15"/>
      <c r="C436" s="11">
        <f t="shared" si="18"/>
        <v>1</v>
      </c>
      <c r="D436" s="11"/>
      <c r="E436" s="11"/>
      <c r="F436" s="14"/>
      <c r="G436" s="89">
        <f>IFERROR(VLOOKUP(F436,COA!$A$1:$K$26,2,FALSE),0)</f>
        <v>0</v>
      </c>
      <c r="H436" s="11"/>
      <c r="I436" s="11"/>
      <c r="J436" s="78"/>
      <c r="K436" s="79"/>
      <c r="L436" s="146">
        <f t="shared" si="20"/>
        <v>1800000</v>
      </c>
      <c r="M436" s="73"/>
      <c r="N436" s="73"/>
      <c r="O436" s="7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 x14ac:dyDescent="0.35">
      <c r="A437" s="9">
        <f t="shared" si="19"/>
        <v>429</v>
      </c>
      <c r="B437" s="15"/>
      <c r="C437" s="11">
        <f t="shared" si="18"/>
        <v>1</v>
      </c>
      <c r="D437" s="11"/>
      <c r="E437" s="11"/>
      <c r="F437" s="14"/>
      <c r="G437" s="89">
        <f>IFERROR(VLOOKUP(F437,COA!$A$1:$K$26,2,FALSE),0)</f>
        <v>0</v>
      </c>
      <c r="H437" s="11"/>
      <c r="I437" s="11"/>
      <c r="J437" s="78"/>
      <c r="K437" s="79"/>
      <c r="L437" s="146">
        <f t="shared" si="20"/>
        <v>1800000</v>
      </c>
      <c r="M437" s="73"/>
      <c r="N437" s="73"/>
      <c r="O437" s="7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 x14ac:dyDescent="0.35">
      <c r="A438" s="9">
        <f t="shared" si="19"/>
        <v>430</v>
      </c>
      <c r="B438" s="15"/>
      <c r="C438" s="11">
        <f t="shared" si="18"/>
        <v>1</v>
      </c>
      <c r="D438" s="11"/>
      <c r="E438" s="11"/>
      <c r="F438" s="11"/>
      <c r="G438" s="89">
        <f>IFERROR(VLOOKUP(F438,COA!$A$1:$K$26,2,FALSE),0)</f>
        <v>0</v>
      </c>
      <c r="H438" s="11"/>
      <c r="I438" s="11"/>
      <c r="J438" s="81"/>
      <c r="K438" s="81"/>
      <c r="L438" s="146">
        <f t="shared" si="20"/>
        <v>1800000</v>
      </c>
      <c r="M438" s="73"/>
      <c r="N438" s="73"/>
      <c r="O438" s="7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 x14ac:dyDescent="0.35">
      <c r="A439" s="9">
        <f t="shared" si="19"/>
        <v>431</v>
      </c>
      <c r="B439" s="15"/>
      <c r="C439" s="11">
        <f t="shared" si="18"/>
        <v>1</v>
      </c>
      <c r="D439" s="11"/>
      <c r="E439" s="11"/>
      <c r="F439" s="14"/>
      <c r="G439" s="89">
        <f>IFERROR(VLOOKUP(F439,COA!$A$1:$K$26,2,FALSE),0)</f>
        <v>0</v>
      </c>
      <c r="H439" s="11"/>
      <c r="I439" s="11"/>
      <c r="J439" s="79"/>
      <c r="K439" s="78"/>
      <c r="L439" s="146">
        <f t="shared" si="20"/>
        <v>1800000</v>
      </c>
      <c r="M439" s="73"/>
      <c r="N439" s="73"/>
      <c r="O439" s="7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 x14ac:dyDescent="0.35">
      <c r="A440" s="9">
        <f t="shared" si="19"/>
        <v>432</v>
      </c>
      <c r="B440" s="15"/>
      <c r="C440" s="11">
        <f t="shared" si="18"/>
        <v>1</v>
      </c>
      <c r="D440" s="11"/>
      <c r="E440" s="11"/>
      <c r="F440" s="14"/>
      <c r="G440" s="89">
        <f>IFERROR(VLOOKUP(F440,COA!$A$1:$K$26,2,FALSE),0)</f>
        <v>0</v>
      </c>
      <c r="H440" s="11"/>
      <c r="I440" s="11"/>
      <c r="J440" s="78"/>
      <c r="K440" s="79"/>
      <c r="L440" s="146">
        <f t="shared" si="20"/>
        <v>1800000</v>
      </c>
      <c r="M440" s="73"/>
      <c r="N440" s="73"/>
      <c r="O440" s="7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 x14ac:dyDescent="0.35">
      <c r="A441" s="9">
        <f t="shared" si="19"/>
        <v>433</v>
      </c>
      <c r="B441" s="15"/>
      <c r="C441" s="11">
        <f t="shared" si="18"/>
        <v>1</v>
      </c>
      <c r="D441" s="11"/>
      <c r="E441" s="11"/>
      <c r="F441" s="14"/>
      <c r="G441" s="89">
        <f>IFERROR(VLOOKUP(F441,COA!$A$1:$K$26,2,FALSE),0)</f>
        <v>0</v>
      </c>
      <c r="H441" s="11"/>
      <c r="I441" s="11"/>
      <c r="J441" s="78"/>
      <c r="K441" s="79"/>
      <c r="L441" s="146">
        <f t="shared" si="20"/>
        <v>1800000</v>
      </c>
      <c r="M441" s="73"/>
      <c r="N441" s="73"/>
      <c r="O441" s="7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 x14ac:dyDescent="0.35">
      <c r="A442" s="9">
        <f t="shared" si="19"/>
        <v>434</v>
      </c>
      <c r="B442" s="15"/>
      <c r="C442" s="11">
        <f t="shared" si="18"/>
        <v>1</v>
      </c>
      <c r="D442" s="11"/>
      <c r="E442" s="11"/>
      <c r="F442" s="14"/>
      <c r="G442" s="89">
        <f>IFERROR(VLOOKUP(F442,COA!$A$1:$K$26,2,FALSE),0)</f>
        <v>0</v>
      </c>
      <c r="H442" s="11"/>
      <c r="I442" s="11"/>
      <c r="J442" s="78"/>
      <c r="K442" s="79"/>
      <c r="L442" s="146">
        <f t="shared" si="20"/>
        <v>1800000</v>
      </c>
      <c r="M442" s="73"/>
      <c r="N442" s="73"/>
      <c r="O442" s="7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 x14ac:dyDescent="0.35">
      <c r="A443" s="9">
        <f t="shared" si="19"/>
        <v>435</v>
      </c>
      <c r="B443" s="15"/>
      <c r="C443" s="11">
        <f t="shared" si="18"/>
        <v>1</v>
      </c>
      <c r="D443" s="11"/>
      <c r="E443" s="11"/>
      <c r="F443" s="14"/>
      <c r="G443" s="89">
        <f>IFERROR(VLOOKUP(F443,COA!$A$1:$K$26,2,FALSE),0)</f>
        <v>0</v>
      </c>
      <c r="H443" s="11"/>
      <c r="I443" s="11"/>
      <c r="J443" s="79"/>
      <c r="K443" s="78"/>
      <c r="L443" s="146">
        <f t="shared" si="20"/>
        <v>1800000</v>
      </c>
      <c r="M443" s="73"/>
      <c r="N443" s="73"/>
      <c r="O443" s="7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 x14ac:dyDescent="0.35">
      <c r="A444" s="9">
        <f t="shared" si="19"/>
        <v>436</v>
      </c>
      <c r="B444" s="15"/>
      <c r="C444" s="11">
        <f t="shared" si="18"/>
        <v>1</v>
      </c>
      <c r="D444" s="11"/>
      <c r="E444" s="11"/>
      <c r="F444" s="14"/>
      <c r="G444" s="89">
        <f>IFERROR(VLOOKUP(F444,COA!$A$1:$K$26,2,FALSE),0)</f>
        <v>0</v>
      </c>
      <c r="H444" s="11"/>
      <c r="I444" s="11"/>
      <c r="J444" s="78"/>
      <c r="K444" s="79"/>
      <c r="L444" s="146">
        <f t="shared" si="20"/>
        <v>1800000</v>
      </c>
      <c r="M444" s="73"/>
      <c r="N444" s="73"/>
      <c r="O444" s="7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 x14ac:dyDescent="0.35">
      <c r="A445" s="9">
        <f t="shared" si="19"/>
        <v>437</v>
      </c>
      <c r="B445" s="15"/>
      <c r="C445" s="11">
        <f t="shared" si="18"/>
        <v>1</v>
      </c>
      <c r="D445" s="11"/>
      <c r="E445" s="11"/>
      <c r="F445" s="14"/>
      <c r="G445" s="89">
        <f>IFERROR(VLOOKUP(F445,COA!$A$1:$K$26,2,FALSE),0)</f>
        <v>0</v>
      </c>
      <c r="H445" s="11"/>
      <c r="I445" s="11"/>
      <c r="J445" s="78"/>
      <c r="K445" s="79"/>
      <c r="L445" s="146">
        <f t="shared" si="20"/>
        <v>1800000</v>
      </c>
      <c r="M445" s="73"/>
      <c r="N445" s="73"/>
      <c r="O445" s="7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 x14ac:dyDescent="0.35">
      <c r="A446" s="9">
        <f t="shared" si="19"/>
        <v>438</v>
      </c>
      <c r="B446" s="15"/>
      <c r="C446" s="11">
        <f t="shared" si="18"/>
        <v>1</v>
      </c>
      <c r="D446" s="11"/>
      <c r="E446" s="11"/>
      <c r="F446" s="14"/>
      <c r="G446" s="89">
        <f>IFERROR(VLOOKUP(F446,COA!$A$1:$K$26,2,FALSE),0)</f>
        <v>0</v>
      </c>
      <c r="H446" s="11"/>
      <c r="I446" s="11"/>
      <c r="J446" s="78"/>
      <c r="K446" s="79"/>
      <c r="L446" s="146">
        <f t="shared" si="20"/>
        <v>1800000</v>
      </c>
      <c r="M446" s="73"/>
      <c r="N446" s="73"/>
      <c r="O446" s="7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 x14ac:dyDescent="0.35">
      <c r="A447" s="9">
        <f t="shared" si="19"/>
        <v>439</v>
      </c>
      <c r="B447" s="15"/>
      <c r="C447" s="11">
        <f t="shared" si="18"/>
        <v>1</v>
      </c>
      <c r="D447" s="11"/>
      <c r="E447" s="11"/>
      <c r="F447" s="14"/>
      <c r="G447" s="89">
        <f>IFERROR(VLOOKUP(F447,COA!$A$1:$K$26,2,FALSE),0)</f>
        <v>0</v>
      </c>
      <c r="H447" s="11"/>
      <c r="I447" s="11"/>
      <c r="J447" s="79"/>
      <c r="K447" s="78"/>
      <c r="L447" s="146">
        <f t="shared" si="20"/>
        <v>1800000</v>
      </c>
      <c r="M447" s="73"/>
      <c r="N447" s="73"/>
      <c r="O447" s="7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 x14ac:dyDescent="0.35">
      <c r="A448" s="9">
        <f t="shared" si="19"/>
        <v>440</v>
      </c>
      <c r="B448" s="15"/>
      <c r="C448" s="11">
        <f t="shared" si="18"/>
        <v>1</v>
      </c>
      <c r="D448" s="11"/>
      <c r="E448" s="11"/>
      <c r="F448" s="14"/>
      <c r="G448" s="89">
        <f>IFERROR(VLOOKUP(F448,COA!$A$1:$K$26,2,FALSE),0)</f>
        <v>0</v>
      </c>
      <c r="H448" s="11"/>
      <c r="I448" s="11"/>
      <c r="J448" s="78"/>
      <c r="K448" s="79"/>
      <c r="L448" s="146">
        <f t="shared" si="20"/>
        <v>1800000</v>
      </c>
      <c r="M448" s="73"/>
      <c r="N448" s="73"/>
      <c r="O448" s="7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 x14ac:dyDescent="0.35">
      <c r="A449" s="9">
        <f t="shared" si="19"/>
        <v>441</v>
      </c>
      <c r="B449" s="15"/>
      <c r="C449" s="11">
        <f t="shared" si="18"/>
        <v>1</v>
      </c>
      <c r="D449" s="11"/>
      <c r="E449" s="11"/>
      <c r="F449" s="14"/>
      <c r="G449" s="89">
        <f>IFERROR(VLOOKUP(F449,COA!$A$1:$K$26,2,FALSE),0)</f>
        <v>0</v>
      </c>
      <c r="H449" s="11"/>
      <c r="I449" s="11"/>
      <c r="J449" s="78"/>
      <c r="K449" s="79"/>
      <c r="L449" s="146">
        <f t="shared" si="20"/>
        <v>1800000</v>
      </c>
      <c r="M449" s="73"/>
      <c r="N449" s="73"/>
      <c r="O449" s="7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 x14ac:dyDescent="0.35">
      <c r="A450" s="9">
        <f t="shared" si="19"/>
        <v>442</v>
      </c>
      <c r="B450" s="15"/>
      <c r="C450" s="11">
        <f t="shared" si="18"/>
        <v>1</v>
      </c>
      <c r="D450" s="11"/>
      <c r="E450" s="11"/>
      <c r="F450" s="14"/>
      <c r="G450" s="89">
        <f>IFERROR(VLOOKUP(F450,COA!$A$1:$K$26,2,FALSE),0)</f>
        <v>0</v>
      </c>
      <c r="H450" s="11"/>
      <c r="I450" s="11"/>
      <c r="J450" s="78"/>
      <c r="K450" s="79"/>
      <c r="L450" s="146">
        <f t="shared" si="20"/>
        <v>1800000</v>
      </c>
      <c r="M450" s="73"/>
      <c r="N450" s="73"/>
      <c r="O450" s="7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 x14ac:dyDescent="0.35">
      <c r="A451" s="9">
        <f t="shared" si="19"/>
        <v>443</v>
      </c>
      <c r="B451" s="15"/>
      <c r="C451" s="11">
        <f t="shared" si="18"/>
        <v>1</v>
      </c>
      <c r="D451" s="11"/>
      <c r="E451" s="11"/>
      <c r="F451" s="11"/>
      <c r="G451" s="89">
        <f>IFERROR(VLOOKUP(F451,COA!$A$1:$K$26,2,FALSE),0)</f>
        <v>0</v>
      </c>
      <c r="H451" s="13"/>
      <c r="I451" s="13"/>
      <c r="J451" s="77"/>
      <c r="K451" s="78"/>
      <c r="L451" s="146">
        <f t="shared" si="20"/>
        <v>1800000</v>
      </c>
      <c r="M451" s="73"/>
      <c r="N451" s="73"/>
      <c r="O451" s="7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 x14ac:dyDescent="0.35">
      <c r="A452" s="9">
        <f t="shared" si="19"/>
        <v>444</v>
      </c>
      <c r="B452" s="15"/>
      <c r="C452" s="11">
        <f t="shared" si="18"/>
        <v>1</v>
      </c>
      <c r="D452" s="11"/>
      <c r="E452" s="11"/>
      <c r="F452" s="14"/>
      <c r="G452" s="89">
        <f>IFERROR(VLOOKUP(F452,COA!$A$1:$K$26,2,FALSE),0)</f>
        <v>0</v>
      </c>
      <c r="H452" s="11"/>
      <c r="I452" s="11"/>
      <c r="J452" s="79"/>
      <c r="K452" s="78"/>
      <c r="L452" s="146">
        <f t="shared" si="20"/>
        <v>1800000</v>
      </c>
      <c r="M452" s="73"/>
      <c r="N452" s="73"/>
      <c r="O452" s="7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 x14ac:dyDescent="0.35">
      <c r="A453" s="9">
        <f t="shared" si="19"/>
        <v>445</v>
      </c>
      <c r="B453" s="15"/>
      <c r="C453" s="11">
        <f t="shared" si="18"/>
        <v>1</v>
      </c>
      <c r="D453" s="11"/>
      <c r="E453" s="11"/>
      <c r="F453" s="14"/>
      <c r="G453" s="89">
        <f>IFERROR(VLOOKUP(F453,COA!$A$1:$K$26,2,FALSE),0)</f>
        <v>0</v>
      </c>
      <c r="H453" s="11"/>
      <c r="I453" s="11"/>
      <c r="J453" s="78"/>
      <c r="K453" s="79"/>
      <c r="L453" s="146">
        <f t="shared" si="20"/>
        <v>1800000</v>
      </c>
      <c r="M453" s="73"/>
      <c r="N453" s="73"/>
      <c r="O453" s="7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 x14ac:dyDescent="0.35">
      <c r="A454" s="9">
        <f t="shared" si="19"/>
        <v>446</v>
      </c>
      <c r="B454" s="15"/>
      <c r="C454" s="11">
        <f t="shared" si="18"/>
        <v>1</v>
      </c>
      <c r="D454" s="11"/>
      <c r="E454" s="11"/>
      <c r="F454" s="14"/>
      <c r="G454" s="89">
        <f>IFERROR(VLOOKUP(F454,COA!$A$1:$K$26,2,FALSE),0)</f>
        <v>0</v>
      </c>
      <c r="H454" s="11"/>
      <c r="I454" s="11"/>
      <c r="J454" s="78"/>
      <c r="K454" s="79"/>
      <c r="L454" s="146">
        <f t="shared" si="20"/>
        <v>1800000</v>
      </c>
      <c r="M454" s="73"/>
      <c r="N454" s="73"/>
      <c r="O454" s="7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 x14ac:dyDescent="0.35">
      <c r="A455" s="9">
        <f t="shared" si="19"/>
        <v>447</v>
      </c>
      <c r="B455" s="15"/>
      <c r="C455" s="11">
        <f t="shared" si="18"/>
        <v>1</v>
      </c>
      <c r="D455" s="11"/>
      <c r="E455" s="11"/>
      <c r="F455" s="14"/>
      <c r="G455" s="89">
        <f>IFERROR(VLOOKUP(F455,COA!$A$1:$K$26,2,FALSE),0)</f>
        <v>0</v>
      </c>
      <c r="H455" s="11"/>
      <c r="I455" s="11"/>
      <c r="J455" s="78"/>
      <c r="K455" s="79"/>
      <c r="L455" s="146">
        <f t="shared" si="20"/>
        <v>1800000</v>
      </c>
      <c r="M455" s="73"/>
      <c r="N455" s="73"/>
      <c r="O455" s="7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 x14ac:dyDescent="0.35">
      <c r="A456" s="9">
        <f t="shared" si="19"/>
        <v>448</v>
      </c>
      <c r="B456" s="15"/>
      <c r="C456" s="11">
        <f t="shared" ref="C456:C519" si="21">MONTH(B456)</f>
        <v>1</v>
      </c>
      <c r="D456" s="11"/>
      <c r="E456" s="11"/>
      <c r="F456" s="11"/>
      <c r="G456" s="89">
        <f>IFERROR(VLOOKUP(F456,COA!$A$1:$K$26,2,FALSE),0)</f>
        <v>0</v>
      </c>
      <c r="H456" s="11"/>
      <c r="I456" s="11"/>
      <c r="J456" s="78"/>
      <c r="K456" s="78"/>
      <c r="L456" s="146">
        <f t="shared" si="20"/>
        <v>1800000</v>
      </c>
      <c r="M456" s="73"/>
      <c r="N456" s="73"/>
      <c r="O456" s="7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 x14ac:dyDescent="0.35">
      <c r="A457" s="9">
        <f t="shared" si="19"/>
        <v>449</v>
      </c>
      <c r="B457" s="15"/>
      <c r="C457" s="11">
        <f t="shared" si="21"/>
        <v>1</v>
      </c>
      <c r="D457" s="11"/>
      <c r="E457" s="11"/>
      <c r="F457" s="14"/>
      <c r="G457" s="89">
        <f>IFERROR(VLOOKUP(F457,COA!$A$1:$K$26,2,FALSE),0)</f>
        <v>0</v>
      </c>
      <c r="H457" s="11"/>
      <c r="I457" s="11"/>
      <c r="J457" s="78"/>
      <c r="K457" s="79"/>
      <c r="L457" s="146">
        <f t="shared" si="20"/>
        <v>1800000</v>
      </c>
      <c r="M457" s="73"/>
      <c r="N457" s="73"/>
      <c r="O457" s="7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 x14ac:dyDescent="0.35">
      <c r="A458" s="9">
        <f t="shared" si="19"/>
        <v>450</v>
      </c>
      <c r="B458" s="15"/>
      <c r="C458" s="11">
        <f t="shared" si="21"/>
        <v>1</v>
      </c>
      <c r="D458" s="11"/>
      <c r="E458" s="11"/>
      <c r="F458" s="11"/>
      <c r="G458" s="89">
        <f>IFERROR(VLOOKUP(F458,COA!$A$1:$K$26,2,FALSE),0)</f>
        <v>0</v>
      </c>
      <c r="H458" s="11"/>
      <c r="I458" s="11"/>
      <c r="J458" s="81"/>
      <c r="K458" s="81"/>
      <c r="L458" s="146">
        <f t="shared" si="20"/>
        <v>1800000</v>
      </c>
      <c r="M458" s="73"/>
      <c r="N458" s="73"/>
      <c r="O458" s="7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 x14ac:dyDescent="0.35">
      <c r="A459" s="9">
        <f t="shared" ref="A459:A522" si="22">A458+1</f>
        <v>451</v>
      </c>
      <c r="B459" s="15"/>
      <c r="C459" s="11">
        <f t="shared" si="21"/>
        <v>1</v>
      </c>
      <c r="D459" s="11"/>
      <c r="E459" s="11"/>
      <c r="F459" s="11"/>
      <c r="G459" s="89">
        <f>IFERROR(VLOOKUP(F459,COA!$A$1:$K$26,2,FALSE),0)</f>
        <v>0</v>
      </c>
      <c r="H459" s="13"/>
      <c r="I459" s="13"/>
      <c r="J459" s="78"/>
      <c r="K459" s="78"/>
      <c r="L459" s="146">
        <f t="shared" ref="L459:L522" si="23">L458+J459-K459</f>
        <v>1800000</v>
      </c>
      <c r="M459" s="73"/>
      <c r="N459" s="73"/>
      <c r="O459" s="7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 x14ac:dyDescent="0.35">
      <c r="A460" s="9">
        <f t="shared" si="22"/>
        <v>452</v>
      </c>
      <c r="B460" s="15"/>
      <c r="C460" s="11">
        <f t="shared" si="21"/>
        <v>1</v>
      </c>
      <c r="D460" s="11"/>
      <c r="E460" s="11"/>
      <c r="F460" s="14"/>
      <c r="G460" s="89">
        <f>IFERROR(VLOOKUP(F460,COA!$A$1:$K$26,2,FALSE),0)</f>
        <v>0</v>
      </c>
      <c r="H460" s="11"/>
      <c r="I460" s="11"/>
      <c r="J460" s="78"/>
      <c r="K460" s="79"/>
      <c r="L460" s="146">
        <f t="shared" si="23"/>
        <v>1800000</v>
      </c>
      <c r="M460" s="73"/>
      <c r="N460" s="73"/>
      <c r="O460" s="7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 x14ac:dyDescent="0.35">
      <c r="A461" s="9">
        <f t="shared" si="22"/>
        <v>453</v>
      </c>
      <c r="B461" s="15"/>
      <c r="C461" s="11">
        <f t="shared" si="21"/>
        <v>1</v>
      </c>
      <c r="D461" s="11"/>
      <c r="E461" s="11"/>
      <c r="F461" s="14"/>
      <c r="G461" s="89">
        <f>IFERROR(VLOOKUP(F461,COA!$A$1:$K$26,2,FALSE),0)</f>
        <v>0</v>
      </c>
      <c r="H461" s="11"/>
      <c r="I461" s="11"/>
      <c r="J461" s="79"/>
      <c r="K461" s="78"/>
      <c r="L461" s="146">
        <f t="shared" si="23"/>
        <v>1800000</v>
      </c>
      <c r="M461" s="73"/>
      <c r="N461" s="73"/>
      <c r="O461" s="7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 x14ac:dyDescent="0.35">
      <c r="A462" s="9">
        <f t="shared" si="22"/>
        <v>454</v>
      </c>
      <c r="B462" s="15"/>
      <c r="C462" s="11">
        <f t="shared" si="21"/>
        <v>1</v>
      </c>
      <c r="D462" s="11"/>
      <c r="E462" s="11"/>
      <c r="F462" s="14"/>
      <c r="G462" s="89">
        <f>IFERROR(VLOOKUP(F462,COA!$A$1:$K$26,2,FALSE),0)</f>
        <v>0</v>
      </c>
      <c r="H462" s="11"/>
      <c r="I462" s="11"/>
      <c r="J462" s="78"/>
      <c r="K462" s="79"/>
      <c r="L462" s="146">
        <f t="shared" si="23"/>
        <v>1800000</v>
      </c>
      <c r="M462" s="73"/>
      <c r="N462" s="73"/>
      <c r="O462" s="7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 x14ac:dyDescent="0.35">
      <c r="A463" s="9">
        <f t="shared" si="22"/>
        <v>455</v>
      </c>
      <c r="B463" s="15"/>
      <c r="C463" s="11">
        <f t="shared" si="21"/>
        <v>1</v>
      </c>
      <c r="D463" s="11"/>
      <c r="E463" s="11"/>
      <c r="F463" s="14"/>
      <c r="G463" s="89">
        <f>IFERROR(VLOOKUP(F463,COA!$A$1:$K$26,2,FALSE),0)</f>
        <v>0</v>
      </c>
      <c r="H463" s="11"/>
      <c r="I463" s="11"/>
      <c r="J463" s="78"/>
      <c r="K463" s="79"/>
      <c r="L463" s="146">
        <f t="shared" si="23"/>
        <v>1800000</v>
      </c>
      <c r="M463" s="73"/>
      <c r="N463" s="73"/>
      <c r="O463" s="7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 x14ac:dyDescent="0.35">
      <c r="A464" s="9">
        <f t="shared" si="22"/>
        <v>456</v>
      </c>
      <c r="B464" s="15"/>
      <c r="C464" s="11">
        <f t="shared" si="21"/>
        <v>1</v>
      </c>
      <c r="D464" s="11"/>
      <c r="E464" s="11"/>
      <c r="F464" s="14"/>
      <c r="G464" s="89">
        <f>IFERROR(VLOOKUP(F464,COA!$A$1:$K$26,2,FALSE),0)</f>
        <v>0</v>
      </c>
      <c r="H464" s="11"/>
      <c r="I464" s="11"/>
      <c r="J464" s="78"/>
      <c r="K464" s="79"/>
      <c r="L464" s="146">
        <f t="shared" si="23"/>
        <v>1800000</v>
      </c>
      <c r="M464" s="73"/>
      <c r="N464" s="73"/>
      <c r="O464" s="7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 x14ac:dyDescent="0.35">
      <c r="A465" s="9">
        <f t="shared" si="22"/>
        <v>457</v>
      </c>
      <c r="B465" s="15"/>
      <c r="C465" s="11">
        <f t="shared" si="21"/>
        <v>1</v>
      </c>
      <c r="D465" s="11"/>
      <c r="E465" s="11"/>
      <c r="F465" s="14"/>
      <c r="G465" s="89">
        <f>IFERROR(VLOOKUP(F465,COA!$A$1:$K$26,2,FALSE),0)</f>
        <v>0</v>
      </c>
      <c r="H465" s="11"/>
      <c r="I465" s="11"/>
      <c r="J465" s="79"/>
      <c r="K465" s="78"/>
      <c r="L465" s="146">
        <f t="shared" si="23"/>
        <v>1800000</v>
      </c>
      <c r="M465" s="73"/>
      <c r="N465" s="73"/>
      <c r="O465" s="7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 x14ac:dyDescent="0.35">
      <c r="A466" s="9">
        <f t="shared" si="22"/>
        <v>458</v>
      </c>
      <c r="B466" s="15"/>
      <c r="C466" s="11">
        <f t="shared" si="21"/>
        <v>1</v>
      </c>
      <c r="D466" s="11"/>
      <c r="E466" s="11"/>
      <c r="F466" s="14"/>
      <c r="G466" s="89">
        <f>IFERROR(VLOOKUP(F466,COA!$A$1:$K$26,2,FALSE),0)</f>
        <v>0</v>
      </c>
      <c r="H466" s="11"/>
      <c r="I466" s="11"/>
      <c r="J466" s="78"/>
      <c r="K466" s="79"/>
      <c r="L466" s="146">
        <f t="shared" si="23"/>
        <v>1800000</v>
      </c>
      <c r="M466" s="73"/>
      <c r="N466" s="73"/>
      <c r="O466" s="7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 x14ac:dyDescent="0.35">
      <c r="A467" s="9">
        <f t="shared" si="22"/>
        <v>459</v>
      </c>
      <c r="B467" s="15"/>
      <c r="C467" s="11">
        <f t="shared" si="21"/>
        <v>1</v>
      </c>
      <c r="D467" s="11"/>
      <c r="E467" s="11"/>
      <c r="F467" s="14"/>
      <c r="G467" s="89">
        <f>IFERROR(VLOOKUP(F467,COA!$A$1:$K$26,2,FALSE),0)</f>
        <v>0</v>
      </c>
      <c r="H467" s="11"/>
      <c r="I467" s="11"/>
      <c r="J467" s="78"/>
      <c r="K467" s="79"/>
      <c r="L467" s="146">
        <f t="shared" si="23"/>
        <v>1800000</v>
      </c>
      <c r="M467" s="73"/>
      <c r="N467" s="73"/>
      <c r="O467" s="7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 x14ac:dyDescent="0.35">
      <c r="A468" s="9">
        <f t="shared" si="22"/>
        <v>460</v>
      </c>
      <c r="B468" s="15"/>
      <c r="C468" s="11">
        <f t="shared" si="21"/>
        <v>1</v>
      </c>
      <c r="D468" s="11"/>
      <c r="E468" s="11"/>
      <c r="F468" s="14"/>
      <c r="G468" s="89">
        <f>IFERROR(VLOOKUP(F468,COA!$A$1:$K$26,2,FALSE),0)</f>
        <v>0</v>
      </c>
      <c r="H468" s="11"/>
      <c r="I468" s="11"/>
      <c r="J468" s="78"/>
      <c r="K468" s="79"/>
      <c r="L468" s="146">
        <f t="shared" si="23"/>
        <v>1800000</v>
      </c>
      <c r="M468" s="73"/>
      <c r="N468" s="73"/>
      <c r="O468" s="7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 x14ac:dyDescent="0.35">
      <c r="A469" s="9">
        <f t="shared" si="22"/>
        <v>461</v>
      </c>
      <c r="B469" s="15"/>
      <c r="C469" s="11">
        <f t="shared" si="21"/>
        <v>1</v>
      </c>
      <c r="D469" s="11"/>
      <c r="E469" s="11"/>
      <c r="F469" s="14"/>
      <c r="G469" s="89">
        <f>IFERROR(VLOOKUP(F469,COA!$A$1:$K$26,2,FALSE),0)</f>
        <v>0</v>
      </c>
      <c r="H469" s="11"/>
      <c r="I469" s="11"/>
      <c r="J469" s="79"/>
      <c r="K469" s="78"/>
      <c r="L469" s="146">
        <f t="shared" si="23"/>
        <v>1800000</v>
      </c>
      <c r="M469" s="73"/>
      <c r="N469" s="73"/>
      <c r="O469" s="7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 x14ac:dyDescent="0.35">
      <c r="A470" s="9">
        <f t="shared" si="22"/>
        <v>462</v>
      </c>
      <c r="B470" s="15"/>
      <c r="C470" s="11">
        <f t="shared" si="21"/>
        <v>1</v>
      </c>
      <c r="D470" s="11"/>
      <c r="E470" s="11"/>
      <c r="F470" s="14"/>
      <c r="G470" s="89">
        <f>IFERROR(VLOOKUP(F470,COA!$A$1:$K$26,2,FALSE),0)</f>
        <v>0</v>
      </c>
      <c r="H470" s="11"/>
      <c r="I470" s="11"/>
      <c r="J470" s="78"/>
      <c r="K470" s="79"/>
      <c r="L470" s="146">
        <f t="shared" si="23"/>
        <v>1800000</v>
      </c>
      <c r="M470" s="73"/>
      <c r="N470" s="73"/>
      <c r="O470" s="7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 x14ac:dyDescent="0.35">
      <c r="A471" s="9">
        <f t="shared" si="22"/>
        <v>463</v>
      </c>
      <c r="B471" s="15"/>
      <c r="C471" s="11">
        <f t="shared" si="21"/>
        <v>1</v>
      </c>
      <c r="D471" s="11"/>
      <c r="E471" s="11"/>
      <c r="F471" s="14"/>
      <c r="G471" s="89">
        <f>IFERROR(VLOOKUP(F471,COA!$A$1:$K$26,2,FALSE),0)</f>
        <v>0</v>
      </c>
      <c r="H471" s="11"/>
      <c r="I471" s="11"/>
      <c r="J471" s="78"/>
      <c r="K471" s="79"/>
      <c r="L471" s="146">
        <f t="shared" si="23"/>
        <v>1800000</v>
      </c>
      <c r="M471" s="73"/>
      <c r="N471" s="73"/>
      <c r="O471" s="7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 x14ac:dyDescent="0.35">
      <c r="A472" s="9">
        <f t="shared" si="22"/>
        <v>464</v>
      </c>
      <c r="B472" s="15"/>
      <c r="C472" s="11">
        <f t="shared" si="21"/>
        <v>1</v>
      </c>
      <c r="D472" s="11"/>
      <c r="E472" s="11"/>
      <c r="F472" s="14"/>
      <c r="G472" s="89">
        <f>IFERROR(VLOOKUP(F472,COA!$A$1:$K$26,2,FALSE),0)</f>
        <v>0</v>
      </c>
      <c r="H472" s="11"/>
      <c r="I472" s="11"/>
      <c r="J472" s="78"/>
      <c r="K472" s="79"/>
      <c r="L472" s="146">
        <f t="shared" si="23"/>
        <v>1800000</v>
      </c>
      <c r="M472" s="73"/>
      <c r="N472" s="73"/>
      <c r="O472" s="7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 x14ac:dyDescent="0.35">
      <c r="A473" s="9">
        <f t="shared" si="22"/>
        <v>465</v>
      </c>
      <c r="B473" s="15"/>
      <c r="C473" s="11">
        <f t="shared" si="21"/>
        <v>1</v>
      </c>
      <c r="D473" s="11"/>
      <c r="E473" s="11"/>
      <c r="F473" s="11"/>
      <c r="G473" s="89">
        <f>IFERROR(VLOOKUP(F473,COA!$A$1:$K$26,2,FALSE),0)</f>
        <v>0</v>
      </c>
      <c r="H473" s="13"/>
      <c r="I473" s="13"/>
      <c r="J473" s="77"/>
      <c r="K473" s="78"/>
      <c r="L473" s="146">
        <f t="shared" si="23"/>
        <v>1800000</v>
      </c>
      <c r="M473" s="73"/>
      <c r="N473" s="73"/>
      <c r="O473" s="7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 x14ac:dyDescent="0.35">
      <c r="A474" s="9">
        <f t="shared" si="22"/>
        <v>466</v>
      </c>
      <c r="B474" s="15"/>
      <c r="C474" s="11">
        <f t="shared" si="21"/>
        <v>1</v>
      </c>
      <c r="D474" s="11"/>
      <c r="E474" s="11"/>
      <c r="F474" s="14"/>
      <c r="G474" s="89">
        <f>IFERROR(VLOOKUP(F474,COA!$A$1:$K$26,2,FALSE),0)</f>
        <v>0</v>
      </c>
      <c r="H474" s="11"/>
      <c r="I474" s="11"/>
      <c r="J474" s="79"/>
      <c r="K474" s="78"/>
      <c r="L474" s="146">
        <f t="shared" si="23"/>
        <v>1800000</v>
      </c>
      <c r="M474" s="73"/>
      <c r="N474" s="73"/>
      <c r="O474" s="7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 x14ac:dyDescent="0.35">
      <c r="A475" s="9">
        <f t="shared" si="22"/>
        <v>467</v>
      </c>
      <c r="B475" s="15"/>
      <c r="C475" s="11">
        <f t="shared" si="21"/>
        <v>1</v>
      </c>
      <c r="D475" s="11"/>
      <c r="E475" s="11"/>
      <c r="F475" s="14"/>
      <c r="G475" s="89">
        <f>IFERROR(VLOOKUP(F475,COA!$A$1:$K$26,2,FALSE),0)</f>
        <v>0</v>
      </c>
      <c r="H475" s="11"/>
      <c r="I475" s="11"/>
      <c r="J475" s="78"/>
      <c r="K475" s="79"/>
      <c r="L475" s="146">
        <f t="shared" si="23"/>
        <v>1800000</v>
      </c>
      <c r="M475" s="73"/>
      <c r="N475" s="73"/>
      <c r="O475" s="7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 x14ac:dyDescent="0.35">
      <c r="A476" s="9">
        <f t="shared" si="22"/>
        <v>468</v>
      </c>
      <c r="B476" s="15"/>
      <c r="C476" s="11">
        <f t="shared" si="21"/>
        <v>1</v>
      </c>
      <c r="D476" s="11"/>
      <c r="E476" s="11"/>
      <c r="F476" s="14"/>
      <c r="G476" s="89">
        <f>IFERROR(VLOOKUP(F476,COA!$A$1:$K$26,2,FALSE),0)</f>
        <v>0</v>
      </c>
      <c r="H476" s="11"/>
      <c r="I476" s="11"/>
      <c r="J476" s="78"/>
      <c r="K476" s="79"/>
      <c r="L476" s="146">
        <f t="shared" si="23"/>
        <v>1800000</v>
      </c>
      <c r="M476" s="73"/>
      <c r="N476" s="73"/>
      <c r="O476" s="7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 x14ac:dyDescent="0.35">
      <c r="A477" s="9">
        <f t="shared" si="22"/>
        <v>469</v>
      </c>
      <c r="B477" s="15"/>
      <c r="C477" s="11">
        <f t="shared" si="21"/>
        <v>1</v>
      </c>
      <c r="D477" s="11"/>
      <c r="E477" s="11"/>
      <c r="F477" s="14"/>
      <c r="G477" s="89">
        <f>IFERROR(VLOOKUP(F477,COA!$A$1:$K$26,2,FALSE),0)</f>
        <v>0</v>
      </c>
      <c r="H477" s="11"/>
      <c r="I477" s="11"/>
      <c r="J477" s="78"/>
      <c r="K477" s="79"/>
      <c r="L477" s="146">
        <f t="shared" si="23"/>
        <v>1800000</v>
      </c>
      <c r="M477" s="73"/>
      <c r="N477" s="73"/>
      <c r="O477" s="7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 x14ac:dyDescent="0.35">
      <c r="A478" s="9">
        <f t="shared" si="22"/>
        <v>470</v>
      </c>
      <c r="B478" s="15"/>
      <c r="C478" s="11">
        <f t="shared" si="21"/>
        <v>1</v>
      </c>
      <c r="D478" s="11"/>
      <c r="E478" s="11"/>
      <c r="F478" s="14"/>
      <c r="G478" s="89">
        <f>IFERROR(VLOOKUP(F478,COA!$A$1:$K$26,2,FALSE),0)</f>
        <v>0</v>
      </c>
      <c r="H478" s="11"/>
      <c r="I478" s="11"/>
      <c r="J478" s="79"/>
      <c r="K478" s="78"/>
      <c r="L478" s="146">
        <f t="shared" si="23"/>
        <v>1800000</v>
      </c>
      <c r="M478" s="73"/>
      <c r="N478" s="73"/>
      <c r="O478" s="7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 x14ac:dyDescent="0.35">
      <c r="A479" s="9">
        <f t="shared" si="22"/>
        <v>471</v>
      </c>
      <c r="B479" s="15"/>
      <c r="C479" s="11">
        <f t="shared" si="21"/>
        <v>1</v>
      </c>
      <c r="D479" s="11"/>
      <c r="E479" s="11"/>
      <c r="F479" s="14"/>
      <c r="G479" s="89">
        <f>IFERROR(VLOOKUP(F479,COA!$A$1:$K$26,2,FALSE),0)</f>
        <v>0</v>
      </c>
      <c r="H479" s="11"/>
      <c r="I479" s="11"/>
      <c r="J479" s="78"/>
      <c r="K479" s="79"/>
      <c r="L479" s="146">
        <f t="shared" si="23"/>
        <v>1800000</v>
      </c>
      <c r="M479" s="73"/>
      <c r="N479" s="73"/>
      <c r="O479" s="7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 x14ac:dyDescent="0.35">
      <c r="A480" s="9">
        <f t="shared" si="22"/>
        <v>472</v>
      </c>
      <c r="B480" s="15"/>
      <c r="C480" s="11">
        <f t="shared" si="21"/>
        <v>1</v>
      </c>
      <c r="D480" s="11"/>
      <c r="E480" s="11"/>
      <c r="F480" s="14"/>
      <c r="G480" s="89">
        <f>IFERROR(VLOOKUP(F480,COA!$A$1:$K$26,2,FALSE),0)</f>
        <v>0</v>
      </c>
      <c r="H480" s="11"/>
      <c r="I480" s="11"/>
      <c r="J480" s="78"/>
      <c r="K480" s="79"/>
      <c r="L480" s="146">
        <f t="shared" si="23"/>
        <v>1800000</v>
      </c>
      <c r="M480" s="73"/>
      <c r="N480" s="73"/>
      <c r="O480" s="7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 x14ac:dyDescent="0.35">
      <c r="A481" s="9">
        <f t="shared" si="22"/>
        <v>473</v>
      </c>
      <c r="B481" s="15"/>
      <c r="C481" s="11">
        <f t="shared" si="21"/>
        <v>1</v>
      </c>
      <c r="D481" s="11"/>
      <c r="E481" s="11"/>
      <c r="F481" s="14"/>
      <c r="G481" s="89">
        <f>IFERROR(VLOOKUP(F481,COA!$A$1:$K$26,2,FALSE),0)</f>
        <v>0</v>
      </c>
      <c r="H481" s="11"/>
      <c r="I481" s="11"/>
      <c r="J481" s="78"/>
      <c r="K481" s="79"/>
      <c r="L481" s="146">
        <f t="shared" si="23"/>
        <v>1800000</v>
      </c>
      <c r="M481" s="73"/>
      <c r="N481" s="73"/>
      <c r="O481" s="7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 x14ac:dyDescent="0.35">
      <c r="A482" s="9">
        <f t="shared" si="22"/>
        <v>474</v>
      </c>
      <c r="B482" s="15"/>
      <c r="C482" s="11">
        <f t="shared" si="21"/>
        <v>1</v>
      </c>
      <c r="D482" s="11"/>
      <c r="E482" s="11"/>
      <c r="F482" s="11"/>
      <c r="G482" s="89">
        <f>IFERROR(VLOOKUP(F482,COA!$A$1:$K$26,2,FALSE),0)</f>
        <v>0</v>
      </c>
      <c r="H482" s="11"/>
      <c r="I482" s="11"/>
      <c r="J482" s="81"/>
      <c r="K482" s="81"/>
      <c r="L482" s="146">
        <f t="shared" si="23"/>
        <v>1800000</v>
      </c>
      <c r="M482" s="73"/>
      <c r="N482" s="73"/>
      <c r="O482" s="7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 x14ac:dyDescent="0.35">
      <c r="A483" s="9">
        <f t="shared" si="22"/>
        <v>475</v>
      </c>
      <c r="B483" s="15"/>
      <c r="C483" s="11">
        <f t="shared" si="21"/>
        <v>1</v>
      </c>
      <c r="D483" s="11"/>
      <c r="E483" s="11"/>
      <c r="F483" s="14"/>
      <c r="G483" s="89">
        <f>IFERROR(VLOOKUP(F483,COA!$A$1:$K$26,2,FALSE),0)</f>
        <v>0</v>
      </c>
      <c r="H483" s="11"/>
      <c r="I483" s="11"/>
      <c r="J483" s="79"/>
      <c r="K483" s="78"/>
      <c r="L483" s="146">
        <f t="shared" si="23"/>
        <v>1800000</v>
      </c>
      <c r="M483" s="73"/>
      <c r="N483" s="73"/>
      <c r="O483" s="7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 x14ac:dyDescent="0.35">
      <c r="A484" s="9">
        <f t="shared" si="22"/>
        <v>476</v>
      </c>
      <c r="B484" s="15"/>
      <c r="C484" s="11">
        <f t="shared" si="21"/>
        <v>1</v>
      </c>
      <c r="D484" s="11"/>
      <c r="E484" s="11"/>
      <c r="F484" s="14"/>
      <c r="G484" s="89">
        <f>IFERROR(VLOOKUP(F484,COA!$A$1:$K$26,2,FALSE),0)</f>
        <v>0</v>
      </c>
      <c r="H484" s="11"/>
      <c r="I484" s="11"/>
      <c r="J484" s="78"/>
      <c r="K484" s="79"/>
      <c r="L484" s="146">
        <f t="shared" si="23"/>
        <v>1800000</v>
      </c>
      <c r="M484" s="73"/>
      <c r="N484" s="73"/>
      <c r="O484" s="7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 x14ac:dyDescent="0.35">
      <c r="A485" s="9">
        <f t="shared" si="22"/>
        <v>477</v>
      </c>
      <c r="B485" s="15"/>
      <c r="C485" s="11">
        <f t="shared" si="21"/>
        <v>1</v>
      </c>
      <c r="D485" s="11"/>
      <c r="E485" s="11"/>
      <c r="F485" s="14"/>
      <c r="G485" s="89">
        <f>IFERROR(VLOOKUP(F485,COA!$A$1:$K$26,2,FALSE),0)</f>
        <v>0</v>
      </c>
      <c r="H485" s="11"/>
      <c r="I485" s="11"/>
      <c r="J485" s="78"/>
      <c r="K485" s="79"/>
      <c r="L485" s="146">
        <f t="shared" si="23"/>
        <v>1800000</v>
      </c>
      <c r="M485" s="73"/>
      <c r="N485" s="73"/>
      <c r="O485" s="7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 x14ac:dyDescent="0.35">
      <c r="A486" s="9">
        <f t="shared" si="22"/>
        <v>478</v>
      </c>
      <c r="B486" s="15"/>
      <c r="C486" s="11">
        <f t="shared" si="21"/>
        <v>1</v>
      </c>
      <c r="D486" s="11"/>
      <c r="E486" s="11"/>
      <c r="F486" s="14"/>
      <c r="G486" s="89">
        <f>IFERROR(VLOOKUP(F486,COA!$A$1:$K$26,2,FALSE),0)</f>
        <v>0</v>
      </c>
      <c r="H486" s="11"/>
      <c r="I486" s="11"/>
      <c r="J486" s="78"/>
      <c r="K486" s="79"/>
      <c r="L486" s="146">
        <f t="shared" si="23"/>
        <v>1800000</v>
      </c>
      <c r="M486" s="73"/>
      <c r="N486" s="73"/>
      <c r="O486" s="7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 x14ac:dyDescent="0.35">
      <c r="A487" s="9">
        <f t="shared" si="22"/>
        <v>479</v>
      </c>
      <c r="B487" s="15"/>
      <c r="C487" s="11">
        <f t="shared" si="21"/>
        <v>1</v>
      </c>
      <c r="D487" s="11"/>
      <c r="E487" s="11"/>
      <c r="F487" s="11"/>
      <c r="G487" s="89">
        <f>IFERROR(VLOOKUP(F487,COA!$A$1:$K$26,2,FALSE),0)</f>
        <v>0</v>
      </c>
      <c r="H487" s="11"/>
      <c r="I487" s="11"/>
      <c r="J487" s="78"/>
      <c r="K487" s="78"/>
      <c r="L487" s="146">
        <f t="shared" si="23"/>
        <v>1800000</v>
      </c>
      <c r="M487" s="73"/>
      <c r="N487" s="73"/>
      <c r="O487" s="7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 x14ac:dyDescent="0.35">
      <c r="A488" s="9">
        <f t="shared" si="22"/>
        <v>480</v>
      </c>
      <c r="B488" s="15"/>
      <c r="C488" s="11">
        <f t="shared" si="21"/>
        <v>1</v>
      </c>
      <c r="D488" s="11"/>
      <c r="E488" s="11"/>
      <c r="F488" s="11"/>
      <c r="G488" s="89">
        <f>IFERROR(VLOOKUP(F488,COA!$A$1:$K$26,2,FALSE),0)</f>
        <v>0</v>
      </c>
      <c r="H488" s="11"/>
      <c r="I488" s="11"/>
      <c r="J488" s="78"/>
      <c r="K488" s="78"/>
      <c r="L488" s="146">
        <f t="shared" si="23"/>
        <v>1800000</v>
      </c>
      <c r="M488" s="73"/>
      <c r="N488" s="73"/>
      <c r="O488" s="7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 x14ac:dyDescent="0.35">
      <c r="A489" s="9">
        <f t="shared" si="22"/>
        <v>481</v>
      </c>
      <c r="B489" s="15"/>
      <c r="C489" s="11">
        <f t="shared" si="21"/>
        <v>1</v>
      </c>
      <c r="D489" s="11"/>
      <c r="E489" s="11"/>
      <c r="F489" s="11"/>
      <c r="G489" s="89">
        <f>IFERROR(VLOOKUP(F489,COA!$A$1:$K$26,2,FALSE),0)</f>
        <v>0</v>
      </c>
      <c r="H489" s="13"/>
      <c r="I489" s="13"/>
      <c r="J489" s="78"/>
      <c r="K489" s="78"/>
      <c r="L489" s="146">
        <f t="shared" si="23"/>
        <v>1800000</v>
      </c>
      <c r="M489" s="73"/>
      <c r="N489" s="73"/>
      <c r="O489" s="7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 x14ac:dyDescent="0.35">
      <c r="A490" s="9">
        <f t="shared" si="22"/>
        <v>482</v>
      </c>
      <c r="B490" s="15"/>
      <c r="C490" s="11">
        <f t="shared" si="21"/>
        <v>1</v>
      </c>
      <c r="D490" s="11"/>
      <c r="E490" s="11"/>
      <c r="F490" s="11"/>
      <c r="G490" s="89">
        <f>IFERROR(VLOOKUP(F490,COA!$A$1:$K$26,2,FALSE),0)</f>
        <v>0</v>
      </c>
      <c r="H490" s="11"/>
      <c r="I490" s="11"/>
      <c r="J490" s="78"/>
      <c r="K490" s="78"/>
      <c r="L490" s="146">
        <f t="shared" si="23"/>
        <v>1800000</v>
      </c>
      <c r="M490" s="73"/>
      <c r="N490" s="73"/>
      <c r="O490" s="7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 x14ac:dyDescent="0.35">
      <c r="A491" s="9">
        <f t="shared" si="22"/>
        <v>483</v>
      </c>
      <c r="B491" s="15"/>
      <c r="C491" s="11">
        <f t="shared" si="21"/>
        <v>1</v>
      </c>
      <c r="D491" s="11"/>
      <c r="E491" s="11"/>
      <c r="F491" s="11"/>
      <c r="G491" s="89">
        <f>IFERROR(VLOOKUP(F491,COA!$A$1:$K$26,2,FALSE),0)</f>
        <v>0</v>
      </c>
      <c r="H491" s="11"/>
      <c r="I491" s="11"/>
      <c r="J491" s="78"/>
      <c r="K491" s="78"/>
      <c r="L491" s="146">
        <f t="shared" si="23"/>
        <v>1800000</v>
      </c>
      <c r="M491" s="73"/>
      <c r="N491" s="73"/>
      <c r="O491" s="7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 x14ac:dyDescent="0.35">
      <c r="A492" s="9">
        <f t="shared" si="22"/>
        <v>484</v>
      </c>
      <c r="B492" s="15"/>
      <c r="C492" s="11">
        <f t="shared" si="21"/>
        <v>1</v>
      </c>
      <c r="D492" s="11"/>
      <c r="E492" s="11"/>
      <c r="F492" s="11"/>
      <c r="G492" s="89">
        <f>IFERROR(VLOOKUP(F492,COA!$A$1:$K$26,2,FALSE),0)</f>
        <v>0</v>
      </c>
      <c r="H492" s="11"/>
      <c r="I492" s="11"/>
      <c r="J492" s="78"/>
      <c r="K492" s="78"/>
      <c r="L492" s="146">
        <f t="shared" si="23"/>
        <v>1800000</v>
      </c>
      <c r="M492" s="73"/>
      <c r="N492" s="73"/>
      <c r="O492" s="7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 x14ac:dyDescent="0.35">
      <c r="A493" s="9">
        <f t="shared" si="22"/>
        <v>485</v>
      </c>
      <c r="B493" s="15"/>
      <c r="C493" s="11">
        <f t="shared" si="21"/>
        <v>1</v>
      </c>
      <c r="D493" s="11"/>
      <c r="E493" s="11"/>
      <c r="F493" s="11"/>
      <c r="G493" s="89">
        <f>IFERROR(VLOOKUP(F493,COA!$A$1:$K$26,2,FALSE),0)</f>
        <v>0</v>
      </c>
      <c r="H493" s="11"/>
      <c r="I493" s="11"/>
      <c r="J493" s="78"/>
      <c r="K493" s="78"/>
      <c r="L493" s="146">
        <f t="shared" si="23"/>
        <v>1800000</v>
      </c>
      <c r="M493" s="73"/>
      <c r="N493" s="73"/>
      <c r="O493" s="7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 x14ac:dyDescent="0.35">
      <c r="A494" s="9">
        <f t="shared" si="22"/>
        <v>486</v>
      </c>
      <c r="B494" s="15"/>
      <c r="C494" s="11">
        <f t="shared" si="21"/>
        <v>1</v>
      </c>
      <c r="D494" s="11"/>
      <c r="E494" s="11"/>
      <c r="F494" s="11"/>
      <c r="G494" s="89">
        <f>IFERROR(VLOOKUP(F494,COA!$A$1:$K$26,2,FALSE),0)</f>
        <v>0</v>
      </c>
      <c r="H494" s="11"/>
      <c r="I494" s="11"/>
      <c r="J494" s="78"/>
      <c r="K494" s="78"/>
      <c r="L494" s="146">
        <f t="shared" si="23"/>
        <v>1800000</v>
      </c>
      <c r="M494" s="73"/>
      <c r="N494" s="73"/>
      <c r="O494" s="7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 x14ac:dyDescent="0.35">
      <c r="A495" s="9">
        <f t="shared" si="22"/>
        <v>487</v>
      </c>
      <c r="B495" s="15"/>
      <c r="C495" s="11">
        <f t="shared" si="21"/>
        <v>1</v>
      </c>
      <c r="D495" s="11"/>
      <c r="E495" s="11"/>
      <c r="F495" s="11"/>
      <c r="G495" s="89">
        <f>IFERROR(VLOOKUP(F495,COA!$A$1:$K$26,2,FALSE),0)</f>
        <v>0</v>
      </c>
      <c r="H495" s="11"/>
      <c r="I495" s="11"/>
      <c r="J495" s="78"/>
      <c r="K495" s="78"/>
      <c r="L495" s="146">
        <f t="shared" si="23"/>
        <v>1800000</v>
      </c>
      <c r="M495" s="73"/>
      <c r="N495" s="73"/>
      <c r="O495" s="7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 x14ac:dyDescent="0.35">
      <c r="A496" s="9">
        <f t="shared" si="22"/>
        <v>488</v>
      </c>
      <c r="B496" s="15"/>
      <c r="C496" s="11">
        <f t="shared" si="21"/>
        <v>1</v>
      </c>
      <c r="D496" s="11"/>
      <c r="E496" s="11"/>
      <c r="F496" s="11"/>
      <c r="G496" s="89">
        <f>IFERROR(VLOOKUP(F496,COA!$A$1:$K$26,2,FALSE),0)</f>
        <v>0</v>
      </c>
      <c r="H496" s="11"/>
      <c r="I496" s="11"/>
      <c r="J496" s="78"/>
      <c r="K496" s="78"/>
      <c r="L496" s="146">
        <f t="shared" si="23"/>
        <v>1800000</v>
      </c>
      <c r="M496" s="73"/>
      <c r="N496" s="73"/>
      <c r="O496" s="7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 x14ac:dyDescent="0.35">
      <c r="A497" s="9">
        <f t="shared" si="22"/>
        <v>489</v>
      </c>
      <c r="B497" s="15"/>
      <c r="C497" s="11">
        <f t="shared" si="21"/>
        <v>1</v>
      </c>
      <c r="D497" s="11"/>
      <c r="E497" s="11"/>
      <c r="F497" s="11"/>
      <c r="G497" s="89">
        <f>IFERROR(VLOOKUP(F497,COA!$A$1:$K$26,2,FALSE),0)</f>
        <v>0</v>
      </c>
      <c r="H497" s="13"/>
      <c r="I497" s="13"/>
      <c r="J497" s="78"/>
      <c r="K497" s="78"/>
      <c r="L497" s="146">
        <f t="shared" si="23"/>
        <v>1800000</v>
      </c>
      <c r="M497" s="73"/>
      <c r="N497" s="73"/>
      <c r="O497" s="7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 x14ac:dyDescent="0.35">
      <c r="A498" s="9">
        <f t="shared" si="22"/>
        <v>490</v>
      </c>
      <c r="B498" s="15"/>
      <c r="C498" s="11">
        <f t="shared" si="21"/>
        <v>1</v>
      </c>
      <c r="D498" s="11"/>
      <c r="E498" s="11"/>
      <c r="F498" s="11"/>
      <c r="G498" s="89">
        <f>IFERROR(VLOOKUP(F498,COA!$A$1:$K$26,2,FALSE),0)</f>
        <v>0</v>
      </c>
      <c r="H498" s="11"/>
      <c r="I498" s="11"/>
      <c r="J498" s="78"/>
      <c r="K498" s="78"/>
      <c r="L498" s="146">
        <f t="shared" si="23"/>
        <v>1800000</v>
      </c>
      <c r="M498" s="73"/>
      <c r="N498" s="73"/>
      <c r="O498" s="7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 x14ac:dyDescent="0.35">
      <c r="A499" s="9">
        <f t="shared" si="22"/>
        <v>491</v>
      </c>
      <c r="B499" s="15"/>
      <c r="C499" s="11">
        <f t="shared" si="21"/>
        <v>1</v>
      </c>
      <c r="D499" s="11"/>
      <c r="E499" s="11"/>
      <c r="F499" s="11"/>
      <c r="G499" s="89">
        <f>IFERROR(VLOOKUP(F499,COA!$A$1:$K$26,2,FALSE),0)</f>
        <v>0</v>
      </c>
      <c r="H499" s="13"/>
      <c r="I499" s="13"/>
      <c r="J499" s="78"/>
      <c r="K499" s="78"/>
      <c r="L499" s="146">
        <f t="shared" si="23"/>
        <v>1800000</v>
      </c>
      <c r="M499" s="73"/>
      <c r="N499" s="73"/>
      <c r="O499" s="7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35">
      <c r="A500" s="9">
        <f t="shared" si="22"/>
        <v>492</v>
      </c>
      <c r="B500" s="15"/>
      <c r="C500" s="11">
        <f t="shared" si="21"/>
        <v>1</v>
      </c>
      <c r="D500" s="11"/>
      <c r="E500" s="11"/>
      <c r="F500" s="11"/>
      <c r="G500" s="89">
        <f>IFERROR(VLOOKUP(F500,COA!$A$1:$K$26,2,FALSE),0)</f>
        <v>0</v>
      </c>
      <c r="H500" s="11"/>
      <c r="I500" s="11"/>
      <c r="J500" s="78"/>
      <c r="K500" s="78"/>
      <c r="L500" s="146">
        <f t="shared" si="23"/>
        <v>1800000</v>
      </c>
      <c r="M500" s="73"/>
      <c r="N500" s="73"/>
      <c r="O500" s="7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4.25" customHeight="1" x14ac:dyDescent="0.35">
      <c r="A501" s="9">
        <f t="shared" si="22"/>
        <v>493</v>
      </c>
      <c r="B501" s="15"/>
      <c r="C501" s="11">
        <f t="shared" si="21"/>
        <v>1</v>
      </c>
      <c r="D501" s="11"/>
      <c r="E501" s="11"/>
      <c r="F501" s="11"/>
      <c r="G501" s="89">
        <f>IFERROR(VLOOKUP(F501,COA!$A$1:$K$26,2,FALSE),0)</f>
        <v>0</v>
      </c>
      <c r="H501" s="11"/>
      <c r="I501" s="11"/>
      <c r="J501" s="78"/>
      <c r="K501" s="78"/>
      <c r="L501" s="146">
        <f t="shared" si="23"/>
        <v>1800000</v>
      </c>
      <c r="M501" s="73"/>
      <c r="N501" s="73"/>
      <c r="O501" s="7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4.25" customHeight="1" x14ac:dyDescent="0.35">
      <c r="A502" s="9">
        <f t="shared" si="22"/>
        <v>494</v>
      </c>
      <c r="B502" s="15"/>
      <c r="C502" s="11">
        <f t="shared" si="21"/>
        <v>1</v>
      </c>
      <c r="D502" s="11"/>
      <c r="E502" s="11"/>
      <c r="F502" s="11"/>
      <c r="G502" s="89">
        <f>IFERROR(VLOOKUP(F502,COA!$A$1:$K$26,2,FALSE),0)</f>
        <v>0</v>
      </c>
      <c r="H502" s="11"/>
      <c r="I502" s="11"/>
      <c r="J502" s="78"/>
      <c r="K502" s="78"/>
      <c r="L502" s="146">
        <f t="shared" si="23"/>
        <v>1800000</v>
      </c>
      <c r="M502" s="73"/>
      <c r="N502" s="73"/>
      <c r="O502" s="7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4.25" customHeight="1" x14ac:dyDescent="0.35">
      <c r="A503" s="9">
        <f t="shared" si="22"/>
        <v>495</v>
      </c>
      <c r="B503" s="15"/>
      <c r="C503" s="11">
        <f t="shared" si="21"/>
        <v>1</v>
      </c>
      <c r="D503" s="11"/>
      <c r="E503" s="11"/>
      <c r="F503" s="11"/>
      <c r="G503" s="89">
        <f>IFERROR(VLOOKUP(F503,COA!$A$1:$K$26,2,FALSE),0)</f>
        <v>0</v>
      </c>
      <c r="H503" s="11"/>
      <c r="I503" s="11"/>
      <c r="J503" s="78"/>
      <c r="K503" s="78"/>
      <c r="L503" s="146">
        <f t="shared" si="23"/>
        <v>1800000</v>
      </c>
      <c r="M503" s="73"/>
      <c r="N503" s="73"/>
      <c r="O503" s="7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4.25" customHeight="1" x14ac:dyDescent="0.35">
      <c r="A504" s="9">
        <f t="shared" si="22"/>
        <v>496</v>
      </c>
      <c r="B504" s="15"/>
      <c r="C504" s="11">
        <f t="shared" si="21"/>
        <v>1</v>
      </c>
      <c r="D504" s="11"/>
      <c r="E504" s="11"/>
      <c r="F504" s="11"/>
      <c r="G504" s="89">
        <f>IFERROR(VLOOKUP(F504,COA!$A$1:$K$26,2,FALSE),0)</f>
        <v>0</v>
      </c>
      <c r="H504" s="11"/>
      <c r="I504" s="11"/>
      <c r="J504" s="78"/>
      <c r="K504" s="78"/>
      <c r="L504" s="146">
        <f t="shared" si="23"/>
        <v>1800000</v>
      </c>
      <c r="M504" s="73"/>
      <c r="N504" s="73"/>
      <c r="O504" s="7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4.25" customHeight="1" x14ac:dyDescent="0.35">
      <c r="A505" s="9">
        <f t="shared" si="22"/>
        <v>497</v>
      </c>
      <c r="B505" s="15"/>
      <c r="C505" s="11">
        <f t="shared" si="21"/>
        <v>1</v>
      </c>
      <c r="D505" s="11"/>
      <c r="E505" s="11"/>
      <c r="F505" s="11"/>
      <c r="G505" s="89">
        <f>IFERROR(VLOOKUP(F505,COA!$A$1:$K$26,2,FALSE),0)</f>
        <v>0</v>
      </c>
      <c r="H505" s="11"/>
      <c r="I505" s="11"/>
      <c r="J505" s="78"/>
      <c r="K505" s="78"/>
      <c r="L505" s="146">
        <f t="shared" si="23"/>
        <v>1800000</v>
      </c>
      <c r="M505" s="73"/>
      <c r="N505" s="73"/>
      <c r="O505" s="7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4.25" customHeight="1" x14ac:dyDescent="0.35">
      <c r="A506" s="9">
        <f t="shared" si="22"/>
        <v>498</v>
      </c>
      <c r="B506" s="15"/>
      <c r="C506" s="11">
        <f t="shared" si="21"/>
        <v>1</v>
      </c>
      <c r="D506" s="11"/>
      <c r="E506" s="11"/>
      <c r="F506" s="11"/>
      <c r="G506" s="89">
        <f>IFERROR(VLOOKUP(F506,COA!$A$1:$K$26,2,FALSE),0)</f>
        <v>0</v>
      </c>
      <c r="H506" s="11"/>
      <c r="I506" s="11"/>
      <c r="J506" s="78"/>
      <c r="K506" s="78"/>
      <c r="L506" s="146">
        <f t="shared" si="23"/>
        <v>1800000</v>
      </c>
      <c r="M506" s="73"/>
      <c r="N506" s="73"/>
      <c r="O506" s="7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4.25" customHeight="1" x14ac:dyDescent="0.35">
      <c r="A507" s="9">
        <f t="shared" si="22"/>
        <v>499</v>
      </c>
      <c r="B507" s="15"/>
      <c r="C507" s="11">
        <f t="shared" si="21"/>
        <v>1</v>
      </c>
      <c r="D507" s="11"/>
      <c r="E507" s="11"/>
      <c r="F507" s="11"/>
      <c r="G507" s="89">
        <f>IFERROR(VLOOKUP(F507,COA!$A$1:$K$26,2,FALSE),0)</f>
        <v>0</v>
      </c>
      <c r="H507" s="11"/>
      <c r="I507" s="11"/>
      <c r="J507" s="78"/>
      <c r="K507" s="78"/>
      <c r="L507" s="146">
        <f t="shared" si="23"/>
        <v>1800000</v>
      </c>
      <c r="M507" s="73"/>
      <c r="N507" s="73"/>
      <c r="O507" s="7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4.25" customHeight="1" x14ac:dyDescent="0.35">
      <c r="A508" s="9">
        <f t="shared" si="22"/>
        <v>500</v>
      </c>
      <c r="B508" s="15"/>
      <c r="C508" s="11">
        <f t="shared" si="21"/>
        <v>1</v>
      </c>
      <c r="D508" s="11"/>
      <c r="E508" s="11"/>
      <c r="F508" s="11"/>
      <c r="G508" s="89">
        <f>IFERROR(VLOOKUP(F508,COA!$A$1:$K$26,2,FALSE),0)</f>
        <v>0</v>
      </c>
      <c r="H508" s="11"/>
      <c r="I508" s="11"/>
      <c r="J508" s="78"/>
      <c r="K508" s="78"/>
      <c r="L508" s="146">
        <f t="shared" si="23"/>
        <v>1800000</v>
      </c>
      <c r="M508" s="73"/>
      <c r="N508" s="73"/>
      <c r="O508" s="7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4.25" customHeight="1" x14ac:dyDescent="0.35">
      <c r="A509" s="9">
        <f t="shared" si="22"/>
        <v>501</v>
      </c>
      <c r="B509" s="15"/>
      <c r="C509" s="11">
        <f t="shared" si="21"/>
        <v>1</v>
      </c>
      <c r="D509" s="11"/>
      <c r="E509" s="11"/>
      <c r="F509" s="11"/>
      <c r="G509" s="89">
        <f>IFERROR(VLOOKUP(F509,COA!$A$1:$K$26,2,FALSE),0)</f>
        <v>0</v>
      </c>
      <c r="H509" s="11"/>
      <c r="I509" s="11"/>
      <c r="J509" s="78"/>
      <c r="K509" s="78"/>
      <c r="L509" s="146">
        <f t="shared" si="23"/>
        <v>1800000</v>
      </c>
      <c r="M509" s="73"/>
      <c r="N509" s="73"/>
      <c r="O509" s="7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4.25" customHeight="1" x14ac:dyDescent="0.35">
      <c r="A510" s="9">
        <f t="shared" si="22"/>
        <v>502</v>
      </c>
      <c r="B510" s="15"/>
      <c r="C510" s="11">
        <f t="shared" si="21"/>
        <v>1</v>
      </c>
      <c r="D510" s="11"/>
      <c r="E510" s="11"/>
      <c r="F510" s="11"/>
      <c r="G510" s="89">
        <f>IFERROR(VLOOKUP(F510,COA!$A$1:$K$26,2,FALSE),0)</f>
        <v>0</v>
      </c>
      <c r="H510" s="11"/>
      <c r="I510" s="11"/>
      <c r="J510" s="78"/>
      <c r="K510" s="78"/>
      <c r="L510" s="146">
        <f t="shared" si="23"/>
        <v>1800000</v>
      </c>
      <c r="M510" s="73"/>
      <c r="N510" s="73"/>
      <c r="O510" s="7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4.25" customHeight="1" x14ac:dyDescent="0.35">
      <c r="A511" s="9">
        <f t="shared" si="22"/>
        <v>503</v>
      </c>
      <c r="B511" s="15"/>
      <c r="C511" s="11">
        <f t="shared" si="21"/>
        <v>1</v>
      </c>
      <c r="D511" s="11"/>
      <c r="E511" s="11"/>
      <c r="F511" s="11"/>
      <c r="G511" s="89">
        <f>IFERROR(VLOOKUP(F511,COA!$A$1:$K$26,2,FALSE),0)</f>
        <v>0</v>
      </c>
      <c r="H511" s="11"/>
      <c r="I511" s="11"/>
      <c r="J511" s="78"/>
      <c r="K511" s="78"/>
      <c r="L511" s="146">
        <f t="shared" si="23"/>
        <v>1800000</v>
      </c>
      <c r="M511" s="73"/>
      <c r="N511" s="73"/>
      <c r="O511" s="7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4.25" customHeight="1" x14ac:dyDescent="0.35">
      <c r="A512" s="9">
        <f t="shared" si="22"/>
        <v>504</v>
      </c>
      <c r="B512" s="15"/>
      <c r="C512" s="11">
        <f t="shared" si="21"/>
        <v>1</v>
      </c>
      <c r="D512" s="11"/>
      <c r="E512" s="11"/>
      <c r="F512" s="11"/>
      <c r="G512" s="89">
        <f>IFERROR(VLOOKUP(F512,COA!$A$1:$K$26,2,FALSE),0)</f>
        <v>0</v>
      </c>
      <c r="H512" s="11"/>
      <c r="I512" s="11"/>
      <c r="J512" s="78"/>
      <c r="K512" s="78"/>
      <c r="L512" s="146">
        <f t="shared" si="23"/>
        <v>1800000</v>
      </c>
      <c r="M512" s="73"/>
      <c r="N512" s="73"/>
      <c r="O512" s="7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 x14ac:dyDescent="0.35">
      <c r="A513" s="9">
        <f t="shared" si="22"/>
        <v>505</v>
      </c>
      <c r="B513" s="15"/>
      <c r="C513" s="11">
        <f t="shared" si="21"/>
        <v>1</v>
      </c>
      <c r="D513" s="11"/>
      <c r="E513" s="11"/>
      <c r="F513" s="11"/>
      <c r="G513" s="89">
        <f>IFERROR(VLOOKUP(F513,COA!$A$1:$K$26,2,FALSE),0)</f>
        <v>0</v>
      </c>
      <c r="H513" s="11"/>
      <c r="I513" s="11"/>
      <c r="J513" s="78"/>
      <c r="K513" s="78"/>
      <c r="L513" s="146">
        <f t="shared" si="23"/>
        <v>1800000</v>
      </c>
      <c r="M513" s="73"/>
      <c r="N513" s="73"/>
      <c r="O513" s="7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 x14ac:dyDescent="0.35">
      <c r="A514" s="9">
        <f t="shared" si="22"/>
        <v>506</v>
      </c>
      <c r="B514" s="15"/>
      <c r="C514" s="11">
        <f t="shared" si="21"/>
        <v>1</v>
      </c>
      <c r="D514" s="11"/>
      <c r="E514" s="11"/>
      <c r="F514" s="11"/>
      <c r="G514" s="89">
        <f>IFERROR(VLOOKUP(F514,COA!$A$1:$K$26,2,FALSE),0)</f>
        <v>0</v>
      </c>
      <c r="H514" s="11"/>
      <c r="I514" s="11"/>
      <c r="J514" s="78"/>
      <c r="K514" s="78"/>
      <c r="L514" s="146">
        <f t="shared" si="23"/>
        <v>1800000</v>
      </c>
      <c r="M514" s="73"/>
      <c r="N514" s="73"/>
      <c r="O514" s="7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 x14ac:dyDescent="0.35">
      <c r="A515" s="9">
        <f t="shared" si="22"/>
        <v>507</v>
      </c>
      <c r="B515" s="15"/>
      <c r="C515" s="11">
        <f t="shared" si="21"/>
        <v>1</v>
      </c>
      <c r="D515" s="11"/>
      <c r="E515" s="11"/>
      <c r="F515" s="11"/>
      <c r="G515" s="89">
        <f>IFERROR(VLOOKUP(F515,COA!$A$1:$K$26,2,FALSE),0)</f>
        <v>0</v>
      </c>
      <c r="H515" s="11"/>
      <c r="I515" s="11"/>
      <c r="J515" s="78"/>
      <c r="K515" s="78"/>
      <c r="L515" s="146">
        <f t="shared" si="23"/>
        <v>1800000</v>
      </c>
      <c r="M515" s="73"/>
      <c r="N515" s="73"/>
      <c r="O515" s="7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 x14ac:dyDescent="0.35">
      <c r="A516" s="9">
        <f t="shared" si="22"/>
        <v>508</v>
      </c>
      <c r="B516" s="15"/>
      <c r="C516" s="11">
        <f t="shared" si="21"/>
        <v>1</v>
      </c>
      <c r="D516" s="11"/>
      <c r="E516" s="11"/>
      <c r="F516" s="11"/>
      <c r="G516" s="89">
        <f>IFERROR(VLOOKUP(F516,COA!$A$1:$K$26,2,FALSE),0)</f>
        <v>0</v>
      </c>
      <c r="H516" s="11"/>
      <c r="I516" s="11"/>
      <c r="J516" s="78"/>
      <c r="K516" s="78"/>
      <c r="L516" s="146">
        <f t="shared" si="23"/>
        <v>1800000</v>
      </c>
      <c r="M516" s="73"/>
      <c r="N516" s="73"/>
      <c r="O516" s="7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 x14ac:dyDescent="0.35">
      <c r="A517" s="9">
        <f t="shared" si="22"/>
        <v>509</v>
      </c>
      <c r="B517" s="15"/>
      <c r="C517" s="11">
        <f t="shared" si="21"/>
        <v>1</v>
      </c>
      <c r="D517" s="11"/>
      <c r="E517" s="11"/>
      <c r="F517" s="11"/>
      <c r="G517" s="89">
        <f>IFERROR(VLOOKUP(F517,COA!$A$1:$K$26,2,FALSE),0)</f>
        <v>0</v>
      </c>
      <c r="H517" s="11"/>
      <c r="I517" s="11"/>
      <c r="J517" s="78"/>
      <c r="K517" s="78"/>
      <c r="L517" s="146">
        <f t="shared" si="23"/>
        <v>1800000</v>
      </c>
      <c r="M517" s="73"/>
      <c r="N517" s="73"/>
      <c r="O517" s="7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 x14ac:dyDescent="0.35">
      <c r="A518" s="9">
        <f t="shared" si="22"/>
        <v>510</v>
      </c>
      <c r="B518" s="15"/>
      <c r="C518" s="11">
        <f t="shared" si="21"/>
        <v>1</v>
      </c>
      <c r="D518" s="11"/>
      <c r="E518" s="11"/>
      <c r="F518" s="11"/>
      <c r="G518" s="89">
        <f>IFERROR(VLOOKUP(F518,COA!$A$1:$K$26,2,FALSE),0)</f>
        <v>0</v>
      </c>
      <c r="H518" s="11"/>
      <c r="I518" s="11"/>
      <c r="J518" s="78"/>
      <c r="K518" s="78"/>
      <c r="L518" s="146">
        <f t="shared" si="23"/>
        <v>1800000</v>
      </c>
      <c r="M518" s="73"/>
      <c r="N518" s="73"/>
      <c r="O518" s="7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 x14ac:dyDescent="0.35">
      <c r="A519" s="9">
        <f t="shared" si="22"/>
        <v>511</v>
      </c>
      <c r="B519" s="15"/>
      <c r="C519" s="11">
        <f t="shared" si="21"/>
        <v>1</v>
      </c>
      <c r="D519" s="11"/>
      <c r="E519" s="11"/>
      <c r="F519" s="11"/>
      <c r="G519" s="89">
        <f>IFERROR(VLOOKUP(F519,COA!$A$1:$K$26,2,FALSE),0)</f>
        <v>0</v>
      </c>
      <c r="H519" s="11"/>
      <c r="I519" s="11"/>
      <c r="J519" s="78"/>
      <c r="K519" s="78"/>
      <c r="L519" s="146">
        <f t="shared" si="23"/>
        <v>1800000</v>
      </c>
      <c r="M519" s="73"/>
      <c r="N519" s="73"/>
      <c r="O519" s="7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 x14ac:dyDescent="0.35">
      <c r="A520" s="9">
        <f t="shared" si="22"/>
        <v>512</v>
      </c>
      <c r="B520" s="15"/>
      <c r="C520" s="11">
        <f t="shared" ref="C520:C583" si="24">MONTH(B520)</f>
        <v>1</v>
      </c>
      <c r="D520" s="11"/>
      <c r="E520" s="11"/>
      <c r="F520" s="11"/>
      <c r="G520" s="89">
        <f>IFERROR(VLOOKUP(F520,COA!$A$1:$K$26,2,FALSE),0)</f>
        <v>0</v>
      </c>
      <c r="H520" s="11"/>
      <c r="I520" s="11"/>
      <c r="J520" s="78"/>
      <c r="K520" s="78"/>
      <c r="L520" s="146">
        <f t="shared" si="23"/>
        <v>1800000</v>
      </c>
      <c r="M520" s="73"/>
      <c r="N520" s="73"/>
      <c r="O520" s="7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 x14ac:dyDescent="0.35">
      <c r="A521" s="9">
        <f t="shared" si="22"/>
        <v>513</v>
      </c>
      <c r="B521" s="15"/>
      <c r="C521" s="11">
        <f t="shared" si="24"/>
        <v>1</v>
      </c>
      <c r="D521" s="11"/>
      <c r="E521" s="11"/>
      <c r="F521" s="11"/>
      <c r="G521" s="89">
        <f>IFERROR(VLOOKUP(F521,COA!$A$1:$K$26,2,FALSE),0)</f>
        <v>0</v>
      </c>
      <c r="H521" s="11"/>
      <c r="I521" s="11"/>
      <c r="J521" s="78"/>
      <c r="K521" s="78"/>
      <c r="L521" s="146">
        <f t="shared" si="23"/>
        <v>1800000</v>
      </c>
      <c r="M521" s="73"/>
      <c r="N521" s="73"/>
      <c r="O521" s="7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 x14ac:dyDescent="0.35">
      <c r="A522" s="9">
        <f t="shared" si="22"/>
        <v>514</v>
      </c>
      <c r="B522" s="15"/>
      <c r="C522" s="11">
        <f t="shared" si="24"/>
        <v>1</v>
      </c>
      <c r="D522" s="11"/>
      <c r="E522" s="11"/>
      <c r="F522" s="11"/>
      <c r="G522" s="89">
        <f>IFERROR(VLOOKUP(F522,COA!$A$1:$K$26,2,FALSE),0)</f>
        <v>0</v>
      </c>
      <c r="H522" s="11"/>
      <c r="I522" s="11"/>
      <c r="J522" s="78"/>
      <c r="K522" s="78"/>
      <c r="L522" s="146">
        <f t="shared" si="23"/>
        <v>1800000</v>
      </c>
      <c r="M522" s="73"/>
      <c r="N522" s="73"/>
      <c r="O522" s="7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 x14ac:dyDescent="0.35">
      <c r="A523" s="9">
        <f t="shared" ref="A523:A586" si="25">A522+1</f>
        <v>515</v>
      </c>
      <c r="B523" s="15"/>
      <c r="C523" s="11">
        <f t="shared" si="24"/>
        <v>1</v>
      </c>
      <c r="D523" s="11"/>
      <c r="E523" s="11"/>
      <c r="F523" s="11"/>
      <c r="G523" s="89">
        <f>IFERROR(VLOOKUP(F523,COA!$A$1:$K$26,2,FALSE),0)</f>
        <v>0</v>
      </c>
      <c r="H523" s="11"/>
      <c r="I523" s="11"/>
      <c r="J523" s="78"/>
      <c r="K523" s="78"/>
      <c r="L523" s="146">
        <f t="shared" ref="L523:L586" si="26">L522+J523-K523</f>
        <v>1800000</v>
      </c>
      <c r="M523" s="73"/>
      <c r="N523" s="73"/>
      <c r="O523" s="7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 x14ac:dyDescent="0.35">
      <c r="A524" s="9">
        <f t="shared" si="25"/>
        <v>516</v>
      </c>
      <c r="B524" s="15"/>
      <c r="C524" s="11">
        <f t="shared" si="24"/>
        <v>1</v>
      </c>
      <c r="D524" s="11"/>
      <c r="E524" s="11"/>
      <c r="F524" s="11"/>
      <c r="G524" s="89">
        <f>IFERROR(VLOOKUP(F524,COA!$A$1:$K$26,2,FALSE),0)</f>
        <v>0</v>
      </c>
      <c r="H524" s="11"/>
      <c r="I524" s="11"/>
      <c r="J524" s="78"/>
      <c r="K524" s="78"/>
      <c r="L524" s="146">
        <f t="shared" si="26"/>
        <v>1800000</v>
      </c>
      <c r="M524" s="73"/>
      <c r="N524" s="73"/>
      <c r="O524" s="7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 x14ac:dyDescent="0.35">
      <c r="A525" s="9">
        <f t="shared" si="25"/>
        <v>517</v>
      </c>
      <c r="B525" s="15"/>
      <c r="C525" s="11">
        <f t="shared" si="24"/>
        <v>1</v>
      </c>
      <c r="D525" s="11"/>
      <c r="E525" s="11"/>
      <c r="F525" s="11"/>
      <c r="G525" s="89">
        <f>IFERROR(VLOOKUP(F525,COA!$A$1:$K$26,2,FALSE),0)</f>
        <v>0</v>
      </c>
      <c r="H525" s="11"/>
      <c r="I525" s="11"/>
      <c r="J525" s="78"/>
      <c r="K525" s="78"/>
      <c r="L525" s="146">
        <f t="shared" si="26"/>
        <v>1800000</v>
      </c>
      <c r="M525" s="73"/>
      <c r="N525" s="73"/>
      <c r="O525" s="7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 x14ac:dyDescent="0.35">
      <c r="A526" s="9">
        <f t="shared" si="25"/>
        <v>518</v>
      </c>
      <c r="B526" s="15"/>
      <c r="C526" s="11">
        <f t="shared" si="24"/>
        <v>1</v>
      </c>
      <c r="D526" s="11"/>
      <c r="E526" s="11"/>
      <c r="F526" s="11"/>
      <c r="G526" s="89">
        <f>IFERROR(VLOOKUP(F526,COA!$A$1:$K$26,2,FALSE),0)</f>
        <v>0</v>
      </c>
      <c r="H526" s="11"/>
      <c r="I526" s="11"/>
      <c r="J526" s="78"/>
      <c r="K526" s="78"/>
      <c r="L526" s="146">
        <f t="shared" si="26"/>
        <v>1800000</v>
      </c>
      <c r="M526" s="73"/>
      <c r="N526" s="73"/>
      <c r="O526" s="7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 x14ac:dyDescent="0.35">
      <c r="A527" s="9">
        <f t="shared" si="25"/>
        <v>519</v>
      </c>
      <c r="B527" s="15"/>
      <c r="C527" s="11">
        <f t="shared" si="24"/>
        <v>1</v>
      </c>
      <c r="D527" s="11"/>
      <c r="E527" s="11"/>
      <c r="F527" s="11"/>
      <c r="G527" s="89">
        <f>IFERROR(VLOOKUP(F527,COA!$A$1:$K$26,2,FALSE),0)</f>
        <v>0</v>
      </c>
      <c r="H527" s="13"/>
      <c r="I527" s="13"/>
      <c r="J527" s="78"/>
      <c r="K527" s="78"/>
      <c r="L527" s="146">
        <f t="shared" si="26"/>
        <v>1800000</v>
      </c>
      <c r="M527" s="73"/>
      <c r="N527" s="73"/>
      <c r="O527" s="7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 x14ac:dyDescent="0.35">
      <c r="A528" s="9">
        <f t="shared" si="25"/>
        <v>520</v>
      </c>
      <c r="B528" s="15"/>
      <c r="C528" s="11">
        <f t="shared" si="24"/>
        <v>1</v>
      </c>
      <c r="D528" s="11"/>
      <c r="E528" s="11"/>
      <c r="F528" s="11"/>
      <c r="G528" s="89">
        <f>IFERROR(VLOOKUP(F528,COA!$A$1:$K$26,2,FALSE),0)</f>
        <v>0</v>
      </c>
      <c r="H528" s="11"/>
      <c r="I528" s="11"/>
      <c r="J528" s="78"/>
      <c r="K528" s="78"/>
      <c r="L528" s="146">
        <f t="shared" si="26"/>
        <v>1800000</v>
      </c>
      <c r="M528" s="73"/>
      <c r="N528" s="73"/>
      <c r="O528" s="7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 x14ac:dyDescent="0.35">
      <c r="A529" s="9">
        <f t="shared" si="25"/>
        <v>521</v>
      </c>
      <c r="B529" s="15"/>
      <c r="C529" s="11">
        <f t="shared" si="24"/>
        <v>1</v>
      </c>
      <c r="D529" s="11"/>
      <c r="E529" s="11"/>
      <c r="F529" s="11"/>
      <c r="G529" s="89">
        <f>IFERROR(VLOOKUP(F529,COA!$A$1:$K$26,2,FALSE),0)</f>
        <v>0</v>
      </c>
      <c r="H529" s="11"/>
      <c r="I529" s="11"/>
      <c r="J529" s="78"/>
      <c r="K529" s="78"/>
      <c r="L529" s="146">
        <f t="shared" si="26"/>
        <v>1800000</v>
      </c>
      <c r="M529" s="73"/>
      <c r="N529" s="73"/>
      <c r="O529" s="7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 x14ac:dyDescent="0.35">
      <c r="A530" s="9">
        <f t="shared" si="25"/>
        <v>522</v>
      </c>
      <c r="B530" s="15"/>
      <c r="C530" s="11">
        <f t="shared" si="24"/>
        <v>1</v>
      </c>
      <c r="D530" s="11"/>
      <c r="E530" s="11"/>
      <c r="F530" s="11"/>
      <c r="G530" s="89">
        <f>IFERROR(VLOOKUP(F530,COA!$A$1:$K$26,2,FALSE),0)</f>
        <v>0</v>
      </c>
      <c r="H530" s="11"/>
      <c r="I530" s="11"/>
      <c r="J530" s="78"/>
      <c r="K530" s="78"/>
      <c r="L530" s="146">
        <f t="shared" si="26"/>
        <v>1800000</v>
      </c>
      <c r="M530" s="73"/>
      <c r="N530" s="73"/>
      <c r="O530" s="7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 x14ac:dyDescent="0.35">
      <c r="A531" s="9">
        <f t="shared" si="25"/>
        <v>523</v>
      </c>
      <c r="B531" s="15"/>
      <c r="C531" s="11">
        <f t="shared" si="24"/>
        <v>1</v>
      </c>
      <c r="D531" s="11"/>
      <c r="E531" s="11"/>
      <c r="F531" s="11"/>
      <c r="G531" s="89">
        <f>IFERROR(VLOOKUP(F531,COA!$A$1:$K$26,2,FALSE),0)</f>
        <v>0</v>
      </c>
      <c r="H531" s="11"/>
      <c r="I531" s="11"/>
      <c r="J531" s="78"/>
      <c r="K531" s="78"/>
      <c r="L531" s="146">
        <f t="shared" si="26"/>
        <v>1800000</v>
      </c>
      <c r="M531" s="73"/>
      <c r="N531" s="73"/>
      <c r="O531" s="7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 x14ac:dyDescent="0.35">
      <c r="A532" s="9">
        <f t="shared" si="25"/>
        <v>524</v>
      </c>
      <c r="B532" s="15"/>
      <c r="C532" s="11">
        <f t="shared" si="24"/>
        <v>1</v>
      </c>
      <c r="D532" s="11"/>
      <c r="E532" s="11"/>
      <c r="F532" s="11"/>
      <c r="G532" s="89">
        <f>IFERROR(VLOOKUP(F532,COA!$A$1:$K$26,2,FALSE),0)</f>
        <v>0</v>
      </c>
      <c r="H532" s="13"/>
      <c r="I532" s="13"/>
      <c r="J532" s="78"/>
      <c r="K532" s="78"/>
      <c r="L532" s="146">
        <f t="shared" si="26"/>
        <v>1800000</v>
      </c>
      <c r="M532" s="73"/>
      <c r="N532" s="73"/>
      <c r="O532" s="7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 x14ac:dyDescent="0.35">
      <c r="A533" s="9">
        <f t="shared" si="25"/>
        <v>525</v>
      </c>
      <c r="B533" s="15"/>
      <c r="C533" s="11">
        <f t="shared" si="24"/>
        <v>1</v>
      </c>
      <c r="D533" s="11"/>
      <c r="E533" s="11"/>
      <c r="F533" s="11"/>
      <c r="G533" s="89">
        <f>IFERROR(VLOOKUP(F533,COA!$A$1:$K$26,2,FALSE),0)</f>
        <v>0</v>
      </c>
      <c r="H533" s="11"/>
      <c r="I533" s="11"/>
      <c r="J533" s="78"/>
      <c r="K533" s="78"/>
      <c r="L533" s="146">
        <f t="shared" si="26"/>
        <v>1800000</v>
      </c>
      <c r="M533" s="73"/>
      <c r="N533" s="73"/>
      <c r="O533" s="7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 x14ac:dyDescent="0.35">
      <c r="A534" s="9">
        <f t="shared" si="25"/>
        <v>526</v>
      </c>
      <c r="B534" s="15"/>
      <c r="C534" s="11">
        <f t="shared" si="24"/>
        <v>1</v>
      </c>
      <c r="D534" s="11"/>
      <c r="E534" s="11"/>
      <c r="F534" s="11"/>
      <c r="G534" s="89">
        <f>IFERROR(VLOOKUP(F534,COA!$A$1:$K$26,2,FALSE),0)</f>
        <v>0</v>
      </c>
      <c r="H534" s="11"/>
      <c r="I534" s="11"/>
      <c r="J534" s="78"/>
      <c r="K534" s="78"/>
      <c r="L534" s="146">
        <f t="shared" si="26"/>
        <v>1800000</v>
      </c>
      <c r="M534" s="73"/>
      <c r="N534" s="73"/>
      <c r="O534" s="7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 x14ac:dyDescent="0.35">
      <c r="A535" s="9">
        <f t="shared" si="25"/>
        <v>527</v>
      </c>
      <c r="B535" s="15"/>
      <c r="C535" s="11">
        <f t="shared" si="24"/>
        <v>1</v>
      </c>
      <c r="D535" s="11"/>
      <c r="E535" s="11"/>
      <c r="F535" s="11"/>
      <c r="G535" s="89">
        <f>IFERROR(VLOOKUP(F535,COA!$A$1:$K$26,2,FALSE),0)</f>
        <v>0</v>
      </c>
      <c r="H535" s="11"/>
      <c r="I535" s="11"/>
      <c r="J535" s="78"/>
      <c r="K535" s="78"/>
      <c r="L535" s="146">
        <f t="shared" si="26"/>
        <v>1800000</v>
      </c>
      <c r="M535" s="73"/>
      <c r="N535" s="73"/>
      <c r="O535" s="7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 x14ac:dyDescent="0.35">
      <c r="A536" s="9">
        <f t="shared" si="25"/>
        <v>528</v>
      </c>
      <c r="B536" s="15"/>
      <c r="C536" s="11">
        <f t="shared" si="24"/>
        <v>1</v>
      </c>
      <c r="D536" s="11"/>
      <c r="E536" s="11"/>
      <c r="F536" s="11"/>
      <c r="G536" s="89">
        <f>IFERROR(VLOOKUP(F536,COA!$A$1:$K$26,2,FALSE),0)</f>
        <v>0</v>
      </c>
      <c r="H536" s="11"/>
      <c r="I536" s="11"/>
      <c r="J536" s="78"/>
      <c r="K536" s="78"/>
      <c r="L536" s="146">
        <f t="shared" si="26"/>
        <v>1800000</v>
      </c>
      <c r="M536" s="73"/>
      <c r="N536" s="73"/>
      <c r="O536" s="7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 x14ac:dyDescent="0.35">
      <c r="A537" s="9">
        <f t="shared" si="25"/>
        <v>529</v>
      </c>
      <c r="B537" s="15"/>
      <c r="C537" s="11">
        <f t="shared" si="24"/>
        <v>1</v>
      </c>
      <c r="D537" s="11"/>
      <c r="E537" s="11"/>
      <c r="F537" s="11"/>
      <c r="G537" s="89">
        <f>IFERROR(VLOOKUP(F537,COA!$A$1:$K$26,2,FALSE),0)</f>
        <v>0</v>
      </c>
      <c r="H537" s="11"/>
      <c r="I537" s="11"/>
      <c r="J537" s="78"/>
      <c r="K537" s="78"/>
      <c r="L537" s="146">
        <f t="shared" si="26"/>
        <v>1800000</v>
      </c>
      <c r="M537" s="73"/>
      <c r="N537" s="73"/>
      <c r="O537" s="7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 x14ac:dyDescent="0.35">
      <c r="A538" s="9">
        <f t="shared" si="25"/>
        <v>530</v>
      </c>
      <c r="B538" s="15"/>
      <c r="C538" s="11">
        <f t="shared" si="24"/>
        <v>1</v>
      </c>
      <c r="D538" s="11"/>
      <c r="E538" s="11"/>
      <c r="F538" s="11"/>
      <c r="G538" s="89">
        <f>IFERROR(VLOOKUP(F538,COA!$A$1:$K$26,2,FALSE),0)</f>
        <v>0</v>
      </c>
      <c r="H538" s="13"/>
      <c r="I538" s="13"/>
      <c r="J538" s="78"/>
      <c r="K538" s="78"/>
      <c r="L538" s="146">
        <f t="shared" si="26"/>
        <v>1800000</v>
      </c>
      <c r="M538" s="73"/>
      <c r="N538" s="73"/>
      <c r="O538" s="7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 x14ac:dyDescent="0.35">
      <c r="A539" s="9">
        <f t="shared" si="25"/>
        <v>531</v>
      </c>
      <c r="B539" s="15"/>
      <c r="C539" s="11">
        <f t="shared" si="24"/>
        <v>1</v>
      </c>
      <c r="D539" s="11"/>
      <c r="E539" s="11"/>
      <c r="F539" s="11"/>
      <c r="G539" s="89">
        <f>IFERROR(VLOOKUP(F539,COA!$A$1:$K$26,2,FALSE),0)</f>
        <v>0</v>
      </c>
      <c r="H539" s="11"/>
      <c r="I539" s="11"/>
      <c r="J539" s="78"/>
      <c r="K539" s="78"/>
      <c r="L539" s="146">
        <f t="shared" si="26"/>
        <v>1800000</v>
      </c>
      <c r="M539" s="73"/>
      <c r="N539" s="73"/>
      <c r="O539" s="7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 x14ac:dyDescent="0.35">
      <c r="A540" s="9">
        <f t="shared" si="25"/>
        <v>532</v>
      </c>
      <c r="B540" s="15"/>
      <c r="C540" s="11">
        <f t="shared" si="24"/>
        <v>1</v>
      </c>
      <c r="D540" s="11"/>
      <c r="E540" s="11"/>
      <c r="F540" s="11"/>
      <c r="G540" s="89">
        <f>IFERROR(VLOOKUP(F540,COA!$A$1:$K$26,2,FALSE),0)</f>
        <v>0</v>
      </c>
      <c r="H540" s="11"/>
      <c r="I540" s="11"/>
      <c r="J540" s="78"/>
      <c r="K540" s="78"/>
      <c r="L540" s="146">
        <f t="shared" si="26"/>
        <v>1800000</v>
      </c>
      <c r="M540" s="73"/>
      <c r="N540" s="73"/>
      <c r="O540" s="7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 x14ac:dyDescent="0.35">
      <c r="A541" s="9">
        <f t="shared" si="25"/>
        <v>533</v>
      </c>
      <c r="B541" s="15"/>
      <c r="C541" s="11">
        <f t="shared" si="24"/>
        <v>1</v>
      </c>
      <c r="D541" s="11"/>
      <c r="E541" s="11"/>
      <c r="F541" s="11"/>
      <c r="G541" s="89">
        <f>IFERROR(VLOOKUP(F541,COA!$A$1:$K$26,2,FALSE),0)</f>
        <v>0</v>
      </c>
      <c r="H541" s="11"/>
      <c r="I541" s="11"/>
      <c r="J541" s="78"/>
      <c r="K541" s="78"/>
      <c r="L541" s="146">
        <f t="shared" si="26"/>
        <v>1800000</v>
      </c>
      <c r="M541" s="73"/>
      <c r="N541" s="73"/>
      <c r="O541" s="7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 x14ac:dyDescent="0.35">
      <c r="A542" s="9">
        <f t="shared" si="25"/>
        <v>534</v>
      </c>
      <c r="B542" s="15"/>
      <c r="C542" s="11">
        <f t="shared" si="24"/>
        <v>1</v>
      </c>
      <c r="D542" s="11"/>
      <c r="E542" s="11"/>
      <c r="F542" s="11"/>
      <c r="G542" s="89">
        <f>IFERROR(VLOOKUP(F542,COA!$A$1:$K$26,2,FALSE),0)</f>
        <v>0</v>
      </c>
      <c r="H542" s="11"/>
      <c r="I542" s="11"/>
      <c r="J542" s="78"/>
      <c r="K542" s="78"/>
      <c r="L542" s="146">
        <f t="shared" si="26"/>
        <v>1800000</v>
      </c>
      <c r="M542" s="73"/>
      <c r="N542" s="73"/>
      <c r="O542" s="7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 x14ac:dyDescent="0.35">
      <c r="A543" s="9">
        <f t="shared" si="25"/>
        <v>535</v>
      </c>
      <c r="B543" s="15"/>
      <c r="C543" s="11">
        <f t="shared" si="24"/>
        <v>1</v>
      </c>
      <c r="D543" s="11"/>
      <c r="E543" s="11"/>
      <c r="F543" s="11"/>
      <c r="G543" s="89">
        <f>IFERROR(VLOOKUP(F543,COA!$A$1:$K$26,2,FALSE),0)</f>
        <v>0</v>
      </c>
      <c r="H543" s="11"/>
      <c r="I543" s="11"/>
      <c r="J543" s="78"/>
      <c r="K543" s="78"/>
      <c r="L543" s="146">
        <f t="shared" si="26"/>
        <v>1800000</v>
      </c>
      <c r="M543" s="73"/>
      <c r="N543" s="73"/>
      <c r="O543" s="7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 x14ac:dyDescent="0.35">
      <c r="A544" s="9">
        <f t="shared" si="25"/>
        <v>536</v>
      </c>
      <c r="B544" s="15"/>
      <c r="C544" s="11">
        <f t="shared" si="24"/>
        <v>1</v>
      </c>
      <c r="D544" s="11"/>
      <c r="E544" s="11"/>
      <c r="F544" s="11"/>
      <c r="G544" s="89">
        <f>IFERROR(VLOOKUP(F544,COA!$A$1:$K$26,2,FALSE),0)</f>
        <v>0</v>
      </c>
      <c r="H544" s="13"/>
      <c r="I544" s="13"/>
      <c r="J544" s="78"/>
      <c r="K544" s="78"/>
      <c r="L544" s="146">
        <f t="shared" si="26"/>
        <v>1800000</v>
      </c>
      <c r="M544" s="73"/>
      <c r="N544" s="73"/>
      <c r="O544" s="7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 x14ac:dyDescent="0.35">
      <c r="A545" s="9">
        <f t="shared" si="25"/>
        <v>537</v>
      </c>
      <c r="B545" s="15"/>
      <c r="C545" s="11">
        <f t="shared" si="24"/>
        <v>1</v>
      </c>
      <c r="D545" s="11"/>
      <c r="E545" s="11"/>
      <c r="F545" s="11"/>
      <c r="G545" s="89">
        <f>IFERROR(VLOOKUP(F545,COA!$A$1:$K$26,2,FALSE),0)</f>
        <v>0</v>
      </c>
      <c r="H545" s="11"/>
      <c r="I545" s="11"/>
      <c r="J545" s="78"/>
      <c r="K545" s="78"/>
      <c r="L545" s="146">
        <f t="shared" si="26"/>
        <v>1800000</v>
      </c>
      <c r="M545" s="73"/>
      <c r="N545" s="73"/>
      <c r="O545" s="7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 x14ac:dyDescent="0.35">
      <c r="A546" s="9">
        <f t="shared" si="25"/>
        <v>538</v>
      </c>
      <c r="B546" s="15"/>
      <c r="C546" s="11">
        <f t="shared" si="24"/>
        <v>1</v>
      </c>
      <c r="D546" s="11"/>
      <c r="E546" s="11"/>
      <c r="F546" s="11"/>
      <c r="G546" s="89">
        <f>IFERROR(VLOOKUP(F546,COA!$A$1:$K$26,2,FALSE),0)</f>
        <v>0</v>
      </c>
      <c r="H546" s="11"/>
      <c r="I546" s="11"/>
      <c r="J546" s="78"/>
      <c r="K546" s="78"/>
      <c r="L546" s="146">
        <f t="shared" si="26"/>
        <v>1800000</v>
      </c>
      <c r="M546" s="73"/>
      <c r="N546" s="73"/>
      <c r="O546" s="7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 x14ac:dyDescent="0.35">
      <c r="A547" s="9">
        <f t="shared" si="25"/>
        <v>539</v>
      </c>
      <c r="B547" s="15"/>
      <c r="C547" s="11">
        <f t="shared" si="24"/>
        <v>1</v>
      </c>
      <c r="D547" s="11"/>
      <c r="E547" s="11"/>
      <c r="F547" s="11"/>
      <c r="G547" s="89">
        <f>IFERROR(VLOOKUP(F547,COA!$A$1:$K$26,2,FALSE),0)</f>
        <v>0</v>
      </c>
      <c r="H547" s="11"/>
      <c r="I547" s="11"/>
      <c r="J547" s="78"/>
      <c r="K547" s="78"/>
      <c r="L547" s="146">
        <f t="shared" si="26"/>
        <v>1800000</v>
      </c>
      <c r="M547" s="73"/>
      <c r="N547" s="73"/>
      <c r="O547" s="7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 x14ac:dyDescent="0.35">
      <c r="A548" s="9">
        <f t="shared" si="25"/>
        <v>540</v>
      </c>
      <c r="B548" s="15"/>
      <c r="C548" s="11">
        <f t="shared" si="24"/>
        <v>1</v>
      </c>
      <c r="D548" s="11"/>
      <c r="E548" s="11"/>
      <c r="F548" s="11"/>
      <c r="G548" s="89">
        <f>IFERROR(VLOOKUP(F548,COA!$A$1:$K$26,2,FALSE),0)</f>
        <v>0</v>
      </c>
      <c r="H548" s="11"/>
      <c r="I548" s="11"/>
      <c r="J548" s="78"/>
      <c r="K548" s="78"/>
      <c r="L548" s="146">
        <f t="shared" si="26"/>
        <v>1800000</v>
      </c>
      <c r="M548" s="73"/>
      <c r="N548" s="73"/>
      <c r="O548" s="7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 x14ac:dyDescent="0.35">
      <c r="A549" s="9">
        <f t="shared" si="25"/>
        <v>541</v>
      </c>
      <c r="B549" s="15"/>
      <c r="C549" s="11">
        <f t="shared" si="24"/>
        <v>1</v>
      </c>
      <c r="D549" s="11"/>
      <c r="E549" s="11"/>
      <c r="F549" s="11"/>
      <c r="G549" s="89">
        <f>IFERROR(VLOOKUP(F549,COA!$A$1:$K$26,2,FALSE),0)</f>
        <v>0</v>
      </c>
      <c r="H549" s="11"/>
      <c r="I549" s="11"/>
      <c r="J549" s="78"/>
      <c r="K549" s="78"/>
      <c r="L549" s="146">
        <f t="shared" si="26"/>
        <v>1800000</v>
      </c>
      <c r="M549" s="73"/>
      <c r="N549" s="73"/>
      <c r="O549" s="7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 x14ac:dyDescent="0.35">
      <c r="A550" s="9">
        <f t="shared" si="25"/>
        <v>542</v>
      </c>
      <c r="B550" s="15"/>
      <c r="C550" s="11">
        <f t="shared" si="24"/>
        <v>1</v>
      </c>
      <c r="D550" s="11"/>
      <c r="E550" s="11"/>
      <c r="F550" s="11"/>
      <c r="G550" s="89">
        <f>IFERROR(VLOOKUP(F550,COA!$A$1:$K$26,2,FALSE),0)</f>
        <v>0</v>
      </c>
      <c r="H550" s="13"/>
      <c r="I550" s="13"/>
      <c r="J550" s="78"/>
      <c r="K550" s="78"/>
      <c r="L550" s="146">
        <f t="shared" si="26"/>
        <v>1800000</v>
      </c>
      <c r="M550" s="73"/>
      <c r="N550" s="73"/>
      <c r="O550" s="7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 x14ac:dyDescent="0.35">
      <c r="A551" s="9">
        <f t="shared" si="25"/>
        <v>543</v>
      </c>
      <c r="B551" s="15"/>
      <c r="C551" s="11">
        <f t="shared" si="24"/>
        <v>1</v>
      </c>
      <c r="D551" s="11"/>
      <c r="E551" s="11"/>
      <c r="F551" s="11"/>
      <c r="G551" s="89">
        <f>IFERROR(VLOOKUP(F551,COA!$A$1:$K$26,2,FALSE),0)</f>
        <v>0</v>
      </c>
      <c r="H551" s="11"/>
      <c r="I551" s="11"/>
      <c r="J551" s="78"/>
      <c r="K551" s="78"/>
      <c r="L551" s="146">
        <f t="shared" si="26"/>
        <v>1800000</v>
      </c>
      <c r="M551" s="73"/>
      <c r="N551" s="73"/>
      <c r="O551" s="7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 x14ac:dyDescent="0.35">
      <c r="A552" s="9">
        <f t="shared" si="25"/>
        <v>544</v>
      </c>
      <c r="B552" s="15"/>
      <c r="C552" s="11">
        <f t="shared" si="24"/>
        <v>1</v>
      </c>
      <c r="D552" s="11"/>
      <c r="E552" s="11"/>
      <c r="F552" s="11"/>
      <c r="G552" s="89">
        <f>IFERROR(VLOOKUP(F552,COA!$A$1:$K$26,2,FALSE),0)</f>
        <v>0</v>
      </c>
      <c r="H552" s="11"/>
      <c r="I552" s="11"/>
      <c r="J552" s="78"/>
      <c r="K552" s="78"/>
      <c r="L552" s="146">
        <f t="shared" si="26"/>
        <v>1800000</v>
      </c>
      <c r="M552" s="73"/>
      <c r="N552" s="73"/>
      <c r="O552" s="7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 x14ac:dyDescent="0.35">
      <c r="A553" s="9">
        <f t="shared" si="25"/>
        <v>545</v>
      </c>
      <c r="B553" s="15"/>
      <c r="C553" s="11">
        <f t="shared" si="24"/>
        <v>1</v>
      </c>
      <c r="D553" s="11"/>
      <c r="E553" s="11"/>
      <c r="F553" s="11"/>
      <c r="G553" s="89">
        <f>IFERROR(VLOOKUP(F553,COA!$A$1:$K$26,2,FALSE),0)</f>
        <v>0</v>
      </c>
      <c r="H553" s="11"/>
      <c r="I553" s="11"/>
      <c r="J553" s="78"/>
      <c r="K553" s="78"/>
      <c r="L553" s="146">
        <f t="shared" si="26"/>
        <v>1800000</v>
      </c>
      <c r="M553" s="73"/>
      <c r="N553" s="73"/>
      <c r="O553" s="7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 x14ac:dyDescent="0.35">
      <c r="A554" s="9">
        <f t="shared" si="25"/>
        <v>546</v>
      </c>
      <c r="B554" s="15"/>
      <c r="C554" s="11">
        <f t="shared" si="24"/>
        <v>1</v>
      </c>
      <c r="D554" s="11"/>
      <c r="E554" s="11"/>
      <c r="F554" s="11"/>
      <c r="G554" s="89">
        <f>IFERROR(VLOOKUP(F554,COA!$A$1:$K$26,2,FALSE),0)</f>
        <v>0</v>
      </c>
      <c r="H554" s="11"/>
      <c r="I554" s="11"/>
      <c r="J554" s="78"/>
      <c r="K554" s="78"/>
      <c r="L554" s="146">
        <f t="shared" si="26"/>
        <v>1800000</v>
      </c>
      <c r="M554" s="73"/>
      <c r="N554" s="73"/>
      <c r="O554" s="7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 x14ac:dyDescent="0.35">
      <c r="A555" s="9">
        <f t="shared" si="25"/>
        <v>547</v>
      </c>
      <c r="B555" s="15"/>
      <c r="C555" s="11">
        <f t="shared" si="24"/>
        <v>1</v>
      </c>
      <c r="D555" s="11"/>
      <c r="E555" s="11"/>
      <c r="F555" s="11"/>
      <c r="G555" s="89">
        <f>IFERROR(VLOOKUP(F555,COA!$A$1:$K$26,2,FALSE),0)</f>
        <v>0</v>
      </c>
      <c r="H555" s="11"/>
      <c r="I555" s="11"/>
      <c r="J555" s="78"/>
      <c r="K555" s="78"/>
      <c r="L555" s="146">
        <f t="shared" si="26"/>
        <v>1800000</v>
      </c>
      <c r="M555" s="73"/>
      <c r="N555" s="73"/>
      <c r="O555" s="7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 x14ac:dyDescent="0.35">
      <c r="A556" s="9">
        <f t="shared" si="25"/>
        <v>548</v>
      </c>
      <c r="B556" s="15"/>
      <c r="C556" s="11">
        <f t="shared" si="24"/>
        <v>1</v>
      </c>
      <c r="D556" s="11"/>
      <c r="E556" s="11"/>
      <c r="F556" s="11"/>
      <c r="G556" s="89">
        <f>IFERROR(VLOOKUP(F556,COA!$A$1:$K$26,2,FALSE),0)</f>
        <v>0</v>
      </c>
      <c r="H556" s="13"/>
      <c r="I556" s="13"/>
      <c r="J556" s="78"/>
      <c r="K556" s="78"/>
      <c r="L556" s="146">
        <f t="shared" si="26"/>
        <v>1800000</v>
      </c>
      <c r="M556" s="73"/>
      <c r="N556" s="73"/>
      <c r="O556" s="7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 x14ac:dyDescent="0.35">
      <c r="A557" s="9">
        <f t="shared" si="25"/>
        <v>549</v>
      </c>
      <c r="B557" s="15"/>
      <c r="C557" s="11">
        <f t="shared" si="24"/>
        <v>1</v>
      </c>
      <c r="D557" s="11"/>
      <c r="E557" s="11"/>
      <c r="F557" s="11"/>
      <c r="G557" s="89">
        <f>IFERROR(VLOOKUP(F557,COA!$A$1:$K$26,2,FALSE),0)</f>
        <v>0</v>
      </c>
      <c r="H557" s="11"/>
      <c r="I557" s="11"/>
      <c r="J557" s="78"/>
      <c r="K557" s="78"/>
      <c r="L557" s="146">
        <f t="shared" si="26"/>
        <v>1800000</v>
      </c>
      <c r="M557" s="73"/>
      <c r="N557" s="73"/>
      <c r="O557" s="7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 x14ac:dyDescent="0.35">
      <c r="A558" s="9">
        <f t="shared" si="25"/>
        <v>550</v>
      </c>
      <c r="B558" s="15"/>
      <c r="C558" s="11">
        <f t="shared" si="24"/>
        <v>1</v>
      </c>
      <c r="D558" s="11"/>
      <c r="E558" s="11"/>
      <c r="F558" s="11"/>
      <c r="G558" s="89">
        <f>IFERROR(VLOOKUP(F558,COA!$A$1:$K$26,2,FALSE),0)</f>
        <v>0</v>
      </c>
      <c r="H558" s="11"/>
      <c r="I558" s="11"/>
      <c r="J558" s="78"/>
      <c r="K558" s="78"/>
      <c r="L558" s="146">
        <f t="shared" si="26"/>
        <v>1800000</v>
      </c>
      <c r="M558" s="73"/>
      <c r="N558" s="73"/>
      <c r="O558" s="7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 x14ac:dyDescent="0.35">
      <c r="A559" s="9">
        <f t="shared" si="25"/>
        <v>551</v>
      </c>
      <c r="B559" s="15"/>
      <c r="C559" s="11">
        <f t="shared" si="24"/>
        <v>1</v>
      </c>
      <c r="D559" s="11"/>
      <c r="E559" s="11"/>
      <c r="F559" s="11"/>
      <c r="G559" s="89">
        <f>IFERROR(VLOOKUP(F559,COA!$A$1:$K$26,2,FALSE),0)</f>
        <v>0</v>
      </c>
      <c r="H559" s="11"/>
      <c r="I559" s="11"/>
      <c r="J559" s="78"/>
      <c r="K559" s="78"/>
      <c r="L559" s="146">
        <f t="shared" si="26"/>
        <v>1800000</v>
      </c>
      <c r="M559" s="73"/>
      <c r="N559" s="73"/>
      <c r="O559" s="7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 x14ac:dyDescent="0.35">
      <c r="A560" s="9">
        <f t="shared" si="25"/>
        <v>552</v>
      </c>
      <c r="B560" s="15"/>
      <c r="C560" s="11">
        <f t="shared" si="24"/>
        <v>1</v>
      </c>
      <c r="D560" s="11"/>
      <c r="E560" s="11"/>
      <c r="F560" s="11"/>
      <c r="G560" s="89">
        <f>IFERROR(VLOOKUP(F560,COA!$A$1:$K$26,2,FALSE),0)</f>
        <v>0</v>
      </c>
      <c r="H560" s="11"/>
      <c r="I560" s="11"/>
      <c r="J560" s="78"/>
      <c r="K560" s="78"/>
      <c r="L560" s="146">
        <f t="shared" si="26"/>
        <v>1800000</v>
      </c>
      <c r="M560" s="73"/>
      <c r="N560" s="73"/>
      <c r="O560" s="7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 x14ac:dyDescent="0.35">
      <c r="A561" s="9">
        <f t="shared" si="25"/>
        <v>553</v>
      </c>
      <c r="B561" s="15"/>
      <c r="C561" s="11">
        <f t="shared" si="24"/>
        <v>1</v>
      </c>
      <c r="D561" s="11"/>
      <c r="E561" s="11"/>
      <c r="F561" s="11"/>
      <c r="G561" s="89">
        <f>IFERROR(VLOOKUP(F561,COA!$A$1:$K$26,2,FALSE),0)</f>
        <v>0</v>
      </c>
      <c r="H561" s="11"/>
      <c r="I561" s="11"/>
      <c r="J561" s="78"/>
      <c r="K561" s="78"/>
      <c r="L561" s="146">
        <f t="shared" si="26"/>
        <v>1800000</v>
      </c>
      <c r="M561" s="73"/>
      <c r="N561" s="73"/>
      <c r="O561" s="7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 x14ac:dyDescent="0.35">
      <c r="A562" s="9">
        <f t="shared" si="25"/>
        <v>554</v>
      </c>
      <c r="B562" s="15"/>
      <c r="C562" s="11">
        <f t="shared" si="24"/>
        <v>1</v>
      </c>
      <c r="D562" s="11"/>
      <c r="E562" s="11"/>
      <c r="F562" s="11"/>
      <c r="G562" s="89">
        <f>IFERROR(VLOOKUP(F562,COA!$A$1:$K$26,2,FALSE),0)</f>
        <v>0</v>
      </c>
      <c r="H562" s="11"/>
      <c r="I562" s="11"/>
      <c r="J562" s="78"/>
      <c r="K562" s="78"/>
      <c r="L562" s="146">
        <f t="shared" si="26"/>
        <v>1800000</v>
      </c>
      <c r="M562" s="73"/>
      <c r="N562" s="73"/>
      <c r="O562" s="7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 x14ac:dyDescent="0.35">
      <c r="A563" s="9">
        <f t="shared" si="25"/>
        <v>555</v>
      </c>
      <c r="B563" s="15"/>
      <c r="C563" s="11">
        <f t="shared" si="24"/>
        <v>1</v>
      </c>
      <c r="D563" s="11"/>
      <c r="E563" s="11"/>
      <c r="F563" s="11"/>
      <c r="G563" s="89">
        <f>IFERROR(VLOOKUP(F563,COA!$A$1:$K$26,2,FALSE),0)</f>
        <v>0</v>
      </c>
      <c r="H563" s="11"/>
      <c r="I563" s="11"/>
      <c r="J563" s="78"/>
      <c r="K563" s="78"/>
      <c r="L563" s="146">
        <f t="shared" si="26"/>
        <v>1800000</v>
      </c>
      <c r="M563" s="73"/>
      <c r="N563" s="73"/>
      <c r="O563" s="7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 x14ac:dyDescent="0.35">
      <c r="A564" s="9">
        <f t="shared" si="25"/>
        <v>556</v>
      </c>
      <c r="B564" s="15"/>
      <c r="C564" s="11">
        <f t="shared" si="24"/>
        <v>1</v>
      </c>
      <c r="D564" s="11"/>
      <c r="E564" s="11"/>
      <c r="F564" s="11"/>
      <c r="G564" s="89">
        <f>IFERROR(VLOOKUP(F564,COA!$A$1:$K$26,2,FALSE),0)</f>
        <v>0</v>
      </c>
      <c r="H564" s="11"/>
      <c r="I564" s="11"/>
      <c r="J564" s="78"/>
      <c r="K564" s="78"/>
      <c r="L564" s="146">
        <f t="shared" si="26"/>
        <v>1800000</v>
      </c>
      <c r="M564" s="73"/>
      <c r="N564" s="73"/>
      <c r="O564" s="7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 x14ac:dyDescent="0.35">
      <c r="A565" s="9">
        <f t="shared" si="25"/>
        <v>557</v>
      </c>
      <c r="B565" s="15"/>
      <c r="C565" s="11">
        <f t="shared" si="24"/>
        <v>1</v>
      </c>
      <c r="D565" s="11"/>
      <c r="E565" s="11"/>
      <c r="F565" s="11"/>
      <c r="G565" s="89">
        <f>IFERROR(VLOOKUP(F565,COA!$A$1:$K$26,2,FALSE),0)</f>
        <v>0</v>
      </c>
      <c r="H565" s="11"/>
      <c r="I565" s="11"/>
      <c r="J565" s="78"/>
      <c r="K565" s="78"/>
      <c r="L565" s="146">
        <f t="shared" si="26"/>
        <v>1800000</v>
      </c>
      <c r="M565" s="73"/>
      <c r="N565" s="73"/>
      <c r="O565" s="7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 x14ac:dyDescent="0.35">
      <c r="A566" s="9">
        <f t="shared" si="25"/>
        <v>558</v>
      </c>
      <c r="B566" s="15"/>
      <c r="C566" s="11">
        <f t="shared" si="24"/>
        <v>1</v>
      </c>
      <c r="D566" s="11"/>
      <c r="E566" s="11"/>
      <c r="F566" s="11"/>
      <c r="G566" s="89">
        <f>IFERROR(VLOOKUP(F566,COA!$A$1:$K$26,2,FALSE),0)</f>
        <v>0</v>
      </c>
      <c r="H566" s="11"/>
      <c r="I566" s="11"/>
      <c r="J566" s="78"/>
      <c r="K566" s="78"/>
      <c r="L566" s="146">
        <f t="shared" si="26"/>
        <v>1800000</v>
      </c>
      <c r="M566" s="73"/>
      <c r="N566" s="73"/>
      <c r="O566" s="7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 x14ac:dyDescent="0.35">
      <c r="A567" s="9">
        <f t="shared" si="25"/>
        <v>559</v>
      </c>
      <c r="B567" s="15"/>
      <c r="C567" s="11">
        <f t="shared" si="24"/>
        <v>1</v>
      </c>
      <c r="D567" s="11"/>
      <c r="E567" s="11"/>
      <c r="F567" s="11"/>
      <c r="G567" s="89">
        <f>IFERROR(VLOOKUP(F567,COA!$A$1:$K$26,2,FALSE),0)</f>
        <v>0</v>
      </c>
      <c r="H567" s="11"/>
      <c r="I567" s="11"/>
      <c r="J567" s="78"/>
      <c r="K567" s="78"/>
      <c r="L567" s="146">
        <f t="shared" si="26"/>
        <v>1800000</v>
      </c>
      <c r="M567" s="73"/>
      <c r="N567" s="73"/>
      <c r="O567" s="7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 x14ac:dyDescent="0.35">
      <c r="A568" s="9">
        <f t="shared" si="25"/>
        <v>560</v>
      </c>
      <c r="B568" s="15"/>
      <c r="C568" s="11">
        <f t="shared" si="24"/>
        <v>1</v>
      </c>
      <c r="D568" s="11"/>
      <c r="E568" s="11"/>
      <c r="F568" s="11"/>
      <c r="G568" s="89">
        <f>IFERROR(VLOOKUP(F568,COA!$A$1:$K$26,2,FALSE),0)</f>
        <v>0</v>
      </c>
      <c r="H568" s="11"/>
      <c r="I568" s="11"/>
      <c r="J568" s="78"/>
      <c r="K568" s="78"/>
      <c r="L568" s="146">
        <f t="shared" si="26"/>
        <v>1800000</v>
      </c>
      <c r="M568" s="73"/>
      <c r="N568" s="73"/>
      <c r="O568" s="7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 x14ac:dyDescent="0.35">
      <c r="A569" s="9">
        <f t="shared" si="25"/>
        <v>561</v>
      </c>
      <c r="B569" s="15"/>
      <c r="C569" s="11">
        <f t="shared" si="24"/>
        <v>1</v>
      </c>
      <c r="D569" s="11"/>
      <c r="E569" s="11"/>
      <c r="F569" s="11"/>
      <c r="G569" s="89">
        <f>IFERROR(VLOOKUP(F569,COA!$A$1:$K$26,2,FALSE),0)</f>
        <v>0</v>
      </c>
      <c r="H569" s="11"/>
      <c r="I569" s="11"/>
      <c r="J569" s="78"/>
      <c r="K569" s="78"/>
      <c r="L569" s="146">
        <f t="shared" si="26"/>
        <v>1800000</v>
      </c>
      <c r="M569" s="73"/>
      <c r="N569" s="73"/>
      <c r="O569" s="7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 x14ac:dyDescent="0.35">
      <c r="A570" s="9">
        <f t="shared" si="25"/>
        <v>562</v>
      </c>
      <c r="B570" s="15"/>
      <c r="C570" s="11">
        <f t="shared" si="24"/>
        <v>1</v>
      </c>
      <c r="D570" s="11"/>
      <c r="E570" s="11"/>
      <c r="F570" s="11"/>
      <c r="G570" s="89">
        <f>IFERROR(VLOOKUP(F570,COA!$A$1:$K$26,2,FALSE),0)</f>
        <v>0</v>
      </c>
      <c r="H570" s="13"/>
      <c r="I570" s="13"/>
      <c r="J570" s="78"/>
      <c r="K570" s="78"/>
      <c r="L570" s="146">
        <f t="shared" si="26"/>
        <v>1800000</v>
      </c>
      <c r="M570" s="73"/>
      <c r="N570" s="73"/>
      <c r="O570" s="7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 x14ac:dyDescent="0.35">
      <c r="A571" s="9">
        <f t="shared" si="25"/>
        <v>563</v>
      </c>
      <c r="B571" s="15"/>
      <c r="C571" s="11">
        <f t="shared" si="24"/>
        <v>1</v>
      </c>
      <c r="D571" s="11"/>
      <c r="E571" s="11"/>
      <c r="F571" s="11"/>
      <c r="G571" s="89">
        <f>IFERROR(VLOOKUP(F571,COA!$A$1:$K$26,2,FALSE),0)</f>
        <v>0</v>
      </c>
      <c r="H571" s="11"/>
      <c r="I571" s="11"/>
      <c r="J571" s="78"/>
      <c r="K571" s="78"/>
      <c r="L571" s="146">
        <f t="shared" si="26"/>
        <v>1800000</v>
      </c>
      <c r="M571" s="73"/>
      <c r="N571" s="73"/>
      <c r="O571" s="7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 x14ac:dyDescent="0.35">
      <c r="A572" s="9">
        <f t="shared" si="25"/>
        <v>564</v>
      </c>
      <c r="B572" s="15"/>
      <c r="C572" s="11">
        <f t="shared" si="24"/>
        <v>1</v>
      </c>
      <c r="D572" s="11"/>
      <c r="E572" s="11"/>
      <c r="F572" s="11"/>
      <c r="G572" s="89">
        <f>IFERROR(VLOOKUP(F572,COA!$A$1:$K$26,2,FALSE),0)</f>
        <v>0</v>
      </c>
      <c r="H572" s="11"/>
      <c r="I572" s="11"/>
      <c r="J572" s="78"/>
      <c r="K572" s="78"/>
      <c r="L572" s="146">
        <f t="shared" si="26"/>
        <v>1800000</v>
      </c>
      <c r="M572" s="73"/>
      <c r="N572" s="73"/>
      <c r="O572" s="7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 x14ac:dyDescent="0.35">
      <c r="A573" s="9">
        <f t="shared" si="25"/>
        <v>565</v>
      </c>
      <c r="B573" s="15"/>
      <c r="C573" s="11">
        <f t="shared" si="24"/>
        <v>1</v>
      </c>
      <c r="D573" s="11"/>
      <c r="E573" s="11"/>
      <c r="F573" s="11"/>
      <c r="G573" s="89">
        <f>IFERROR(VLOOKUP(F573,COA!$A$1:$K$26,2,FALSE),0)</f>
        <v>0</v>
      </c>
      <c r="H573" s="11"/>
      <c r="I573" s="11"/>
      <c r="J573" s="78"/>
      <c r="K573" s="78"/>
      <c r="L573" s="146">
        <f t="shared" si="26"/>
        <v>1800000</v>
      </c>
      <c r="M573" s="73"/>
      <c r="N573" s="73"/>
      <c r="O573" s="7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 x14ac:dyDescent="0.35">
      <c r="A574" s="9">
        <f t="shared" si="25"/>
        <v>566</v>
      </c>
      <c r="B574" s="15"/>
      <c r="C574" s="11">
        <f t="shared" si="24"/>
        <v>1</v>
      </c>
      <c r="D574" s="11"/>
      <c r="E574" s="11"/>
      <c r="F574" s="11"/>
      <c r="G574" s="89">
        <f>IFERROR(VLOOKUP(F574,COA!$A$1:$K$26,2,FALSE),0)</f>
        <v>0</v>
      </c>
      <c r="H574" s="11"/>
      <c r="I574" s="11"/>
      <c r="J574" s="78"/>
      <c r="K574" s="78"/>
      <c r="L574" s="146">
        <f t="shared" si="26"/>
        <v>1800000</v>
      </c>
      <c r="M574" s="73"/>
      <c r="N574" s="73"/>
      <c r="O574" s="7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 x14ac:dyDescent="0.35">
      <c r="A575" s="9">
        <f t="shared" si="25"/>
        <v>567</v>
      </c>
      <c r="B575" s="15"/>
      <c r="C575" s="11">
        <f t="shared" si="24"/>
        <v>1</v>
      </c>
      <c r="D575" s="11"/>
      <c r="E575" s="11"/>
      <c r="F575" s="11"/>
      <c r="G575" s="89">
        <f>IFERROR(VLOOKUP(F575,COA!$A$1:$K$26,2,FALSE),0)</f>
        <v>0</v>
      </c>
      <c r="H575" s="11"/>
      <c r="I575" s="11"/>
      <c r="J575" s="78"/>
      <c r="K575" s="78"/>
      <c r="L575" s="146">
        <f t="shared" si="26"/>
        <v>1800000</v>
      </c>
      <c r="M575" s="73"/>
      <c r="N575" s="73"/>
      <c r="O575" s="7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 x14ac:dyDescent="0.35">
      <c r="A576" s="9">
        <f t="shared" si="25"/>
        <v>568</v>
      </c>
      <c r="B576" s="15"/>
      <c r="C576" s="11">
        <f t="shared" si="24"/>
        <v>1</v>
      </c>
      <c r="D576" s="11"/>
      <c r="E576" s="11"/>
      <c r="F576" s="11"/>
      <c r="G576" s="89">
        <f>IFERROR(VLOOKUP(F576,COA!$A$1:$K$26,2,FALSE),0)</f>
        <v>0</v>
      </c>
      <c r="H576" s="13"/>
      <c r="I576" s="13"/>
      <c r="J576" s="78"/>
      <c r="K576" s="78"/>
      <c r="L576" s="146">
        <f t="shared" si="26"/>
        <v>1800000</v>
      </c>
      <c r="M576" s="73"/>
      <c r="N576" s="73"/>
      <c r="O576" s="7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 x14ac:dyDescent="0.35">
      <c r="A577" s="9">
        <f t="shared" si="25"/>
        <v>569</v>
      </c>
      <c r="B577" s="15"/>
      <c r="C577" s="11">
        <f t="shared" si="24"/>
        <v>1</v>
      </c>
      <c r="D577" s="11"/>
      <c r="E577" s="11"/>
      <c r="F577" s="11"/>
      <c r="G577" s="89">
        <f>IFERROR(VLOOKUP(F577,COA!$A$1:$K$26,2,FALSE),0)</f>
        <v>0</v>
      </c>
      <c r="H577" s="11"/>
      <c r="I577" s="11"/>
      <c r="J577" s="78"/>
      <c r="K577" s="78"/>
      <c r="L577" s="146">
        <f t="shared" si="26"/>
        <v>1800000</v>
      </c>
      <c r="M577" s="73"/>
      <c r="N577" s="73"/>
      <c r="O577" s="7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 x14ac:dyDescent="0.35">
      <c r="A578" s="9">
        <f t="shared" si="25"/>
        <v>570</v>
      </c>
      <c r="B578" s="15"/>
      <c r="C578" s="11">
        <f t="shared" si="24"/>
        <v>1</v>
      </c>
      <c r="D578" s="11"/>
      <c r="E578" s="11"/>
      <c r="F578" s="11"/>
      <c r="G578" s="89">
        <f>IFERROR(VLOOKUP(F578,COA!$A$1:$K$26,2,FALSE),0)</f>
        <v>0</v>
      </c>
      <c r="H578" s="11"/>
      <c r="I578" s="11"/>
      <c r="J578" s="78"/>
      <c r="K578" s="78"/>
      <c r="L578" s="146">
        <f t="shared" si="26"/>
        <v>1800000</v>
      </c>
      <c r="M578" s="73"/>
      <c r="N578" s="73"/>
      <c r="O578" s="7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 x14ac:dyDescent="0.35">
      <c r="A579" s="9">
        <f t="shared" si="25"/>
        <v>571</v>
      </c>
      <c r="B579" s="15"/>
      <c r="C579" s="11">
        <f t="shared" si="24"/>
        <v>1</v>
      </c>
      <c r="D579" s="11"/>
      <c r="E579" s="11"/>
      <c r="F579" s="11"/>
      <c r="G579" s="89">
        <f>IFERROR(VLOOKUP(F579,COA!$A$1:$K$26,2,FALSE),0)</f>
        <v>0</v>
      </c>
      <c r="H579" s="11"/>
      <c r="I579" s="11"/>
      <c r="J579" s="78"/>
      <c r="K579" s="78"/>
      <c r="L579" s="146">
        <f t="shared" si="26"/>
        <v>1800000</v>
      </c>
      <c r="M579" s="73"/>
      <c r="N579" s="73"/>
      <c r="O579" s="7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 x14ac:dyDescent="0.35">
      <c r="A580" s="9">
        <f t="shared" si="25"/>
        <v>572</v>
      </c>
      <c r="B580" s="15"/>
      <c r="C580" s="11">
        <f t="shared" si="24"/>
        <v>1</v>
      </c>
      <c r="D580" s="11"/>
      <c r="E580" s="11"/>
      <c r="F580" s="11"/>
      <c r="G580" s="89">
        <f>IFERROR(VLOOKUP(F580,COA!$A$1:$K$26,2,FALSE),0)</f>
        <v>0</v>
      </c>
      <c r="H580" s="11"/>
      <c r="I580" s="11"/>
      <c r="J580" s="78"/>
      <c r="K580" s="78"/>
      <c r="L580" s="146">
        <f t="shared" si="26"/>
        <v>1800000</v>
      </c>
      <c r="M580" s="73"/>
      <c r="N580" s="73"/>
      <c r="O580" s="7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 x14ac:dyDescent="0.35">
      <c r="A581" s="9">
        <f t="shared" si="25"/>
        <v>573</v>
      </c>
      <c r="B581" s="15"/>
      <c r="C581" s="11">
        <f t="shared" si="24"/>
        <v>1</v>
      </c>
      <c r="D581" s="11"/>
      <c r="E581" s="11"/>
      <c r="F581" s="11"/>
      <c r="G581" s="89">
        <f>IFERROR(VLOOKUP(F581,COA!$A$1:$K$26,2,FALSE),0)</f>
        <v>0</v>
      </c>
      <c r="H581" s="11"/>
      <c r="I581" s="11"/>
      <c r="J581" s="78"/>
      <c r="K581" s="78"/>
      <c r="L581" s="146">
        <f t="shared" si="26"/>
        <v>1800000</v>
      </c>
      <c r="M581" s="73"/>
      <c r="N581" s="73"/>
      <c r="O581" s="7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 x14ac:dyDescent="0.35">
      <c r="A582" s="9">
        <f t="shared" si="25"/>
        <v>574</v>
      </c>
      <c r="B582" s="15"/>
      <c r="C582" s="11">
        <f t="shared" si="24"/>
        <v>1</v>
      </c>
      <c r="D582" s="11"/>
      <c r="E582" s="11"/>
      <c r="F582" s="11"/>
      <c r="G582" s="89">
        <f>IFERROR(VLOOKUP(F582,COA!$A$1:$K$26,2,FALSE),0)</f>
        <v>0</v>
      </c>
      <c r="H582" s="13"/>
      <c r="I582" s="13"/>
      <c r="J582" s="78"/>
      <c r="K582" s="78"/>
      <c r="L582" s="146">
        <f t="shared" si="26"/>
        <v>1800000</v>
      </c>
      <c r="M582" s="73"/>
      <c r="N582" s="73"/>
      <c r="O582" s="7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 x14ac:dyDescent="0.35">
      <c r="A583" s="9">
        <f t="shared" si="25"/>
        <v>575</v>
      </c>
      <c r="B583" s="15"/>
      <c r="C583" s="11">
        <f t="shared" si="24"/>
        <v>1</v>
      </c>
      <c r="D583" s="11"/>
      <c r="E583" s="11"/>
      <c r="F583" s="11"/>
      <c r="G583" s="89">
        <f>IFERROR(VLOOKUP(F583,COA!$A$1:$K$26,2,FALSE),0)</f>
        <v>0</v>
      </c>
      <c r="H583" s="11"/>
      <c r="I583" s="11"/>
      <c r="J583" s="78"/>
      <c r="K583" s="78"/>
      <c r="L583" s="146">
        <f t="shared" si="26"/>
        <v>1800000</v>
      </c>
      <c r="M583" s="73"/>
      <c r="N583" s="73"/>
      <c r="O583" s="7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 x14ac:dyDescent="0.35">
      <c r="A584" s="9">
        <f t="shared" si="25"/>
        <v>576</v>
      </c>
      <c r="B584" s="15"/>
      <c r="C584" s="11">
        <f t="shared" ref="C584:C647" si="27">MONTH(B584)</f>
        <v>1</v>
      </c>
      <c r="D584" s="11"/>
      <c r="E584" s="11"/>
      <c r="F584" s="11"/>
      <c r="G584" s="89">
        <f>IFERROR(VLOOKUP(F584,COA!$A$1:$K$26,2,FALSE),0)</f>
        <v>0</v>
      </c>
      <c r="H584" s="11"/>
      <c r="I584" s="11"/>
      <c r="J584" s="78"/>
      <c r="K584" s="78"/>
      <c r="L584" s="146">
        <f t="shared" si="26"/>
        <v>1800000</v>
      </c>
      <c r="M584" s="73"/>
      <c r="N584" s="73"/>
      <c r="O584" s="7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 x14ac:dyDescent="0.35">
      <c r="A585" s="9">
        <f t="shared" si="25"/>
        <v>577</v>
      </c>
      <c r="B585" s="15"/>
      <c r="C585" s="11">
        <f t="shared" si="27"/>
        <v>1</v>
      </c>
      <c r="D585" s="11"/>
      <c r="E585" s="11"/>
      <c r="F585" s="11"/>
      <c r="G585" s="89">
        <f>IFERROR(VLOOKUP(F585,COA!$A$1:$K$26,2,FALSE),0)</f>
        <v>0</v>
      </c>
      <c r="H585" s="13"/>
      <c r="I585" s="13"/>
      <c r="J585" s="78"/>
      <c r="K585" s="78"/>
      <c r="L585" s="146">
        <f t="shared" si="26"/>
        <v>1800000</v>
      </c>
      <c r="M585" s="73"/>
      <c r="N585" s="73"/>
      <c r="O585" s="7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 x14ac:dyDescent="0.35">
      <c r="A586" s="9">
        <f t="shared" si="25"/>
        <v>578</v>
      </c>
      <c r="B586" s="15"/>
      <c r="C586" s="11">
        <f t="shared" si="27"/>
        <v>1</v>
      </c>
      <c r="D586" s="11"/>
      <c r="E586" s="11"/>
      <c r="F586" s="11"/>
      <c r="G586" s="89">
        <f>IFERROR(VLOOKUP(F586,COA!$A$1:$K$26,2,FALSE),0)</f>
        <v>0</v>
      </c>
      <c r="H586" s="11"/>
      <c r="I586" s="11"/>
      <c r="J586" s="78"/>
      <c r="K586" s="78"/>
      <c r="L586" s="146">
        <f t="shared" si="26"/>
        <v>1800000</v>
      </c>
      <c r="M586" s="73"/>
      <c r="N586" s="73"/>
      <c r="O586" s="7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 x14ac:dyDescent="0.35">
      <c r="A587" s="9">
        <f t="shared" ref="A587:A650" si="28">A586+1</f>
        <v>579</v>
      </c>
      <c r="B587" s="15"/>
      <c r="C587" s="11">
        <f t="shared" si="27"/>
        <v>1</v>
      </c>
      <c r="D587" s="11"/>
      <c r="E587" s="11"/>
      <c r="F587" s="11"/>
      <c r="G587" s="89">
        <f>IFERROR(VLOOKUP(F587,COA!$A$1:$K$26,2,FALSE),0)</f>
        <v>0</v>
      </c>
      <c r="H587" s="11"/>
      <c r="I587" s="11"/>
      <c r="J587" s="78"/>
      <c r="K587" s="78"/>
      <c r="L587" s="146">
        <f t="shared" ref="L587:L650" si="29">L586+J587-K587</f>
        <v>1800000</v>
      </c>
      <c r="M587" s="73"/>
      <c r="N587" s="73"/>
      <c r="O587" s="7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 x14ac:dyDescent="0.35">
      <c r="A588" s="9">
        <f t="shared" si="28"/>
        <v>580</v>
      </c>
      <c r="B588" s="15"/>
      <c r="C588" s="11">
        <f t="shared" si="27"/>
        <v>1</v>
      </c>
      <c r="D588" s="11"/>
      <c r="E588" s="11"/>
      <c r="F588" s="11"/>
      <c r="G588" s="89">
        <f>IFERROR(VLOOKUP(F588,COA!$A$1:$K$26,2,FALSE),0)</f>
        <v>0</v>
      </c>
      <c r="H588" s="11"/>
      <c r="I588" s="11"/>
      <c r="J588" s="78"/>
      <c r="K588" s="78"/>
      <c r="L588" s="146">
        <f t="shared" si="29"/>
        <v>1800000</v>
      </c>
      <c r="M588" s="73"/>
      <c r="N588" s="73"/>
      <c r="O588" s="7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 x14ac:dyDescent="0.35">
      <c r="A589" s="9">
        <f t="shared" si="28"/>
        <v>581</v>
      </c>
      <c r="B589" s="15"/>
      <c r="C589" s="11">
        <f t="shared" si="27"/>
        <v>1</v>
      </c>
      <c r="D589" s="11"/>
      <c r="E589" s="11"/>
      <c r="F589" s="11"/>
      <c r="G589" s="89">
        <f>IFERROR(VLOOKUP(F589,COA!$A$1:$K$26,2,FALSE),0)</f>
        <v>0</v>
      </c>
      <c r="H589" s="11"/>
      <c r="I589" s="11"/>
      <c r="J589" s="78"/>
      <c r="K589" s="78"/>
      <c r="L589" s="146">
        <f t="shared" si="29"/>
        <v>1800000</v>
      </c>
      <c r="M589" s="73"/>
      <c r="N589" s="73"/>
      <c r="O589" s="7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 x14ac:dyDescent="0.35">
      <c r="A590" s="9">
        <f t="shared" si="28"/>
        <v>582</v>
      </c>
      <c r="B590" s="15"/>
      <c r="C590" s="11">
        <f t="shared" si="27"/>
        <v>1</v>
      </c>
      <c r="D590" s="11"/>
      <c r="E590" s="11"/>
      <c r="F590" s="11"/>
      <c r="G590" s="89">
        <f>IFERROR(VLOOKUP(F590,COA!$A$1:$K$26,2,FALSE),0)</f>
        <v>0</v>
      </c>
      <c r="H590" s="11"/>
      <c r="I590" s="11"/>
      <c r="J590" s="78"/>
      <c r="K590" s="78"/>
      <c r="L590" s="146">
        <f t="shared" si="29"/>
        <v>1800000</v>
      </c>
      <c r="M590" s="73"/>
      <c r="N590" s="73"/>
      <c r="O590" s="7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 x14ac:dyDescent="0.35">
      <c r="A591" s="9">
        <f t="shared" si="28"/>
        <v>583</v>
      </c>
      <c r="B591" s="15"/>
      <c r="C591" s="11">
        <f t="shared" si="27"/>
        <v>1</v>
      </c>
      <c r="D591" s="11"/>
      <c r="E591" s="11"/>
      <c r="F591" s="11"/>
      <c r="G591" s="89">
        <f>IFERROR(VLOOKUP(F591,COA!$A$1:$K$26,2,FALSE),0)</f>
        <v>0</v>
      </c>
      <c r="H591" s="11"/>
      <c r="I591" s="11"/>
      <c r="J591" s="78"/>
      <c r="K591" s="78"/>
      <c r="L591" s="146">
        <f t="shared" si="29"/>
        <v>1800000</v>
      </c>
      <c r="M591" s="73"/>
      <c r="N591" s="73"/>
      <c r="O591" s="7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 x14ac:dyDescent="0.35">
      <c r="A592" s="9">
        <f t="shared" si="28"/>
        <v>584</v>
      </c>
      <c r="B592" s="15"/>
      <c r="C592" s="11">
        <f t="shared" si="27"/>
        <v>1</v>
      </c>
      <c r="D592" s="11"/>
      <c r="E592" s="11"/>
      <c r="F592" s="11"/>
      <c r="G592" s="89">
        <f>IFERROR(VLOOKUP(F592,COA!$A$1:$K$26,2,FALSE),0)</f>
        <v>0</v>
      </c>
      <c r="H592" s="13"/>
      <c r="I592" s="13"/>
      <c r="J592" s="78"/>
      <c r="K592" s="78"/>
      <c r="L592" s="146">
        <f t="shared" si="29"/>
        <v>1800000</v>
      </c>
      <c r="M592" s="73"/>
      <c r="N592" s="73"/>
      <c r="O592" s="7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 x14ac:dyDescent="0.35">
      <c r="A593" s="9">
        <f t="shared" si="28"/>
        <v>585</v>
      </c>
      <c r="B593" s="15"/>
      <c r="C593" s="11">
        <f t="shared" si="27"/>
        <v>1</v>
      </c>
      <c r="D593" s="11"/>
      <c r="E593" s="11"/>
      <c r="F593" s="11"/>
      <c r="G593" s="89">
        <f>IFERROR(VLOOKUP(F593,COA!$A$1:$K$26,2,FALSE),0)</f>
        <v>0</v>
      </c>
      <c r="H593" s="11"/>
      <c r="I593" s="11"/>
      <c r="J593" s="78"/>
      <c r="K593" s="78"/>
      <c r="L593" s="146">
        <f t="shared" si="29"/>
        <v>1800000</v>
      </c>
      <c r="M593" s="73"/>
      <c r="N593" s="73"/>
      <c r="O593" s="7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 x14ac:dyDescent="0.35">
      <c r="A594" s="9">
        <f t="shared" si="28"/>
        <v>586</v>
      </c>
      <c r="B594" s="15"/>
      <c r="C594" s="11">
        <f t="shared" si="27"/>
        <v>1</v>
      </c>
      <c r="D594" s="11"/>
      <c r="E594" s="11"/>
      <c r="F594" s="11"/>
      <c r="G594" s="89">
        <f>IFERROR(VLOOKUP(F594,COA!$A$1:$K$26,2,FALSE),0)</f>
        <v>0</v>
      </c>
      <c r="H594" s="11"/>
      <c r="I594" s="11"/>
      <c r="J594" s="78"/>
      <c r="K594" s="78"/>
      <c r="L594" s="146">
        <f t="shared" si="29"/>
        <v>1800000</v>
      </c>
      <c r="M594" s="73"/>
      <c r="N594" s="73"/>
      <c r="O594" s="7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 x14ac:dyDescent="0.35">
      <c r="A595" s="9">
        <f t="shared" si="28"/>
        <v>587</v>
      </c>
      <c r="B595" s="15"/>
      <c r="C595" s="11">
        <f t="shared" si="27"/>
        <v>1</v>
      </c>
      <c r="D595" s="11"/>
      <c r="E595" s="11"/>
      <c r="F595" s="11"/>
      <c r="G595" s="89">
        <f>IFERROR(VLOOKUP(F595,COA!$A$1:$K$26,2,FALSE),0)</f>
        <v>0</v>
      </c>
      <c r="H595" s="11"/>
      <c r="I595" s="11"/>
      <c r="J595" s="78"/>
      <c r="K595" s="78"/>
      <c r="L595" s="146">
        <f t="shared" si="29"/>
        <v>1800000</v>
      </c>
      <c r="M595" s="73"/>
      <c r="N595" s="73"/>
      <c r="O595" s="7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 x14ac:dyDescent="0.35">
      <c r="A596" s="9">
        <f t="shared" si="28"/>
        <v>588</v>
      </c>
      <c r="B596" s="15"/>
      <c r="C596" s="11">
        <f t="shared" si="27"/>
        <v>1</v>
      </c>
      <c r="D596" s="11"/>
      <c r="E596" s="11"/>
      <c r="F596" s="11"/>
      <c r="G596" s="89">
        <f>IFERROR(VLOOKUP(F596,COA!$A$1:$K$26,2,FALSE),0)</f>
        <v>0</v>
      </c>
      <c r="H596" s="11"/>
      <c r="I596" s="11"/>
      <c r="J596" s="78"/>
      <c r="K596" s="78"/>
      <c r="L596" s="146">
        <f t="shared" si="29"/>
        <v>1800000</v>
      </c>
      <c r="M596" s="73"/>
      <c r="N596" s="73"/>
      <c r="O596" s="7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 x14ac:dyDescent="0.35">
      <c r="A597" s="9">
        <f t="shared" si="28"/>
        <v>589</v>
      </c>
      <c r="B597" s="15"/>
      <c r="C597" s="11">
        <f t="shared" si="27"/>
        <v>1</v>
      </c>
      <c r="D597" s="11"/>
      <c r="E597" s="11"/>
      <c r="F597" s="11"/>
      <c r="G597" s="89">
        <f>IFERROR(VLOOKUP(F597,COA!$A$1:$K$26,2,FALSE),0)</f>
        <v>0</v>
      </c>
      <c r="H597" s="11"/>
      <c r="I597" s="11"/>
      <c r="J597" s="78"/>
      <c r="K597" s="78"/>
      <c r="L597" s="146">
        <f t="shared" si="29"/>
        <v>1800000</v>
      </c>
      <c r="M597" s="73"/>
      <c r="N597" s="73"/>
      <c r="O597" s="7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 x14ac:dyDescent="0.35">
      <c r="A598" s="9">
        <f t="shared" si="28"/>
        <v>590</v>
      </c>
      <c r="B598" s="15"/>
      <c r="C598" s="11">
        <f t="shared" si="27"/>
        <v>1</v>
      </c>
      <c r="D598" s="11"/>
      <c r="E598" s="11"/>
      <c r="F598" s="11"/>
      <c r="G598" s="89">
        <f>IFERROR(VLOOKUP(F598,COA!$A$1:$K$26,2,FALSE),0)</f>
        <v>0</v>
      </c>
      <c r="H598" s="13"/>
      <c r="I598" s="13"/>
      <c r="J598" s="78"/>
      <c r="K598" s="78"/>
      <c r="L598" s="146">
        <f t="shared" si="29"/>
        <v>1800000</v>
      </c>
      <c r="M598" s="73"/>
      <c r="N598" s="73"/>
      <c r="O598" s="7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 x14ac:dyDescent="0.35">
      <c r="A599" s="9">
        <f t="shared" si="28"/>
        <v>591</v>
      </c>
      <c r="B599" s="15"/>
      <c r="C599" s="11">
        <f t="shared" si="27"/>
        <v>1</v>
      </c>
      <c r="D599" s="11"/>
      <c r="E599" s="11"/>
      <c r="F599" s="11"/>
      <c r="G599" s="89">
        <f>IFERROR(VLOOKUP(F599,COA!$A$1:$K$26,2,FALSE),0)</f>
        <v>0</v>
      </c>
      <c r="H599" s="11"/>
      <c r="I599" s="11"/>
      <c r="J599" s="78"/>
      <c r="K599" s="78"/>
      <c r="L599" s="146">
        <f t="shared" si="29"/>
        <v>1800000</v>
      </c>
      <c r="M599" s="73"/>
      <c r="N599" s="73"/>
      <c r="O599" s="7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 x14ac:dyDescent="0.35">
      <c r="A600" s="9">
        <f t="shared" si="28"/>
        <v>592</v>
      </c>
      <c r="B600" s="15"/>
      <c r="C600" s="11">
        <f t="shared" si="27"/>
        <v>1</v>
      </c>
      <c r="D600" s="11"/>
      <c r="E600" s="11"/>
      <c r="F600" s="11"/>
      <c r="G600" s="89">
        <f>IFERROR(VLOOKUP(F600,COA!$A$1:$K$26,2,FALSE),0)</f>
        <v>0</v>
      </c>
      <c r="H600" s="11"/>
      <c r="I600" s="11"/>
      <c r="J600" s="78"/>
      <c r="K600" s="78"/>
      <c r="L600" s="146">
        <f t="shared" si="29"/>
        <v>1800000</v>
      </c>
      <c r="M600" s="73"/>
      <c r="N600" s="73"/>
      <c r="O600" s="7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 x14ac:dyDescent="0.35">
      <c r="A601" s="9">
        <f t="shared" si="28"/>
        <v>593</v>
      </c>
      <c r="B601" s="15"/>
      <c r="C601" s="11">
        <f t="shared" si="27"/>
        <v>1</v>
      </c>
      <c r="D601" s="11"/>
      <c r="E601" s="11"/>
      <c r="F601" s="11"/>
      <c r="G601" s="89">
        <f>IFERROR(VLOOKUP(F601,COA!$A$1:$K$26,2,FALSE),0)</f>
        <v>0</v>
      </c>
      <c r="H601" s="11"/>
      <c r="I601" s="11"/>
      <c r="J601" s="78"/>
      <c r="K601" s="78"/>
      <c r="L601" s="146">
        <f t="shared" si="29"/>
        <v>1800000</v>
      </c>
      <c r="M601" s="73"/>
      <c r="N601" s="73"/>
      <c r="O601" s="7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 x14ac:dyDescent="0.35">
      <c r="A602" s="9">
        <f t="shared" si="28"/>
        <v>594</v>
      </c>
      <c r="B602" s="15"/>
      <c r="C602" s="11">
        <f t="shared" si="27"/>
        <v>1</v>
      </c>
      <c r="D602" s="11"/>
      <c r="E602" s="11"/>
      <c r="F602" s="11"/>
      <c r="G602" s="89">
        <f>IFERROR(VLOOKUP(F602,COA!$A$1:$K$26,2,FALSE),0)</f>
        <v>0</v>
      </c>
      <c r="H602" s="11"/>
      <c r="I602" s="11"/>
      <c r="J602" s="78"/>
      <c r="K602" s="78"/>
      <c r="L602" s="146">
        <f t="shared" si="29"/>
        <v>1800000</v>
      </c>
      <c r="M602" s="73"/>
      <c r="N602" s="73"/>
      <c r="O602" s="7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 x14ac:dyDescent="0.35">
      <c r="A603" s="9">
        <f t="shared" si="28"/>
        <v>595</v>
      </c>
      <c r="B603" s="15"/>
      <c r="C603" s="11">
        <f t="shared" si="27"/>
        <v>1</v>
      </c>
      <c r="D603" s="11"/>
      <c r="E603" s="11"/>
      <c r="F603" s="11"/>
      <c r="G603" s="89">
        <f>IFERROR(VLOOKUP(F603,COA!$A$1:$K$26,2,FALSE),0)</f>
        <v>0</v>
      </c>
      <c r="H603" s="11"/>
      <c r="I603" s="11"/>
      <c r="J603" s="78"/>
      <c r="K603" s="78"/>
      <c r="L603" s="146">
        <f t="shared" si="29"/>
        <v>1800000</v>
      </c>
      <c r="M603" s="73"/>
      <c r="N603" s="73"/>
      <c r="O603" s="7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 x14ac:dyDescent="0.35">
      <c r="A604" s="9">
        <f t="shared" si="28"/>
        <v>596</v>
      </c>
      <c r="B604" s="15"/>
      <c r="C604" s="11">
        <f t="shared" si="27"/>
        <v>1</v>
      </c>
      <c r="D604" s="11"/>
      <c r="E604" s="11"/>
      <c r="F604" s="11"/>
      <c r="G604" s="89">
        <f>IFERROR(VLOOKUP(F604,COA!$A$1:$K$26,2,FALSE),0)</f>
        <v>0</v>
      </c>
      <c r="H604" s="13"/>
      <c r="I604" s="13"/>
      <c r="J604" s="78"/>
      <c r="K604" s="78"/>
      <c r="L604" s="146">
        <f t="shared" si="29"/>
        <v>1800000</v>
      </c>
      <c r="M604" s="73"/>
      <c r="N604" s="73"/>
      <c r="O604" s="7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 x14ac:dyDescent="0.35">
      <c r="A605" s="9">
        <f t="shared" si="28"/>
        <v>597</v>
      </c>
      <c r="B605" s="15"/>
      <c r="C605" s="11">
        <f t="shared" si="27"/>
        <v>1</v>
      </c>
      <c r="D605" s="11"/>
      <c r="E605" s="11"/>
      <c r="F605" s="11"/>
      <c r="G605" s="89">
        <f>IFERROR(VLOOKUP(F605,COA!$A$1:$K$26,2,FALSE),0)</f>
        <v>0</v>
      </c>
      <c r="H605" s="11"/>
      <c r="I605" s="11"/>
      <c r="J605" s="78"/>
      <c r="K605" s="78"/>
      <c r="L605" s="146">
        <f t="shared" si="29"/>
        <v>1800000</v>
      </c>
      <c r="M605" s="73"/>
      <c r="N605" s="73"/>
      <c r="O605" s="7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 x14ac:dyDescent="0.35">
      <c r="A606" s="9">
        <f t="shared" si="28"/>
        <v>598</v>
      </c>
      <c r="B606" s="15"/>
      <c r="C606" s="11">
        <f t="shared" si="27"/>
        <v>1</v>
      </c>
      <c r="D606" s="11"/>
      <c r="E606" s="11"/>
      <c r="F606" s="11"/>
      <c r="G606" s="89">
        <f>IFERROR(VLOOKUP(F606,COA!$A$1:$K$26,2,FALSE),0)</f>
        <v>0</v>
      </c>
      <c r="H606" s="11"/>
      <c r="I606" s="11"/>
      <c r="J606" s="78"/>
      <c r="K606" s="78"/>
      <c r="L606" s="146">
        <f t="shared" si="29"/>
        <v>1800000</v>
      </c>
      <c r="M606" s="73"/>
      <c r="N606" s="73"/>
      <c r="O606" s="7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 x14ac:dyDescent="0.35">
      <c r="A607" s="9">
        <f t="shared" si="28"/>
        <v>599</v>
      </c>
      <c r="B607" s="15"/>
      <c r="C607" s="11">
        <f t="shared" si="27"/>
        <v>1</v>
      </c>
      <c r="D607" s="11"/>
      <c r="E607" s="11"/>
      <c r="F607" s="11"/>
      <c r="G607" s="89">
        <f>IFERROR(VLOOKUP(F607,COA!$A$1:$K$26,2,FALSE),0)</f>
        <v>0</v>
      </c>
      <c r="H607" s="11"/>
      <c r="I607" s="11"/>
      <c r="J607" s="78"/>
      <c r="K607" s="78"/>
      <c r="L607" s="146">
        <f t="shared" si="29"/>
        <v>1800000</v>
      </c>
      <c r="M607" s="73"/>
      <c r="N607" s="73"/>
      <c r="O607" s="7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 x14ac:dyDescent="0.35">
      <c r="A608" s="9">
        <f t="shared" si="28"/>
        <v>600</v>
      </c>
      <c r="B608" s="15"/>
      <c r="C608" s="11">
        <f t="shared" si="27"/>
        <v>1</v>
      </c>
      <c r="D608" s="11"/>
      <c r="E608" s="11"/>
      <c r="F608" s="11"/>
      <c r="G608" s="89">
        <f>IFERROR(VLOOKUP(F608,COA!$A$1:$K$26,2,FALSE),0)</f>
        <v>0</v>
      </c>
      <c r="H608" s="11"/>
      <c r="I608" s="11"/>
      <c r="J608" s="78"/>
      <c r="K608" s="78"/>
      <c r="L608" s="146">
        <f t="shared" si="29"/>
        <v>1800000</v>
      </c>
      <c r="M608" s="73"/>
      <c r="N608" s="73"/>
      <c r="O608" s="7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 x14ac:dyDescent="0.35">
      <c r="A609" s="9">
        <f t="shared" si="28"/>
        <v>601</v>
      </c>
      <c r="B609" s="15"/>
      <c r="C609" s="11">
        <f t="shared" si="27"/>
        <v>1</v>
      </c>
      <c r="D609" s="11"/>
      <c r="E609" s="11"/>
      <c r="F609" s="11"/>
      <c r="G609" s="89">
        <f>IFERROR(VLOOKUP(F609,COA!$A$1:$K$26,2,FALSE),0)</f>
        <v>0</v>
      </c>
      <c r="H609" s="11"/>
      <c r="I609" s="11"/>
      <c r="J609" s="78"/>
      <c r="K609" s="78"/>
      <c r="L609" s="146">
        <f t="shared" si="29"/>
        <v>1800000</v>
      </c>
      <c r="M609" s="73"/>
      <c r="N609" s="73"/>
      <c r="O609" s="7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 x14ac:dyDescent="0.35">
      <c r="A610" s="9">
        <f t="shared" si="28"/>
        <v>602</v>
      </c>
      <c r="B610" s="15"/>
      <c r="C610" s="11">
        <f t="shared" si="27"/>
        <v>1</v>
      </c>
      <c r="D610" s="11"/>
      <c r="E610" s="11"/>
      <c r="F610" s="11"/>
      <c r="G610" s="89">
        <f>IFERROR(VLOOKUP(F610,COA!$A$1:$K$26,2,FALSE),0)</f>
        <v>0</v>
      </c>
      <c r="H610" s="13"/>
      <c r="I610" s="13"/>
      <c r="J610" s="78"/>
      <c r="K610" s="78"/>
      <c r="L610" s="146">
        <f t="shared" si="29"/>
        <v>1800000</v>
      </c>
      <c r="M610" s="73"/>
      <c r="N610" s="73"/>
      <c r="O610" s="7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 x14ac:dyDescent="0.35">
      <c r="A611" s="9">
        <f t="shared" si="28"/>
        <v>603</v>
      </c>
      <c r="B611" s="15"/>
      <c r="C611" s="11">
        <f t="shared" si="27"/>
        <v>1</v>
      </c>
      <c r="D611" s="11"/>
      <c r="E611" s="11"/>
      <c r="F611" s="11"/>
      <c r="G611" s="89">
        <f>IFERROR(VLOOKUP(F611,COA!$A$1:$K$26,2,FALSE),0)</f>
        <v>0</v>
      </c>
      <c r="H611" s="11"/>
      <c r="I611" s="11"/>
      <c r="J611" s="78"/>
      <c r="K611" s="78"/>
      <c r="L611" s="146">
        <f t="shared" si="29"/>
        <v>1800000</v>
      </c>
      <c r="M611" s="73"/>
      <c r="N611" s="73"/>
      <c r="O611" s="7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 x14ac:dyDescent="0.35">
      <c r="A612" s="9">
        <f t="shared" si="28"/>
        <v>604</v>
      </c>
      <c r="B612" s="15"/>
      <c r="C612" s="11">
        <f t="shared" si="27"/>
        <v>1</v>
      </c>
      <c r="D612" s="11"/>
      <c r="E612" s="11"/>
      <c r="F612" s="11"/>
      <c r="G612" s="89">
        <f>IFERROR(VLOOKUP(F612,COA!$A$1:$K$26,2,FALSE),0)</f>
        <v>0</v>
      </c>
      <c r="H612" s="11"/>
      <c r="I612" s="11"/>
      <c r="J612" s="78"/>
      <c r="K612" s="78"/>
      <c r="L612" s="146">
        <f t="shared" si="29"/>
        <v>1800000</v>
      </c>
      <c r="M612" s="73"/>
      <c r="N612" s="73"/>
      <c r="O612" s="7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 x14ac:dyDescent="0.35">
      <c r="A613" s="9">
        <f t="shared" si="28"/>
        <v>605</v>
      </c>
      <c r="B613" s="15"/>
      <c r="C613" s="11">
        <f t="shared" si="27"/>
        <v>1</v>
      </c>
      <c r="D613" s="11"/>
      <c r="E613" s="11"/>
      <c r="F613" s="11"/>
      <c r="G613" s="89">
        <f>IFERROR(VLOOKUP(F613,COA!$A$1:$K$26,2,FALSE),0)</f>
        <v>0</v>
      </c>
      <c r="H613" s="11"/>
      <c r="I613" s="11"/>
      <c r="J613" s="78"/>
      <c r="K613" s="78"/>
      <c r="L613" s="146">
        <f t="shared" si="29"/>
        <v>1800000</v>
      </c>
      <c r="M613" s="73"/>
      <c r="N613" s="73"/>
      <c r="O613" s="7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 x14ac:dyDescent="0.35">
      <c r="A614" s="9">
        <f t="shared" si="28"/>
        <v>606</v>
      </c>
      <c r="B614" s="15"/>
      <c r="C614" s="11">
        <f t="shared" si="27"/>
        <v>1</v>
      </c>
      <c r="D614" s="11"/>
      <c r="E614" s="11"/>
      <c r="F614" s="11"/>
      <c r="G614" s="89">
        <f>IFERROR(VLOOKUP(F614,COA!$A$1:$K$26,2,FALSE),0)</f>
        <v>0</v>
      </c>
      <c r="H614" s="11"/>
      <c r="I614" s="11"/>
      <c r="J614" s="78"/>
      <c r="K614" s="78"/>
      <c r="L614" s="146">
        <f t="shared" si="29"/>
        <v>1800000</v>
      </c>
      <c r="M614" s="73"/>
      <c r="N614" s="73"/>
      <c r="O614" s="7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 x14ac:dyDescent="0.35">
      <c r="A615" s="9">
        <f t="shared" si="28"/>
        <v>607</v>
      </c>
      <c r="B615" s="15"/>
      <c r="C615" s="11">
        <f t="shared" si="27"/>
        <v>1</v>
      </c>
      <c r="D615" s="11"/>
      <c r="E615" s="11"/>
      <c r="F615" s="11"/>
      <c r="G615" s="89">
        <f>IFERROR(VLOOKUP(F615,COA!$A$1:$K$26,2,FALSE),0)</f>
        <v>0</v>
      </c>
      <c r="H615" s="11"/>
      <c r="I615" s="11"/>
      <c r="J615" s="78"/>
      <c r="K615" s="78"/>
      <c r="L615" s="146">
        <f t="shared" si="29"/>
        <v>1800000</v>
      </c>
      <c r="M615" s="73"/>
      <c r="N615" s="73"/>
      <c r="O615" s="7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 x14ac:dyDescent="0.35">
      <c r="A616" s="9">
        <f t="shared" si="28"/>
        <v>608</v>
      </c>
      <c r="B616" s="15"/>
      <c r="C616" s="11">
        <f t="shared" si="27"/>
        <v>1</v>
      </c>
      <c r="D616" s="11"/>
      <c r="E616" s="11"/>
      <c r="F616" s="11"/>
      <c r="G616" s="89">
        <f>IFERROR(VLOOKUP(F616,COA!$A$1:$K$26,2,FALSE),0)</f>
        <v>0</v>
      </c>
      <c r="H616" s="11"/>
      <c r="I616" s="11"/>
      <c r="J616" s="78"/>
      <c r="K616" s="78"/>
      <c r="L616" s="146">
        <f t="shared" si="29"/>
        <v>1800000</v>
      </c>
      <c r="M616" s="73"/>
      <c r="N616" s="73"/>
      <c r="O616" s="7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 x14ac:dyDescent="0.35">
      <c r="A617" s="9">
        <f t="shared" si="28"/>
        <v>609</v>
      </c>
      <c r="B617" s="15"/>
      <c r="C617" s="11">
        <f t="shared" si="27"/>
        <v>1</v>
      </c>
      <c r="D617" s="11"/>
      <c r="E617" s="11"/>
      <c r="F617" s="11"/>
      <c r="G617" s="89">
        <f>IFERROR(VLOOKUP(F617,COA!$A$1:$K$26,2,FALSE),0)</f>
        <v>0</v>
      </c>
      <c r="H617" s="11"/>
      <c r="I617" s="11"/>
      <c r="J617" s="78"/>
      <c r="K617" s="78"/>
      <c r="L617" s="146">
        <f t="shared" si="29"/>
        <v>1800000</v>
      </c>
      <c r="M617" s="73"/>
      <c r="N617" s="73"/>
      <c r="O617" s="7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 x14ac:dyDescent="0.35">
      <c r="A618" s="9">
        <f t="shared" si="28"/>
        <v>610</v>
      </c>
      <c r="B618" s="15"/>
      <c r="C618" s="11">
        <f t="shared" si="27"/>
        <v>1</v>
      </c>
      <c r="D618" s="11"/>
      <c r="E618" s="11"/>
      <c r="F618" s="11"/>
      <c r="G618" s="89">
        <f>IFERROR(VLOOKUP(F618,COA!$A$1:$K$26,2,FALSE),0)</f>
        <v>0</v>
      </c>
      <c r="H618" s="13"/>
      <c r="I618" s="13"/>
      <c r="J618" s="78"/>
      <c r="K618" s="78"/>
      <c r="L618" s="146">
        <f t="shared" si="29"/>
        <v>1800000</v>
      </c>
      <c r="M618" s="73"/>
      <c r="N618" s="73"/>
      <c r="O618" s="7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 x14ac:dyDescent="0.35">
      <c r="A619" s="9">
        <f t="shared" si="28"/>
        <v>611</v>
      </c>
      <c r="B619" s="15"/>
      <c r="C619" s="11">
        <f t="shared" si="27"/>
        <v>1</v>
      </c>
      <c r="D619" s="11"/>
      <c r="E619" s="11"/>
      <c r="F619" s="11"/>
      <c r="G619" s="89">
        <f>IFERROR(VLOOKUP(F619,COA!$A$1:$K$26,2,FALSE),0)</f>
        <v>0</v>
      </c>
      <c r="H619" s="11"/>
      <c r="I619" s="11"/>
      <c r="J619" s="78"/>
      <c r="K619" s="78"/>
      <c r="L619" s="146">
        <f t="shared" si="29"/>
        <v>1800000</v>
      </c>
      <c r="M619" s="73"/>
      <c r="N619" s="73"/>
      <c r="O619" s="7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 x14ac:dyDescent="0.35">
      <c r="A620" s="9">
        <f t="shared" si="28"/>
        <v>612</v>
      </c>
      <c r="B620" s="15"/>
      <c r="C620" s="11">
        <f t="shared" si="27"/>
        <v>1</v>
      </c>
      <c r="D620" s="11"/>
      <c r="E620" s="11"/>
      <c r="F620" s="11"/>
      <c r="G620" s="89">
        <f>IFERROR(VLOOKUP(F620,COA!$A$1:$K$26,2,FALSE),0)</f>
        <v>0</v>
      </c>
      <c r="H620" s="11"/>
      <c r="I620" s="11"/>
      <c r="J620" s="78"/>
      <c r="K620" s="78"/>
      <c r="L620" s="146">
        <f t="shared" si="29"/>
        <v>1800000</v>
      </c>
      <c r="M620" s="73"/>
      <c r="N620" s="73"/>
      <c r="O620" s="7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 x14ac:dyDescent="0.35">
      <c r="A621" s="9">
        <f t="shared" si="28"/>
        <v>613</v>
      </c>
      <c r="B621" s="15"/>
      <c r="C621" s="11">
        <f t="shared" si="27"/>
        <v>1</v>
      </c>
      <c r="D621" s="11"/>
      <c r="E621" s="11"/>
      <c r="F621" s="11"/>
      <c r="G621" s="89">
        <f>IFERROR(VLOOKUP(F621,COA!$A$1:$K$26,2,FALSE),0)</f>
        <v>0</v>
      </c>
      <c r="H621" s="11"/>
      <c r="I621" s="11"/>
      <c r="J621" s="78"/>
      <c r="K621" s="78"/>
      <c r="L621" s="146">
        <f t="shared" si="29"/>
        <v>1800000</v>
      </c>
      <c r="M621" s="73"/>
      <c r="N621" s="73"/>
      <c r="O621" s="7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 x14ac:dyDescent="0.35">
      <c r="A622" s="9">
        <f t="shared" si="28"/>
        <v>614</v>
      </c>
      <c r="B622" s="15"/>
      <c r="C622" s="11">
        <f t="shared" si="27"/>
        <v>1</v>
      </c>
      <c r="D622" s="11"/>
      <c r="E622" s="11"/>
      <c r="F622" s="11"/>
      <c r="G622" s="89">
        <f>IFERROR(VLOOKUP(F622,COA!$A$1:$K$26,2,FALSE),0)</f>
        <v>0</v>
      </c>
      <c r="H622" s="11"/>
      <c r="I622" s="11"/>
      <c r="J622" s="78"/>
      <c r="K622" s="78"/>
      <c r="L622" s="146">
        <f t="shared" si="29"/>
        <v>1800000</v>
      </c>
      <c r="M622" s="73"/>
      <c r="N622" s="73"/>
      <c r="O622" s="7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 x14ac:dyDescent="0.35">
      <c r="A623" s="9">
        <f t="shared" si="28"/>
        <v>615</v>
      </c>
      <c r="B623" s="15"/>
      <c r="C623" s="11">
        <f t="shared" si="27"/>
        <v>1</v>
      </c>
      <c r="D623" s="11"/>
      <c r="E623" s="11"/>
      <c r="F623" s="11"/>
      <c r="G623" s="89">
        <f>IFERROR(VLOOKUP(F623,COA!$A$1:$K$26,2,FALSE),0)</f>
        <v>0</v>
      </c>
      <c r="H623" s="11"/>
      <c r="I623" s="11"/>
      <c r="J623" s="78"/>
      <c r="K623" s="78"/>
      <c r="L623" s="146">
        <f t="shared" si="29"/>
        <v>1800000</v>
      </c>
      <c r="M623" s="73"/>
      <c r="N623" s="73"/>
      <c r="O623" s="7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 x14ac:dyDescent="0.35">
      <c r="A624" s="9">
        <f t="shared" si="28"/>
        <v>616</v>
      </c>
      <c r="B624" s="15"/>
      <c r="C624" s="11">
        <f t="shared" si="27"/>
        <v>1</v>
      </c>
      <c r="D624" s="11"/>
      <c r="E624" s="11"/>
      <c r="F624" s="11"/>
      <c r="G624" s="89">
        <f>IFERROR(VLOOKUP(F624,COA!$A$1:$K$26,2,FALSE),0)</f>
        <v>0</v>
      </c>
      <c r="H624" s="13"/>
      <c r="I624" s="13"/>
      <c r="J624" s="78"/>
      <c r="K624" s="78"/>
      <c r="L624" s="146">
        <f t="shared" si="29"/>
        <v>1800000</v>
      </c>
      <c r="M624" s="73"/>
      <c r="N624" s="73"/>
      <c r="O624" s="7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 x14ac:dyDescent="0.35">
      <c r="A625" s="9">
        <f t="shared" si="28"/>
        <v>617</v>
      </c>
      <c r="B625" s="15"/>
      <c r="C625" s="11">
        <f t="shared" si="27"/>
        <v>1</v>
      </c>
      <c r="D625" s="11"/>
      <c r="E625" s="11"/>
      <c r="F625" s="11"/>
      <c r="G625" s="89">
        <f>IFERROR(VLOOKUP(F625,COA!$A$1:$K$26,2,FALSE),0)</f>
        <v>0</v>
      </c>
      <c r="H625" s="11"/>
      <c r="I625" s="11"/>
      <c r="J625" s="78"/>
      <c r="K625" s="78"/>
      <c r="L625" s="146">
        <f t="shared" si="29"/>
        <v>1800000</v>
      </c>
      <c r="M625" s="73"/>
      <c r="N625" s="73"/>
      <c r="O625" s="7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 x14ac:dyDescent="0.35">
      <c r="A626" s="9">
        <f t="shared" si="28"/>
        <v>618</v>
      </c>
      <c r="B626" s="15"/>
      <c r="C626" s="11">
        <f t="shared" si="27"/>
        <v>1</v>
      </c>
      <c r="D626" s="11"/>
      <c r="E626" s="11"/>
      <c r="F626" s="11"/>
      <c r="G626" s="89">
        <f>IFERROR(VLOOKUP(F626,COA!$A$1:$K$26,2,FALSE),0)</f>
        <v>0</v>
      </c>
      <c r="H626" s="11"/>
      <c r="I626" s="11"/>
      <c r="J626" s="78"/>
      <c r="K626" s="78"/>
      <c r="L626" s="146">
        <f t="shared" si="29"/>
        <v>1800000</v>
      </c>
      <c r="M626" s="73"/>
      <c r="N626" s="73"/>
      <c r="O626" s="7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 x14ac:dyDescent="0.35">
      <c r="A627" s="9">
        <f t="shared" si="28"/>
        <v>619</v>
      </c>
      <c r="B627" s="15"/>
      <c r="C627" s="11">
        <f t="shared" si="27"/>
        <v>1</v>
      </c>
      <c r="D627" s="11"/>
      <c r="E627" s="11"/>
      <c r="F627" s="11"/>
      <c r="G627" s="89">
        <f>IFERROR(VLOOKUP(F627,COA!$A$1:$K$26,2,FALSE),0)</f>
        <v>0</v>
      </c>
      <c r="H627" s="11"/>
      <c r="I627" s="11"/>
      <c r="J627" s="78"/>
      <c r="K627" s="78"/>
      <c r="L627" s="146">
        <f t="shared" si="29"/>
        <v>1800000</v>
      </c>
      <c r="M627" s="73"/>
      <c r="N627" s="73"/>
      <c r="O627" s="7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 x14ac:dyDescent="0.35">
      <c r="A628" s="9">
        <f t="shared" si="28"/>
        <v>620</v>
      </c>
      <c r="B628" s="15"/>
      <c r="C628" s="11">
        <f t="shared" si="27"/>
        <v>1</v>
      </c>
      <c r="D628" s="11"/>
      <c r="E628" s="11"/>
      <c r="F628" s="11"/>
      <c r="G628" s="89">
        <f>IFERROR(VLOOKUP(F628,COA!$A$1:$K$26,2,FALSE),0)</f>
        <v>0</v>
      </c>
      <c r="H628" s="11"/>
      <c r="I628" s="11"/>
      <c r="J628" s="78"/>
      <c r="K628" s="78"/>
      <c r="L628" s="146">
        <f t="shared" si="29"/>
        <v>1800000</v>
      </c>
      <c r="M628" s="73"/>
      <c r="N628" s="73"/>
      <c r="O628" s="7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 x14ac:dyDescent="0.35">
      <c r="A629" s="9">
        <f t="shared" si="28"/>
        <v>621</v>
      </c>
      <c r="B629" s="15"/>
      <c r="C629" s="11">
        <f t="shared" si="27"/>
        <v>1</v>
      </c>
      <c r="D629" s="11"/>
      <c r="E629" s="11"/>
      <c r="F629" s="11"/>
      <c r="G629" s="89">
        <f>IFERROR(VLOOKUP(F629,COA!$A$1:$K$26,2,FALSE),0)</f>
        <v>0</v>
      </c>
      <c r="H629" s="11"/>
      <c r="I629" s="11"/>
      <c r="J629" s="78"/>
      <c r="K629" s="78"/>
      <c r="L629" s="146">
        <f t="shared" si="29"/>
        <v>1800000</v>
      </c>
      <c r="M629" s="73"/>
      <c r="N629" s="73"/>
      <c r="O629" s="7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 x14ac:dyDescent="0.35">
      <c r="A630" s="9">
        <f t="shared" si="28"/>
        <v>622</v>
      </c>
      <c r="B630" s="15"/>
      <c r="C630" s="11">
        <f t="shared" si="27"/>
        <v>1</v>
      </c>
      <c r="D630" s="11"/>
      <c r="E630" s="11"/>
      <c r="F630" s="11"/>
      <c r="G630" s="89">
        <f>IFERROR(VLOOKUP(F630,COA!$A$1:$K$26,2,FALSE),0)</f>
        <v>0</v>
      </c>
      <c r="H630" s="13"/>
      <c r="I630" s="13"/>
      <c r="J630" s="78"/>
      <c r="K630" s="78"/>
      <c r="L630" s="146">
        <f t="shared" si="29"/>
        <v>1800000</v>
      </c>
      <c r="M630" s="73"/>
      <c r="N630" s="73"/>
      <c r="O630" s="7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 x14ac:dyDescent="0.35">
      <c r="A631" s="9">
        <f t="shared" si="28"/>
        <v>623</v>
      </c>
      <c r="B631" s="15"/>
      <c r="C631" s="11">
        <f t="shared" si="27"/>
        <v>1</v>
      </c>
      <c r="D631" s="11"/>
      <c r="E631" s="11"/>
      <c r="F631" s="11"/>
      <c r="G631" s="89">
        <f>IFERROR(VLOOKUP(F631,COA!$A$1:$K$26,2,FALSE),0)</f>
        <v>0</v>
      </c>
      <c r="H631" s="11"/>
      <c r="I631" s="11"/>
      <c r="J631" s="78"/>
      <c r="K631" s="78"/>
      <c r="L631" s="146">
        <f t="shared" si="29"/>
        <v>1800000</v>
      </c>
      <c r="M631" s="73"/>
      <c r="N631" s="73"/>
      <c r="O631" s="7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 x14ac:dyDescent="0.35">
      <c r="A632" s="9">
        <f t="shared" si="28"/>
        <v>624</v>
      </c>
      <c r="B632" s="15"/>
      <c r="C632" s="11">
        <f t="shared" si="27"/>
        <v>1</v>
      </c>
      <c r="D632" s="11"/>
      <c r="E632" s="11"/>
      <c r="F632" s="11"/>
      <c r="G632" s="89">
        <f>IFERROR(VLOOKUP(F632,COA!$A$1:$K$26,2,FALSE),0)</f>
        <v>0</v>
      </c>
      <c r="H632" s="11"/>
      <c r="I632" s="11"/>
      <c r="J632" s="78"/>
      <c r="K632" s="78"/>
      <c r="L632" s="146">
        <f t="shared" si="29"/>
        <v>1800000</v>
      </c>
      <c r="M632" s="73"/>
      <c r="N632" s="73"/>
      <c r="O632" s="7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 x14ac:dyDescent="0.35">
      <c r="A633" s="9">
        <f t="shared" si="28"/>
        <v>625</v>
      </c>
      <c r="B633" s="15"/>
      <c r="C633" s="11">
        <f t="shared" si="27"/>
        <v>1</v>
      </c>
      <c r="D633" s="11"/>
      <c r="E633" s="11"/>
      <c r="F633" s="11"/>
      <c r="G633" s="89">
        <f>IFERROR(VLOOKUP(F633,COA!$A$1:$K$26,2,FALSE),0)</f>
        <v>0</v>
      </c>
      <c r="H633" s="11"/>
      <c r="I633" s="11"/>
      <c r="J633" s="78"/>
      <c r="K633" s="78"/>
      <c r="L633" s="146">
        <f t="shared" si="29"/>
        <v>1800000</v>
      </c>
      <c r="M633" s="73"/>
      <c r="N633" s="73"/>
      <c r="O633" s="7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 x14ac:dyDescent="0.35">
      <c r="A634" s="9">
        <f t="shared" si="28"/>
        <v>626</v>
      </c>
      <c r="B634" s="15"/>
      <c r="C634" s="11">
        <f t="shared" si="27"/>
        <v>1</v>
      </c>
      <c r="D634" s="11"/>
      <c r="E634" s="11"/>
      <c r="F634" s="11"/>
      <c r="G634" s="89">
        <f>IFERROR(VLOOKUP(F634,COA!$A$1:$K$26,2,FALSE),0)</f>
        <v>0</v>
      </c>
      <c r="H634" s="11"/>
      <c r="I634" s="11"/>
      <c r="J634" s="78"/>
      <c r="K634" s="78"/>
      <c r="L634" s="146">
        <f t="shared" si="29"/>
        <v>1800000</v>
      </c>
      <c r="M634" s="73"/>
      <c r="N634" s="73"/>
      <c r="O634" s="7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 x14ac:dyDescent="0.35">
      <c r="A635" s="9">
        <f t="shared" si="28"/>
        <v>627</v>
      </c>
      <c r="B635" s="21"/>
      <c r="C635" s="11">
        <f t="shared" si="27"/>
        <v>1</v>
      </c>
      <c r="D635" s="11"/>
      <c r="E635" s="11"/>
      <c r="F635" s="11"/>
      <c r="G635" s="89">
        <f>IFERROR(VLOOKUP(F635,COA!$A$1:$K$26,2,FALSE),0)</f>
        <v>0</v>
      </c>
      <c r="H635" s="11"/>
      <c r="I635" s="11"/>
      <c r="J635" s="78"/>
      <c r="K635" s="78"/>
      <c r="L635" s="146">
        <f t="shared" si="29"/>
        <v>1800000</v>
      </c>
      <c r="M635" s="73"/>
      <c r="N635" s="73"/>
      <c r="O635" s="7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 x14ac:dyDescent="0.35">
      <c r="A636" s="9">
        <f t="shared" si="28"/>
        <v>628</v>
      </c>
      <c r="B636" s="21"/>
      <c r="C636" s="11">
        <f t="shared" si="27"/>
        <v>1</v>
      </c>
      <c r="D636" s="11"/>
      <c r="E636" s="11"/>
      <c r="F636" s="11"/>
      <c r="G636" s="89">
        <f>IFERROR(VLOOKUP(F636,COA!$A$1:$K$26,2,FALSE),0)</f>
        <v>0</v>
      </c>
      <c r="H636" s="11"/>
      <c r="I636" s="11"/>
      <c r="J636" s="78"/>
      <c r="K636" s="78"/>
      <c r="L636" s="146">
        <f t="shared" si="29"/>
        <v>1800000</v>
      </c>
      <c r="M636" s="73"/>
      <c r="N636" s="73"/>
      <c r="O636" s="7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 x14ac:dyDescent="0.35">
      <c r="A637" s="9">
        <f t="shared" si="28"/>
        <v>629</v>
      </c>
      <c r="B637" s="21"/>
      <c r="C637" s="11">
        <f t="shared" si="27"/>
        <v>1</v>
      </c>
      <c r="D637" s="11"/>
      <c r="E637" s="11"/>
      <c r="F637" s="11"/>
      <c r="G637" s="89">
        <f>IFERROR(VLOOKUP(F637,COA!$A$1:$K$26,2,FALSE),0)</f>
        <v>0</v>
      </c>
      <c r="H637" s="11"/>
      <c r="I637" s="11"/>
      <c r="J637" s="78"/>
      <c r="K637" s="78"/>
      <c r="L637" s="146">
        <f t="shared" si="29"/>
        <v>1800000</v>
      </c>
      <c r="M637" s="73"/>
      <c r="N637" s="73"/>
      <c r="O637" s="7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 x14ac:dyDescent="0.35">
      <c r="A638" s="9">
        <f t="shared" si="28"/>
        <v>630</v>
      </c>
      <c r="B638" s="15"/>
      <c r="C638" s="11">
        <f t="shared" si="27"/>
        <v>1</v>
      </c>
      <c r="D638" s="11"/>
      <c r="E638" s="11"/>
      <c r="F638" s="11"/>
      <c r="G638" s="89">
        <f>IFERROR(VLOOKUP(F638,COA!$A$1:$K$26,2,FALSE),0)</f>
        <v>0</v>
      </c>
      <c r="H638" s="11"/>
      <c r="I638" s="11"/>
      <c r="J638" s="78"/>
      <c r="K638" s="78"/>
      <c r="L638" s="146">
        <f t="shared" si="29"/>
        <v>1800000</v>
      </c>
      <c r="M638" s="73"/>
      <c r="N638" s="73"/>
      <c r="O638" s="7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 x14ac:dyDescent="0.35">
      <c r="A639" s="9">
        <f t="shared" si="28"/>
        <v>631</v>
      </c>
      <c r="B639" s="15"/>
      <c r="C639" s="11">
        <f t="shared" si="27"/>
        <v>1</v>
      </c>
      <c r="D639" s="11"/>
      <c r="E639" s="11"/>
      <c r="F639" s="11"/>
      <c r="G639" s="89">
        <f>IFERROR(VLOOKUP(F639,COA!$A$1:$K$26,2,FALSE),0)</f>
        <v>0</v>
      </c>
      <c r="H639" s="11"/>
      <c r="I639" s="11"/>
      <c r="J639" s="78"/>
      <c r="K639" s="78"/>
      <c r="L639" s="146">
        <f t="shared" si="29"/>
        <v>1800000</v>
      </c>
      <c r="M639" s="73"/>
      <c r="N639" s="73"/>
      <c r="O639" s="7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 x14ac:dyDescent="0.35">
      <c r="A640" s="9">
        <f t="shared" si="28"/>
        <v>632</v>
      </c>
      <c r="B640" s="15"/>
      <c r="C640" s="11">
        <f t="shared" si="27"/>
        <v>1</v>
      </c>
      <c r="D640" s="11"/>
      <c r="E640" s="11"/>
      <c r="F640" s="11"/>
      <c r="G640" s="89">
        <f>IFERROR(VLOOKUP(F640,COA!$A$1:$K$26,2,FALSE),0)</f>
        <v>0</v>
      </c>
      <c r="H640" s="11"/>
      <c r="I640" s="11"/>
      <c r="J640" s="78"/>
      <c r="K640" s="78"/>
      <c r="L640" s="146">
        <f t="shared" si="29"/>
        <v>1800000</v>
      </c>
      <c r="M640" s="73"/>
      <c r="N640" s="73"/>
      <c r="O640" s="7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 x14ac:dyDescent="0.35">
      <c r="A641" s="9">
        <f t="shared" si="28"/>
        <v>633</v>
      </c>
      <c r="B641" s="15"/>
      <c r="C641" s="11">
        <f t="shared" si="27"/>
        <v>1</v>
      </c>
      <c r="D641" s="11"/>
      <c r="E641" s="11"/>
      <c r="F641" s="11"/>
      <c r="G641" s="89">
        <f>IFERROR(VLOOKUP(F641,COA!$A$1:$K$26,2,FALSE),0)</f>
        <v>0</v>
      </c>
      <c r="H641" s="11"/>
      <c r="I641" s="11"/>
      <c r="J641" s="78"/>
      <c r="K641" s="78"/>
      <c r="L641" s="146">
        <f t="shared" si="29"/>
        <v>1800000</v>
      </c>
      <c r="M641" s="73"/>
      <c r="N641" s="73"/>
      <c r="O641" s="7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 x14ac:dyDescent="0.35">
      <c r="A642" s="9">
        <f t="shared" si="28"/>
        <v>634</v>
      </c>
      <c r="B642" s="15"/>
      <c r="C642" s="11">
        <f t="shared" si="27"/>
        <v>1</v>
      </c>
      <c r="D642" s="11"/>
      <c r="E642" s="11"/>
      <c r="F642" s="11"/>
      <c r="G642" s="89">
        <f>IFERROR(VLOOKUP(F642,COA!$A$1:$K$26,2,FALSE),0)</f>
        <v>0</v>
      </c>
      <c r="H642" s="11"/>
      <c r="I642" s="11"/>
      <c r="J642" s="78"/>
      <c r="K642" s="78"/>
      <c r="L642" s="146">
        <f t="shared" si="29"/>
        <v>1800000</v>
      </c>
      <c r="M642" s="73"/>
      <c r="N642" s="73"/>
      <c r="O642" s="7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 x14ac:dyDescent="0.35">
      <c r="A643" s="9">
        <f t="shared" si="28"/>
        <v>635</v>
      </c>
      <c r="B643" s="15"/>
      <c r="C643" s="11">
        <f t="shared" si="27"/>
        <v>1</v>
      </c>
      <c r="D643" s="11"/>
      <c r="E643" s="11"/>
      <c r="F643" s="11"/>
      <c r="G643" s="89">
        <f>IFERROR(VLOOKUP(F643,COA!$A$1:$K$26,2,FALSE),0)</f>
        <v>0</v>
      </c>
      <c r="H643" s="11"/>
      <c r="I643" s="11"/>
      <c r="J643" s="78"/>
      <c r="K643" s="78"/>
      <c r="L643" s="146">
        <f t="shared" si="29"/>
        <v>1800000</v>
      </c>
      <c r="M643" s="73"/>
      <c r="N643" s="73"/>
      <c r="O643" s="7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 x14ac:dyDescent="0.35">
      <c r="A644" s="9">
        <f t="shared" si="28"/>
        <v>636</v>
      </c>
      <c r="B644" s="15"/>
      <c r="C644" s="11">
        <f t="shared" si="27"/>
        <v>1</v>
      </c>
      <c r="D644" s="11"/>
      <c r="E644" s="11"/>
      <c r="F644" s="11"/>
      <c r="G644" s="89">
        <f>IFERROR(VLOOKUP(F644,COA!$A$1:$K$26,2,FALSE),0)</f>
        <v>0</v>
      </c>
      <c r="H644" s="11"/>
      <c r="I644" s="11"/>
      <c r="J644" s="78"/>
      <c r="K644" s="78"/>
      <c r="L644" s="146">
        <f t="shared" si="29"/>
        <v>1800000</v>
      </c>
      <c r="M644" s="73"/>
      <c r="N644" s="73"/>
      <c r="O644" s="7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 x14ac:dyDescent="0.35">
      <c r="A645" s="9">
        <f t="shared" si="28"/>
        <v>637</v>
      </c>
      <c r="B645" s="15"/>
      <c r="C645" s="11">
        <f t="shared" si="27"/>
        <v>1</v>
      </c>
      <c r="D645" s="11"/>
      <c r="E645" s="11"/>
      <c r="F645" s="11"/>
      <c r="G645" s="89">
        <f>IFERROR(VLOOKUP(F645,COA!$A$1:$K$26,2,FALSE),0)</f>
        <v>0</v>
      </c>
      <c r="H645" s="11"/>
      <c r="I645" s="11"/>
      <c r="J645" s="78"/>
      <c r="K645" s="78"/>
      <c r="L645" s="146">
        <f t="shared" si="29"/>
        <v>1800000</v>
      </c>
      <c r="M645" s="73"/>
      <c r="N645" s="73"/>
      <c r="O645" s="7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 x14ac:dyDescent="0.35">
      <c r="A646" s="9">
        <f t="shared" si="28"/>
        <v>638</v>
      </c>
      <c r="B646" s="15"/>
      <c r="C646" s="11">
        <f t="shared" si="27"/>
        <v>1</v>
      </c>
      <c r="D646" s="11"/>
      <c r="E646" s="11"/>
      <c r="F646" s="11"/>
      <c r="G646" s="89">
        <f>IFERROR(VLOOKUP(F646,COA!$A$1:$K$26,2,FALSE),0)</f>
        <v>0</v>
      </c>
      <c r="H646" s="11"/>
      <c r="I646" s="11"/>
      <c r="J646" s="78"/>
      <c r="K646" s="78"/>
      <c r="L646" s="146">
        <f t="shared" si="29"/>
        <v>1800000</v>
      </c>
      <c r="M646" s="73"/>
      <c r="N646" s="73"/>
      <c r="O646" s="7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 x14ac:dyDescent="0.35">
      <c r="A647" s="9">
        <f t="shared" si="28"/>
        <v>639</v>
      </c>
      <c r="B647" s="15"/>
      <c r="C647" s="11">
        <f t="shared" si="27"/>
        <v>1</v>
      </c>
      <c r="D647" s="11"/>
      <c r="E647" s="11"/>
      <c r="F647" s="11"/>
      <c r="G647" s="89">
        <f>IFERROR(VLOOKUP(F647,COA!$A$1:$K$26,2,FALSE),0)</f>
        <v>0</v>
      </c>
      <c r="H647" s="11"/>
      <c r="I647" s="11"/>
      <c r="J647" s="78"/>
      <c r="K647" s="78"/>
      <c r="L647" s="146">
        <f t="shared" si="29"/>
        <v>1800000</v>
      </c>
      <c r="M647" s="73"/>
      <c r="N647" s="73"/>
      <c r="O647" s="7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 x14ac:dyDescent="0.35">
      <c r="A648" s="9">
        <f t="shared" si="28"/>
        <v>640</v>
      </c>
      <c r="B648" s="15"/>
      <c r="C648" s="11">
        <f t="shared" ref="C648:C711" si="30">MONTH(B648)</f>
        <v>1</v>
      </c>
      <c r="D648" s="11"/>
      <c r="E648" s="11"/>
      <c r="F648" s="11"/>
      <c r="G648" s="89">
        <f>IFERROR(VLOOKUP(F648,COA!$A$1:$K$26,2,FALSE),0)</f>
        <v>0</v>
      </c>
      <c r="H648" s="11"/>
      <c r="I648" s="11"/>
      <c r="J648" s="78"/>
      <c r="K648" s="78"/>
      <c r="L648" s="146">
        <f t="shared" si="29"/>
        <v>1800000</v>
      </c>
      <c r="M648" s="73"/>
      <c r="N648" s="73"/>
      <c r="O648" s="7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 x14ac:dyDescent="0.35">
      <c r="A649" s="9">
        <f t="shared" si="28"/>
        <v>641</v>
      </c>
      <c r="B649" s="15"/>
      <c r="C649" s="11">
        <f t="shared" si="30"/>
        <v>1</v>
      </c>
      <c r="D649" s="11"/>
      <c r="E649" s="11"/>
      <c r="F649" s="11"/>
      <c r="G649" s="89">
        <f>IFERROR(VLOOKUP(F649,COA!$A$1:$K$26,2,FALSE),0)</f>
        <v>0</v>
      </c>
      <c r="H649" s="11"/>
      <c r="I649" s="11"/>
      <c r="J649" s="78"/>
      <c r="K649" s="78"/>
      <c r="L649" s="146">
        <f t="shared" si="29"/>
        <v>1800000</v>
      </c>
      <c r="M649" s="73"/>
      <c r="N649" s="73"/>
      <c r="O649" s="7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 x14ac:dyDescent="0.35">
      <c r="A650" s="9">
        <f t="shared" si="28"/>
        <v>642</v>
      </c>
      <c r="B650" s="15"/>
      <c r="C650" s="11">
        <f t="shared" si="30"/>
        <v>1</v>
      </c>
      <c r="D650" s="11"/>
      <c r="E650" s="11"/>
      <c r="F650" s="11"/>
      <c r="G650" s="89">
        <f>IFERROR(VLOOKUP(F650,COA!$A$1:$K$26,2,FALSE),0)</f>
        <v>0</v>
      </c>
      <c r="H650" s="11"/>
      <c r="I650" s="11"/>
      <c r="J650" s="78"/>
      <c r="K650" s="78"/>
      <c r="L650" s="146">
        <f t="shared" si="29"/>
        <v>1800000</v>
      </c>
      <c r="M650" s="73"/>
      <c r="N650" s="73"/>
      <c r="O650" s="7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 x14ac:dyDescent="0.35">
      <c r="A651" s="9">
        <f t="shared" ref="A651:A714" si="31">A650+1</f>
        <v>643</v>
      </c>
      <c r="B651" s="15"/>
      <c r="C651" s="11">
        <f t="shared" si="30"/>
        <v>1</v>
      </c>
      <c r="D651" s="11"/>
      <c r="E651" s="11"/>
      <c r="F651" s="11"/>
      <c r="G651" s="89">
        <f>IFERROR(VLOOKUP(F651,COA!$A$1:$K$26,2,FALSE),0)</f>
        <v>0</v>
      </c>
      <c r="H651" s="11"/>
      <c r="I651" s="4"/>
      <c r="J651" s="78"/>
      <c r="K651" s="78"/>
      <c r="L651" s="146">
        <f t="shared" ref="L651:L714" si="32">L650+J651-K651</f>
        <v>1800000</v>
      </c>
      <c r="M651" s="73"/>
      <c r="N651" s="73"/>
      <c r="O651" s="7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 x14ac:dyDescent="0.35">
      <c r="A652" s="9">
        <f t="shared" si="31"/>
        <v>644</v>
      </c>
      <c r="B652" s="15"/>
      <c r="C652" s="11">
        <f t="shared" si="30"/>
        <v>1</v>
      </c>
      <c r="D652" s="11"/>
      <c r="E652" s="11"/>
      <c r="F652" s="11"/>
      <c r="G652" s="89">
        <f>IFERROR(VLOOKUP(F652,COA!$A$1:$K$26,2,FALSE),0)</f>
        <v>0</v>
      </c>
      <c r="H652" s="13"/>
      <c r="I652" s="13"/>
      <c r="J652" s="78"/>
      <c r="K652" s="78"/>
      <c r="L652" s="146">
        <f t="shared" si="32"/>
        <v>1800000</v>
      </c>
      <c r="M652" s="73"/>
      <c r="N652" s="73"/>
      <c r="O652" s="7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 x14ac:dyDescent="0.35">
      <c r="A653" s="9">
        <f t="shared" si="31"/>
        <v>645</v>
      </c>
      <c r="B653" s="15"/>
      <c r="C653" s="11">
        <f t="shared" si="30"/>
        <v>1</v>
      </c>
      <c r="D653" s="11"/>
      <c r="E653" s="11"/>
      <c r="F653" s="11"/>
      <c r="G653" s="89">
        <f>IFERROR(VLOOKUP(F653,COA!$A$1:$K$26,2,FALSE),0)</f>
        <v>0</v>
      </c>
      <c r="H653" s="11"/>
      <c r="I653" s="11"/>
      <c r="J653" s="78"/>
      <c r="K653" s="78"/>
      <c r="L653" s="146">
        <f t="shared" si="32"/>
        <v>1800000</v>
      </c>
      <c r="M653" s="73"/>
      <c r="N653" s="73"/>
      <c r="O653" s="7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 x14ac:dyDescent="0.35">
      <c r="A654" s="9">
        <f t="shared" si="31"/>
        <v>646</v>
      </c>
      <c r="B654" s="15"/>
      <c r="C654" s="11">
        <f t="shared" si="30"/>
        <v>1</v>
      </c>
      <c r="D654" s="11"/>
      <c r="E654" s="11"/>
      <c r="F654" s="11"/>
      <c r="G654" s="89">
        <f>IFERROR(VLOOKUP(F654,COA!$A$1:$K$26,2,FALSE),0)</f>
        <v>0</v>
      </c>
      <c r="H654" s="11"/>
      <c r="I654" s="11"/>
      <c r="J654" s="78"/>
      <c r="K654" s="78"/>
      <c r="L654" s="146">
        <f t="shared" si="32"/>
        <v>1800000</v>
      </c>
      <c r="M654" s="73"/>
      <c r="N654" s="73"/>
      <c r="O654" s="7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 x14ac:dyDescent="0.35">
      <c r="A655" s="9">
        <f t="shared" si="31"/>
        <v>647</v>
      </c>
      <c r="B655" s="15"/>
      <c r="C655" s="11">
        <f t="shared" si="30"/>
        <v>1</v>
      </c>
      <c r="D655" s="11"/>
      <c r="E655" s="11"/>
      <c r="F655" s="11"/>
      <c r="G655" s="89">
        <f>IFERROR(VLOOKUP(F655,COA!$A$1:$K$26,2,FALSE),0)</f>
        <v>0</v>
      </c>
      <c r="H655" s="11"/>
      <c r="I655" s="11"/>
      <c r="J655" s="78"/>
      <c r="K655" s="78"/>
      <c r="L655" s="146">
        <f t="shared" si="32"/>
        <v>1800000</v>
      </c>
      <c r="M655" s="73"/>
      <c r="N655" s="73"/>
      <c r="O655" s="7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 x14ac:dyDescent="0.35">
      <c r="A656" s="9">
        <f t="shared" si="31"/>
        <v>648</v>
      </c>
      <c r="B656" s="15"/>
      <c r="C656" s="11">
        <f t="shared" si="30"/>
        <v>1</v>
      </c>
      <c r="D656" s="11"/>
      <c r="E656" s="11"/>
      <c r="F656" s="11"/>
      <c r="G656" s="89">
        <f>IFERROR(VLOOKUP(F656,COA!$A$1:$K$26,2,FALSE),0)</f>
        <v>0</v>
      </c>
      <c r="H656" s="11"/>
      <c r="I656" s="11"/>
      <c r="J656" s="78"/>
      <c r="K656" s="78"/>
      <c r="L656" s="146">
        <f t="shared" si="32"/>
        <v>1800000</v>
      </c>
      <c r="M656" s="73"/>
      <c r="N656" s="73"/>
      <c r="O656" s="7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 x14ac:dyDescent="0.35">
      <c r="A657" s="9">
        <f t="shared" si="31"/>
        <v>649</v>
      </c>
      <c r="B657" s="15"/>
      <c r="C657" s="11">
        <f t="shared" si="30"/>
        <v>1</v>
      </c>
      <c r="D657" s="11"/>
      <c r="E657" s="11"/>
      <c r="F657" s="11"/>
      <c r="G657" s="89">
        <f>IFERROR(VLOOKUP(F657,COA!$A$1:$K$26,2,FALSE),0)</f>
        <v>0</v>
      </c>
      <c r="H657" s="11"/>
      <c r="I657" s="11"/>
      <c r="J657" s="78"/>
      <c r="K657" s="78"/>
      <c r="L657" s="146">
        <f t="shared" si="32"/>
        <v>1800000</v>
      </c>
      <c r="M657" s="73"/>
      <c r="N657" s="73"/>
      <c r="O657" s="7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 x14ac:dyDescent="0.35">
      <c r="A658" s="9">
        <f t="shared" si="31"/>
        <v>650</v>
      </c>
      <c r="B658" s="15"/>
      <c r="C658" s="11">
        <f t="shared" si="30"/>
        <v>1</v>
      </c>
      <c r="D658" s="11"/>
      <c r="E658" s="11"/>
      <c r="F658" s="11"/>
      <c r="G658" s="89">
        <f>IFERROR(VLOOKUP(F658,COA!$A$1:$K$26,2,FALSE),0)</f>
        <v>0</v>
      </c>
      <c r="H658" s="11"/>
      <c r="I658" s="11"/>
      <c r="J658" s="78"/>
      <c r="K658" s="78"/>
      <c r="L658" s="146">
        <f t="shared" si="32"/>
        <v>1800000</v>
      </c>
      <c r="M658" s="73"/>
      <c r="N658" s="73"/>
      <c r="O658" s="7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 x14ac:dyDescent="0.35">
      <c r="A659" s="9">
        <f t="shared" si="31"/>
        <v>651</v>
      </c>
      <c r="B659" s="15"/>
      <c r="C659" s="11">
        <f t="shared" si="30"/>
        <v>1</v>
      </c>
      <c r="D659" s="11"/>
      <c r="E659" s="11"/>
      <c r="F659" s="11"/>
      <c r="G659" s="89">
        <f>IFERROR(VLOOKUP(F659,COA!$A$1:$K$26,2,FALSE),0)</f>
        <v>0</v>
      </c>
      <c r="H659" s="11"/>
      <c r="I659" s="11"/>
      <c r="J659" s="78"/>
      <c r="K659" s="78"/>
      <c r="L659" s="146">
        <f t="shared" si="32"/>
        <v>1800000</v>
      </c>
      <c r="M659" s="73"/>
      <c r="N659" s="73"/>
      <c r="O659" s="7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 x14ac:dyDescent="0.35">
      <c r="A660" s="9">
        <f t="shared" si="31"/>
        <v>652</v>
      </c>
      <c r="B660" s="15"/>
      <c r="C660" s="11">
        <f t="shared" si="30"/>
        <v>1</v>
      </c>
      <c r="D660" s="11"/>
      <c r="E660" s="11"/>
      <c r="F660" s="11"/>
      <c r="G660" s="89">
        <f>IFERROR(VLOOKUP(F660,COA!$A$1:$K$26,2,FALSE),0)</f>
        <v>0</v>
      </c>
      <c r="H660" s="11"/>
      <c r="I660" s="11"/>
      <c r="J660" s="78"/>
      <c r="K660" s="78"/>
      <c r="L660" s="146">
        <f t="shared" si="32"/>
        <v>1800000</v>
      </c>
      <c r="M660" s="73"/>
      <c r="N660" s="73"/>
      <c r="O660" s="7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 x14ac:dyDescent="0.35">
      <c r="A661" s="9">
        <f t="shared" si="31"/>
        <v>653</v>
      </c>
      <c r="B661" s="15"/>
      <c r="C661" s="11">
        <f t="shared" si="30"/>
        <v>1</v>
      </c>
      <c r="D661" s="11"/>
      <c r="E661" s="11"/>
      <c r="F661" s="11"/>
      <c r="G661" s="89">
        <f>IFERROR(VLOOKUP(F661,COA!$A$1:$K$26,2,FALSE),0)</f>
        <v>0</v>
      </c>
      <c r="H661" s="11"/>
      <c r="I661" s="11"/>
      <c r="J661" s="78"/>
      <c r="K661" s="78"/>
      <c r="L661" s="146">
        <f t="shared" si="32"/>
        <v>1800000</v>
      </c>
      <c r="M661" s="73"/>
      <c r="N661" s="73"/>
      <c r="O661" s="7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 x14ac:dyDescent="0.35">
      <c r="A662" s="9">
        <f t="shared" si="31"/>
        <v>654</v>
      </c>
      <c r="B662" s="15"/>
      <c r="C662" s="11">
        <f t="shared" si="30"/>
        <v>1</v>
      </c>
      <c r="D662" s="11"/>
      <c r="E662" s="11"/>
      <c r="F662" s="11"/>
      <c r="G662" s="89">
        <f>IFERROR(VLOOKUP(F662,COA!$A$1:$K$26,2,FALSE),0)</f>
        <v>0</v>
      </c>
      <c r="H662" s="11"/>
      <c r="I662" s="11"/>
      <c r="J662" s="78"/>
      <c r="K662" s="78"/>
      <c r="L662" s="146">
        <f t="shared" si="32"/>
        <v>1800000</v>
      </c>
      <c r="M662" s="73"/>
      <c r="N662" s="73"/>
      <c r="O662" s="7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 x14ac:dyDescent="0.35">
      <c r="A663" s="9">
        <f t="shared" si="31"/>
        <v>655</v>
      </c>
      <c r="B663" s="15"/>
      <c r="C663" s="11">
        <f t="shared" si="30"/>
        <v>1</v>
      </c>
      <c r="D663" s="11"/>
      <c r="E663" s="11"/>
      <c r="F663" s="11"/>
      <c r="G663" s="89">
        <f>IFERROR(VLOOKUP(F663,COA!$A$1:$K$26,2,FALSE),0)</f>
        <v>0</v>
      </c>
      <c r="H663" s="11"/>
      <c r="I663" s="11"/>
      <c r="J663" s="78"/>
      <c r="K663" s="78"/>
      <c r="L663" s="146">
        <f t="shared" si="32"/>
        <v>1800000</v>
      </c>
      <c r="M663" s="73"/>
      <c r="N663" s="73"/>
      <c r="O663" s="7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 x14ac:dyDescent="0.35">
      <c r="A664" s="9">
        <f t="shared" si="31"/>
        <v>656</v>
      </c>
      <c r="B664" s="15"/>
      <c r="C664" s="11">
        <f t="shared" si="30"/>
        <v>1</v>
      </c>
      <c r="D664" s="11"/>
      <c r="E664" s="11"/>
      <c r="F664" s="11"/>
      <c r="G664" s="89">
        <f>IFERROR(VLOOKUP(F664,COA!$A$1:$K$26,2,FALSE),0)</f>
        <v>0</v>
      </c>
      <c r="H664" s="11"/>
      <c r="I664" s="11"/>
      <c r="J664" s="78"/>
      <c r="K664" s="78"/>
      <c r="L664" s="146">
        <f t="shared" si="32"/>
        <v>1800000</v>
      </c>
      <c r="M664" s="73"/>
      <c r="N664" s="73"/>
      <c r="O664" s="7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 x14ac:dyDescent="0.35">
      <c r="A665" s="9">
        <f t="shared" si="31"/>
        <v>657</v>
      </c>
      <c r="B665" s="15"/>
      <c r="C665" s="11">
        <f t="shared" si="30"/>
        <v>1</v>
      </c>
      <c r="D665" s="11"/>
      <c r="E665" s="11"/>
      <c r="F665" s="11"/>
      <c r="G665" s="89">
        <f>IFERROR(VLOOKUP(F665,COA!$A$1:$K$26,2,FALSE),0)</f>
        <v>0</v>
      </c>
      <c r="H665" s="13"/>
      <c r="I665" s="13"/>
      <c r="J665" s="78"/>
      <c r="K665" s="78"/>
      <c r="L665" s="146">
        <f t="shared" si="32"/>
        <v>1800000</v>
      </c>
      <c r="M665" s="73"/>
      <c r="N665" s="73"/>
      <c r="O665" s="7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 x14ac:dyDescent="0.35">
      <c r="A666" s="9">
        <f t="shared" si="31"/>
        <v>658</v>
      </c>
      <c r="B666" s="15"/>
      <c r="C666" s="11">
        <f t="shared" si="30"/>
        <v>1</v>
      </c>
      <c r="D666" s="11"/>
      <c r="E666" s="11"/>
      <c r="F666" s="11"/>
      <c r="G666" s="89">
        <f>IFERROR(VLOOKUP(F666,COA!$A$1:$K$26,2,FALSE),0)</f>
        <v>0</v>
      </c>
      <c r="H666" s="11"/>
      <c r="I666" s="11"/>
      <c r="J666" s="78"/>
      <c r="K666" s="78"/>
      <c r="L666" s="146">
        <f t="shared" si="32"/>
        <v>1800000</v>
      </c>
      <c r="M666" s="73"/>
      <c r="N666" s="73"/>
      <c r="O666" s="7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 x14ac:dyDescent="0.35">
      <c r="A667" s="9">
        <f t="shared" si="31"/>
        <v>659</v>
      </c>
      <c r="B667" s="15"/>
      <c r="C667" s="11">
        <f t="shared" si="30"/>
        <v>1</v>
      </c>
      <c r="D667" s="11"/>
      <c r="E667" s="11"/>
      <c r="F667" s="11"/>
      <c r="G667" s="89">
        <f>IFERROR(VLOOKUP(F667,COA!$A$1:$K$26,2,FALSE),0)</f>
        <v>0</v>
      </c>
      <c r="H667" s="11"/>
      <c r="I667" s="11"/>
      <c r="J667" s="78"/>
      <c r="K667" s="78"/>
      <c r="L667" s="146">
        <f t="shared" si="32"/>
        <v>1800000</v>
      </c>
      <c r="M667" s="73"/>
      <c r="N667" s="73"/>
      <c r="O667" s="7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 x14ac:dyDescent="0.35">
      <c r="A668" s="9">
        <f t="shared" si="31"/>
        <v>660</v>
      </c>
      <c r="B668" s="15"/>
      <c r="C668" s="11">
        <f t="shared" si="30"/>
        <v>1</v>
      </c>
      <c r="D668" s="11"/>
      <c r="E668" s="11"/>
      <c r="F668" s="11"/>
      <c r="G668" s="89">
        <f>IFERROR(VLOOKUP(F668,COA!$A$1:$K$26,2,FALSE),0)</f>
        <v>0</v>
      </c>
      <c r="H668" s="11"/>
      <c r="I668" s="11"/>
      <c r="J668" s="78"/>
      <c r="K668" s="78"/>
      <c r="L668" s="146">
        <f t="shared" si="32"/>
        <v>1800000</v>
      </c>
      <c r="M668" s="73"/>
      <c r="N668" s="73"/>
      <c r="O668" s="7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 x14ac:dyDescent="0.35">
      <c r="A669" s="9">
        <f t="shared" si="31"/>
        <v>661</v>
      </c>
      <c r="B669" s="15"/>
      <c r="C669" s="11">
        <f t="shared" si="30"/>
        <v>1</v>
      </c>
      <c r="D669" s="11"/>
      <c r="E669" s="11"/>
      <c r="F669" s="11"/>
      <c r="G669" s="89">
        <f>IFERROR(VLOOKUP(F669,COA!$A$1:$K$26,2,FALSE),0)</f>
        <v>0</v>
      </c>
      <c r="H669" s="11"/>
      <c r="I669" s="11"/>
      <c r="J669" s="78"/>
      <c r="K669" s="78"/>
      <c r="L669" s="146">
        <f t="shared" si="32"/>
        <v>1800000</v>
      </c>
      <c r="M669" s="73"/>
      <c r="N669" s="73"/>
      <c r="O669" s="7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 x14ac:dyDescent="0.35">
      <c r="A670" s="9">
        <f t="shared" si="31"/>
        <v>662</v>
      </c>
      <c r="B670" s="15"/>
      <c r="C670" s="11">
        <f t="shared" si="30"/>
        <v>1</v>
      </c>
      <c r="D670" s="11"/>
      <c r="E670" s="11"/>
      <c r="F670" s="11"/>
      <c r="G670" s="89">
        <f>IFERROR(VLOOKUP(F670,COA!$A$1:$K$26,2,FALSE),0)</f>
        <v>0</v>
      </c>
      <c r="H670" s="11"/>
      <c r="I670" s="11"/>
      <c r="J670" s="78"/>
      <c r="K670" s="78"/>
      <c r="L670" s="146">
        <f t="shared" si="32"/>
        <v>1800000</v>
      </c>
      <c r="M670" s="73"/>
      <c r="N670" s="73"/>
      <c r="O670" s="7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 x14ac:dyDescent="0.35">
      <c r="A671" s="9">
        <f t="shared" si="31"/>
        <v>663</v>
      </c>
      <c r="B671" s="15"/>
      <c r="C671" s="11">
        <f t="shared" si="30"/>
        <v>1</v>
      </c>
      <c r="D671" s="11"/>
      <c r="E671" s="11"/>
      <c r="F671" s="11"/>
      <c r="G671" s="89">
        <f>IFERROR(VLOOKUP(F671,COA!$A$1:$K$26,2,FALSE),0)</f>
        <v>0</v>
      </c>
      <c r="H671" s="13"/>
      <c r="I671" s="13"/>
      <c r="J671" s="78"/>
      <c r="K671" s="78"/>
      <c r="L671" s="146">
        <f t="shared" si="32"/>
        <v>1800000</v>
      </c>
      <c r="M671" s="73"/>
      <c r="N671" s="73"/>
      <c r="O671" s="7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 x14ac:dyDescent="0.35">
      <c r="A672" s="9">
        <f t="shared" si="31"/>
        <v>664</v>
      </c>
      <c r="B672" s="15"/>
      <c r="C672" s="11">
        <f t="shared" si="30"/>
        <v>1</v>
      </c>
      <c r="D672" s="11"/>
      <c r="E672" s="11"/>
      <c r="F672" s="11"/>
      <c r="G672" s="89">
        <f>IFERROR(VLOOKUP(F672,COA!$A$1:$K$26,2,FALSE),0)</f>
        <v>0</v>
      </c>
      <c r="H672" s="11"/>
      <c r="I672" s="11"/>
      <c r="J672" s="78"/>
      <c r="K672" s="78"/>
      <c r="L672" s="146">
        <f t="shared" si="32"/>
        <v>1800000</v>
      </c>
      <c r="M672" s="73"/>
      <c r="N672" s="73"/>
      <c r="O672" s="7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 x14ac:dyDescent="0.35">
      <c r="A673" s="9">
        <f t="shared" si="31"/>
        <v>665</v>
      </c>
      <c r="B673" s="15"/>
      <c r="C673" s="11">
        <f t="shared" si="30"/>
        <v>1</v>
      </c>
      <c r="D673" s="11"/>
      <c r="E673" s="11"/>
      <c r="F673" s="11"/>
      <c r="G673" s="89">
        <f>IFERROR(VLOOKUP(F673,COA!$A$1:$K$26,2,FALSE),0)</f>
        <v>0</v>
      </c>
      <c r="H673" s="11"/>
      <c r="I673" s="11"/>
      <c r="J673" s="78"/>
      <c r="K673" s="78"/>
      <c r="L673" s="146">
        <f t="shared" si="32"/>
        <v>1800000</v>
      </c>
      <c r="M673" s="73"/>
      <c r="N673" s="73"/>
      <c r="O673" s="7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 x14ac:dyDescent="0.35">
      <c r="A674" s="9">
        <f t="shared" si="31"/>
        <v>666</v>
      </c>
      <c r="B674" s="15"/>
      <c r="C674" s="11">
        <f t="shared" si="30"/>
        <v>1</v>
      </c>
      <c r="D674" s="11"/>
      <c r="E674" s="11"/>
      <c r="F674" s="11"/>
      <c r="G674" s="89">
        <f>IFERROR(VLOOKUP(F674,COA!$A$1:$K$26,2,FALSE),0)</f>
        <v>0</v>
      </c>
      <c r="H674" s="11"/>
      <c r="I674" s="11"/>
      <c r="J674" s="78"/>
      <c r="K674" s="78"/>
      <c r="L674" s="146">
        <f t="shared" si="32"/>
        <v>1800000</v>
      </c>
      <c r="M674" s="73"/>
      <c r="N674" s="73"/>
      <c r="O674" s="7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 x14ac:dyDescent="0.35">
      <c r="A675" s="9">
        <f t="shared" si="31"/>
        <v>667</v>
      </c>
      <c r="B675" s="15"/>
      <c r="C675" s="11">
        <f t="shared" si="30"/>
        <v>1</v>
      </c>
      <c r="D675" s="11"/>
      <c r="E675" s="11"/>
      <c r="F675" s="11"/>
      <c r="G675" s="89">
        <f>IFERROR(VLOOKUP(F675,COA!$A$1:$K$26,2,FALSE),0)</f>
        <v>0</v>
      </c>
      <c r="H675" s="11"/>
      <c r="I675" s="11"/>
      <c r="J675" s="78"/>
      <c r="K675" s="78"/>
      <c r="L675" s="146">
        <f t="shared" si="32"/>
        <v>1800000</v>
      </c>
      <c r="M675" s="73"/>
      <c r="N675" s="73"/>
      <c r="O675" s="7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 x14ac:dyDescent="0.35">
      <c r="A676" s="9">
        <f t="shared" si="31"/>
        <v>668</v>
      </c>
      <c r="B676" s="15"/>
      <c r="C676" s="11">
        <f t="shared" si="30"/>
        <v>1</v>
      </c>
      <c r="D676" s="11"/>
      <c r="E676" s="11"/>
      <c r="F676" s="11"/>
      <c r="G676" s="89">
        <f>IFERROR(VLOOKUP(F676,COA!$A$1:$K$26,2,FALSE),0)</f>
        <v>0</v>
      </c>
      <c r="H676" s="11"/>
      <c r="I676" s="11"/>
      <c r="J676" s="78"/>
      <c r="K676" s="78"/>
      <c r="L676" s="146">
        <f t="shared" si="32"/>
        <v>1800000</v>
      </c>
      <c r="M676" s="73"/>
      <c r="N676" s="73"/>
      <c r="O676" s="7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 x14ac:dyDescent="0.35">
      <c r="A677" s="9">
        <f t="shared" si="31"/>
        <v>669</v>
      </c>
      <c r="B677" s="15"/>
      <c r="C677" s="11">
        <f t="shared" si="30"/>
        <v>1</v>
      </c>
      <c r="D677" s="11"/>
      <c r="E677" s="11"/>
      <c r="F677" s="11"/>
      <c r="G677" s="89">
        <f>IFERROR(VLOOKUP(F677,COA!$A$1:$K$26,2,FALSE),0)</f>
        <v>0</v>
      </c>
      <c r="H677" s="13"/>
      <c r="I677" s="13"/>
      <c r="J677" s="78"/>
      <c r="K677" s="78"/>
      <c r="L677" s="146">
        <f t="shared" si="32"/>
        <v>1800000</v>
      </c>
      <c r="M677" s="73"/>
      <c r="N677" s="73"/>
      <c r="O677" s="7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 x14ac:dyDescent="0.35">
      <c r="A678" s="9">
        <f t="shared" si="31"/>
        <v>670</v>
      </c>
      <c r="B678" s="15"/>
      <c r="C678" s="11">
        <f t="shared" si="30"/>
        <v>1</v>
      </c>
      <c r="D678" s="11"/>
      <c r="E678" s="11"/>
      <c r="F678" s="11"/>
      <c r="G678" s="89">
        <f>IFERROR(VLOOKUP(F678,COA!$A$1:$K$26,2,FALSE),0)</f>
        <v>0</v>
      </c>
      <c r="H678" s="11"/>
      <c r="I678" s="11"/>
      <c r="J678" s="78"/>
      <c r="K678" s="78"/>
      <c r="L678" s="146">
        <f t="shared" si="32"/>
        <v>1800000</v>
      </c>
      <c r="M678" s="73"/>
      <c r="N678" s="73"/>
      <c r="O678" s="7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 x14ac:dyDescent="0.35">
      <c r="A679" s="9">
        <f t="shared" si="31"/>
        <v>671</v>
      </c>
      <c r="B679" s="15"/>
      <c r="C679" s="11">
        <f t="shared" si="30"/>
        <v>1</v>
      </c>
      <c r="D679" s="11"/>
      <c r="E679" s="11"/>
      <c r="F679" s="11"/>
      <c r="G679" s="89">
        <f>IFERROR(VLOOKUP(F679,COA!$A$1:$K$26,2,FALSE),0)</f>
        <v>0</v>
      </c>
      <c r="H679" s="11"/>
      <c r="I679" s="11"/>
      <c r="J679" s="78"/>
      <c r="K679" s="78"/>
      <c r="L679" s="146">
        <f t="shared" si="32"/>
        <v>1800000</v>
      </c>
      <c r="M679" s="73"/>
      <c r="N679" s="73"/>
      <c r="O679" s="7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 x14ac:dyDescent="0.35">
      <c r="A680" s="9">
        <f t="shared" si="31"/>
        <v>672</v>
      </c>
      <c r="B680" s="15"/>
      <c r="C680" s="11">
        <f t="shared" si="30"/>
        <v>1</v>
      </c>
      <c r="D680" s="11"/>
      <c r="E680" s="11"/>
      <c r="F680" s="11"/>
      <c r="G680" s="89">
        <f>IFERROR(VLOOKUP(F680,COA!$A$1:$K$26,2,FALSE),0)</f>
        <v>0</v>
      </c>
      <c r="H680" s="11"/>
      <c r="I680" s="11"/>
      <c r="J680" s="78"/>
      <c r="K680" s="78"/>
      <c r="L680" s="146">
        <f t="shared" si="32"/>
        <v>1800000</v>
      </c>
      <c r="M680" s="73"/>
      <c r="N680" s="73"/>
      <c r="O680" s="7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 x14ac:dyDescent="0.35">
      <c r="A681" s="9">
        <f t="shared" si="31"/>
        <v>673</v>
      </c>
      <c r="B681" s="15"/>
      <c r="C681" s="11">
        <f t="shared" si="30"/>
        <v>1</v>
      </c>
      <c r="D681" s="11"/>
      <c r="E681" s="11"/>
      <c r="F681" s="11"/>
      <c r="G681" s="89">
        <f>IFERROR(VLOOKUP(F681,COA!$A$1:$K$26,2,FALSE),0)</f>
        <v>0</v>
      </c>
      <c r="H681" s="11"/>
      <c r="I681" s="11"/>
      <c r="J681" s="78"/>
      <c r="K681" s="78"/>
      <c r="L681" s="146">
        <f t="shared" si="32"/>
        <v>1800000</v>
      </c>
      <c r="M681" s="73"/>
      <c r="N681" s="73"/>
      <c r="O681" s="7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 x14ac:dyDescent="0.35">
      <c r="A682" s="9">
        <f t="shared" si="31"/>
        <v>674</v>
      </c>
      <c r="B682" s="15"/>
      <c r="C682" s="11">
        <f t="shared" si="30"/>
        <v>1</v>
      </c>
      <c r="D682" s="11"/>
      <c r="E682" s="11"/>
      <c r="F682" s="11"/>
      <c r="G682" s="89">
        <f>IFERROR(VLOOKUP(F682,COA!$A$1:$K$26,2,FALSE),0)</f>
        <v>0</v>
      </c>
      <c r="H682" s="11"/>
      <c r="I682" s="11"/>
      <c r="J682" s="78"/>
      <c r="K682" s="78"/>
      <c r="L682" s="146">
        <f t="shared" si="32"/>
        <v>1800000</v>
      </c>
      <c r="M682" s="73"/>
      <c r="N682" s="73"/>
      <c r="O682" s="7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 x14ac:dyDescent="0.35">
      <c r="A683" s="9">
        <f t="shared" si="31"/>
        <v>675</v>
      </c>
      <c r="B683" s="15"/>
      <c r="C683" s="11">
        <f t="shared" si="30"/>
        <v>1</v>
      </c>
      <c r="D683" s="11"/>
      <c r="E683" s="11"/>
      <c r="F683" s="11"/>
      <c r="G683" s="89">
        <f>IFERROR(VLOOKUP(F683,COA!$A$1:$K$26,2,FALSE),0)</f>
        <v>0</v>
      </c>
      <c r="H683" s="11"/>
      <c r="I683" s="11"/>
      <c r="J683" s="78"/>
      <c r="K683" s="78"/>
      <c r="L683" s="146">
        <f t="shared" si="32"/>
        <v>1800000</v>
      </c>
      <c r="M683" s="73"/>
      <c r="N683" s="73"/>
      <c r="O683" s="7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 x14ac:dyDescent="0.35">
      <c r="A684" s="9">
        <f t="shared" si="31"/>
        <v>676</v>
      </c>
      <c r="B684" s="15"/>
      <c r="C684" s="11">
        <f t="shared" si="30"/>
        <v>1</v>
      </c>
      <c r="D684" s="11"/>
      <c r="E684" s="11"/>
      <c r="F684" s="11"/>
      <c r="G684" s="89">
        <f>IFERROR(VLOOKUP(F684,COA!$A$1:$K$26,2,FALSE),0)</f>
        <v>0</v>
      </c>
      <c r="H684" s="11"/>
      <c r="I684" s="11"/>
      <c r="J684" s="78"/>
      <c r="K684" s="78"/>
      <c r="L684" s="146">
        <f t="shared" si="32"/>
        <v>1800000</v>
      </c>
      <c r="M684" s="73"/>
      <c r="N684" s="73"/>
      <c r="O684" s="7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 x14ac:dyDescent="0.35">
      <c r="A685" s="9">
        <f t="shared" si="31"/>
        <v>677</v>
      </c>
      <c r="B685" s="15"/>
      <c r="C685" s="11">
        <f t="shared" si="30"/>
        <v>1</v>
      </c>
      <c r="D685" s="11"/>
      <c r="E685" s="11"/>
      <c r="F685" s="11"/>
      <c r="G685" s="89">
        <f>IFERROR(VLOOKUP(F685,COA!$A$1:$K$26,2,FALSE),0)</f>
        <v>0</v>
      </c>
      <c r="H685" s="11"/>
      <c r="I685" s="11"/>
      <c r="J685" s="78"/>
      <c r="K685" s="78"/>
      <c r="L685" s="146">
        <f t="shared" si="32"/>
        <v>1800000</v>
      </c>
      <c r="M685" s="73"/>
      <c r="N685" s="73"/>
      <c r="O685" s="7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 x14ac:dyDescent="0.35">
      <c r="A686" s="9">
        <f t="shared" si="31"/>
        <v>678</v>
      </c>
      <c r="B686" s="15"/>
      <c r="C686" s="11">
        <f t="shared" si="30"/>
        <v>1</v>
      </c>
      <c r="D686" s="11"/>
      <c r="E686" s="11"/>
      <c r="F686" s="11"/>
      <c r="G686" s="89">
        <f>IFERROR(VLOOKUP(F686,COA!$A$1:$K$26,2,FALSE),0)</f>
        <v>0</v>
      </c>
      <c r="H686" s="13"/>
      <c r="I686" s="13"/>
      <c r="J686" s="78"/>
      <c r="K686" s="78"/>
      <c r="L686" s="146">
        <f t="shared" si="32"/>
        <v>1800000</v>
      </c>
      <c r="M686" s="73"/>
      <c r="N686" s="73"/>
      <c r="O686" s="7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 x14ac:dyDescent="0.35">
      <c r="A687" s="9">
        <f t="shared" si="31"/>
        <v>679</v>
      </c>
      <c r="B687" s="15"/>
      <c r="C687" s="11">
        <f t="shared" si="30"/>
        <v>1</v>
      </c>
      <c r="D687" s="11"/>
      <c r="E687" s="11"/>
      <c r="F687" s="11"/>
      <c r="G687" s="89">
        <f>IFERROR(VLOOKUP(F687,COA!$A$1:$K$26,2,FALSE),0)</f>
        <v>0</v>
      </c>
      <c r="H687" s="11"/>
      <c r="I687" s="11"/>
      <c r="J687" s="78"/>
      <c r="K687" s="78"/>
      <c r="L687" s="146">
        <f t="shared" si="32"/>
        <v>1800000</v>
      </c>
      <c r="M687" s="73"/>
      <c r="N687" s="73"/>
      <c r="O687" s="7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 x14ac:dyDescent="0.35">
      <c r="A688" s="9">
        <f t="shared" si="31"/>
        <v>680</v>
      </c>
      <c r="B688" s="15"/>
      <c r="C688" s="11">
        <f t="shared" si="30"/>
        <v>1</v>
      </c>
      <c r="D688" s="11"/>
      <c r="E688" s="11"/>
      <c r="F688" s="11"/>
      <c r="G688" s="89">
        <f>IFERROR(VLOOKUP(F688,COA!$A$1:$K$26,2,FALSE),0)</f>
        <v>0</v>
      </c>
      <c r="H688" s="11"/>
      <c r="I688" s="11"/>
      <c r="J688" s="78"/>
      <c r="K688" s="78"/>
      <c r="L688" s="146">
        <f t="shared" si="32"/>
        <v>1800000</v>
      </c>
      <c r="M688" s="73"/>
      <c r="N688" s="73"/>
      <c r="O688" s="7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 x14ac:dyDescent="0.35">
      <c r="A689" s="9">
        <f t="shared" si="31"/>
        <v>681</v>
      </c>
      <c r="B689" s="15"/>
      <c r="C689" s="11">
        <f t="shared" si="30"/>
        <v>1</v>
      </c>
      <c r="D689" s="11"/>
      <c r="E689" s="11"/>
      <c r="F689" s="11"/>
      <c r="G689" s="89">
        <f>IFERROR(VLOOKUP(F689,COA!$A$1:$K$26,2,FALSE),0)</f>
        <v>0</v>
      </c>
      <c r="H689" s="11"/>
      <c r="I689" s="11"/>
      <c r="J689" s="78"/>
      <c r="K689" s="78"/>
      <c r="L689" s="146">
        <f t="shared" si="32"/>
        <v>1800000</v>
      </c>
      <c r="M689" s="73"/>
      <c r="N689" s="73"/>
      <c r="O689" s="7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 x14ac:dyDescent="0.35">
      <c r="A690" s="9">
        <f t="shared" si="31"/>
        <v>682</v>
      </c>
      <c r="B690" s="15"/>
      <c r="C690" s="11">
        <f t="shared" si="30"/>
        <v>1</v>
      </c>
      <c r="D690" s="11"/>
      <c r="E690" s="11"/>
      <c r="F690" s="11"/>
      <c r="G690" s="89">
        <f>IFERROR(VLOOKUP(F690,COA!$A$1:$K$26,2,FALSE),0)</f>
        <v>0</v>
      </c>
      <c r="H690" s="11"/>
      <c r="I690" s="11"/>
      <c r="J690" s="78"/>
      <c r="K690" s="78"/>
      <c r="L690" s="146">
        <f t="shared" si="32"/>
        <v>1800000</v>
      </c>
      <c r="M690" s="73"/>
      <c r="N690" s="73"/>
      <c r="O690" s="7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 x14ac:dyDescent="0.35">
      <c r="A691" s="9">
        <f t="shared" si="31"/>
        <v>683</v>
      </c>
      <c r="B691" s="15"/>
      <c r="C691" s="11">
        <f t="shared" si="30"/>
        <v>1</v>
      </c>
      <c r="D691" s="11"/>
      <c r="E691" s="11"/>
      <c r="F691" s="11"/>
      <c r="G691" s="89">
        <f>IFERROR(VLOOKUP(F691,COA!$A$1:$K$26,2,FALSE),0)</f>
        <v>0</v>
      </c>
      <c r="H691" s="11"/>
      <c r="I691" s="11"/>
      <c r="J691" s="78"/>
      <c r="K691" s="78"/>
      <c r="L691" s="146">
        <f t="shared" si="32"/>
        <v>1800000</v>
      </c>
      <c r="M691" s="73"/>
      <c r="N691" s="73"/>
      <c r="O691" s="7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 x14ac:dyDescent="0.35">
      <c r="A692" s="9">
        <f t="shared" si="31"/>
        <v>684</v>
      </c>
      <c r="B692" s="15"/>
      <c r="C692" s="11">
        <f t="shared" si="30"/>
        <v>1</v>
      </c>
      <c r="D692" s="11"/>
      <c r="E692" s="11"/>
      <c r="F692" s="11"/>
      <c r="G692" s="89">
        <f>IFERROR(VLOOKUP(F692,COA!$A$1:$K$26,2,FALSE),0)</f>
        <v>0</v>
      </c>
      <c r="H692" s="11"/>
      <c r="I692" s="11"/>
      <c r="J692" s="78"/>
      <c r="K692" s="78"/>
      <c r="L692" s="146">
        <f t="shared" si="32"/>
        <v>1800000</v>
      </c>
      <c r="M692" s="73"/>
      <c r="N692" s="73"/>
      <c r="O692" s="7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 x14ac:dyDescent="0.35">
      <c r="A693" s="9">
        <f t="shared" si="31"/>
        <v>685</v>
      </c>
      <c r="B693" s="15"/>
      <c r="C693" s="11">
        <f t="shared" si="30"/>
        <v>1</v>
      </c>
      <c r="D693" s="11"/>
      <c r="E693" s="11"/>
      <c r="F693" s="11"/>
      <c r="G693" s="89">
        <f>IFERROR(VLOOKUP(F693,COA!$A$1:$K$26,2,FALSE),0)</f>
        <v>0</v>
      </c>
      <c r="H693" s="13"/>
      <c r="I693" s="13"/>
      <c r="J693" s="78"/>
      <c r="K693" s="78"/>
      <c r="L693" s="146">
        <f t="shared" si="32"/>
        <v>1800000</v>
      </c>
      <c r="M693" s="73"/>
      <c r="N693" s="73"/>
      <c r="O693" s="7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 x14ac:dyDescent="0.35">
      <c r="A694" s="9">
        <f t="shared" si="31"/>
        <v>686</v>
      </c>
      <c r="B694" s="15"/>
      <c r="C694" s="11">
        <f t="shared" si="30"/>
        <v>1</v>
      </c>
      <c r="D694" s="11"/>
      <c r="E694" s="11"/>
      <c r="F694" s="11"/>
      <c r="G694" s="89">
        <f>IFERROR(VLOOKUP(F694,COA!$A$1:$K$26,2,FALSE),0)</f>
        <v>0</v>
      </c>
      <c r="H694" s="11"/>
      <c r="I694" s="11"/>
      <c r="J694" s="78"/>
      <c r="K694" s="78"/>
      <c r="L694" s="146">
        <f t="shared" si="32"/>
        <v>1800000</v>
      </c>
      <c r="M694" s="73"/>
      <c r="N694" s="73"/>
      <c r="O694" s="7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 x14ac:dyDescent="0.35">
      <c r="A695" s="9">
        <f t="shared" si="31"/>
        <v>687</v>
      </c>
      <c r="B695" s="15"/>
      <c r="C695" s="11">
        <f t="shared" si="30"/>
        <v>1</v>
      </c>
      <c r="D695" s="11"/>
      <c r="E695" s="11"/>
      <c r="F695" s="11"/>
      <c r="G695" s="89">
        <f>IFERROR(VLOOKUP(F695,COA!$A$1:$K$26,2,FALSE),0)</f>
        <v>0</v>
      </c>
      <c r="H695" s="11"/>
      <c r="I695" s="11"/>
      <c r="J695" s="78"/>
      <c r="K695" s="78"/>
      <c r="L695" s="146">
        <f t="shared" si="32"/>
        <v>1800000</v>
      </c>
      <c r="M695" s="73"/>
      <c r="N695" s="73"/>
      <c r="O695" s="7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 x14ac:dyDescent="0.35">
      <c r="A696" s="9">
        <f t="shared" si="31"/>
        <v>688</v>
      </c>
      <c r="B696" s="15"/>
      <c r="C696" s="11">
        <f t="shared" si="30"/>
        <v>1</v>
      </c>
      <c r="D696" s="11"/>
      <c r="E696" s="11"/>
      <c r="F696" s="11"/>
      <c r="G696" s="89">
        <f>IFERROR(VLOOKUP(F696,COA!$A$1:$K$26,2,FALSE),0)</f>
        <v>0</v>
      </c>
      <c r="H696" s="11"/>
      <c r="I696" s="11"/>
      <c r="J696" s="78"/>
      <c r="K696" s="78"/>
      <c r="L696" s="146">
        <f t="shared" si="32"/>
        <v>1800000</v>
      </c>
      <c r="M696" s="73"/>
      <c r="N696" s="73"/>
      <c r="O696" s="7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 x14ac:dyDescent="0.35">
      <c r="A697" s="9">
        <f t="shared" si="31"/>
        <v>689</v>
      </c>
      <c r="B697" s="15"/>
      <c r="C697" s="11">
        <f t="shared" si="30"/>
        <v>1</v>
      </c>
      <c r="D697" s="11"/>
      <c r="E697" s="11"/>
      <c r="F697" s="11"/>
      <c r="G697" s="89">
        <f>IFERROR(VLOOKUP(F697,COA!$A$1:$K$26,2,FALSE),0)</f>
        <v>0</v>
      </c>
      <c r="H697" s="11"/>
      <c r="I697" s="11"/>
      <c r="J697" s="78"/>
      <c r="K697" s="78"/>
      <c r="L697" s="146">
        <f t="shared" si="32"/>
        <v>1800000</v>
      </c>
      <c r="M697" s="73"/>
      <c r="N697" s="73"/>
      <c r="O697" s="7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 x14ac:dyDescent="0.35">
      <c r="A698" s="9">
        <f t="shared" si="31"/>
        <v>690</v>
      </c>
      <c r="B698" s="15"/>
      <c r="C698" s="11">
        <f t="shared" si="30"/>
        <v>1</v>
      </c>
      <c r="D698" s="11"/>
      <c r="E698" s="11"/>
      <c r="F698" s="11"/>
      <c r="G698" s="89">
        <f>IFERROR(VLOOKUP(F698,COA!$A$1:$K$26,2,FALSE),0)</f>
        <v>0</v>
      </c>
      <c r="H698" s="11"/>
      <c r="I698" s="11"/>
      <c r="J698" s="78"/>
      <c r="K698" s="78"/>
      <c r="L698" s="146">
        <f t="shared" si="32"/>
        <v>1800000</v>
      </c>
      <c r="M698" s="73"/>
      <c r="N698" s="73"/>
      <c r="O698" s="7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 x14ac:dyDescent="0.35">
      <c r="A699" s="9">
        <f t="shared" si="31"/>
        <v>691</v>
      </c>
      <c r="B699" s="15"/>
      <c r="C699" s="11">
        <f t="shared" si="30"/>
        <v>1</v>
      </c>
      <c r="D699" s="11"/>
      <c r="E699" s="11"/>
      <c r="F699" s="11"/>
      <c r="G699" s="89">
        <f>IFERROR(VLOOKUP(F699,COA!$A$1:$K$26,2,FALSE),0)</f>
        <v>0</v>
      </c>
      <c r="H699" s="13"/>
      <c r="I699" s="13"/>
      <c r="J699" s="78"/>
      <c r="K699" s="78"/>
      <c r="L699" s="146">
        <f t="shared" si="32"/>
        <v>1800000</v>
      </c>
      <c r="M699" s="73"/>
      <c r="N699" s="73"/>
      <c r="O699" s="7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 x14ac:dyDescent="0.35">
      <c r="A700" s="9">
        <f t="shared" si="31"/>
        <v>692</v>
      </c>
      <c r="B700" s="15"/>
      <c r="C700" s="11">
        <f t="shared" si="30"/>
        <v>1</v>
      </c>
      <c r="D700" s="11"/>
      <c r="E700" s="11"/>
      <c r="F700" s="11"/>
      <c r="G700" s="89">
        <f>IFERROR(VLOOKUP(F700,COA!$A$1:$K$26,2,FALSE),0)</f>
        <v>0</v>
      </c>
      <c r="H700" s="11"/>
      <c r="I700" s="11"/>
      <c r="J700" s="78"/>
      <c r="K700" s="78"/>
      <c r="L700" s="146">
        <f t="shared" si="32"/>
        <v>1800000</v>
      </c>
      <c r="M700" s="73"/>
      <c r="N700" s="73"/>
      <c r="O700" s="7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 x14ac:dyDescent="0.35">
      <c r="A701" s="9">
        <f t="shared" si="31"/>
        <v>693</v>
      </c>
      <c r="B701" s="15"/>
      <c r="C701" s="11">
        <f t="shared" si="30"/>
        <v>1</v>
      </c>
      <c r="D701" s="11"/>
      <c r="E701" s="11"/>
      <c r="F701" s="11"/>
      <c r="G701" s="89">
        <f>IFERROR(VLOOKUP(F701,COA!$A$1:$K$26,2,FALSE),0)</f>
        <v>0</v>
      </c>
      <c r="H701" s="11"/>
      <c r="I701" s="11"/>
      <c r="J701" s="78"/>
      <c r="K701" s="78"/>
      <c r="L701" s="146">
        <f t="shared" si="32"/>
        <v>1800000</v>
      </c>
      <c r="M701" s="73"/>
      <c r="N701" s="73"/>
      <c r="O701" s="7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 x14ac:dyDescent="0.35">
      <c r="A702" s="9">
        <f t="shared" si="31"/>
        <v>694</v>
      </c>
      <c r="B702" s="15"/>
      <c r="C702" s="11">
        <f t="shared" si="30"/>
        <v>1</v>
      </c>
      <c r="D702" s="11"/>
      <c r="E702" s="11"/>
      <c r="F702" s="11"/>
      <c r="G702" s="89">
        <f>IFERROR(VLOOKUP(F702,COA!$A$1:$K$26,2,FALSE),0)</f>
        <v>0</v>
      </c>
      <c r="H702" s="11"/>
      <c r="I702" s="11"/>
      <c r="J702" s="78"/>
      <c r="K702" s="78"/>
      <c r="L702" s="146">
        <f t="shared" si="32"/>
        <v>1800000</v>
      </c>
      <c r="M702" s="73"/>
      <c r="N702" s="73"/>
      <c r="O702" s="7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 x14ac:dyDescent="0.35">
      <c r="A703" s="9">
        <f t="shared" si="31"/>
        <v>695</v>
      </c>
      <c r="B703" s="15"/>
      <c r="C703" s="11">
        <f t="shared" si="30"/>
        <v>1</v>
      </c>
      <c r="D703" s="11"/>
      <c r="E703" s="11"/>
      <c r="F703" s="11"/>
      <c r="G703" s="89">
        <f>IFERROR(VLOOKUP(F703,COA!$A$1:$K$26,2,FALSE),0)</f>
        <v>0</v>
      </c>
      <c r="H703" s="11"/>
      <c r="I703" s="11"/>
      <c r="J703" s="78"/>
      <c r="K703" s="78"/>
      <c r="L703" s="146">
        <f t="shared" si="32"/>
        <v>1800000</v>
      </c>
      <c r="M703" s="73"/>
      <c r="N703" s="73"/>
      <c r="O703" s="7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 x14ac:dyDescent="0.35">
      <c r="A704" s="9">
        <f t="shared" si="31"/>
        <v>696</v>
      </c>
      <c r="B704" s="15"/>
      <c r="C704" s="11">
        <f t="shared" si="30"/>
        <v>1</v>
      </c>
      <c r="D704" s="11"/>
      <c r="E704" s="11"/>
      <c r="F704" s="11"/>
      <c r="G704" s="89">
        <f>IFERROR(VLOOKUP(F704,COA!$A$1:$K$26,2,FALSE),0)</f>
        <v>0</v>
      </c>
      <c r="H704" s="11"/>
      <c r="I704" s="11"/>
      <c r="J704" s="78"/>
      <c r="K704" s="78"/>
      <c r="L704" s="146">
        <f t="shared" si="32"/>
        <v>1800000</v>
      </c>
      <c r="M704" s="73"/>
      <c r="N704" s="73"/>
      <c r="O704" s="7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 x14ac:dyDescent="0.35">
      <c r="A705" s="9">
        <f t="shared" si="31"/>
        <v>697</v>
      </c>
      <c r="B705" s="15"/>
      <c r="C705" s="11">
        <f t="shared" si="30"/>
        <v>1</v>
      </c>
      <c r="D705" s="11"/>
      <c r="E705" s="11"/>
      <c r="F705" s="11"/>
      <c r="G705" s="89">
        <f>IFERROR(VLOOKUP(F705,COA!$A$1:$K$26,2,FALSE),0)</f>
        <v>0</v>
      </c>
      <c r="H705" s="13"/>
      <c r="I705" s="13"/>
      <c r="J705" s="78"/>
      <c r="K705" s="78"/>
      <c r="L705" s="146">
        <f t="shared" si="32"/>
        <v>1800000</v>
      </c>
      <c r="M705" s="73"/>
      <c r="N705" s="73"/>
      <c r="O705" s="7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 x14ac:dyDescent="0.35">
      <c r="A706" s="9">
        <f t="shared" si="31"/>
        <v>698</v>
      </c>
      <c r="B706" s="15"/>
      <c r="C706" s="11">
        <f t="shared" si="30"/>
        <v>1</v>
      </c>
      <c r="D706" s="11"/>
      <c r="E706" s="11"/>
      <c r="F706" s="11"/>
      <c r="G706" s="89">
        <f>IFERROR(VLOOKUP(F706,COA!$A$1:$K$26,2,FALSE),0)</f>
        <v>0</v>
      </c>
      <c r="H706" s="11"/>
      <c r="I706" s="11"/>
      <c r="J706" s="78"/>
      <c r="K706" s="78"/>
      <c r="L706" s="146">
        <f t="shared" si="32"/>
        <v>1800000</v>
      </c>
      <c r="M706" s="73"/>
      <c r="N706" s="73"/>
      <c r="O706" s="7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 x14ac:dyDescent="0.35">
      <c r="A707" s="9">
        <f t="shared" si="31"/>
        <v>699</v>
      </c>
      <c r="B707" s="15"/>
      <c r="C707" s="11">
        <f t="shared" si="30"/>
        <v>1</v>
      </c>
      <c r="D707" s="11"/>
      <c r="E707" s="11"/>
      <c r="F707" s="11"/>
      <c r="G707" s="89">
        <f>IFERROR(VLOOKUP(F707,COA!$A$1:$K$26,2,FALSE),0)</f>
        <v>0</v>
      </c>
      <c r="H707" s="11"/>
      <c r="I707" s="11"/>
      <c r="J707" s="78"/>
      <c r="K707" s="78"/>
      <c r="L707" s="146">
        <f t="shared" si="32"/>
        <v>1800000</v>
      </c>
      <c r="M707" s="73"/>
      <c r="N707" s="73"/>
      <c r="O707" s="7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 x14ac:dyDescent="0.35">
      <c r="A708" s="9">
        <f t="shared" si="31"/>
        <v>700</v>
      </c>
      <c r="B708" s="15"/>
      <c r="C708" s="11">
        <f t="shared" si="30"/>
        <v>1</v>
      </c>
      <c r="D708" s="11"/>
      <c r="E708" s="11"/>
      <c r="F708" s="11"/>
      <c r="G708" s="89">
        <f>IFERROR(VLOOKUP(F708,COA!$A$1:$K$26,2,FALSE),0)</f>
        <v>0</v>
      </c>
      <c r="H708" s="11"/>
      <c r="I708" s="11"/>
      <c r="J708" s="78"/>
      <c r="K708" s="78"/>
      <c r="L708" s="146">
        <f t="shared" si="32"/>
        <v>1800000</v>
      </c>
      <c r="M708" s="73"/>
      <c r="N708" s="73"/>
      <c r="O708" s="7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 x14ac:dyDescent="0.35">
      <c r="A709" s="9">
        <f t="shared" si="31"/>
        <v>701</v>
      </c>
      <c r="B709" s="15"/>
      <c r="C709" s="11">
        <f t="shared" si="30"/>
        <v>1</v>
      </c>
      <c r="D709" s="11"/>
      <c r="E709" s="11"/>
      <c r="F709" s="11"/>
      <c r="G709" s="89">
        <f>IFERROR(VLOOKUP(F709,COA!$A$1:$K$26,2,FALSE),0)</f>
        <v>0</v>
      </c>
      <c r="H709" s="11"/>
      <c r="I709" s="11"/>
      <c r="J709" s="78"/>
      <c r="K709" s="78"/>
      <c r="L709" s="146">
        <f t="shared" si="32"/>
        <v>1800000</v>
      </c>
      <c r="M709" s="73"/>
      <c r="N709" s="73"/>
      <c r="O709" s="7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 x14ac:dyDescent="0.35">
      <c r="A710" s="9">
        <f t="shared" si="31"/>
        <v>702</v>
      </c>
      <c r="B710" s="15"/>
      <c r="C710" s="11">
        <f t="shared" si="30"/>
        <v>1</v>
      </c>
      <c r="D710" s="11"/>
      <c r="E710" s="11"/>
      <c r="F710" s="11"/>
      <c r="G710" s="89">
        <f>IFERROR(VLOOKUP(F710,COA!$A$1:$K$26,2,FALSE),0)</f>
        <v>0</v>
      </c>
      <c r="H710" s="11"/>
      <c r="I710" s="11"/>
      <c r="J710" s="78"/>
      <c r="K710" s="78"/>
      <c r="L710" s="146">
        <f t="shared" si="32"/>
        <v>1800000</v>
      </c>
      <c r="M710" s="73"/>
      <c r="N710" s="73"/>
      <c r="O710" s="7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 x14ac:dyDescent="0.35">
      <c r="A711" s="9">
        <f t="shared" si="31"/>
        <v>703</v>
      </c>
      <c r="B711" s="15"/>
      <c r="C711" s="11">
        <f t="shared" si="30"/>
        <v>1</v>
      </c>
      <c r="D711" s="11"/>
      <c r="E711" s="11"/>
      <c r="F711" s="11"/>
      <c r="G711" s="89">
        <f>IFERROR(VLOOKUP(F711,COA!$A$1:$K$26,2,FALSE),0)</f>
        <v>0</v>
      </c>
      <c r="H711" s="11"/>
      <c r="I711" s="11"/>
      <c r="J711" s="78"/>
      <c r="K711" s="78"/>
      <c r="L711" s="146">
        <f t="shared" si="32"/>
        <v>1800000</v>
      </c>
      <c r="M711" s="73"/>
      <c r="N711" s="73"/>
      <c r="O711" s="7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 x14ac:dyDescent="0.35">
      <c r="A712" s="9">
        <f t="shared" si="31"/>
        <v>704</v>
      </c>
      <c r="B712" s="15"/>
      <c r="C712" s="11">
        <f t="shared" ref="C712:C775" si="33">MONTH(B712)</f>
        <v>1</v>
      </c>
      <c r="D712" s="11"/>
      <c r="E712" s="11"/>
      <c r="F712" s="11"/>
      <c r="G712" s="89">
        <f>IFERROR(VLOOKUP(F712,COA!$A$1:$K$26,2,FALSE),0)</f>
        <v>0</v>
      </c>
      <c r="H712" s="11"/>
      <c r="I712" s="11"/>
      <c r="J712" s="78"/>
      <c r="K712" s="78"/>
      <c r="L712" s="146">
        <f t="shared" si="32"/>
        <v>1800000</v>
      </c>
      <c r="M712" s="73"/>
      <c r="N712" s="73"/>
      <c r="O712" s="7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 x14ac:dyDescent="0.35">
      <c r="A713" s="9">
        <f t="shared" si="31"/>
        <v>705</v>
      </c>
      <c r="B713" s="15"/>
      <c r="C713" s="11">
        <f t="shared" si="33"/>
        <v>1</v>
      </c>
      <c r="D713" s="11"/>
      <c r="E713" s="11"/>
      <c r="F713" s="11"/>
      <c r="G713" s="89">
        <f>IFERROR(VLOOKUP(F713,COA!$A$1:$K$26,2,FALSE),0)</f>
        <v>0</v>
      </c>
      <c r="H713" s="13"/>
      <c r="I713" s="13"/>
      <c r="J713" s="78"/>
      <c r="K713" s="78"/>
      <c r="L713" s="146">
        <f t="shared" si="32"/>
        <v>1800000</v>
      </c>
      <c r="M713" s="73"/>
      <c r="N713" s="73"/>
      <c r="O713" s="7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 x14ac:dyDescent="0.35">
      <c r="A714" s="9">
        <f t="shared" si="31"/>
        <v>706</v>
      </c>
      <c r="B714" s="15"/>
      <c r="C714" s="11">
        <f t="shared" si="33"/>
        <v>1</v>
      </c>
      <c r="D714" s="11"/>
      <c r="E714" s="11"/>
      <c r="F714" s="11"/>
      <c r="G714" s="89">
        <f>IFERROR(VLOOKUP(F714,COA!$A$1:$K$26,2,FALSE),0)</f>
        <v>0</v>
      </c>
      <c r="H714" s="11"/>
      <c r="I714" s="11"/>
      <c r="J714" s="78"/>
      <c r="K714" s="78"/>
      <c r="L714" s="146">
        <f t="shared" si="32"/>
        <v>1800000</v>
      </c>
      <c r="M714" s="73"/>
      <c r="N714" s="73"/>
      <c r="O714" s="7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 x14ac:dyDescent="0.35">
      <c r="A715" s="9">
        <f t="shared" ref="A715:A778" si="34">A714+1</f>
        <v>707</v>
      </c>
      <c r="B715" s="15"/>
      <c r="C715" s="11">
        <f t="shared" si="33"/>
        <v>1</v>
      </c>
      <c r="D715" s="11"/>
      <c r="E715" s="11"/>
      <c r="F715" s="11"/>
      <c r="G715" s="89">
        <f>IFERROR(VLOOKUP(F715,COA!$A$1:$K$26,2,FALSE),0)</f>
        <v>0</v>
      </c>
      <c r="H715" s="11"/>
      <c r="I715" s="11"/>
      <c r="J715" s="78"/>
      <c r="K715" s="78"/>
      <c r="L715" s="146">
        <f t="shared" ref="L715:L778" si="35">L714+J715-K715</f>
        <v>1800000</v>
      </c>
      <c r="M715" s="73"/>
      <c r="N715" s="73"/>
      <c r="O715" s="7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 x14ac:dyDescent="0.35">
      <c r="A716" s="9">
        <f t="shared" si="34"/>
        <v>708</v>
      </c>
      <c r="B716" s="15"/>
      <c r="C716" s="11">
        <f t="shared" si="33"/>
        <v>1</v>
      </c>
      <c r="D716" s="11"/>
      <c r="E716" s="11"/>
      <c r="F716" s="11"/>
      <c r="G716" s="89">
        <f>IFERROR(VLOOKUP(F716,COA!$A$1:$K$26,2,FALSE),0)</f>
        <v>0</v>
      </c>
      <c r="H716" s="11"/>
      <c r="I716" s="11"/>
      <c r="J716" s="78"/>
      <c r="K716" s="78"/>
      <c r="L716" s="146">
        <f t="shared" si="35"/>
        <v>1800000</v>
      </c>
      <c r="M716" s="73"/>
      <c r="N716" s="73"/>
      <c r="O716" s="7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 x14ac:dyDescent="0.35">
      <c r="A717" s="9">
        <f t="shared" si="34"/>
        <v>709</v>
      </c>
      <c r="B717" s="15"/>
      <c r="C717" s="11">
        <f t="shared" si="33"/>
        <v>1</v>
      </c>
      <c r="D717" s="11"/>
      <c r="E717" s="11"/>
      <c r="F717" s="11"/>
      <c r="G717" s="89">
        <f>IFERROR(VLOOKUP(F717,COA!$A$1:$K$26,2,FALSE),0)</f>
        <v>0</v>
      </c>
      <c r="H717" s="11"/>
      <c r="I717" s="11"/>
      <c r="J717" s="78"/>
      <c r="K717" s="78"/>
      <c r="L717" s="146">
        <f t="shared" si="35"/>
        <v>1800000</v>
      </c>
      <c r="M717" s="73"/>
      <c r="N717" s="73"/>
      <c r="O717" s="7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 x14ac:dyDescent="0.35">
      <c r="A718" s="9">
        <f t="shared" si="34"/>
        <v>710</v>
      </c>
      <c r="B718" s="15"/>
      <c r="C718" s="11">
        <f t="shared" si="33"/>
        <v>1</v>
      </c>
      <c r="D718" s="11"/>
      <c r="E718" s="11"/>
      <c r="F718" s="11"/>
      <c r="G718" s="89">
        <f>IFERROR(VLOOKUP(F718,COA!$A$1:$K$26,2,FALSE),0)</f>
        <v>0</v>
      </c>
      <c r="H718" s="11"/>
      <c r="I718" s="11"/>
      <c r="J718" s="78"/>
      <c r="K718" s="78"/>
      <c r="L718" s="146">
        <f t="shared" si="35"/>
        <v>1800000</v>
      </c>
      <c r="M718" s="73"/>
      <c r="N718" s="73"/>
      <c r="O718" s="7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 x14ac:dyDescent="0.35">
      <c r="A719" s="9">
        <f t="shared" si="34"/>
        <v>711</v>
      </c>
      <c r="B719" s="15"/>
      <c r="C719" s="11">
        <f t="shared" si="33"/>
        <v>1</v>
      </c>
      <c r="D719" s="11"/>
      <c r="E719" s="11"/>
      <c r="F719" s="11"/>
      <c r="G719" s="89">
        <f>IFERROR(VLOOKUP(F719,COA!$A$1:$K$26,2,FALSE),0)</f>
        <v>0</v>
      </c>
      <c r="H719" s="13"/>
      <c r="I719" s="13"/>
      <c r="J719" s="78"/>
      <c r="K719" s="78"/>
      <c r="L719" s="146">
        <f t="shared" si="35"/>
        <v>1800000</v>
      </c>
      <c r="M719" s="73"/>
      <c r="N719" s="73"/>
      <c r="O719" s="7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 x14ac:dyDescent="0.35">
      <c r="A720" s="9">
        <f t="shared" si="34"/>
        <v>712</v>
      </c>
      <c r="B720" s="15"/>
      <c r="C720" s="11">
        <f t="shared" si="33"/>
        <v>1</v>
      </c>
      <c r="D720" s="11"/>
      <c r="E720" s="11"/>
      <c r="F720" s="11"/>
      <c r="G720" s="89">
        <f>IFERROR(VLOOKUP(F720,COA!$A$1:$K$26,2,FALSE),0)</f>
        <v>0</v>
      </c>
      <c r="H720" s="11"/>
      <c r="I720" s="11"/>
      <c r="J720" s="78"/>
      <c r="K720" s="78"/>
      <c r="L720" s="146">
        <f t="shared" si="35"/>
        <v>1800000</v>
      </c>
      <c r="M720" s="73"/>
      <c r="N720" s="73"/>
      <c r="O720" s="7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 x14ac:dyDescent="0.35">
      <c r="A721" s="9">
        <f t="shared" si="34"/>
        <v>713</v>
      </c>
      <c r="B721" s="15"/>
      <c r="C721" s="11">
        <f t="shared" si="33"/>
        <v>1</v>
      </c>
      <c r="D721" s="11"/>
      <c r="E721" s="11"/>
      <c r="F721" s="11"/>
      <c r="G721" s="89">
        <f>IFERROR(VLOOKUP(F721,COA!$A$1:$K$26,2,FALSE),0)</f>
        <v>0</v>
      </c>
      <c r="H721" s="11"/>
      <c r="I721" s="11"/>
      <c r="J721" s="78"/>
      <c r="K721" s="78"/>
      <c r="L721" s="146">
        <f t="shared" si="35"/>
        <v>1800000</v>
      </c>
      <c r="M721" s="73"/>
      <c r="N721" s="73"/>
      <c r="O721" s="7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 x14ac:dyDescent="0.35">
      <c r="A722" s="9">
        <f t="shared" si="34"/>
        <v>714</v>
      </c>
      <c r="B722" s="15"/>
      <c r="C722" s="11">
        <f t="shared" si="33"/>
        <v>1</v>
      </c>
      <c r="D722" s="11"/>
      <c r="E722" s="11"/>
      <c r="F722" s="11"/>
      <c r="G722" s="89">
        <f>IFERROR(VLOOKUP(F722,COA!$A$1:$K$26,2,FALSE),0)</f>
        <v>0</v>
      </c>
      <c r="H722" s="11"/>
      <c r="I722" s="11"/>
      <c r="J722" s="78"/>
      <c r="K722" s="78"/>
      <c r="L722" s="146">
        <f t="shared" si="35"/>
        <v>1800000</v>
      </c>
      <c r="M722" s="73"/>
      <c r="N722" s="73"/>
      <c r="O722" s="7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 x14ac:dyDescent="0.35">
      <c r="A723" s="9">
        <f t="shared" si="34"/>
        <v>715</v>
      </c>
      <c r="B723" s="15"/>
      <c r="C723" s="11">
        <f t="shared" si="33"/>
        <v>1</v>
      </c>
      <c r="D723" s="11"/>
      <c r="E723" s="11"/>
      <c r="F723" s="11"/>
      <c r="G723" s="89">
        <f>IFERROR(VLOOKUP(F723,COA!$A$1:$K$26,2,FALSE),0)</f>
        <v>0</v>
      </c>
      <c r="H723" s="11"/>
      <c r="I723" s="11"/>
      <c r="J723" s="78"/>
      <c r="K723" s="78"/>
      <c r="L723" s="146">
        <f t="shared" si="35"/>
        <v>1800000</v>
      </c>
      <c r="M723" s="73"/>
      <c r="N723" s="73"/>
      <c r="O723" s="7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 x14ac:dyDescent="0.35">
      <c r="A724" s="9">
        <f t="shared" si="34"/>
        <v>716</v>
      </c>
      <c r="B724" s="15"/>
      <c r="C724" s="11">
        <f t="shared" si="33"/>
        <v>1</v>
      </c>
      <c r="D724" s="11"/>
      <c r="E724" s="11"/>
      <c r="F724" s="11"/>
      <c r="G724" s="89">
        <f>IFERROR(VLOOKUP(F724,COA!$A$1:$K$26,2,FALSE),0)</f>
        <v>0</v>
      </c>
      <c r="H724" s="11"/>
      <c r="I724" s="11"/>
      <c r="J724" s="78"/>
      <c r="K724" s="78"/>
      <c r="L724" s="146">
        <f t="shared" si="35"/>
        <v>1800000</v>
      </c>
      <c r="M724" s="73"/>
      <c r="N724" s="73"/>
      <c r="O724" s="7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 x14ac:dyDescent="0.35">
      <c r="A725" s="9">
        <f t="shared" si="34"/>
        <v>717</v>
      </c>
      <c r="B725" s="15"/>
      <c r="C725" s="11">
        <f t="shared" si="33"/>
        <v>1</v>
      </c>
      <c r="D725" s="11"/>
      <c r="E725" s="11"/>
      <c r="F725" s="11"/>
      <c r="G725" s="89">
        <f>IFERROR(VLOOKUP(F725,COA!$A$1:$K$26,2,FALSE),0)</f>
        <v>0</v>
      </c>
      <c r="H725" s="13"/>
      <c r="I725" s="13"/>
      <c r="J725" s="78"/>
      <c r="K725" s="78"/>
      <c r="L725" s="146">
        <f t="shared" si="35"/>
        <v>1800000</v>
      </c>
      <c r="M725" s="73"/>
      <c r="N725" s="73"/>
      <c r="O725" s="7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 x14ac:dyDescent="0.35">
      <c r="A726" s="9">
        <f t="shared" si="34"/>
        <v>718</v>
      </c>
      <c r="B726" s="15"/>
      <c r="C726" s="11">
        <f t="shared" si="33"/>
        <v>1</v>
      </c>
      <c r="D726" s="11"/>
      <c r="E726" s="11"/>
      <c r="F726" s="11"/>
      <c r="G726" s="89">
        <f>IFERROR(VLOOKUP(F726,COA!$A$1:$K$26,2,FALSE),0)</f>
        <v>0</v>
      </c>
      <c r="H726" s="11"/>
      <c r="I726" s="11"/>
      <c r="J726" s="78"/>
      <c r="K726" s="78"/>
      <c r="L726" s="146">
        <f t="shared" si="35"/>
        <v>1800000</v>
      </c>
      <c r="M726" s="73"/>
      <c r="N726" s="73"/>
      <c r="O726" s="7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 x14ac:dyDescent="0.35">
      <c r="A727" s="9">
        <f t="shared" si="34"/>
        <v>719</v>
      </c>
      <c r="B727" s="15"/>
      <c r="C727" s="11">
        <f t="shared" si="33"/>
        <v>1</v>
      </c>
      <c r="D727" s="11"/>
      <c r="E727" s="11"/>
      <c r="F727" s="11"/>
      <c r="G727" s="89">
        <f>IFERROR(VLOOKUP(F727,COA!$A$1:$K$26,2,FALSE),0)</f>
        <v>0</v>
      </c>
      <c r="H727" s="11"/>
      <c r="I727" s="11"/>
      <c r="J727" s="78"/>
      <c r="K727" s="78"/>
      <c r="L727" s="146">
        <f t="shared" si="35"/>
        <v>1800000</v>
      </c>
      <c r="M727" s="73"/>
      <c r="N727" s="73"/>
      <c r="O727" s="7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 x14ac:dyDescent="0.35">
      <c r="A728" s="9">
        <f t="shared" si="34"/>
        <v>720</v>
      </c>
      <c r="B728" s="15"/>
      <c r="C728" s="11">
        <f t="shared" si="33"/>
        <v>1</v>
      </c>
      <c r="D728" s="11"/>
      <c r="E728" s="11"/>
      <c r="F728" s="11"/>
      <c r="G728" s="89">
        <f>IFERROR(VLOOKUP(F728,COA!$A$1:$K$26,2,FALSE),0)</f>
        <v>0</v>
      </c>
      <c r="H728" s="11"/>
      <c r="I728" s="11"/>
      <c r="J728" s="78"/>
      <c r="K728" s="78"/>
      <c r="L728" s="146">
        <f t="shared" si="35"/>
        <v>1800000</v>
      </c>
      <c r="M728" s="73"/>
      <c r="N728" s="73"/>
      <c r="O728" s="7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 x14ac:dyDescent="0.35">
      <c r="A729" s="9">
        <f t="shared" si="34"/>
        <v>721</v>
      </c>
      <c r="B729" s="15"/>
      <c r="C729" s="11">
        <f t="shared" si="33"/>
        <v>1</v>
      </c>
      <c r="D729" s="11"/>
      <c r="E729" s="11"/>
      <c r="F729" s="11"/>
      <c r="G729" s="89">
        <f>IFERROR(VLOOKUP(F729,COA!$A$1:$K$26,2,FALSE),0)</f>
        <v>0</v>
      </c>
      <c r="H729" s="11"/>
      <c r="I729" s="11"/>
      <c r="J729" s="78"/>
      <c r="K729" s="78"/>
      <c r="L729" s="146">
        <f t="shared" si="35"/>
        <v>1800000</v>
      </c>
      <c r="M729" s="73"/>
      <c r="N729" s="73"/>
      <c r="O729" s="7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 x14ac:dyDescent="0.35">
      <c r="A730" s="9">
        <f t="shared" si="34"/>
        <v>722</v>
      </c>
      <c r="B730" s="15"/>
      <c r="C730" s="11">
        <f t="shared" si="33"/>
        <v>1</v>
      </c>
      <c r="D730" s="11"/>
      <c r="E730" s="11"/>
      <c r="F730" s="11"/>
      <c r="G730" s="89">
        <f>IFERROR(VLOOKUP(F730,COA!$A$1:$K$26,2,FALSE),0)</f>
        <v>0</v>
      </c>
      <c r="H730" s="11"/>
      <c r="I730" s="11"/>
      <c r="J730" s="78"/>
      <c r="K730" s="78"/>
      <c r="L730" s="146">
        <f t="shared" si="35"/>
        <v>1800000</v>
      </c>
      <c r="M730" s="73"/>
      <c r="N730" s="73"/>
      <c r="O730" s="7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 x14ac:dyDescent="0.35">
      <c r="A731" s="9">
        <f t="shared" si="34"/>
        <v>723</v>
      </c>
      <c r="B731" s="15"/>
      <c r="C731" s="11">
        <f t="shared" si="33"/>
        <v>1</v>
      </c>
      <c r="D731" s="11"/>
      <c r="E731" s="11"/>
      <c r="F731" s="11"/>
      <c r="G731" s="89">
        <f>IFERROR(VLOOKUP(F731,COA!$A$1:$K$26,2,FALSE),0)</f>
        <v>0</v>
      </c>
      <c r="H731" s="13"/>
      <c r="I731" s="13"/>
      <c r="J731" s="78"/>
      <c r="K731" s="78"/>
      <c r="L731" s="146">
        <f t="shared" si="35"/>
        <v>1800000</v>
      </c>
      <c r="M731" s="73"/>
      <c r="N731" s="73"/>
      <c r="O731" s="7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 x14ac:dyDescent="0.35">
      <c r="A732" s="9">
        <f t="shared" si="34"/>
        <v>724</v>
      </c>
      <c r="B732" s="15"/>
      <c r="C732" s="11">
        <f t="shared" si="33"/>
        <v>1</v>
      </c>
      <c r="D732" s="11"/>
      <c r="E732" s="11"/>
      <c r="F732" s="11"/>
      <c r="G732" s="89">
        <f>IFERROR(VLOOKUP(F732,COA!$A$1:$K$26,2,FALSE),0)</f>
        <v>0</v>
      </c>
      <c r="H732" s="11"/>
      <c r="I732" s="11"/>
      <c r="J732" s="78"/>
      <c r="K732" s="78"/>
      <c r="L732" s="146">
        <f t="shared" si="35"/>
        <v>1800000</v>
      </c>
      <c r="M732" s="73"/>
      <c r="N732" s="73"/>
      <c r="O732" s="7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 x14ac:dyDescent="0.35">
      <c r="A733" s="9">
        <f t="shared" si="34"/>
        <v>725</v>
      </c>
      <c r="B733" s="15"/>
      <c r="C733" s="11">
        <f t="shared" si="33"/>
        <v>1</v>
      </c>
      <c r="D733" s="11"/>
      <c r="E733" s="11"/>
      <c r="F733" s="11"/>
      <c r="G733" s="89">
        <f>IFERROR(VLOOKUP(F733,COA!$A$1:$K$26,2,FALSE),0)</f>
        <v>0</v>
      </c>
      <c r="H733" s="11"/>
      <c r="I733" s="11"/>
      <c r="J733" s="78"/>
      <c r="K733" s="78"/>
      <c r="L733" s="146">
        <f t="shared" si="35"/>
        <v>1800000</v>
      </c>
      <c r="M733" s="73"/>
      <c r="N733" s="73"/>
      <c r="O733" s="7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 x14ac:dyDescent="0.35">
      <c r="A734" s="9">
        <f t="shared" si="34"/>
        <v>726</v>
      </c>
      <c r="B734" s="15"/>
      <c r="C734" s="11">
        <f t="shared" si="33"/>
        <v>1</v>
      </c>
      <c r="D734" s="11"/>
      <c r="E734" s="11"/>
      <c r="F734" s="11"/>
      <c r="G734" s="89">
        <f>IFERROR(VLOOKUP(F734,COA!$A$1:$K$26,2,FALSE),0)</f>
        <v>0</v>
      </c>
      <c r="H734" s="11"/>
      <c r="I734" s="11"/>
      <c r="J734" s="78"/>
      <c r="K734" s="78"/>
      <c r="L734" s="146">
        <f t="shared" si="35"/>
        <v>1800000</v>
      </c>
      <c r="M734" s="73"/>
      <c r="N734" s="73"/>
      <c r="O734" s="7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 x14ac:dyDescent="0.35">
      <c r="A735" s="9">
        <f t="shared" si="34"/>
        <v>727</v>
      </c>
      <c r="B735" s="15"/>
      <c r="C735" s="11">
        <f t="shared" si="33"/>
        <v>1</v>
      </c>
      <c r="D735" s="11"/>
      <c r="E735" s="11"/>
      <c r="F735" s="11"/>
      <c r="G735" s="89">
        <f>IFERROR(VLOOKUP(F735,COA!$A$1:$K$26,2,FALSE),0)</f>
        <v>0</v>
      </c>
      <c r="H735" s="11"/>
      <c r="I735" s="11"/>
      <c r="J735" s="78"/>
      <c r="K735" s="78"/>
      <c r="L735" s="146">
        <f t="shared" si="35"/>
        <v>1800000</v>
      </c>
      <c r="M735" s="73"/>
      <c r="N735" s="73"/>
      <c r="O735" s="7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 x14ac:dyDescent="0.35">
      <c r="A736" s="9">
        <f t="shared" si="34"/>
        <v>728</v>
      </c>
      <c r="B736" s="15"/>
      <c r="C736" s="11">
        <f t="shared" si="33"/>
        <v>1</v>
      </c>
      <c r="D736" s="11"/>
      <c r="E736" s="11"/>
      <c r="F736" s="11"/>
      <c r="G736" s="89">
        <f>IFERROR(VLOOKUP(F736,COA!$A$1:$K$26,2,FALSE),0)</f>
        <v>0</v>
      </c>
      <c r="H736" s="11"/>
      <c r="I736" s="11"/>
      <c r="J736" s="78"/>
      <c r="K736" s="78"/>
      <c r="L736" s="146">
        <f t="shared" si="35"/>
        <v>1800000</v>
      </c>
      <c r="M736" s="73"/>
      <c r="N736" s="73"/>
      <c r="O736" s="7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 x14ac:dyDescent="0.35">
      <c r="A737" s="9">
        <f t="shared" si="34"/>
        <v>729</v>
      </c>
      <c r="B737" s="15"/>
      <c r="C737" s="11">
        <f t="shared" si="33"/>
        <v>1</v>
      </c>
      <c r="D737" s="11"/>
      <c r="E737" s="11"/>
      <c r="F737" s="11"/>
      <c r="G737" s="89">
        <f>IFERROR(VLOOKUP(F737,COA!$A$1:$K$26,2,FALSE),0)</f>
        <v>0</v>
      </c>
      <c r="H737" s="13"/>
      <c r="I737" s="13"/>
      <c r="J737" s="78"/>
      <c r="K737" s="78"/>
      <c r="L737" s="146">
        <f t="shared" si="35"/>
        <v>1800000</v>
      </c>
      <c r="M737" s="73"/>
      <c r="N737" s="73"/>
      <c r="O737" s="7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 x14ac:dyDescent="0.35">
      <c r="A738" s="9">
        <f t="shared" si="34"/>
        <v>730</v>
      </c>
      <c r="B738" s="15"/>
      <c r="C738" s="11">
        <f t="shared" si="33"/>
        <v>1</v>
      </c>
      <c r="D738" s="11"/>
      <c r="E738" s="11"/>
      <c r="F738" s="11"/>
      <c r="G738" s="89">
        <f>IFERROR(VLOOKUP(F738,COA!$A$1:$K$26,2,FALSE),0)</f>
        <v>0</v>
      </c>
      <c r="H738" s="11"/>
      <c r="I738" s="11"/>
      <c r="J738" s="78"/>
      <c r="K738" s="78"/>
      <c r="L738" s="146">
        <f t="shared" si="35"/>
        <v>1800000</v>
      </c>
      <c r="M738" s="73"/>
      <c r="N738" s="73"/>
      <c r="O738" s="7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 x14ac:dyDescent="0.35">
      <c r="A739" s="9">
        <f t="shared" si="34"/>
        <v>731</v>
      </c>
      <c r="B739" s="15"/>
      <c r="C739" s="11">
        <f t="shared" si="33"/>
        <v>1</v>
      </c>
      <c r="D739" s="11"/>
      <c r="E739" s="11"/>
      <c r="F739" s="11"/>
      <c r="G739" s="89">
        <f>IFERROR(VLOOKUP(F739,COA!$A$1:$K$26,2,FALSE),0)</f>
        <v>0</v>
      </c>
      <c r="H739" s="11"/>
      <c r="I739" s="11"/>
      <c r="J739" s="78"/>
      <c r="K739" s="78"/>
      <c r="L739" s="146">
        <f t="shared" si="35"/>
        <v>1800000</v>
      </c>
      <c r="M739" s="73"/>
      <c r="N739" s="73"/>
      <c r="O739" s="7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 x14ac:dyDescent="0.35">
      <c r="A740" s="9">
        <f t="shared" si="34"/>
        <v>732</v>
      </c>
      <c r="B740" s="15"/>
      <c r="C740" s="11">
        <f t="shared" si="33"/>
        <v>1</v>
      </c>
      <c r="D740" s="11"/>
      <c r="E740" s="11"/>
      <c r="F740" s="11"/>
      <c r="G740" s="89">
        <f>IFERROR(VLOOKUP(F740,COA!$A$1:$K$26,2,FALSE),0)</f>
        <v>0</v>
      </c>
      <c r="H740" s="11"/>
      <c r="I740" s="11"/>
      <c r="J740" s="78"/>
      <c r="K740" s="78"/>
      <c r="L740" s="146">
        <f t="shared" si="35"/>
        <v>1800000</v>
      </c>
      <c r="M740" s="73"/>
      <c r="N740" s="73"/>
      <c r="O740" s="7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 x14ac:dyDescent="0.35">
      <c r="A741" s="9">
        <f t="shared" si="34"/>
        <v>733</v>
      </c>
      <c r="B741" s="15"/>
      <c r="C741" s="11">
        <f t="shared" si="33"/>
        <v>1</v>
      </c>
      <c r="D741" s="11"/>
      <c r="E741" s="11"/>
      <c r="F741" s="11"/>
      <c r="G741" s="89">
        <f>IFERROR(VLOOKUP(F741,COA!$A$1:$K$26,2,FALSE),0)</f>
        <v>0</v>
      </c>
      <c r="H741" s="11"/>
      <c r="I741" s="11"/>
      <c r="J741" s="78"/>
      <c r="K741" s="78"/>
      <c r="L741" s="146">
        <f t="shared" si="35"/>
        <v>1800000</v>
      </c>
      <c r="M741" s="73"/>
      <c r="N741" s="73"/>
      <c r="O741" s="7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 x14ac:dyDescent="0.35">
      <c r="A742" s="9">
        <f t="shared" si="34"/>
        <v>734</v>
      </c>
      <c r="B742" s="15"/>
      <c r="C742" s="11">
        <f t="shared" si="33"/>
        <v>1</v>
      </c>
      <c r="D742" s="11"/>
      <c r="E742" s="11"/>
      <c r="F742" s="11"/>
      <c r="G742" s="89">
        <f>IFERROR(VLOOKUP(F742,COA!$A$1:$K$26,2,FALSE),0)</f>
        <v>0</v>
      </c>
      <c r="H742" s="11"/>
      <c r="I742" s="11"/>
      <c r="J742" s="78"/>
      <c r="K742" s="78"/>
      <c r="L742" s="146">
        <f t="shared" si="35"/>
        <v>1800000</v>
      </c>
      <c r="M742" s="73"/>
      <c r="N742" s="73"/>
      <c r="O742" s="7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 x14ac:dyDescent="0.35">
      <c r="A743" s="9">
        <f t="shared" si="34"/>
        <v>735</v>
      </c>
      <c r="B743" s="15"/>
      <c r="C743" s="11">
        <f t="shared" si="33"/>
        <v>1</v>
      </c>
      <c r="D743" s="11"/>
      <c r="E743" s="11"/>
      <c r="F743" s="11"/>
      <c r="G743" s="89">
        <f>IFERROR(VLOOKUP(F743,COA!$A$1:$K$26,2,FALSE),0)</f>
        <v>0</v>
      </c>
      <c r="H743" s="11"/>
      <c r="I743" s="11"/>
      <c r="J743" s="78"/>
      <c r="K743" s="78"/>
      <c r="L743" s="146">
        <f t="shared" si="35"/>
        <v>1800000</v>
      </c>
      <c r="M743" s="73"/>
      <c r="N743" s="73"/>
      <c r="O743" s="7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 x14ac:dyDescent="0.35">
      <c r="A744" s="9">
        <f t="shared" si="34"/>
        <v>736</v>
      </c>
      <c r="B744" s="15"/>
      <c r="C744" s="11">
        <f t="shared" si="33"/>
        <v>1</v>
      </c>
      <c r="D744" s="11"/>
      <c r="E744" s="11"/>
      <c r="F744" s="11"/>
      <c r="G744" s="89">
        <f>IFERROR(VLOOKUP(F744,COA!$A$1:$K$26,2,FALSE),0)</f>
        <v>0</v>
      </c>
      <c r="H744" s="11"/>
      <c r="I744" s="11"/>
      <c r="J744" s="78"/>
      <c r="K744" s="78"/>
      <c r="L744" s="146">
        <f t="shared" si="35"/>
        <v>1800000</v>
      </c>
      <c r="M744" s="73"/>
      <c r="N744" s="73"/>
      <c r="O744" s="7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 x14ac:dyDescent="0.35">
      <c r="A745" s="9">
        <f t="shared" si="34"/>
        <v>737</v>
      </c>
      <c r="B745" s="15"/>
      <c r="C745" s="11">
        <f t="shared" si="33"/>
        <v>1</v>
      </c>
      <c r="D745" s="11"/>
      <c r="E745" s="11"/>
      <c r="F745" s="11"/>
      <c r="G745" s="89">
        <f>IFERROR(VLOOKUP(F745,COA!$A$1:$K$26,2,FALSE),0)</f>
        <v>0</v>
      </c>
      <c r="H745" s="13"/>
      <c r="I745" s="13"/>
      <c r="J745" s="78"/>
      <c r="K745" s="78"/>
      <c r="L745" s="146">
        <f t="shared" si="35"/>
        <v>1800000</v>
      </c>
      <c r="M745" s="73"/>
      <c r="N745" s="73"/>
      <c r="O745" s="7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 x14ac:dyDescent="0.35">
      <c r="A746" s="9">
        <f t="shared" si="34"/>
        <v>738</v>
      </c>
      <c r="B746" s="15"/>
      <c r="C746" s="11">
        <f t="shared" si="33"/>
        <v>1</v>
      </c>
      <c r="D746" s="11"/>
      <c r="E746" s="11"/>
      <c r="F746" s="11"/>
      <c r="G746" s="89">
        <f>IFERROR(VLOOKUP(F746,COA!$A$1:$K$26,2,FALSE),0)</f>
        <v>0</v>
      </c>
      <c r="H746" s="11"/>
      <c r="I746" s="11"/>
      <c r="J746" s="78"/>
      <c r="K746" s="78"/>
      <c r="L746" s="146">
        <f t="shared" si="35"/>
        <v>1800000</v>
      </c>
      <c r="M746" s="73"/>
      <c r="N746" s="73"/>
      <c r="O746" s="7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 x14ac:dyDescent="0.35">
      <c r="A747" s="9">
        <f t="shared" si="34"/>
        <v>739</v>
      </c>
      <c r="B747" s="15"/>
      <c r="C747" s="11">
        <f t="shared" si="33"/>
        <v>1</v>
      </c>
      <c r="D747" s="11"/>
      <c r="E747" s="11"/>
      <c r="F747" s="11"/>
      <c r="G747" s="89">
        <f>IFERROR(VLOOKUP(F747,COA!$A$1:$K$26,2,FALSE),0)</f>
        <v>0</v>
      </c>
      <c r="H747" s="11"/>
      <c r="I747" s="11"/>
      <c r="J747" s="78"/>
      <c r="K747" s="78"/>
      <c r="L747" s="146">
        <f t="shared" si="35"/>
        <v>1800000</v>
      </c>
      <c r="M747" s="73"/>
      <c r="N747" s="73"/>
      <c r="O747" s="7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 x14ac:dyDescent="0.35">
      <c r="A748" s="9">
        <f t="shared" si="34"/>
        <v>740</v>
      </c>
      <c r="B748" s="15"/>
      <c r="C748" s="11">
        <f t="shared" si="33"/>
        <v>1</v>
      </c>
      <c r="D748" s="11"/>
      <c r="E748" s="11"/>
      <c r="F748" s="11"/>
      <c r="G748" s="89">
        <f>IFERROR(VLOOKUP(F748,COA!$A$1:$K$26,2,FALSE),0)</f>
        <v>0</v>
      </c>
      <c r="H748" s="11"/>
      <c r="I748" s="11"/>
      <c r="J748" s="78"/>
      <c r="K748" s="78"/>
      <c r="L748" s="146">
        <f t="shared" si="35"/>
        <v>1800000</v>
      </c>
      <c r="M748" s="73"/>
      <c r="N748" s="73"/>
      <c r="O748" s="7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 x14ac:dyDescent="0.35">
      <c r="A749" s="9">
        <f t="shared" si="34"/>
        <v>741</v>
      </c>
      <c r="B749" s="15"/>
      <c r="C749" s="11">
        <f t="shared" si="33"/>
        <v>1</v>
      </c>
      <c r="D749" s="11"/>
      <c r="E749" s="11"/>
      <c r="F749" s="11"/>
      <c r="G749" s="89">
        <f>IFERROR(VLOOKUP(F749,COA!$A$1:$K$26,2,FALSE),0)</f>
        <v>0</v>
      </c>
      <c r="H749" s="11"/>
      <c r="I749" s="11"/>
      <c r="J749" s="78"/>
      <c r="K749" s="78"/>
      <c r="L749" s="146">
        <f t="shared" si="35"/>
        <v>1800000</v>
      </c>
      <c r="M749" s="73"/>
      <c r="N749" s="73"/>
      <c r="O749" s="7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 x14ac:dyDescent="0.35">
      <c r="A750" s="9">
        <f t="shared" si="34"/>
        <v>742</v>
      </c>
      <c r="B750" s="15"/>
      <c r="C750" s="11">
        <f t="shared" si="33"/>
        <v>1</v>
      </c>
      <c r="D750" s="11"/>
      <c r="E750" s="11"/>
      <c r="F750" s="11"/>
      <c r="G750" s="89">
        <f>IFERROR(VLOOKUP(F750,COA!$A$1:$K$26,2,FALSE),0)</f>
        <v>0</v>
      </c>
      <c r="H750" s="11"/>
      <c r="I750" s="11"/>
      <c r="J750" s="78"/>
      <c r="K750" s="78"/>
      <c r="L750" s="146">
        <f t="shared" si="35"/>
        <v>1800000</v>
      </c>
      <c r="M750" s="73"/>
      <c r="N750" s="73"/>
      <c r="O750" s="7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 x14ac:dyDescent="0.35">
      <c r="A751" s="9">
        <f t="shared" si="34"/>
        <v>743</v>
      </c>
      <c r="B751" s="15"/>
      <c r="C751" s="11">
        <f t="shared" si="33"/>
        <v>1</v>
      </c>
      <c r="D751" s="11"/>
      <c r="E751" s="11"/>
      <c r="F751" s="11"/>
      <c r="G751" s="89">
        <f>IFERROR(VLOOKUP(F751,COA!$A$1:$K$26,2,FALSE),0)</f>
        <v>0</v>
      </c>
      <c r="H751" s="13"/>
      <c r="I751" s="13"/>
      <c r="J751" s="78"/>
      <c r="K751" s="78"/>
      <c r="L751" s="146">
        <f t="shared" si="35"/>
        <v>1800000</v>
      </c>
      <c r="M751" s="73"/>
      <c r="N751" s="73"/>
      <c r="O751" s="7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 x14ac:dyDescent="0.35">
      <c r="A752" s="9">
        <f t="shared" si="34"/>
        <v>744</v>
      </c>
      <c r="B752" s="15"/>
      <c r="C752" s="11">
        <f t="shared" si="33"/>
        <v>1</v>
      </c>
      <c r="D752" s="11"/>
      <c r="E752" s="11"/>
      <c r="F752" s="11"/>
      <c r="G752" s="89">
        <f>IFERROR(VLOOKUP(F752,COA!$A$1:$K$26,2,FALSE),0)</f>
        <v>0</v>
      </c>
      <c r="H752" s="11"/>
      <c r="I752" s="11"/>
      <c r="J752" s="78"/>
      <c r="K752" s="78"/>
      <c r="L752" s="146">
        <f t="shared" si="35"/>
        <v>1800000</v>
      </c>
      <c r="M752" s="73"/>
      <c r="N752" s="73"/>
      <c r="O752" s="7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 x14ac:dyDescent="0.35">
      <c r="A753" s="9">
        <f t="shared" si="34"/>
        <v>745</v>
      </c>
      <c r="B753" s="15"/>
      <c r="C753" s="11">
        <f t="shared" si="33"/>
        <v>1</v>
      </c>
      <c r="D753" s="11"/>
      <c r="E753" s="11"/>
      <c r="F753" s="11"/>
      <c r="G753" s="89">
        <f>IFERROR(VLOOKUP(F753,COA!$A$1:$K$26,2,FALSE),0)</f>
        <v>0</v>
      </c>
      <c r="H753" s="11"/>
      <c r="I753" s="11"/>
      <c r="J753" s="78"/>
      <c r="K753" s="78"/>
      <c r="L753" s="146">
        <f t="shared" si="35"/>
        <v>1800000</v>
      </c>
      <c r="M753" s="73"/>
      <c r="N753" s="73"/>
      <c r="O753" s="7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 x14ac:dyDescent="0.35">
      <c r="A754" s="9">
        <f t="shared" si="34"/>
        <v>746</v>
      </c>
      <c r="B754" s="15"/>
      <c r="C754" s="11">
        <f t="shared" si="33"/>
        <v>1</v>
      </c>
      <c r="D754" s="11"/>
      <c r="E754" s="11"/>
      <c r="F754" s="11"/>
      <c r="G754" s="89">
        <f>IFERROR(VLOOKUP(F754,COA!$A$1:$K$26,2,FALSE),0)</f>
        <v>0</v>
      </c>
      <c r="H754" s="11"/>
      <c r="I754" s="11"/>
      <c r="J754" s="78"/>
      <c r="K754" s="78"/>
      <c r="L754" s="146">
        <f t="shared" si="35"/>
        <v>1800000</v>
      </c>
      <c r="M754" s="73"/>
      <c r="N754" s="73"/>
      <c r="O754" s="7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 x14ac:dyDescent="0.35">
      <c r="A755" s="9">
        <f t="shared" si="34"/>
        <v>747</v>
      </c>
      <c r="B755" s="15"/>
      <c r="C755" s="11">
        <f t="shared" si="33"/>
        <v>1</v>
      </c>
      <c r="D755" s="11"/>
      <c r="E755" s="11"/>
      <c r="F755" s="11"/>
      <c r="G755" s="89">
        <f>IFERROR(VLOOKUP(F755,COA!$A$1:$K$26,2,FALSE),0)</f>
        <v>0</v>
      </c>
      <c r="H755" s="11"/>
      <c r="I755" s="11"/>
      <c r="J755" s="78"/>
      <c r="K755" s="78"/>
      <c r="L755" s="146">
        <f t="shared" si="35"/>
        <v>1800000</v>
      </c>
      <c r="M755" s="73"/>
      <c r="N755" s="73"/>
      <c r="O755" s="7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 x14ac:dyDescent="0.35">
      <c r="A756" s="9">
        <f t="shared" si="34"/>
        <v>748</v>
      </c>
      <c r="B756" s="15"/>
      <c r="C756" s="11">
        <f t="shared" si="33"/>
        <v>1</v>
      </c>
      <c r="D756" s="11"/>
      <c r="E756" s="11"/>
      <c r="F756" s="11"/>
      <c r="G756" s="89">
        <f>IFERROR(VLOOKUP(F756,COA!$A$1:$K$26,2,FALSE),0)</f>
        <v>0</v>
      </c>
      <c r="H756" s="11"/>
      <c r="I756" s="11"/>
      <c r="J756" s="78"/>
      <c r="K756" s="78"/>
      <c r="L756" s="146">
        <f t="shared" si="35"/>
        <v>1800000</v>
      </c>
      <c r="M756" s="73"/>
      <c r="N756" s="73"/>
      <c r="O756" s="7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 x14ac:dyDescent="0.35">
      <c r="A757" s="9">
        <f t="shared" si="34"/>
        <v>749</v>
      </c>
      <c r="B757" s="15"/>
      <c r="C757" s="11">
        <f t="shared" si="33"/>
        <v>1</v>
      </c>
      <c r="D757" s="11"/>
      <c r="E757" s="11"/>
      <c r="F757" s="11"/>
      <c r="G757" s="89">
        <f>IFERROR(VLOOKUP(F757,COA!$A$1:$K$26,2,FALSE),0)</f>
        <v>0</v>
      </c>
      <c r="H757" s="13"/>
      <c r="I757" s="13"/>
      <c r="J757" s="78"/>
      <c r="K757" s="78"/>
      <c r="L757" s="146">
        <f t="shared" si="35"/>
        <v>1800000</v>
      </c>
      <c r="M757" s="73"/>
      <c r="N757" s="73"/>
      <c r="O757" s="7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 x14ac:dyDescent="0.35">
      <c r="A758" s="9">
        <f t="shared" si="34"/>
        <v>750</v>
      </c>
      <c r="B758" s="15"/>
      <c r="C758" s="11">
        <f t="shared" si="33"/>
        <v>1</v>
      </c>
      <c r="D758" s="11"/>
      <c r="E758" s="11"/>
      <c r="F758" s="11"/>
      <c r="G758" s="89">
        <f>IFERROR(VLOOKUP(F758,COA!$A$1:$K$26,2,FALSE),0)</f>
        <v>0</v>
      </c>
      <c r="H758" s="11"/>
      <c r="I758" s="11"/>
      <c r="J758" s="78"/>
      <c r="K758" s="78"/>
      <c r="L758" s="146">
        <f t="shared" si="35"/>
        <v>1800000</v>
      </c>
      <c r="M758" s="73"/>
      <c r="N758" s="73"/>
      <c r="O758" s="7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 x14ac:dyDescent="0.35">
      <c r="A759" s="9">
        <f t="shared" si="34"/>
        <v>751</v>
      </c>
      <c r="B759" s="15"/>
      <c r="C759" s="11">
        <f t="shared" si="33"/>
        <v>1</v>
      </c>
      <c r="D759" s="11"/>
      <c r="E759" s="11"/>
      <c r="F759" s="11"/>
      <c r="G759" s="89">
        <f>IFERROR(VLOOKUP(F759,COA!$A$1:$K$26,2,FALSE),0)</f>
        <v>0</v>
      </c>
      <c r="H759" s="11"/>
      <c r="I759" s="11"/>
      <c r="J759" s="78"/>
      <c r="K759" s="78"/>
      <c r="L759" s="146">
        <f t="shared" si="35"/>
        <v>1800000</v>
      </c>
      <c r="M759" s="73"/>
      <c r="N759" s="73"/>
      <c r="O759" s="7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 x14ac:dyDescent="0.35">
      <c r="A760" s="9">
        <f t="shared" si="34"/>
        <v>752</v>
      </c>
      <c r="B760" s="15"/>
      <c r="C760" s="11">
        <f t="shared" si="33"/>
        <v>1</v>
      </c>
      <c r="D760" s="11"/>
      <c r="E760" s="11"/>
      <c r="F760" s="11"/>
      <c r="G760" s="89">
        <f>IFERROR(VLOOKUP(F760,COA!$A$1:$K$26,2,FALSE),0)</f>
        <v>0</v>
      </c>
      <c r="H760" s="11"/>
      <c r="I760" s="11"/>
      <c r="J760" s="78"/>
      <c r="K760" s="78"/>
      <c r="L760" s="146">
        <f t="shared" si="35"/>
        <v>1800000</v>
      </c>
      <c r="M760" s="73"/>
      <c r="N760" s="73"/>
      <c r="O760" s="7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 x14ac:dyDescent="0.35">
      <c r="A761" s="9">
        <f t="shared" si="34"/>
        <v>753</v>
      </c>
      <c r="B761" s="15"/>
      <c r="C761" s="11">
        <f t="shared" si="33"/>
        <v>1</v>
      </c>
      <c r="D761" s="11"/>
      <c r="E761" s="11"/>
      <c r="F761" s="11"/>
      <c r="G761" s="89">
        <f>IFERROR(VLOOKUP(F761,COA!$A$1:$K$26,2,FALSE),0)</f>
        <v>0</v>
      </c>
      <c r="H761" s="11"/>
      <c r="I761" s="11"/>
      <c r="J761" s="78"/>
      <c r="K761" s="78"/>
      <c r="L761" s="146">
        <f t="shared" si="35"/>
        <v>1800000</v>
      </c>
      <c r="M761" s="73"/>
      <c r="N761" s="73"/>
      <c r="O761" s="7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 x14ac:dyDescent="0.35">
      <c r="A762" s="9">
        <f t="shared" si="34"/>
        <v>754</v>
      </c>
      <c r="B762" s="15"/>
      <c r="C762" s="11">
        <f t="shared" si="33"/>
        <v>1</v>
      </c>
      <c r="D762" s="11"/>
      <c r="E762" s="11"/>
      <c r="F762" s="11"/>
      <c r="G762" s="89">
        <f>IFERROR(VLOOKUP(F762,COA!$A$1:$K$26,2,FALSE),0)</f>
        <v>0</v>
      </c>
      <c r="H762" s="11"/>
      <c r="I762" s="11"/>
      <c r="J762" s="78"/>
      <c r="K762" s="78"/>
      <c r="L762" s="146">
        <f t="shared" si="35"/>
        <v>1800000</v>
      </c>
      <c r="M762" s="73"/>
      <c r="N762" s="73"/>
      <c r="O762" s="7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 x14ac:dyDescent="0.35">
      <c r="A763" s="9">
        <f t="shared" si="34"/>
        <v>755</v>
      </c>
      <c r="B763" s="15"/>
      <c r="C763" s="11">
        <f t="shared" si="33"/>
        <v>1</v>
      </c>
      <c r="D763" s="11"/>
      <c r="E763" s="11"/>
      <c r="F763" s="11"/>
      <c r="G763" s="89">
        <f>IFERROR(VLOOKUP(F763,COA!$A$1:$K$26,2,FALSE),0)</f>
        <v>0</v>
      </c>
      <c r="H763" s="13"/>
      <c r="I763" s="13"/>
      <c r="J763" s="78"/>
      <c r="K763" s="78"/>
      <c r="L763" s="146">
        <f t="shared" si="35"/>
        <v>1800000</v>
      </c>
      <c r="M763" s="73"/>
      <c r="N763" s="73"/>
      <c r="O763" s="7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 x14ac:dyDescent="0.35">
      <c r="A764" s="9">
        <f t="shared" si="34"/>
        <v>756</v>
      </c>
      <c r="B764" s="15"/>
      <c r="C764" s="11">
        <f t="shared" si="33"/>
        <v>1</v>
      </c>
      <c r="D764" s="11"/>
      <c r="E764" s="11"/>
      <c r="F764" s="11"/>
      <c r="G764" s="89">
        <f>IFERROR(VLOOKUP(F764,COA!$A$1:$K$26,2,FALSE),0)</f>
        <v>0</v>
      </c>
      <c r="H764" s="11"/>
      <c r="I764" s="11"/>
      <c r="J764" s="78"/>
      <c r="K764" s="78"/>
      <c r="L764" s="146">
        <f t="shared" si="35"/>
        <v>1800000</v>
      </c>
      <c r="M764" s="73"/>
      <c r="N764" s="73"/>
      <c r="O764" s="7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 x14ac:dyDescent="0.35">
      <c r="A765" s="9">
        <f t="shared" si="34"/>
        <v>757</v>
      </c>
      <c r="B765" s="15"/>
      <c r="C765" s="11">
        <f t="shared" si="33"/>
        <v>1</v>
      </c>
      <c r="D765" s="11"/>
      <c r="E765" s="11"/>
      <c r="F765" s="11"/>
      <c r="G765" s="89">
        <f>IFERROR(VLOOKUP(F765,COA!$A$1:$K$26,2,FALSE),0)</f>
        <v>0</v>
      </c>
      <c r="H765" s="11"/>
      <c r="I765" s="11"/>
      <c r="J765" s="78"/>
      <c r="K765" s="78"/>
      <c r="L765" s="146">
        <f t="shared" si="35"/>
        <v>1800000</v>
      </c>
      <c r="M765" s="73"/>
      <c r="N765" s="73"/>
      <c r="O765" s="7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 x14ac:dyDescent="0.35">
      <c r="A766" s="9">
        <f t="shared" si="34"/>
        <v>758</v>
      </c>
      <c r="B766" s="15"/>
      <c r="C766" s="11">
        <f t="shared" si="33"/>
        <v>1</v>
      </c>
      <c r="D766" s="11"/>
      <c r="E766" s="11"/>
      <c r="F766" s="11"/>
      <c r="G766" s="89">
        <f>IFERROR(VLOOKUP(F766,COA!$A$1:$K$26,2,FALSE),0)</f>
        <v>0</v>
      </c>
      <c r="H766" s="11"/>
      <c r="I766" s="11"/>
      <c r="J766" s="78"/>
      <c r="K766" s="78"/>
      <c r="L766" s="146">
        <f t="shared" si="35"/>
        <v>1800000</v>
      </c>
      <c r="M766" s="73"/>
      <c r="N766" s="73"/>
      <c r="O766" s="7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 x14ac:dyDescent="0.35">
      <c r="A767" s="9">
        <f t="shared" si="34"/>
        <v>759</v>
      </c>
      <c r="B767" s="15"/>
      <c r="C767" s="11">
        <f t="shared" si="33"/>
        <v>1</v>
      </c>
      <c r="D767" s="11"/>
      <c r="E767" s="11"/>
      <c r="F767" s="11"/>
      <c r="G767" s="89">
        <f>IFERROR(VLOOKUP(F767,COA!$A$1:$K$26,2,FALSE),0)</f>
        <v>0</v>
      </c>
      <c r="H767" s="11"/>
      <c r="I767" s="11"/>
      <c r="J767" s="78"/>
      <c r="K767" s="78"/>
      <c r="L767" s="146">
        <f t="shared" si="35"/>
        <v>1800000</v>
      </c>
      <c r="M767" s="73"/>
      <c r="N767" s="73"/>
      <c r="O767" s="7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 x14ac:dyDescent="0.35">
      <c r="A768" s="9">
        <f t="shared" si="34"/>
        <v>760</v>
      </c>
      <c r="B768" s="15"/>
      <c r="C768" s="11">
        <f t="shared" si="33"/>
        <v>1</v>
      </c>
      <c r="D768" s="11"/>
      <c r="E768" s="11"/>
      <c r="F768" s="11"/>
      <c r="G768" s="89">
        <f>IFERROR(VLOOKUP(F768,COA!$A$1:$K$26,2,FALSE),0)</f>
        <v>0</v>
      </c>
      <c r="H768" s="11"/>
      <c r="I768" s="11"/>
      <c r="J768" s="78"/>
      <c r="K768" s="78"/>
      <c r="L768" s="146">
        <f t="shared" si="35"/>
        <v>1800000</v>
      </c>
      <c r="M768" s="73"/>
      <c r="N768" s="73"/>
      <c r="O768" s="7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 x14ac:dyDescent="0.35">
      <c r="A769" s="9">
        <f t="shared" si="34"/>
        <v>761</v>
      </c>
      <c r="B769" s="15"/>
      <c r="C769" s="11">
        <f t="shared" si="33"/>
        <v>1</v>
      </c>
      <c r="D769" s="11"/>
      <c r="E769" s="11"/>
      <c r="F769" s="11"/>
      <c r="G769" s="89">
        <f>IFERROR(VLOOKUP(F769,COA!$A$1:$K$26,2,FALSE),0)</f>
        <v>0</v>
      </c>
      <c r="H769" s="13"/>
      <c r="I769" s="13"/>
      <c r="J769" s="78"/>
      <c r="K769" s="78"/>
      <c r="L769" s="146">
        <f t="shared" si="35"/>
        <v>1800000</v>
      </c>
      <c r="M769" s="73"/>
      <c r="N769" s="73"/>
      <c r="O769" s="7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 x14ac:dyDescent="0.35">
      <c r="A770" s="9">
        <f t="shared" si="34"/>
        <v>762</v>
      </c>
      <c r="B770" s="15"/>
      <c r="C770" s="11">
        <f t="shared" si="33"/>
        <v>1</v>
      </c>
      <c r="D770" s="11"/>
      <c r="E770" s="11"/>
      <c r="F770" s="11"/>
      <c r="G770" s="89">
        <f>IFERROR(VLOOKUP(F770,COA!$A$1:$K$26,2,FALSE),0)</f>
        <v>0</v>
      </c>
      <c r="H770" s="11"/>
      <c r="I770" s="11"/>
      <c r="J770" s="78"/>
      <c r="K770" s="78"/>
      <c r="L770" s="146">
        <f t="shared" si="35"/>
        <v>1800000</v>
      </c>
      <c r="M770" s="73"/>
      <c r="N770" s="73"/>
      <c r="O770" s="7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 x14ac:dyDescent="0.35">
      <c r="A771" s="9">
        <f t="shared" si="34"/>
        <v>763</v>
      </c>
      <c r="B771" s="15"/>
      <c r="C771" s="11">
        <f t="shared" si="33"/>
        <v>1</v>
      </c>
      <c r="D771" s="11"/>
      <c r="E771" s="11"/>
      <c r="F771" s="11"/>
      <c r="G771" s="89">
        <f>IFERROR(VLOOKUP(F771,COA!$A$1:$K$26,2,FALSE),0)</f>
        <v>0</v>
      </c>
      <c r="H771" s="11"/>
      <c r="I771" s="11"/>
      <c r="J771" s="78"/>
      <c r="K771" s="78"/>
      <c r="L771" s="146">
        <f t="shared" si="35"/>
        <v>1800000</v>
      </c>
      <c r="M771" s="73"/>
      <c r="N771" s="73"/>
      <c r="O771" s="7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 x14ac:dyDescent="0.35">
      <c r="A772" s="9">
        <f t="shared" si="34"/>
        <v>764</v>
      </c>
      <c r="B772" s="15"/>
      <c r="C772" s="11">
        <f t="shared" si="33"/>
        <v>1</v>
      </c>
      <c r="D772" s="11"/>
      <c r="E772" s="11"/>
      <c r="F772" s="11"/>
      <c r="G772" s="89">
        <f>IFERROR(VLOOKUP(F772,COA!$A$1:$K$26,2,FALSE),0)</f>
        <v>0</v>
      </c>
      <c r="H772" s="11"/>
      <c r="I772" s="11"/>
      <c r="J772" s="78"/>
      <c r="K772" s="78"/>
      <c r="L772" s="146">
        <f t="shared" si="35"/>
        <v>1800000</v>
      </c>
      <c r="M772" s="73"/>
      <c r="N772" s="73"/>
      <c r="O772" s="7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 x14ac:dyDescent="0.35">
      <c r="A773" s="9">
        <f t="shared" si="34"/>
        <v>765</v>
      </c>
      <c r="B773" s="15"/>
      <c r="C773" s="11">
        <f t="shared" si="33"/>
        <v>1</v>
      </c>
      <c r="D773" s="11"/>
      <c r="E773" s="11"/>
      <c r="F773" s="11"/>
      <c r="G773" s="89">
        <f>IFERROR(VLOOKUP(F773,COA!$A$1:$K$26,2,FALSE),0)</f>
        <v>0</v>
      </c>
      <c r="H773" s="11"/>
      <c r="I773" s="11"/>
      <c r="J773" s="78"/>
      <c r="K773" s="78"/>
      <c r="L773" s="146">
        <f t="shared" si="35"/>
        <v>1800000</v>
      </c>
      <c r="M773" s="73"/>
      <c r="N773" s="73"/>
      <c r="O773" s="7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 x14ac:dyDescent="0.35">
      <c r="A774" s="9">
        <f t="shared" si="34"/>
        <v>766</v>
      </c>
      <c r="B774" s="15"/>
      <c r="C774" s="11">
        <f t="shared" si="33"/>
        <v>1</v>
      </c>
      <c r="D774" s="11"/>
      <c r="E774" s="11"/>
      <c r="F774" s="11"/>
      <c r="G774" s="89">
        <f>IFERROR(VLOOKUP(F774,COA!$A$1:$K$26,2,FALSE),0)</f>
        <v>0</v>
      </c>
      <c r="H774" s="11"/>
      <c r="I774" s="11"/>
      <c r="J774" s="78"/>
      <c r="K774" s="78"/>
      <c r="L774" s="146">
        <f t="shared" si="35"/>
        <v>1800000</v>
      </c>
      <c r="M774" s="73"/>
      <c r="N774" s="73"/>
      <c r="O774" s="7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 x14ac:dyDescent="0.35">
      <c r="A775" s="9">
        <f t="shared" si="34"/>
        <v>767</v>
      </c>
      <c r="B775" s="15"/>
      <c r="C775" s="11">
        <f t="shared" si="33"/>
        <v>1</v>
      </c>
      <c r="D775" s="11"/>
      <c r="E775" s="11"/>
      <c r="F775" s="11"/>
      <c r="G775" s="89">
        <f>IFERROR(VLOOKUP(F775,COA!$A$1:$K$26,2,FALSE),0)</f>
        <v>0</v>
      </c>
      <c r="H775" s="11"/>
      <c r="I775" s="11"/>
      <c r="J775" s="78"/>
      <c r="K775" s="78"/>
      <c r="L775" s="146">
        <f t="shared" si="35"/>
        <v>1800000</v>
      </c>
      <c r="M775" s="73"/>
      <c r="N775" s="73"/>
      <c r="O775" s="7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 x14ac:dyDescent="0.35">
      <c r="A776" s="9">
        <f t="shared" si="34"/>
        <v>768</v>
      </c>
      <c r="B776" s="15"/>
      <c r="C776" s="11">
        <f t="shared" ref="C776:C839" si="36">MONTH(B776)</f>
        <v>1</v>
      </c>
      <c r="D776" s="11"/>
      <c r="E776" s="11"/>
      <c r="F776" s="11"/>
      <c r="G776" s="89">
        <f>IFERROR(VLOOKUP(F776,COA!$A$1:$K$26,2,FALSE),0)</f>
        <v>0</v>
      </c>
      <c r="H776" s="11"/>
      <c r="I776" s="11"/>
      <c r="J776" s="78"/>
      <c r="K776" s="78"/>
      <c r="L776" s="146">
        <f t="shared" si="35"/>
        <v>1800000</v>
      </c>
      <c r="M776" s="73"/>
      <c r="N776" s="73"/>
      <c r="O776" s="7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 x14ac:dyDescent="0.35">
      <c r="A777" s="9">
        <f t="shared" si="34"/>
        <v>769</v>
      </c>
      <c r="B777" s="15"/>
      <c r="C777" s="11">
        <f t="shared" si="36"/>
        <v>1</v>
      </c>
      <c r="D777" s="11"/>
      <c r="E777" s="11"/>
      <c r="F777" s="11"/>
      <c r="G777" s="89">
        <f>IFERROR(VLOOKUP(F777,COA!$A$1:$K$26,2,FALSE),0)</f>
        <v>0</v>
      </c>
      <c r="H777" s="11"/>
      <c r="I777" s="11"/>
      <c r="J777" s="78"/>
      <c r="K777" s="78"/>
      <c r="L777" s="146">
        <f t="shared" si="35"/>
        <v>1800000</v>
      </c>
      <c r="M777" s="73"/>
      <c r="N777" s="73"/>
      <c r="O777" s="7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 x14ac:dyDescent="0.35">
      <c r="A778" s="9">
        <f t="shared" si="34"/>
        <v>770</v>
      </c>
      <c r="B778" s="15"/>
      <c r="C778" s="11">
        <f t="shared" si="36"/>
        <v>1</v>
      </c>
      <c r="D778" s="11"/>
      <c r="E778" s="11"/>
      <c r="F778" s="11"/>
      <c r="G778" s="89">
        <f>IFERROR(VLOOKUP(F778,COA!$A$1:$K$26,2,FALSE),0)</f>
        <v>0</v>
      </c>
      <c r="H778" s="11"/>
      <c r="I778" s="11"/>
      <c r="J778" s="78"/>
      <c r="K778" s="78"/>
      <c r="L778" s="146">
        <f t="shared" si="35"/>
        <v>1800000</v>
      </c>
      <c r="M778" s="73"/>
      <c r="N778" s="73"/>
      <c r="O778" s="7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 x14ac:dyDescent="0.35">
      <c r="A779" s="9">
        <f t="shared" ref="A779:A842" si="37">A778+1</f>
        <v>771</v>
      </c>
      <c r="B779" s="15"/>
      <c r="C779" s="11">
        <f t="shared" si="36"/>
        <v>1</v>
      </c>
      <c r="D779" s="11"/>
      <c r="E779" s="11"/>
      <c r="F779" s="11"/>
      <c r="G779" s="89">
        <f>IFERROR(VLOOKUP(F779,COA!$A$1:$K$26,2,FALSE),0)</f>
        <v>0</v>
      </c>
      <c r="H779" s="11"/>
      <c r="I779" s="11"/>
      <c r="J779" s="78"/>
      <c r="K779" s="78"/>
      <c r="L779" s="146">
        <f t="shared" ref="L779:L842" si="38">L778+J779-K779</f>
        <v>1800000</v>
      </c>
      <c r="M779" s="73"/>
      <c r="N779" s="73"/>
      <c r="O779" s="7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 x14ac:dyDescent="0.35">
      <c r="A780" s="9">
        <f t="shared" si="37"/>
        <v>772</v>
      </c>
      <c r="B780" s="15"/>
      <c r="C780" s="11">
        <f t="shared" si="36"/>
        <v>1</v>
      </c>
      <c r="D780" s="11"/>
      <c r="E780" s="11"/>
      <c r="F780" s="11"/>
      <c r="G780" s="89">
        <f>IFERROR(VLOOKUP(F780,COA!$A$1:$K$26,2,FALSE),0)</f>
        <v>0</v>
      </c>
      <c r="H780" s="11"/>
      <c r="I780" s="11"/>
      <c r="J780" s="78"/>
      <c r="K780" s="78"/>
      <c r="L780" s="146">
        <f t="shared" si="38"/>
        <v>1800000</v>
      </c>
      <c r="M780" s="73"/>
      <c r="N780" s="73"/>
      <c r="O780" s="7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 x14ac:dyDescent="0.35">
      <c r="A781" s="9">
        <f t="shared" si="37"/>
        <v>773</v>
      </c>
      <c r="B781" s="15"/>
      <c r="C781" s="11">
        <f t="shared" si="36"/>
        <v>1</v>
      </c>
      <c r="D781" s="11"/>
      <c r="E781" s="11"/>
      <c r="F781" s="11"/>
      <c r="G781" s="89">
        <f>IFERROR(VLOOKUP(F781,COA!$A$1:$K$26,2,FALSE),0)</f>
        <v>0</v>
      </c>
      <c r="H781" s="11"/>
      <c r="I781" s="11"/>
      <c r="J781" s="78"/>
      <c r="K781" s="78"/>
      <c r="L781" s="146">
        <f t="shared" si="38"/>
        <v>1800000</v>
      </c>
      <c r="M781" s="73"/>
      <c r="N781" s="73"/>
      <c r="O781" s="7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 x14ac:dyDescent="0.35">
      <c r="A782" s="9">
        <f t="shared" si="37"/>
        <v>774</v>
      </c>
      <c r="B782" s="15"/>
      <c r="C782" s="11">
        <f t="shared" si="36"/>
        <v>1</v>
      </c>
      <c r="D782" s="11"/>
      <c r="E782" s="11"/>
      <c r="F782" s="11"/>
      <c r="G782" s="89">
        <f>IFERROR(VLOOKUP(F782,COA!$A$1:$K$26,2,FALSE),0)</f>
        <v>0</v>
      </c>
      <c r="H782" s="11"/>
      <c r="I782" s="11"/>
      <c r="J782" s="78"/>
      <c r="K782" s="78"/>
      <c r="L782" s="146">
        <f t="shared" si="38"/>
        <v>1800000</v>
      </c>
      <c r="M782" s="73"/>
      <c r="N782" s="73"/>
      <c r="O782" s="7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 x14ac:dyDescent="0.35">
      <c r="A783" s="9">
        <f t="shared" si="37"/>
        <v>775</v>
      </c>
      <c r="B783" s="15"/>
      <c r="C783" s="11">
        <f t="shared" si="36"/>
        <v>1</v>
      </c>
      <c r="D783" s="11"/>
      <c r="E783" s="11"/>
      <c r="F783" s="11"/>
      <c r="G783" s="89">
        <f>IFERROR(VLOOKUP(F783,COA!$A$1:$K$26,2,FALSE),0)</f>
        <v>0</v>
      </c>
      <c r="H783" s="11"/>
      <c r="I783" s="11"/>
      <c r="J783" s="78"/>
      <c r="K783" s="78"/>
      <c r="L783" s="146">
        <f t="shared" si="38"/>
        <v>1800000</v>
      </c>
      <c r="M783" s="73"/>
      <c r="N783" s="73"/>
      <c r="O783" s="7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 x14ac:dyDescent="0.35">
      <c r="A784" s="9">
        <f t="shared" si="37"/>
        <v>776</v>
      </c>
      <c r="B784" s="15"/>
      <c r="C784" s="11">
        <f t="shared" si="36"/>
        <v>1</v>
      </c>
      <c r="D784" s="11"/>
      <c r="E784" s="11"/>
      <c r="F784" s="11"/>
      <c r="G784" s="89">
        <f>IFERROR(VLOOKUP(F784,COA!$A$1:$K$26,2,FALSE),0)</f>
        <v>0</v>
      </c>
      <c r="H784" s="11"/>
      <c r="I784" s="11"/>
      <c r="J784" s="78"/>
      <c r="K784" s="78"/>
      <c r="L784" s="146">
        <f t="shared" si="38"/>
        <v>1800000</v>
      </c>
      <c r="M784" s="73"/>
      <c r="N784" s="73"/>
      <c r="O784" s="7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 x14ac:dyDescent="0.35">
      <c r="A785" s="9">
        <f t="shared" si="37"/>
        <v>777</v>
      </c>
      <c r="B785" s="15"/>
      <c r="C785" s="11">
        <f t="shared" si="36"/>
        <v>1</v>
      </c>
      <c r="D785" s="11"/>
      <c r="E785" s="11"/>
      <c r="F785" s="11"/>
      <c r="G785" s="89">
        <f>IFERROR(VLOOKUP(F785,COA!$A$1:$K$26,2,FALSE),0)</f>
        <v>0</v>
      </c>
      <c r="H785" s="11"/>
      <c r="I785" s="11"/>
      <c r="J785" s="78"/>
      <c r="K785" s="78"/>
      <c r="L785" s="146">
        <f t="shared" si="38"/>
        <v>1800000</v>
      </c>
      <c r="M785" s="73"/>
      <c r="N785" s="73"/>
      <c r="O785" s="7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 x14ac:dyDescent="0.35">
      <c r="A786" s="9">
        <f t="shared" si="37"/>
        <v>778</v>
      </c>
      <c r="B786" s="15"/>
      <c r="C786" s="11">
        <f t="shared" si="36"/>
        <v>1</v>
      </c>
      <c r="D786" s="11"/>
      <c r="E786" s="11"/>
      <c r="F786" s="11"/>
      <c r="G786" s="89">
        <f>IFERROR(VLOOKUP(F786,COA!$A$1:$K$26,2,FALSE),0)</f>
        <v>0</v>
      </c>
      <c r="H786" s="11"/>
      <c r="I786" s="11"/>
      <c r="J786" s="78"/>
      <c r="K786" s="78"/>
      <c r="L786" s="146">
        <f t="shared" si="38"/>
        <v>1800000</v>
      </c>
      <c r="M786" s="73"/>
      <c r="N786" s="73"/>
      <c r="O786" s="7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 x14ac:dyDescent="0.35">
      <c r="A787" s="9">
        <f t="shared" si="37"/>
        <v>779</v>
      </c>
      <c r="B787" s="15"/>
      <c r="C787" s="11">
        <f t="shared" si="36"/>
        <v>1</v>
      </c>
      <c r="D787" s="11"/>
      <c r="E787" s="11"/>
      <c r="F787" s="11"/>
      <c r="G787" s="89">
        <f>IFERROR(VLOOKUP(F787,COA!$A$1:$K$26,2,FALSE),0)</f>
        <v>0</v>
      </c>
      <c r="H787" s="13"/>
      <c r="I787" s="13"/>
      <c r="J787" s="78"/>
      <c r="K787" s="78"/>
      <c r="L787" s="146">
        <f t="shared" si="38"/>
        <v>1800000</v>
      </c>
      <c r="M787" s="73"/>
      <c r="N787" s="73"/>
      <c r="O787" s="7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 x14ac:dyDescent="0.35">
      <c r="A788" s="9">
        <f t="shared" si="37"/>
        <v>780</v>
      </c>
      <c r="B788" s="15"/>
      <c r="C788" s="11">
        <f t="shared" si="36"/>
        <v>1</v>
      </c>
      <c r="D788" s="11"/>
      <c r="E788" s="11"/>
      <c r="F788" s="11"/>
      <c r="G788" s="89">
        <f>IFERROR(VLOOKUP(F788,COA!$A$1:$K$26,2,FALSE),0)</f>
        <v>0</v>
      </c>
      <c r="H788" s="11"/>
      <c r="I788" s="11"/>
      <c r="J788" s="78"/>
      <c r="K788" s="78"/>
      <c r="L788" s="146">
        <f t="shared" si="38"/>
        <v>1800000</v>
      </c>
      <c r="M788" s="73"/>
      <c r="N788" s="73"/>
      <c r="O788" s="7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 x14ac:dyDescent="0.35">
      <c r="A789" s="9">
        <f t="shared" si="37"/>
        <v>781</v>
      </c>
      <c r="B789" s="15"/>
      <c r="C789" s="11">
        <f t="shared" si="36"/>
        <v>1</v>
      </c>
      <c r="D789" s="11"/>
      <c r="E789" s="11"/>
      <c r="F789" s="11"/>
      <c r="G789" s="89">
        <f>IFERROR(VLOOKUP(F789,COA!$A$1:$K$26,2,FALSE),0)</f>
        <v>0</v>
      </c>
      <c r="H789" s="11"/>
      <c r="I789" s="11"/>
      <c r="J789" s="78"/>
      <c r="K789" s="78"/>
      <c r="L789" s="146">
        <f t="shared" si="38"/>
        <v>1800000</v>
      </c>
      <c r="M789" s="73"/>
      <c r="N789" s="73"/>
      <c r="O789" s="7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 x14ac:dyDescent="0.35">
      <c r="A790" s="9">
        <f t="shared" si="37"/>
        <v>782</v>
      </c>
      <c r="B790" s="15"/>
      <c r="C790" s="11">
        <f t="shared" si="36"/>
        <v>1</v>
      </c>
      <c r="D790" s="11"/>
      <c r="E790" s="11"/>
      <c r="F790" s="11"/>
      <c r="G790" s="89">
        <f>IFERROR(VLOOKUP(F790,COA!$A$1:$K$26,2,FALSE),0)</f>
        <v>0</v>
      </c>
      <c r="H790" s="11"/>
      <c r="I790" s="11"/>
      <c r="J790" s="78"/>
      <c r="K790" s="78"/>
      <c r="L790" s="146">
        <f t="shared" si="38"/>
        <v>1800000</v>
      </c>
      <c r="M790" s="73"/>
      <c r="N790" s="73"/>
      <c r="O790" s="7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 x14ac:dyDescent="0.35">
      <c r="A791" s="9">
        <f t="shared" si="37"/>
        <v>783</v>
      </c>
      <c r="B791" s="15"/>
      <c r="C791" s="11">
        <f t="shared" si="36"/>
        <v>1</v>
      </c>
      <c r="D791" s="11"/>
      <c r="E791" s="11"/>
      <c r="F791" s="11"/>
      <c r="G791" s="89">
        <f>IFERROR(VLOOKUP(F791,COA!$A$1:$K$26,2,FALSE),0)</f>
        <v>0</v>
      </c>
      <c r="H791" s="11"/>
      <c r="I791" s="11"/>
      <c r="J791" s="78"/>
      <c r="K791" s="78"/>
      <c r="L791" s="146">
        <f t="shared" si="38"/>
        <v>1800000</v>
      </c>
      <c r="M791" s="73"/>
      <c r="N791" s="73"/>
      <c r="O791" s="7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 x14ac:dyDescent="0.35">
      <c r="A792" s="9">
        <f t="shared" si="37"/>
        <v>784</v>
      </c>
      <c r="B792" s="15"/>
      <c r="C792" s="11">
        <f t="shared" si="36"/>
        <v>1</v>
      </c>
      <c r="D792" s="11"/>
      <c r="E792" s="11"/>
      <c r="F792" s="11"/>
      <c r="G792" s="89">
        <f>IFERROR(VLOOKUP(F792,COA!$A$1:$K$26,2,FALSE),0)</f>
        <v>0</v>
      </c>
      <c r="H792" s="11"/>
      <c r="I792" s="11"/>
      <c r="J792" s="78"/>
      <c r="K792" s="78"/>
      <c r="L792" s="146">
        <f t="shared" si="38"/>
        <v>1800000</v>
      </c>
      <c r="M792" s="73"/>
      <c r="N792" s="73"/>
      <c r="O792" s="7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 x14ac:dyDescent="0.35">
      <c r="A793" s="9">
        <f t="shared" si="37"/>
        <v>785</v>
      </c>
      <c r="B793" s="15"/>
      <c r="C793" s="11">
        <f t="shared" si="36"/>
        <v>1</v>
      </c>
      <c r="D793" s="11"/>
      <c r="E793" s="11"/>
      <c r="F793" s="11"/>
      <c r="G793" s="89">
        <f>IFERROR(VLOOKUP(F793,COA!$A$1:$K$26,2,FALSE),0)</f>
        <v>0</v>
      </c>
      <c r="H793" s="11"/>
      <c r="I793" s="11"/>
      <c r="J793" s="78"/>
      <c r="K793" s="78"/>
      <c r="L793" s="146">
        <f t="shared" si="38"/>
        <v>1800000</v>
      </c>
      <c r="M793" s="73"/>
      <c r="N793" s="73"/>
      <c r="O793" s="7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 x14ac:dyDescent="0.35">
      <c r="A794" s="9">
        <f t="shared" si="37"/>
        <v>786</v>
      </c>
      <c r="B794" s="15"/>
      <c r="C794" s="11">
        <f t="shared" si="36"/>
        <v>1</v>
      </c>
      <c r="D794" s="11"/>
      <c r="E794" s="11"/>
      <c r="F794" s="11"/>
      <c r="G794" s="89">
        <f>IFERROR(VLOOKUP(F794,COA!$A$1:$K$26,2,FALSE),0)</f>
        <v>0</v>
      </c>
      <c r="H794" s="11"/>
      <c r="I794" s="11"/>
      <c r="J794" s="78"/>
      <c r="K794" s="78"/>
      <c r="L794" s="146">
        <f t="shared" si="38"/>
        <v>1800000</v>
      </c>
      <c r="M794" s="73"/>
      <c r="N794" s="73"/>
      <c r="O794" s="7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 x14ac:dyDescent="0.35">
      <c r="A795" s="9">
        <f t="shared" si="37"/>
        <v>787</v>
      </c>
      <c r="B795" s="15"/>
      <c r="C795" s="11">
        <f t="shared" si="36"/>
        <v>1</v>
      </c>
      <c r="D795" s="11"/>
      <c r="E795" s="11"/>
      <c r="F795" s="11"/>
      <c r="G795" s="89">
        <f>IFERROR(VLOOKUP(F795,COA!$A$1:$K$26,2,FALSE),0)</f>
        <v>0</v>
      </c>
      <c r="H795" s="11"/>
      <c r="I795" s="11"/>
      <c r="J795" s="78"/>
      <c r="K795" s="78"/>
      <c r="L795" s="146">
        <f t="shared" si="38"/>
        <v>1800000</v>
      </c>
      <c r="M795" s="73"/>
      <c r="N795" s="73"/>
      <c r="O795" s="7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 x14ac:dyDescent="0.35">
      <c r="A796" s="9">
        <f t="shared" si="37"/>
        <v>788</v>
      </c>
      <c r="B796" s="15"/>
      <c r="C796" s="11">
        <f t="shared" si="36"/>
        <v>1</v>
      </c>
      <c r="D796" s="11"/>
      <c r="E796" s="11"/>
      <c r="F796" s="11"/>
      <c r="G796" s="89">
        <f>IFERROR(VLOOKUP(F796,COA!$A$1:$K$26,2,FALSE),0)</f>
        <v>0</v>
      </c>
      <c r="H796" s="11"/>
      <c r="I796" s="11"/>
      <c r="J796" s="78"/>
      <c r="K796" s="78"/>
      <c r="L796" s="146">
        <f t="shared" si="38"/>
        <v>1800000</v>
      </c>
      <c r="M796" s="73"/>
      <c r="N796" s="73"/>
      <c r="O796" s="7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 x14ac:dyDescent="0.35">
      <c r="A797" s="9">
        <f t="shared" si="37"/>
        <v>789</v>
      </c>
      <c r="B797" s="15"/>
      <c r="C797" s="11">
        <f t="shared" si="36"/>
        <v>1</v>
      </c>
      <c r="D797" s="11"/>
      <c r="E797" s="11"/>
      <c r="F797" s="11"/>
      <c r="G797" s="89">
        <f>IFERROR(VLOOKUP(F797,COA!$A$1:$K$26,2,FALSE),0)</f>
        <v>0</v>
      </c>
      <c r="H797" s="11"/>
      <c r="I797" s="11"/>
      <c r="J797" s="78"/>
      <c r="K797" s="78"/>
      <c r="L797" s="146">
        <f t="shared" si="38"/>
        <v>1800000</v>
      </c>
      <c r="M797" s="73"/>
      <c r="N797" s="73"/>
      <c r="O797" s="7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 x14ac:dyDescent="0.35">
      <c r="A798" s="9">
        <f t="shared" si="37"/>
        <v>790</v>
      </c>
      <c r="B798" s="15"/>
      <c r="C798" s="11">
        <f t="shared" si="36"/>
        <v>1</v>
      </c>
      <c r="D798" s="11"/>
      <c r="E798" s="11"/>
      <c r="F798" s="11"/>
      <c r="G798" s="89">
        <f>IFERROR(VLOOKUP(F798,COA!$A$1:$K$26,2,FALSE),0)</f>
        <v>0</v>
      </c>
      <c r="H798" s="11"/>
      <c r="I798" s="11"/>
      <c r="J798" s="78"/>
      <c r="K798" s="78"/>
      <c r="L798" s="146">
        <f t="shared" si="38"/>
        <v>1800000</v>
      </c>
      <c r="M798" s="73"/>
      <c r="N798" s="73"/>
      <c r="O798" s="7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 x14ac:dyDescent="0.35">
      <c r="A799" s="9">
        <f t="shared" si="37"/>
        <v>791</v>
      </c>
      <c r="B799" s="15"/>
      <c r="C799" s="11">
        <f t="shared" si="36"/>
        <v>1</v>
      </c>
      <c r="D799" s="11"/>
      <c r="E799" s="11"/>
      <c r="F799" s="11"/>
      <c r="G799" s="89">
        <f>IFERROR(VLOOKUP(F799,COA!$A$1:$K$26,2,FALSE),0)</f>
        <v>0</v>
      </c>
      <c r="H799" s="11"/>
      <c r="I799" s="11"/>
      <c r="J799" s="78"/>
      <c r="K799" s="78"/>
      <c r="L799" s="146">
        <f t="shared" si="38"/>
        <v>1800000</v>
      </c>
      <c r="M799" s="73"/>
      <c r="N799" s="73"/>
      <c r="O799" s="7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 x14ac:dyDescent="0.35">
      <c r="A800" s="9">
        <f t="shared" si="37"/>
        <v>792</v>
      </c>
      <c r="B800" s="15"/>
      <c r="C800" s="11">
        <f t="shared" si="36"/>
        <v>1</v>
      </c>
      <c r="D800" s="11"/>
      <c r="E800" s="11"/>
      <c r="F800" s="11"/>
      <c r="G800" s="89">
        <f>IFERROR(VLOOKUP(F800,COA!$A$1:$K$26,2,FALSE),0)</f>
        <v>0</v>
      </c>
      <c r="H800" s="11"/>
      <c r="I800" s="11"/>
      <c r="J800" s="78"/>
      <c r="K800" s="78"/>
      <c r="L800" s="146">
        <f t="shared" si="38"/>
        <v>1800000</v>
      </c>
      <c r="M800" s="73"/>
      <c r="N800" s="73"/>
      <c r="O800" s="7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 x14ac:dyDescent="0.35">
      <c r="A801" s="9">
        <f t="shared" si="37"/>
        <v>793</v>
      </c>
      <c r="B801" s="15"/>
      <c r="C801" s="11">
        <f t="shared" si="36"/>
        <v>1</v>
      </c>
      <c r="D801" s="11"/>
      <c r="E801" s="11"/>
      <c r="F801" s="11"/>
      <c r="G801" s="89">
        <f>IFERROR(VLOOKUP(F801,COA!$A$1:$K$26,2,FALSE),0)</f>
        <v>0</v>
      </c>
      <c r="H801" s="11"/>
      <c r="I801" s="11"/>
      <c r="J801" s="78"/>
      <c r="K801" s="78"/>
      <c r="L801" s="146">
        <f t="shared" si="38"/>
        <v>1800000</v>
      </c>
      <c r="M801" s="73"/>
      <c r="N801" s="73"/>
      <c r="O801" s="7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 x14ac:dyDescent="0.35">
      <c r="A802" s="9">
        <f t="shared" si="37"/>
        <v>794</v>
      </c>
      <c r="B802" s="15"/>
      <c r="C802" s="11">
        <f t="shared" si="36"/>
        <v>1</v>
      </c>
      <c r="D802" s="11"/>
      <c r="E802" s="11"/>
      <c r="F802" s="11"/>
      <c r="G802" s="89">
        <f>IFERROR(VLOOKUP(F802,COA!$A$1:$K$26,2,FALSE),0)</f>
        <v>0</v>
      </c>
      <c r="H802" s="11"/>
      <c r="I802" s="11"/>
      <c r="J802" s="78"/>
      <c r="K802" s="78"/>
      <c r="L802" s="146">
        <f t="shared" si="38"/>
        <v>1800000</v>
      </c>
      <c r="M802" s="73"/>
      <c r="N802" s="73"/>
      <c r="O802" s="7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 x14ac:dyDescent="0.35">
      <c r="A803" s="9">
        <f t="shared" si="37"/>
        <v>795</v>
      </c>
      <c r="B803" s="15"/>
      <c r="C803" s="11">
        <f t="shared" si="36"/>
        <v>1</v>
      </c>
      <c r="D803" s="11"/>
      <c r="E803" s="11"/>
      <c r="F803" s="11"/>
      <c r="G803" s="89">
        <f>IFERROR(VLOOKUP(F803,COA!$A$1:$K$26,2,FALSE),0)</f>
        <v>0</v>
      </c>
      <c r="H803" s="13"/>
      <c r="I803" s="13"/>
      <c r="J803" s="78"/>
      <c r="K803" s="78"/>
      <c r="L803" s="146">
        <f t="shared" si="38"/>
        <v>1800000</v>
      </c>
      <c r="M803" s="73"/>
      <c r="N803" s="73"/>
      <c r="O803" s="7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 x14ac:dyDescent="0.35">
      <c r="A804" s="9">
        <f t="shared" si="37"/>
        <v>796</v>
      </c>
      <c r="B804" s="15"/>
      <c r="C804" s="11">
        <f t="shared" si="36"/>
        <v>1</v>
      </c>
      <c r="D804" s="11"/>
      <c r="E804" s="11"/>
      <c r="F804" s="11"/>
      <c r="G804" s="89">
        <f>IFERROR(VLOOKUP(F804,COA!$A$1:$K$26,2,FALSE),0)</f>
        <v>0</v>
      </c>
      <c r="H804" s="13"/>
      <c r="I804" s="13"/>
      <c r="J804" s="78"/>
      <c r="K804" s="78"/>
      <c r="L804" s="146">
        <f t="shared" si="38"/>
        <v>1800000</v>
      </c>
      <c r="M804" s="73"/>
      <c r="N804" s="73"/>
      <c r="O804" s="7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 x14ac:dyDescent="0.35">
      <c r="A805" s="9">
        <f t="shared" si="37"/>
        <v>797</v>
      </c>
      <c r="B805" s="15"/>
      <c r="C805" s="11">
        <f t="shared" si="36"/>
        <v>1</v>
      </c>
      <c r="D805" s="11"/>
      <c r="E805" s="11"/>
      <c r="F805" s="11"/>
      <c r="G805" s="89">
        <f>IFERROR(VLOOKUP(F805,COA!$A$1:$K$26,2,FALSE),0)</f>
        <v>0</v>
      </c>
      <c r="H805" s="11"/>
      <c r="I805" s="11"/>
      <c r="J805" s="78"/>
      <c r="K805" s="78"/>
      <c r="L805" s="146">
        <f t="shared" si="38"/>
        <v>1800000</v>
      </c>
      <c r="M805" s="73"/>
      <c r="N805" s="73"/>
      <c r="O805" s="7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 x14ac:dyDescent="0.35">
      <c r="A806" s="9">
        <f t="shared" si="37"/>
        <v>798</v>
      </c>
      <c r="B806" s="15"/>
      <c r="C806" s="11">
        <f t="shared" si="36"/>
        <v>1</v>
      </c>
      <c r="D806" s="11"/>
      <c r="E806" s="11"/>
      <c r="F806" s="11"/>
      <c r="G806" s="89">
        <f>IFERROR(VLOOKUP(F806,COA!$A$1:$K$26,2,FALSE),0)</f>
        <v>0</v>
      </c>
      <c r="H806" s="11"/>
      <c r="I806" s="11"/>
      <c r="J806" s="78"/>
      <c r="K806" s="78"/>
      <c r="L806" s="146">
        <f t="shared" si="38"/>
        <v>1800000</v>
      </c>
      <c r="M806" s="73"/>
      <c r="N806" s="73"/>
      <c r="O806" s="7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 x14ac:dyDescent="0.35">
      <c r="A807" s="9">
        <f t="shared" si="37"/>
        <v>799</v>
      </c>
      <c r="B807" s="15"/>
      <c r="C807" s="11">
        <f t="shared" si="36"/>
        <v>1</v>
      </c>
      <c r="D807" s="11"/>
      <c r="E807" s="11"/>
      <c r="F807" s="11"/>
      <c r="G807" s="89">
        <f>IFERROR(VLOOKUP(F807,COA!$A$1:$K$26,2,FALSE),0)</f>
        <v>0</v>
      </c>
      <c r="H807" s="11"/>
      <c r="I807" s="11"/>
      <c r="J807" s="78"/>
      <c r="K807" s="78"/>
      <c r="L807" s="146">
        <f t="shared" si="38"/>
        <v>1800000</v>
      </c>
      <c r="M807" s="73"/>
      <c r="N807" s="73"/>
      <c r="O807" s="7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 x14ac:dyDescent="0.35">
      <c r="A808" s="9">
        <f t="shared" si="37"/>
        <v>800</v>
      </c>
      <c r="B808" s="15"/>
      <c r="C808" s="11">
        <f t="shared" si="36"/>
        <v>1</v>
      </c>
      <c r="D808" s="11"/>
      <c r="E808" s="11"/>
      <c r="F808" s="11"/>
      <c r="G808" s="89">
        <f>IFERROR(VLOOKUP(F808,COA!$A$1:$K$26,2,FALSE),0)</f>
        <v>0</v>
      </c>
      <c r="H808" s="11"/>
      <c r="I808" s="11"/>
      <c r="J808" s="78"/>
      <c r="K808" s="78"/>
      <c r="L808" s="146">
        <f t="shared" si="38"/>
        <v>1800000</v>
      </c>
      <c r="M808" s="73"/>
      <c r="N808" s="73"/>
      <c r="O808" s="7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 x14ac:dyDescent="0.35">
      <c r="A809" s="9">
        <f t="shared" si="37"/>
        <v>801</v>
      </c>
      <c r="B809" s="15"/>
      <c r="C809" s="11">
        <f t="shared" si="36"/>
        <v>1</v>
      </c>
      <c r="D809" s="11"/>
      <c r="E809" s="11"/>
      <c r="F809" s="11"/>
      <c r="G809" s="89">
        <f>IFERROR(VLOOKUP(F809,COA!$A$1:$K$26,2,FALSE),0)</f>
        <v>0</v>
      </c>
      <c r="H809" s="11"/>
      <c r="I809" s="11"/>
      <c r="J809" s="78"/>
      <c r="K809" s="78"/>
      <c r="L809" s="146">
        <f t="shared" si="38"/>
        <v>1800000</v>
      </c>
      <c r="M809" s="73"/>
      <c r="N809" s="73"/>
      <c r="O809" s="7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 x14ac:dyDescent="0.35">
      <c r="A810" s="9">
        <f t="shared" si="37"/>
        <v>802</v>
      </c>
      <c r="B810" s="15"/>
      <c r="C810" s="11">
        <f t="shared" si="36"/>
        <v>1</v>
      </c>
      <c r="D810" s="11"/>
      <c r="E810" s="11"/>
      <c r="F810" s="11"/>
      <c r="G810" s="89">
        <f>IFERROR(VLOOKUP(F810,COA!$A$1:$K$26,2,FALSE),0)</f>
        <v>0</v>
      </c>
      <c r="H810" s="13"/>
      <c r="I810" s="13"/>
      <c r="J810" s="78"/>
      <c r="K810" s="78"/>
      <c r="L810" s="146">
        <f t="shared" si="38"/>
        <v>1800000</v>
      </c>
      <c r="M810" s="73"/>
      <c r="N810" s="73"/>
      <c r="O810" s="7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 x14ac:dyDescent="0.35">
      <c r="A811" s="9">
        <f t="shared" si="37"/>
        <v>803</v>
      </c>
      <c r="B811" s="15"/>
      <c r="C811" s="11">
        <f t="shared" si="36"/>
        <v>1</v>
      </c>
      <c r="D811" s="11"/>
      <c r="E811" s="11"/>
      <c r="F811" s="11"/>
      <c r="G811" s="89">
        <f>IFERROR(VLOOKUP(F811,COA!$A$1:$K$26,2,FALSE),0)</f>
        <v>0</v>
      </c>
      <c r="H811" s="11"/>
      <c r="I811" s="11"/>
      <c r="J811" s="78"/>
      <c r="K811" s="78"/>
      <c r="L811" s="146">
        <f t="shared" si="38"/>
        <v>1800000</v>
      </c>
      <c r="M811" s="73"/>
      <c r="N811" s="73"/>
      <c r="O811" s="7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 x14ac:dyDescent="0.35">
      <c r="A812" s="9">
        <f t="shared" si="37"/>
        <v>804</v>
      </c>
      <c r="B812" s="15"/>
      <c r="C812" s="11">
        <f t="shared" si="36"/>
        <v>1</v>
      </c>
      <c r="D812" s="11"/>
      <c r="E812" s="11"/>
      <c r="F812" s="11"/>
      <c r="G812" s="89">
        <f>IFERROR(VLOOKUP(F812,COA!$A$1:$K$26,2,FALSE),0)</f>
        <v>0</v>
      </c>
      <c r="H812" s="11"/>
      <c r="I812" s="11"/>
      <c r="J812" s="78"/>
      <c r="K812" s="78"/>
      <c r="L812" s="146">
        <f t="shared" si="38"/>
        <v>1800000</v>
      </c>
      <c r="M812" s="73"/>
      <c r="N812" s="73"/>
      <c r="O812" s="7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 x14ac:dyDescent="0.35">
      <c r="A813" s="9">
        <f t="shared" si="37"/>
        <v>805</v>
      </c>
      <c r="B813" s="15"/>
      <c r="C813" s="11">
        <f t="shared" si="36"/>
        <v>1</v>
      </c>
      <c r="D813" s="11"/>
      <c r="E813" s="11"/>
      <c r="F813" s="11"/>
      <c r="G813" s="89">
        <f>IFERROR(VLOOKUP(F813,COA!$A$1:$K$26,2,FALSE),0)</f>
        <v>0</v>
      </c>
      <c r="H813" s="11"/>
      <c r="I813" s="11"/>
      <c r="J813" s="78"/>
      <c r="K813" s="78"/>
      <c r="L813" s="146">
        <f t="shared" si="38"/>
        <v>1800000</v>
      </c>
      <c r="M813" s="73"/>
      <c r="N813" s="73"/>
      <c r="O813" s="7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 x14ac:dyDescent="0.35">
      <c r="A814" s="9">
        <f t="shared" si="37"/>
        <v>806</v>
      </c>
      <c r="B814" s="15"/>
      <c r="C814" s="11">
        <f t="shared" si="36"/>
        <v>1</v>
      </c>
      <c r="D814" s="11"/>
      <c r="E814" s="11"/>
      <c r="F814" s="11"/>
      <c r="G814" s="89">
        <f>IFERROR(VLOOKUP(F814,COA!$A$1:$K$26,2,FALSE),0)</f>
        <v>0</v>
      </c>
      <c r="H814" s="11"/>
      <c r="I814" s="11"/>
      <c r="J814" s="78"/>
      <c r="K814" s="78"/>
      <c r="L814" s="146">
        <f t="shared" si="38"/>
        <v>1800000</v>
      </c>
      <c r="M814" s="73"/>
      <c r="N814" s="73"/>
      <c r="O814" s="7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 x14ac:dyDescent="0.35">
      <c r="A815" s="9">
        <f t="shared" si="37"/>
        <v>807</v>
      </c>
      <c r="B815" s="15"/>
      <c r="C815" s="11">
        <f t="shared" si="36"/>
        <v>1</v>
      </c>
      <c r="D815" s="11"/>
      <c r="E815" s="11"/>
      <c r="F815" s="11"/>
      <c r="G815" s="89">
        <f>IFERROR(VLOOKUP(F815,COA!$A$1:$K$26,2,FALSE),0)</f>
        <v>0</v>
      </c>
      <c r="H815" s="11"/>
      <c r="I815" s="11"/>
      <c r="J815" s="78"/>
      <c r="K815" s="78"/>
      <c r="L815" s="146">
        <f t="shared" si="38"/>
        <v>1800000</v>
      </c>
      <c r="M815" s="73"/>
      <c r="N815" s="73"/>
      <c r="O815" s="7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 x14ac:dyDescent="0.35">
      <c r="A816" s="9">
        <f t="shared" si="37"/>
        <v>808</v>
      </c>
      <c r="B816" s="15"/>
      <c r="C816" s="11">
        <f t="shared" si="36"/>
        <v>1</v>
      </c>
      <c r="D816" s="11"/>
      <c r="E816" s="11"/>
      <c r="F816" s="11"/>
      <c r="G816" s="89">
        <f>IFERROR(VLOOKUP(F816,COA!$A$1:$K$26,2,FALSE),0)</f>
        <v>0</v>
      </c>
      <c r="H816" s="13"/>
      <c r="I816" s="13"/>
      <c r="J816" s="78"/>
      <c r="K816" s="78"/>
      <c r="L816" s="146">
        <f t="shared" si="38"/>
        <v>1800000</v>
      </c>
      <c r="M816" s="73"/>
      <c r="N816" s="73"/>
      <c r="O816" s="7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 x14ac:dyDescent="0.35">
      <c r="A817" s="9">
        <f t="shared" si="37"/>
        <v>809</v>
      </c>
      <c r="B817" s="15"/>
      <c r="C817" s="11">
        <f t="shared" si="36"/>
        <v>1</v>
      </c>
      <c r="D817" s="11"/>
      <c r="E817" s="11"/>
      <c r="F817" s="11"/>
      <c r="G817" s="89">
        <f>IFERROR(VLOOKUP(F817,COA!$A$1:$K$26,2,FALSE),0)</f>
        <v>0</v>
      </c>
      <c r="H817" s="11"/>
      <c r="I817" s="11"/>
      <c r="J817" s="78"/>
      <c r="K817" s="78"/>
      <c r="L817" s="146">
        <f t="shared" si="38"/>
        <v>1800000</v>
      </c>
      <c r="M817" s="73"/>
      <c r="N817" s="73"/>
      <c r="O817" s="7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 x14ac:dyDescent="0.35">
      <c r="A818" s="9">
        <f t="shared" si="37"/>
        <v>810</v>
      </c>
      <c r="B818" s="15"/>
      <c r="C818" s="11">
        <f t="shared" si="36"/>
        <v>1</v>
      </c>
      <c r="D818" s="11"/>
      <c r="E818" s="11"/>
      <c r="F818" s="11"/>
      <c r="G818" s="89">
        <f>IFERROR(VLOOKUP(F818,COA!$A$1:$K$26,2,FALSE),0)</f>
        <v>0</v>
      </c>
      <c r="H818" s="11"/>
      <c r="I818" s="11"/>
      <c r="J818" s="78"/>
      <c r="K818" s="78"/>
      <c r="L818" s="146">
        <f t="shared" si="38"/>
        <v>1800000</v>
      </c>
      <c r="M818" s="73"/>
      <c r="N818" s="73"/>
      <c r="O818" s="7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 x14ac:dyDescent="0.35">
      <c r="A819" s="9">
        <f t="shared" si="37"/>
        <v>811</v>
      </c>
      <c r="B819" s="15"/>
      <c r="C819" s="11">
        <f t="shared" si="36"/>
        <v>1</v>
      </c>
      <c r="D819" s="11"/>
      <c r="E819" s="11"/>
      <c r="F819" s="11"/>
      <c r="G819" s="89">
        <f>IFERROR(VLOOKUP(F819,COA!$A$1:$K$26,2,FALSE),0)</f>
        <v>0</v>
      </c>
      <c r="H819" s="11"/>
      <c r="I819" s="11"/>
      <c r="J819" s="78"/>
      <c r="K819" s="78"/>
      <c r="L819" s="146">
        <f t="shared" si="38"/>
        <v>1800000</v>
      </c>
      <c r="M819" s="73"/>
      <c r="N819" s="73"/>
      <c r="O819" s="7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 x14ac:dyDescent="0.35">
      <c r="A820" s="9">
        <f t="shared" si="37"/>
        <v>812</v>
      </c>
      <c r="B820" s="15"/>
      <c r="C820" s="11">
        <f t="shared" si="36"/>
        <v>1</v>
      </c>
      <c r="D820" s="11"/>
      <c r="E820" s="11"/>
      <c r="F820" s="11"/>
      <c r="G820" s="89">
        <f>IFERROR(VLOOKUP(F820,COA!$A$1:$K$26,2,FALSE),0)</f>
        <v>0</v>
      </c>
      <c r="H820" s="11"/>
      <c r="I820" s="11"/>
      <c r="J820" s="78"/>
      <c r="K820" s="78"/>
      <c r="L820" s="146">
        <f t="shared" si="38"/>
        <v>1800000</v>
      </c>
      <c r="M820" s="73"/>
      <c r="N820" s="73"/>
      <c r="O820" s="7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 x14ac:dyDescent="0.35">
      <c r="A821" s="9">
        <f t="shared" si="37"/>
        <v>813</v>
      </c>
      <c r="B821" s="15"/>
      <c r="C821" s="11">
        <f t="shared" si="36"/>
        <v>1</v>
      </c>
      <c r="D821" s="11"/>
      <c r="E821" s="11"/>
      <c r="F821" s="11"/>
      <c r="G821" s="89">
        <f>IFERROR(VLOOKUP(F821,COA!$A$1:$K$26,2,FALSE),0)</f>
        <v>0</v>
      </c>
      <c r="H821" s="11"/>
      <c r="I821" s="11"/>
      <c r="J821" s="78"/>
      <c r="K821" s="78"/>
      <c r="L821" s="146">
        <f t="shared" si="38"/>
        <v>1800000</v>
      </c>
      <c r="M821" s="73"/>
      <c r="N821" s="73"/>
      <c r="O821" s="7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 x14ac:dyDescent="0.35">
      <c r="A822" s="9">
        <f t="shared" si="37"/>
        <v>814</v>
      </c>
      <c r="B822" s="15"/>
      <c r="C822" s="11">
        <f t="shared" si="36"/>
        <v>1</v>
      </c>
      <c r="D822" s="11"/>
      <c r="E822" s="11"/>
      <c r="F822" s="11"/>
      <c r="G822" s="89">
        <f>IFERROR(VLOOKUP(F822,COA!$A$1:$K$26,2,FALSE),0)</f>
        <v>0</v>
      </c>
      <c r="H822" s="11"/>
      <c r="I822" s="11"/>
      <c r="J822" s="78"/>
      <c r="K822" s="78"/>
      <c r="L822" s="146">
        <f t="shared" si="38"/>
        <v>1800000</v>
      </c>
      <c r="M822" s="73"/>
      <c r="N822" s="73"/>
      <c r="O822" s="7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 x14ac:dyDescent="0.35">
      <c r="A823" s="9">
        <f t="shared" si="37"/>
        <v>815</v>
      </c>
      <c r="B823" s="15"/>
      <c r="C823" s="11">
        <f t="shared" si="36"/>
        <v>1</v>
      </c>
      <c r="D823" s="11"/>
      <c r="E823" s="11"/>
      <c r="F823" s="11"/>
      <c r="G823" s="89">
        <f>IFERROR(VLOOKUP(F823,COA!$A$1:$K$26,2,FALSE),0)</f>
        <v>0</v>
      </c>
      <c r="H823" s="11"/>
      <c r="I823" s="11"/>
      <c r="J823" s="78"/>
      <c r="K823" s="78"/>
      <c r="L823" s="146">
        <f t="shared" si="38"/>
        <v>1800000</v>
      </c>
      <c r="M823" s="73"/>
      <c r="N823" s="73"/>
      <c r="O823" s="7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 x14ac:dyDescent="0.35">
      <c r="A824" s="9">
        <f t="shared" si="37"/>
        <v>816</v>
      </c>
      <c r="B824" s="15"/>
      <c r="C824" s="11">
        <f t="shared" si="36"/>
        <v>1</v>
      </c>
      <c r="D824" s="11"/>
      <c r="E824" s="11"/>
      <c r="F824" s="11"/>
      <c r="G824" s="89">
        <f>IFERROR(VLOOKUP(F824,COA!$A$1:$K$26,2,FALSE),0)</f>
        <v>0</v>
      </c>
      <c r="H824" s="11"/>
      <c r="I824" s="11"/>
      <c r="J824" s="78"/>
      <c r="K824" s="78"/>
      <c r="L824" s="146">
        <f t="shared" si="38"/>
        <v>1800000</v>
      </c>
      <c r="M824" s="73"/>
      <c r="N824" s="73"/>
      <c r="O824" s="7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 x14ac:dyDescent="0.35">
      <c r="A825" s="9">
        <f t="shared" si="37"/>
        <v>817</v>
      </c>
      <c r="B825" s="15"/>
      <c r="C825" s="11">
        <f t="shared" si="36"/>
        <v>1</v>
      </c>
      <c r="D825" s="11"/>
      <c r="E825" s="11"/>
      <c r="F825" s="11"/>
      <c r="G825" s="89">
        <f>IFERROR(VLOOKUP(F825,COA!$A$1:$K$26,2,FALSE),0)</f>
        <v>0</v>
      </c>
      <c r="H825" s="13"/>
      <c r="I825" s="13"/>
      <c r="J825" s="78"/>
      <c r="K825" s="78"/>
      <c r="L825" s="146">
        <f t="shared" si="38"/>
        <v>1800000</v>
      </c>
      <c r="M825" s="73"/>
      <c r="N825" s="73"/>
      <c r="O825" s="7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 x14ac:dyDescent="0.35">
      <c r="A826" s="9">
        <f t="shared" si="37"/>
        <v>818</v>
      </c>
      <c r="B826" s="15"/>
      <c r="C826" s="11">
        <f t="shared" si="36"/>
        <v>1</v>
      </c>
      <c r="D826" s="11"/>
      <c r="E826" s="11"/>
      <c r="F826" s="11"/>
      <c r="G826" s="89">
        <f>IFERROR(VLOOKUP(F826,COA!$A$1:$K$26,2,FALSE),0)</f>
        <v>0</v>
      </c>
      <c r="H826" s="11"/>
      <c r="I826" s="11"/>
      <c r="J826" s="78"/>
      <c r="K826" s="78"/>
      <c r="L826" s="146">
        <f t="shared" si="38"/>
        <v>1800000</v>
      </c>
      <c r="M826" s="73"/>
      <c r="N826" s="73"/>
      <c r="O826" s="7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 x14ac:dyDescent="0.35">
      <c r="A827" s="9">
        <f t="shared" si="37"/>
        <v>819</v>
      </c>
      <c r="B827" s="15"/>
      <c r="C827" s="11">
        <f t="shared" si="36"/>
        <v>1</v>
      </c>
      <c r="D827" s="11"/>
      <c r="E827" s="11"/>
      <c r="F827" s="11"/>
      <c r="G827" s="89">
        <f>IFERROR(VLOOKUP(F827,COA!$A$1:$K$26,2,FALSE),0)</f>
        <v>0</v>
      </c>
      <c r="H827" s="11"/>
      <c r="I827" s="11"/>
      <c r="J827" s="78"/>
      <c r="K827" s="78"/>
      <c r="L827" s="146">
        <f t="shared" si="38"/>
        <v>1800000</v>
      </c>
      <c r="M827" s="73"/>
      <c r="N827" s="73"/>
      <c r="O827" s="7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 x14ac:dyDescent="0.35">
      <c r="A828" s="9">
        <f t="shared" si="37"/>
        <v>820</v>
      </c>
      <c r="B828" s="15"/>
      <c r="C828" s="11">
        <f t="shared" si="36"/>
        <v>1</v>
      </c>
      <c r="D828" s="11"/>
      <c r="E828" s="11"/>
      <c r="F828" s="11"/>
      <c r="G828" s="89">
        <f>IFERROR(VLOOKUP(F828,COA!$A$1:$K$26,2,FALSE),0)</f>
        <v>0</v>
      </c>
      <c r="H828" s="11"/>
      <c r="I828" s="11"/>
      <c r="J828" s="78"/>
      <c r="K828" s="78"/>
      <c r="L828" s="146">
        <f t="shared" si="38"/>
        <v>1800000</v>
      </c>
      <c r="M828" s="73"/>
      <c r="N828" s="73"/>
      <c r="O828" s="7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 x14ac:dyDescent="0.35">
      <c r="A829" s="9">
        <f t="shared" si="37"/>
        <v>821</v>
      </c>
      <c r="B829" s="15"/>
      <c r="C829" s="11">
        <f t="shared" si="36"/>
        <v>1</v>
      </c>
      <c r="D829" s="11"/>
      <c r="E829" s="11"/>
      <c r="F829" s="11"/>
      <c r="G829" s="89">
        <f>IFERROR(VLOOKUP(F829,COA!$A$1:$K$26,2,FALSE),0)</f>
        <v>0</v>
      </c>
      <c r="H829" s="11"/>
      <c r="I829" s="11"/>
      <c r="J829" s="78"/>
      <c r="K829" s="78"/>
      <c r="L829" s="146">
        <f t="shared" si="38"/>
        <v>1800000</v>
      </c>
      <c r="M829" s="73"/>
      <c r="N829" s="73"/>
      <c r="O829" s="7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 x14ac:dyDescent="0.35">
      <c r="A830" s="9">
        <f t="shared" si="37"/>
        <v>822</v>
      </c>
      <c r="B830" s="15"/>
      <c r="C830" s="11">
        <f t="shared" si="36"/>
        <v>1</v>
      </c>
      <c r="D830" s="11"/>
      <c r="E830" s="11"/>
      <c r="F830" s="11"/>
      <c r="G830" s="89">
        <f>IFERROR(VLOOKUP(F830,COA!$A$1:$K$26,2,FALSE),0)</f>
        <v>0</v>
      </c>
      <c r="H830" s="11"/>
      <c r="I830" s="11"/>
      <c r="J830" s="78"/>
      <c r="K830" s="78"/>
      <c r="L830" s="146">
        <f t="shared" si="38"/>
        <v>1800000</v>
      </c>
      <c r="M830" s="73"/>
      <c r="N830" s="73"/>
      <c r="O830" s="7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 x14ac:dyDescent="0.35">
      <c r="A831" s="9">
        <f t="shared" si="37"/>
        <v>823</v>
      </c>
      <c r="B831" s="15"/>
      <c r="C831" s="11">
        <f t="shared" si="36"/>
        <v>1</v>
      </c>
      <c r="D831" s="11"/>
      <c r="E831" s="11"/>
      <c r="F831" s="11"/>
      <c r="G831" s="89">
        <f>IFERROR(VLOOKUP(F831,COA!$A$1:$K$26,2,FALSE),0)</f>
        <v>0</v>
      </c>
      <c r="H831" s="11"/>
      <c r="I831" s="11"/>
      <c r="J831" s="78"/>
      <c r="K831" s="78"/>
      <c r="L831" s="146">
        <f t="shared" si="38"/>
        <v>1800000</v>
      </c>
      <c r="M831" s="73"/>
      <c r="N831" s="73"/>
      <c r="O831" s="7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 x14ac:dyDescent="0.35">
      <c r="A832" s="9">
        <f t="shared" si="37"/>
        <v>824</v>
      </c>
      <c r="B832" s="15"/>
      <c r="C832" s="11">
        <f t="shared" si="36"/>
        <v>1</v>
      </c>
      <c r="D832" s="11"/>
      <c r="E832" s="11"/>
      <c r="F832" s="11"/>
      <c r="G832" s="89">
        <f>IFERROR(VLOOKUP(F832,COA!$A$1:$K$26,2,FALSE),0)</f>
        <v>0</v>
      </c>
      <c r="H832" s="11"/>
      <c r="I832" s="11"/>
      <c r="J832" s="78"/>
      <c r="K832" s="78"/>
      <c r="L832" s="146">
        <f t="shared" si="38"/>
        <v>1800000</v>
      </c>
      <c r="M832" s="73"/>
      <c r="N832" s="73"/>
      <c r="O832" s="7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 x14ac:dyDescent="0.35">
      <c r="A833" s="9">
        <f t="shared" si="37"/>
        <v>825</v>
      </c>
      <c r="B833" s="15"/>
      <c r="C833" s="11">
        <f t="shared" si="36"/>
        <v>1</v>
      </c>
      <c r="D833" s="11"/>
      <c r="E833" s="11"/>
      <c r="F833" s="11"/>
      <c r="G833" s="89">
        <f>IFERROR(VLOOKUP(F833,COA!$A$1:$K$26,2,FALSE),0)</f>
        <v>0</v>
      </c>
      <c r="H833" s="11"/>
      <c r="I833" s="11"/>
      <c r="J833" s="78"/>
      <c r="K833" s="78"/>
      <c r="L833" s="146">
        <f t="shared" si="38"/>
        <v>1800000</v>
      </c>
      <c r="M833" s="73"/>
      <c r="N833" s="73"/>
      <c r="O833" s="7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 x14ac:dyDescent="0.35">
      <c r="A834" s="9">
        <f t="shared" si="37"/>
        <v>826</v>
      </c>
      <c r="B834" s="15"/>
      <c r="C834" s="11">
        <f t="shared" si="36"/>
        <v>1</v>
      </c>
      <c r="D834" s="11"/>
      <c r="E834" s="11"/>
      <c r="F834" s="11"/>
      <c r="G834" s="89">
        <f>IFERROR(VLOOKUP(F834,COA!$A$1:$K$26,2,FALSE),0)</f>
        <v>0</v>
      </c>
      <c r="H834" s="11"/>
      <c r="I834" s="11"/>
      <c r="J834" s="78"/>
      <c r="K834" s="78"/>
      <c r="L834" s="146">
        <f t="shared" si="38"/>
        <v>1800000</v>
      </c>
      <c r="M834" s="73"/>
      <c r="N834" s="73"/>
      <c r="O834" s="7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 x14ac:dyDescent="0.35">
      <c r="A835" s="9">
        <f t="shared" si="37"/>
        <v>827</v>
      </c>
      <c r="B835" s="15"/>
      <c r="C835" s="11">
        <f t="shared" si="36"/>
        <v>1</v>
      </c>
      <c r="D835" s="11"/>
      <c r="E835" s="11"/>
      <c r="F835" s="11"/>
      <c r="G835" s="89">
        <f>IFERROR(VLOOKUP(F835,COA!$A$1:$K$26,2,FALSE),0)</f>
        <v>0</v>
      </c>
      <c r="H835" s="13"/>
      <c r="I835" s="13"/>
      <c r="J835" s="78"/>
      <c r="K835" s="78"/>
      <c r="L835" s="146">
        <f t="shared" si="38"/>
        <v>1800000</v>
      </c>
      <c r="M835" s="73"/>
      <c r="N835" s="73"/>
      <c r="O835" s="7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 x14ac:dyDescent="0.35">
      <c r="A836" s="9">
        <f t="shared" si="37"/>
        <v>828</v>
      </c>
      <c r="B836" s="15"/>
      <c r="C836" s="11">
        <f t="shared" si="36"/>
        <v>1</v>
      </c>
      <c r="D836" s="11"/>
      <c r="E836" s="11"/>
      <c r="F836" s="11"/>
      <c r="G836" s="89">
        <f>IFERROR(VLOOKUP(F836,COA!$A$1:$K$26,2,FALSE),0)</f>
        <v>0</v>
      </c>
      <c r="H836" s="11"/>
      <c r="I836" s="11"/>
      <c r="J836" s="78"/>
      <c r="K836" s="78"/>
      <c r="L836" s="146">
        <f t="shared" si="38"/>
        <v>1800000</v>
      </c>
      <c r="M836" s="73"/>
      <c r="N836" s="73"/>
      <c r="O836" s="7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 x14ac:dyDescent="0.35">
      <c r="A837" s="9">
        <f t="shared" si="37"/>
        <v>829</v>
      </c>
      <c r="B837" s="15"/>
      <c r="C837" s="11">
        <f t="shared" si="36"/>
        <v>1</v>
      </c>
      <c r="D837" s="11"/>
      <c r="E837" s="11"/>
      <c r="F837" s="11"/>
      <c r="G837" s="89">
        <f>IFERROR(VLOOKUP(F837,COA!$A$1:$K$26,2,FALSE),0)</f>
        <v>0</v>
      </c>
      <c r="H837" s="11"/>
      <c r="I837" s="11"/>
      <c r="J837" s="78"/>
      <c r="K837" s="78"/>
      <c r="L837" s="146">
        <f t="shared" si="38"/>
        <v>1800000</v>
      </c>
      <c r="M837" s="73"/>
      <c r="N837" s="73"/>
      <c r="O837" s="7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 x14ac:dyDescent="0.35">
      <c r="A838" s="9">
        <f t="shared" si="37"/>
        <v>830</v>
      </c>
      <c r="B838" s="15"/>
      <c r="C838" s="11">
        <f t="shared" si="36"/>
        <v>1</v>
      </c>
      <c r="D838" s="11"/>
      <c r="E838" s="11"/>
      <c r="F838" s="11"/>
      <c r="G838" s="89">
        <f>IFERROR(VLOOKUP(F838,COA!$A$1:$K$26,2,FALSE),0)</f>
        <v>0</v>
      </c>
      <c r="H838" s="11"/>
      <c r="I838" s="11"/>
      <c r="J838" s="78"/>
      <c r="K838" s="78"/>
      <c r="L838" s="146">
        <f t="shared" si="38"/>
        <v>1800000</v>
      </c>
      <c r="M838" s="73"/>
      <c r="N838" s="73"/>
      <c r="O838" s="7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 x14ac:dyDescent="0.35">
      <c r="A839" s="9">
        <f t="shared" si="37"/>
        <v>831</v>
      </c>
      <c r="B839" s="15"/>
      <c r="C839" s="11">
        <f t="shared" si="36"/>
        <v>1</v>
      </c>
      <c r="D839" s="11"/>
      <c r="E839" s="11"/>
      <c r="F839" s="11"/>
      <c r="G839" s="89">
        <f>IFERROR(VLOOKUP(F839,COA!$A$1:$K$26,2,FALSE),0)</f>
        <v>0</v>
      </c>
      <c r="H839" s="11"/>
      <c r="I839" s="11"/>
      <c r="J839" s="78"/>
      <c r="K839" s="78"/>
      <c r="L839" s="146">
        <f t="shared" si="38"/>
        <v>1800000</v>
      </c>
      <c r="M839" s="73"/>
      <c r="N839" s="73"/>
      <c r="O839" s="7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 x14ac:dyDescent="0.35">
      <c r="A840" s="9">
        <f t="shared" si="37"/>
        <v>832</v>
      </c>
      <c r="B840" s="15"/>
      <c r="C840" s="11">
        <f t="shared" ref="C840:C903" si="39">MONTH(B840)</f>
        <v>1</v>
      </c>
      <c r="D840" s="11"/>
      <c r="E840" s="11"/>
      <c r="F840" s="11"/>
      <c r="G840" s="89">
        <f>IFERROR(VLOOKUP(F840,COA!$A$1:$K$26,2,FALSE),0)</f>
        <v>0</v>
      </c>
      <c r="H840" s="11"/>
      <c r="I840" s="11"/>
      <c r="J840" s="78"/>
      <c r="K840" s="78"/>
      <c r="L840" s="146">
        <f t="shared" si="38"/>
        <v>1800000</v>
      </c>
      <c r="M840" s="73"/>
      <c r="N840" s="73"/>
      <c r="O840" s="7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 x14ac:dyDescent="0.35">
      <c r="A841" s="9">
        <f t="shared" si="37"/>
        <v>833</v>
      </c>
      <c r="B841" s="15"/>
      <c r="C841" s="11">
        <f t="shared" si="39"/>
        <v>1</v>
      </c>
      <c r="D841" s="11"/>
      <c r="E841" s="11"/>
      <c r="F841" s="11"/>
      <c r="G841" s="89">
        <f>IFERROR(VLOOKUP(F841,COA!$A$1:$K$26,2,FALSE),0)</f>
        <v>0</v>
      </c>
      <c r="H841" s="13"/>
      <c r="I841" s="13"/>
      <c r="J841" s="78"/>
      <c r="K841" s="78"/>
      <c r="L841" s="146">
        <f t="shared" si="38"/>
        <v>1800000</v>
      </c>
      <c r="M841" s="73"/>
      <c r="N841" s="73"/>
      <c r="O841" s="7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 x14ac:dyDescent="0.35">
      <c r="A842" s="9">
        <f t="shared" si="37"/>
        <v>834</v>
      </c>
      <c r="B842" s="15"/>
      <c r="C842" s="11">
        <f t="shared" si="39"/>
        <v>1</v>
      </c>
      <c r="D842" s="11"/>
      <c r="E842" s="11"/>
      <c r="F842" s="11"/>
      <c r="G842" s="89">
        <f>IFERROR(VLOOKUP(F842,COA!$A$1:$K$26,2,FALSE),0)</f>
        <v>0</v>
      </c>
      <c r="H842" s="11"/>
      <c r="I842" s="11"/>
      <c r="J842" s="78"/>
      <c r="K842" s="78"/>
      <c r="L842" s="146">
        <f t="shared" si="38"/>
        <v>1800000</v>
      </c>
      <c r="M842" s="73"/>
      <c r="N842" s="73"/>
      <c r="O842" s="7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 x14ac:dyDescent="0.35">
      <c r="A843" s="9">
        <f t="shared" ref="A843:A906" si="40">A842+1</f>
        <v>835</v>
      </c>
      <c r="B843" s="15"/>
      <c r="C843" s="11">
        <f t="shared" si="39"/>
        <v>1</v>
      </c>
      <c r="D843" s="11"/>
      <c r="E843" s="11"/>
      <c r="F843" s="11"/>
      <c r="G843" s="89">
        <f>IFERROR(VLOOKUP(F843,COA!$A$1:$K$26,2,FALSE),0)</f>
        <v>0</v>
      </c>
      <c r="H843" s="11"/>
      <c r="I843" s="11"/>
      <c r="J843" s="78"/>
      <c r="K843" s="78"/>
      <c r="L843" s="146">
        <f t="shared" ref="L843:L906" si="41">L842+J843-K843</f>
        <v>1800000</v>
      </c>
      <c r="M843" s="73"/>
      <c r="N843" s="73"/>
      <c r="O843" s="7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 x14ac:dyDescent="0.35">
      <c r="A844" s="9">
        <f t="shared" si="40"/>
        <v>836</v>
      </c>
      <c r="B844" s="15"/>
      <c r="C844" s="11">
        <f t="shared" si="39"/>
        <v>1</v>
      </c>
      <c r="D844" s="11"/>
      <c r="E844" s="11"/>
      <c r="F844" s="11"/>
      <c r="G844" s="89">
        <f>IFERROR(VLOOKUP(F844,COA!$A$1:$K$26,2,FALSE),0)</f>
        <v>0</v>
      </c>
      <c r="H844" s="11"/>
      <c r="I844" s="11"/>
      <c r="J844" s="78"/>
      <c r="K844" s="78"/>
      <c r="L844" s="146">
        <f t="shared" si="41"/>
        <v>1800000</v>
      </c>
      <c r="M844" s="73"/>
      <c r="N844" s="73"/>
      <c r="O844" s="7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 x14ac:dyDescent="0.35">
      <c r="A845" s="9">
        <f t="shared" si="40"/>
        <v>837</v>
      </c>
      <c r="B845" s="15"/>
      <c r="C845" s="11">
        <f t="shared" si="39"/>
        <v>1</v>
      </c>
      <c r="D845" s="11"/>
      <c r="E845" s="11"/>
      <c r="F845" s="11"/>
      <c r="G845" s="89">
        <f>IFERROR(VLOOKUP(F845,COA!$A$1:$K$26,2,FALSE),0)</f>
        <v>0</v>
      </c>
      <c r="H845" s="11"/>
      <c r="I845" s="11"/>
      <c r="J845" s="78"/>
      <c r="K845" s="78"/>
      <c r="L845" s="146">
        <f t="shared" si="41"/>
        <v>1800000</v>
      </c>
      <c r="M845" s="73"/>
      <c r="N845" s="73"/>
      <c r="O845" s="7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 x14ac:dyDescent="0.35">
      <c r="A846" s="9">
        <f t="shared" si="40"/>
        <v>838</v>
      </c>
      <c r="B846" s="15"/>
      <c r="C846" s="11">
        <f t="shared" si="39"/>
        <v>1</v>
      </c>
      <c r="D846" s="11"/>
      <c r="E846" s="11"/>
      <c r="F846" s="11"/>
      <c r="G846" s="89">
        <f>IFERROR(VLOOKUP(F846,COA!$A$1:$K$26,2,FALSE),0)</f>
        <v>0</v>
      </c>
      <c r="H846" s="11"/>
      <c r="I846" s="11"/>
      <c r="J846" s="78"/>
      <c r="K846" s="78"/>
      <c r="L846" s="146">
        <f t="shared" si="41"/>
        <v>1800000</v>
      </c>
      <c r="M846" s="73"/>
      <c r="N846" s="73"/>
      <c r="O846" s="7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 x14ac:dyDescent="0.35">
      <c r="A847" s="9">
        <f t="shared" si="40"/>
        <v>839</v>
      </c>
      <c r="B847" s="15"/>
      <c r="C847" s="11">
        <f t="shared" si="39"/>
        <v>1</v>
      </c>
      <c r="D847" s="11"/>
      <c r="E847" s="11"/>
      <c r="F847" s="11"/>
      <c r="G847" s="89">
        <f>IFERROR(VLOOKUP(F847,COA!$A$1:$K$26,2,FALSE),0)</f>
        <v>0</v>
      </c>
      <c r="H847" s="13"/>
      <c r="I847" s="13"/>
      <c r="J847" s="78"/>
      <c r="K847" s="78"/>
      <c r="L847" s="146">
        <f t="shared" si="41"/>
        <v>1800000</v>
      </c>
      <c r="M847" s="73"/>
      <c r="N847" s="73"/>
      <c r="O847" s="7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 x14ac:dyDescent="0.35">
      <c r="A848" s="9">
        <f t="shared" si="40"/>
        <v>840</v>
      </c>
      <c r="B848" s="15"/>
      <c r="C848" s="11">
        <f t="shared" si="39"/>
        <v>1</v>
      </c>
      <c r="D848" s="11"/>
      <c r="E848" s="11"/>
      <c r="F848" s="11"/>
      <c r="G848" s="89">
        <f>IFERROR(VLOOKUP(F848,COA!$A$1:$K$26,2,FALSE),0)</f>
        <v>0</v>
      </c>
      <c r="H848" s="11"/>
      <c r="I848" s="11"/>
      <c r="J848" s="78"/>
      <c r="K848" s="78"/>
      <c r="L848" s="146">
        <f t="shared" si="41"/>
        <v>1800000</v>
      </c>
      <c r="M848" s="73"/>
      <c r="N848" s="73"/>
      <c r="O848" s="7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 x14ac:dyDescent="0.35">
      <c r="A849" s="9">
        <f t="shared" si="40"/>
        <v>841</v>
      </c>
      <c r="B849" s="15"/>
      <c r="C849" s="11">
        <f t="shared" si="39"/>
        <v>1</v>
      </c>
      <c r="D849" s="11"/>
      <c r="E849" s="11"/>
      <c r="F849" s="11"/>
      <c r="G849" s="89">
        <f>IFERROR(VLOOKUP(F849,COA!$A$1:$K$26,2,FALSE),0)</f>
        <v>0</v>
      </c>
      <c r="H849" s="11"/>
      <c r="I849" s="11"/>
      <c r="J849" s="78"/>
      <c r="K849" s="78"/>
      <c r="L849" s="146">
        <f t="shared" si="41"/>
        <v>1800000</v>
      </c>
      <c r="M849" s="73"/>
      <c r="N849" s="73"/>
      <c r="O849" s="7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 x14ac:dyDescent="0.35">
      <c r="A850" s="9">
        <f t="shared" si="40"/>
        <v>842</v>
      </c>
      <c r="B850" s="15"/>
      <c r="C850" s="11">
        <f t="shared" si="39"/>
        <v>1</v>
      </c>
      <c r="D850" s="11"/>
      <c r="E850" s="11"/>
      <c r="F850" s="11"/>
      <c r="G850" s="89">
        <f>IFERROR(VLOOKUP(F850,COA!$A$1:$K$26,2,FALSE),0)</f>
        <v>0</v>
      </c>
      <c r="H850" s="11"/>
      <c r="I850" s="11"/>
      <c r="J850" s="78"/>
      <c r="K850" s="78"/>
      <c r="L850" s="146">
        <f t="shared" si="41"/>
        <v>1800000</v>
      </c>
      <c r="M850" s="73"/>
      <c r="N850" s="73"/>
      <c r="O850" s="7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 x14ac:dyDescent="0.35">
      <c r="A851" s="9">
        <f t="shared" si="40"/>
        <v>843</v>
      </c>
      <c r="B851" s="15"/>
      <c r="C851" s="11">
        <f t="shared" si="39"/>
        <v>1</v>
      </c>
      <c r="D851" s="11"/>
      <c r="E851" s="11"/>
      <c r="F851" s="11"/>
      <c r="G851" s="89">
        <f>IFERROR(VLOOKUP(F851,COA!$A$1:$K$26,2,FALSE),0)</f>
        <v>0</v>
      </c>
      <c r="H851" s="11"/>
      <c r="I851" s="11"/>
      <c r="J851" s="78"/>
      <c r="K851" s="78"/>
      <c r="L851" s="146">
        <f t="shared" si="41"/>
        <v>1800000</v>
      </c>
      <c r="M851" s="73"/>
      <c r="N851" s="73"/>
      <c r="O851" s="7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 x14ac:dyDescent="0.35">
      <c r="A852" s="9">
        <f t="shared" si="40"/>
        <v>844</v>
      </c>
      <c r="B852" s="15"/>
      <c r="C852" s="11">
        <f t="shared" si="39"/>
        <v>1</v>
      </c>
      <c r="D852" s="11"/>
      <c r="E852" s="11"/>
      <c r="F852" s="11"/>
      <c r="G852" s="89">
        <f>IFERROR(VLOOKUP(F852,COA!$A$1:$K$26,2,FALSE),0)</f>
        <v>0</v>
      </c>
      <c r="H852" s="11"/>
      <c r="I852" s="11"/>
      <c r="J852" s="78"/>
      <c r="K852" s="78"/>
      <c r="L852" s="146">
        <f t="shared" si="41"/>
        <v>1800000</v>
      </c>
      <c r="M852" s="73"/>
      <c r="N852" s="73"/>
      <c r="O852" s="7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 x14ac:dyDescent="0.35">
      <c r="A853" s="9">
        <f t="shared" si="40"/>
        <v>845</v>
      </c>
      <c r="B853" s="15"/>
      <c r="C853" s="11">
        <f t="shared" si="39"/>
        <v>1</v>
      </c>
      <c r="D853" s="11"/>
      <c r="E853" s="11"/>
      <c r="F853" s="11"/>
      <c r="G853" s="89">
        <f>IFERROR(VLOOKUP(F853,COA!$A$1:$K$26,2,FALSE),0)</f>
        <v>0</v>
      </c>
      <c r="H853" s="13"/>
      <c r="I853" s="13"/>
      <c r="J853" s="78"/>
      <c r="K853" s="78"/>
      <c r="L853" s="146">
        <f t="shared" si="41"/>
        <v>1800000</v>
      </c>
      <c r="M853" s="73"/>
      <c r="N853" s="73"/>
      <c r="O853" s="7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 x14ac:dyDescent="0.35">
      <c r="A854" s="9">
        <f t="shared" si="40"/>
        <v>846</v>
      </c>
      <c r="B854" s="15"/>
      <c r="C854" s="11">
        <f t="shared" si="39"/>
        <v>1</v>
      </c>
      <c r="D854" s="11"/>
      <c r="E854" s="11"/>
      <c r="F854" s="11"/>
      <c r="G854" s="89">
        <f>IFERROR(VLOOKUP(F854,COA!$A$1:$K$26,2,FALSE),0)</f>
        <v>0</v>
      </c>
      <c r="H854" s="11"/>
      <c r="I854" s="11"/>
      <c r="J854" s="78"/>
      <c r="K854" s="78"/>
      <c r="L854" s="146">
        <f t="shared" si="41"/>
        <v>1800000</v>
      </c>
      <c r="M854" s="73"/>
      <c r="N854" s="73"/>
      <c r="O854" s="7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 x14ac:dyDescent="0.35">
      <c r="A855" s="9">
        <f t="shared" si="40"/>
        <v>847</v>
      </c>
      <c r="B855" s="15"/>
      <c r="C855" s="11">
        <f t="shared" si="39"/>
        <v>1</v>
      </c>
      <c r="D855" s="11"/>
      <c r="E855" s="11"/>
      <c r="F855" s="11"/>
      <c r="G855" s="89">
        <f>IFERROR(VLOOKUP(F855,COA!$A$1:$K$26,2,FALSE),0)</f>
        <v>0</v>
      </c>
      <c r="H855" s="11"/>
      <c r="I855" s="11"/>
      <c r="J855" s="78"/>
      <c r="K855" s="78"/>
      <c r="L855" s="146">
        <f t="shared" si="41"/>
        <v>1800000</v>
      </c>
      <c r="M855" s="73"/>
      <c r="N855" s="73"/>
      <c r="O855" s="7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 x14ac:dyDescent="0.35">
      <c r="A856" s="9">
        <f t="shared" si="40"/>
        <v>848</v>
      </c>
      <c r="B856" s="15"/>
      <c r="C856" s="11">
        <f t="shared" si="39"/>
        <v>1</v>
      </c>
      <c r="D856" s="11"/>
      <c r="E856" s="11"/>
      <c r="F856" s="11"/>
      <c r="G856" s="89">
        <f>IFERROR(VLOOKUP(F856,COA!$A$1:$K$26,2,FALSE),0)</f>
        <v>0</v>
      </c>
      <c r="H856" s="11"/>
      <c r="I856" s="11"/>
      <c r="J856" s="78"/>
      <c r="K856" s="78"/>
      <c r="L856" s="146">
        <f t="shared" si="41"/>
        <v>1800000</v>
      </c>
      <c r="M856" s="73"/>
      <c r="N856" s="73"/>
      <c r="O856" s="7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 x14ac:dyDescent="0.35">
      <c r="A857" s="9">
        <f t="shared" si="40"/>
        <v>849</v>
      </c>
      <c r="B857" s="15"/>
      <c r="C857" s="11">
        <f t="shared" si="39"/>
        <v>1</v>
      </c>
      <c r="D857" s="11"/>
      <c r="E857" s="11"/>
      <c r="F857" s="11"/>
      <c r="G857" s="89">
        <f>IFERROR(VLOOKUP(F857,COA!$A$1:$K$26,2,FALSE),0)</f>
        <v>0</v>
      </c>
      <c r="H857" s="11"/>
      <c r="I857" s="11"/>
      <c r="J857" s="78"/>
      <c r="K857" s="78"/>
      <c r="L857" s="146">
        <f t="shared" si="41"/>
        <v>1800000</v>
      </c>
      <c r="M857" s="73"/>
      <c r="N857" s="73"/>
      <c r="O857" s="7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 x14ac:dyDescent="0.35">
      <c r="A858" s="9">
        <f t="shared" si="40"/>
        <v>850</v>
      </c>
      <c r="B858" s="15"/>
      <c r="C858" s="11">
        <f t="shared" si="39"/>
        <v>1</v>
      </c>
      <c r="D858" s="11"/>
      <c r="E858" s="11"/>
      <c r="F858" s="11"/>
      <c r="G858" s="89">
        <f>IFERROR(VLOOKUP(F858,COA!$A$1:$K$26,2,FALSE),0)</f>
        <v>0</v>
      </c>
      <c r="H858" s="11"/>
      <c r="I858" s="11"/>
      <c r="J858" s="78"/>
      <c r="K858" s="78"/>
      <c r="L858" s="146">
        <f t="shared" si="41"/>
        <v>1800000</v>
      </c>
      <c r="M858" s="73"/>
      <c r="N858" s="73"/>
      <c r="O858" s="7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 x14ac:dyDescent="0.35">
      <c r="A859" s="9">
        <f t="shared" si="40"/>
        <v>851</v>
      </c>
      <c r="B859" s="15"/>
      <c r="C859" s="11">
        <f t="shared" si="39"/>
        <v>1</v>
      </c>
      <c r="D859" s="11"/>
      <c r="E859" s="11"/>
      <c r="F859" s="11"/>
      <c r="G859" s="89">
        <f>IFERROR(VLOOKUP(F859,COA!$A$1:$K$26,2,FALSE),0)</f>
        <v>0</v>
      </c>
      <c r="H859" s="11"/>
      <c r="I859" s="11"/>
      <c r="J859" s="78"/>
      <c r="K859" s="78"/>
      <c r="L859" s="146">
        <f t="shared" si="41"/>
        <v>1800000</v>
      </c>
      <c r="M859" s="73"/>
      <c r="N859" s="73"/>
      <c r="O859" s="7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 x14ac:dyDescent="0.35">
      <c r="A860" s="9">
        <f t="shared" si="40"/>
        <v>852</v>
      </c>
      <c r="B860" s="15"/>
      <c r="C860" s="11">
        <f t="shared" si="39"/>
        <v>1</v>
      </c>
      <c r="D860" s="11"/>
      <c r="E860" s="11"/>
      <c r="F860" s="11"/>
      <c r="G860" s="89">
        <f>IFERROR(VLOOKUP(F860,COA!$A$1:$K$26,2,FALSE),0)</f>
        <v>0</v>
      </c>
      <c r="H860" s="11"/>
      <c r="I860" s="11"/>
      <c r="J860" s="78"/>
      <c r="K860" s="78"/>
      <c r="L860" s="146">
        <f t="shared" si="41"/>
        <v>1800000</v>
      </c>
      <c r="M860" s="73"/>
      <c r="N860" s="73"/>
      <c r="O860" s="7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 x14ac:dyDescent="0.35">
      <c r="A861" s="9">
        <f t="shared" si="40"/>
        <v>853</v>
      </c>
      <c r="B861" s="15"/>
      <c r="C861" s="11">
        <f t="shared" si="39"/>
        <v>1</v>
      </c>
      <c r="D861" s="11"/>
      <c r="E861" s="11"/>
      <c r="F861" s="11"/>
      <c r="G861" s="89">
        <f>IFERROR(VLOOKUP(F861,COA!$A$1:$K$26,2,FALSE),0)</f>
        <v>0</v>
      </c>
      <c r="H861" s="11"/>
      <c r="I861" s="11"/>
      <c r="J861" s="78"/>
      <c r="K861" s="78"/>
      <c r="L861" s="146">
        <f t="shared" si="41"/>
        <v>1800000</v>
      </c>
      <c r="M861" s="73"/>
      <c r="N861" s="73"/>
      <c r="O861" s="7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 x14ac:dyDescent="0.35">
      <c r="A862" s="9">
        <f t="shared" si="40"/>
        <v>854</v>
      </c>
      <c r="B862" s="15"/>
      <c r="C862" s="11">
        <f t="shared" si="39"/>
        <v>1</v>
      </c>
      <c r="D862" s="11"/>
      <c r="E862" s="11"/>
      <c r="F862" s="11"/>
      <c r="G862" s="89">
        <f>IFERROR(VLOOKUP(F862,COA!$A$1:$K$26,2,FALSE),0)</f>
        <v>0</v>
      </c>
      <c r="H862" s="13"/>
      <c r="I862" s="13"/>
      <c r="J862" s="78"/>
      <c r="K862" s="78"/>
      <c r="L862" s="146">
        <f t="shared" si="41"/>
        <v>1800000</v>
      </c>
      <c r="M862" s="73"/>
      <c r="N862" s="73"/>
      <c r="O862" s="7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 x14ac:dyDescent="0.35">
      <c r="A863" s="9">
        <f t="shared" si="40"/>
        <v>855</v>
      </c>
      <c r="B863" s="15"/>
      <c r="C863" s="11">
        <f t="shared" si="39"/>
        <v>1</v>
      </c>
      <c r="D863" s="11"/>
      <c r="E863" s="11"/>
      <c r="F863" s="11"/>
      <c r="G863" s="89">
        <f>IFERROR(VLOOKUP(F863,COA!$A$1:$K$26,2,FALSE),0)</f>
        <v>0</v>
      </c>
      <c r="H863" s="11"/>
      <c r="I863" s="11"/>
      <c r="J863" s="78"/>
      <c r="K863" s="78"/>
      <c r="L863" s="146">
        <f t="shared" si="41"/>
        <v>1800000</v>
      </c>
      <c r="M863" s="73"/>
      <c r="N863" s="73"/>
      <c r="O863" s="7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 x14ac:dyDescent="0.35">
      <c r="A864" s="9">
        <f t="shared" si="40"/>
        <v>856</v>
      </c>
      <c r="B864" s="15"/>
      <c r="C864" s="11">
        <f t="shared" si="39"/>
        <v>1</v>
      </c>
      <c r="D864" s="11"/>
      <c r="E864" s="11"/>
      <c r="F864" s="11"/>
      <c r="G864" s="89">
        <f>IFERROR(VLOOKUP(F864,COA!$A$1:$K$26,2,FALSE),0)</f>
        <v>0</v>
      </c>
      <c r="H864" s="11"/>
      <c r="I864" s="11"/>
      <c r="J864" s="78"/>
      <c r="K864" s="78"/>
      <c r="L864" s="146">
        <f t="shared" si="41"/>
        <v>1800000</v>
      </c>
      <c r="M864" s="73"/>
      <c r="N864" s="73"/>
      <c r="O864" s="7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 x14ac:dyDescent="0.35">
      <c r="A865" s="9">
        <f t="shared" si="40"/>
        <v>857</v>
      </c>
      <c r="B865" s="15"/>
      <c r="C865" s="11">
        <f t="shared" si="39"/>
        <v>1</v>
      </c>
      <c r="D865" s="11"/>
      <c r="E865" s="11"/>
      <c r="F865" s="11"/>
      <c r="G865" s="89">
        <f>IFERROR(VLOOKUP(F865,COA!$A$1:$K$26,2,FALSE),0)</f>
        <v>0</v>
      </c>
      <c r="H865" s="11"/>
      <c r="I865" s="11"/>
      <c r="J865" s="78"/>
      <c r="K865" s="78"/>
      <c r="L865" s="146">
        <f t="shared" si="41"/>
        <v>1800000</v>
      </c>
      <c r="M865" s="73"/>
      <c r="N865" s="73"/>
      <c r="O865" s="7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 x14ac:dyDescent="0.35">
      <c r="A866" s="9">
        <f t="shared" si="40"/>
        <v>858</v>
      </c>
      <c r="B866" s="15"/>
      <c r="C866" s="11">
        <f t="shared" si="39"/>
        <v>1</v>
      </c>
      <c r="D866" s="11"/>
      <c r="E866" s="11"/>
      <c r="F866" s="11"/>
      <c r="G866" s="89">
        <f>IFERROR(VLOOKUP(F866,COA!$A$1:$K$26,2,FALSE),0)</f>
        <v>0</v>
      </c>
      <c r="H866" s="11"/>
      <c r="I866" s="11"/>
      <c r="J866" s="78"/>
      <c r="K866" s="78"/>
      <c r="L866" s="146">
        <f t="shared" si="41"/>
        <v>1800000</v>
      </c>
      <c r="M866" s="73"/>
      <c r="N866" s="73"/>
      <c r="O866" s="7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 x14ac:dyDescent="0.35">
      <c r="A867" s="9">
        <f t="shared" si="40"/>
        <v>859</v>
      </c>
      <c r="B867" s="15"/>
      <c r="C867" s="11">
        <f t="shared" si="39"/>
        <v>1</v>
      </c>
      <c r="D867" s="11"/>
      <c r="E867" s="11"/>
      <c r="F867" s="11"/>
      <c r="G867" s="89">
        <f>IFERROR(VLOOKUP(F867,COA!$A$1:$K$26,2,FALSE),0)</f>
        <v>0</v>
      </c>
      <c r="H867" s="11"/>
      <c r="I867" s="11"/>
      <c r="J867" s="78"/>
      <c r="K867" s="78"/>
      <c r="L867" s="146">
        <f t="shared" si="41"/>
        <v>1800000</v>
      </c>
      <c r="M867" s="73"/>
      <c r="N867" s="73"/>
      <c r="O867" s="7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 x14ac:dyDescent="0.35">
      <c r="A868" s="9">
        <f t="shared" si="40"/>
        <v>860</v>
      </c>
      <c r="B868" s="15"/>
      <c r="C868" s="11">
        <f t="shared" si="39"/>
        <v>1</v>
      </c>
      <c r="D868" s="11"/>
      <c r="E868" s="11"/>
      <c r="F868" s="11"/>
      <c r="G868" s="89">
        <f>IFERROR(VLOOKUP(F868,COA!$A$1:$K$26,2,FALSE),0)</f>
        <v>0</v>
      </c>
      <c r="H868" s="13"/>
      <c r="I868" s="13"/>
      <c r="J868" s="78"/>
      <c r="K868" s="78"/>
      <c r="L868" s="146">
        <f t="shared" si="41"/>
        <v>1800000</v>
      </c>
      <c r="M868" s="73"/>
      <c r="N868" s="73"/>
      <c r="O868" s="7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 x14ac:dyDescent="0.35">
      <c r="A869" s="9">
        <f t="shared" si="40"/>
        <v>861</v>
      </c>
      <c r="B869" s="15"/>
      <c r="C869" s="11">
        <f t="shared" si="39"/>
        <v>1</v>
      </c>
      <c r="D869" s="11"/>
      <c r="E869" s="11"/>
      <c r="F869" s="11"/>
      <c r="G869" s="89">
        <f>IFERROR(VLOOKUP(F869,COA!$A$1:$K$26,2,FALSE),0)</f>
        <v>0</v>
      </c>
      <c r="H869" s="11"/>
      <c r="I869" s="11"/>
      <c r="J869" s="78"/>
      <c r="K869" s="78"/>
      <c r="L869" s="146">
        <f t="shared" si="41"/>
        <v>1800000</v>
      </c>
      <c r="M869" s="73"/>
      <c r="N869" s="73"/>
      <c r="O869" s="7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 x14ac:dyDescent="0.35">
      <c r="A870" s="9">
        <f t="shared" si="40"/>
        <v>862</v>
      </c>
      <c r="B870" s="15"/>
      <c r="C870" s="11">
        <f t="shared" si="39"/>
        <v>1</v>
      </c>
      <c r="D870" s="11"/>
      <c r="E870" s="11"/>
      <c r="F870" s="11"/>
      <c r="G870" s="89">
        <f>IFERROR(VLOOKUP(F870,COA!$A$1:$K$26,2,FALSE),0)</f>
        <v>0</v>
      </c>
      <c r="H870" s="11"/>
      <c r="I870" s="11"/>
      <c r="J870" s="78"/>
      <c r="K870" s="78"/>
      <c r="L870" s="146">
        <f t="shared" si="41"/>
        <v>1800000</v>
      </c>
      <c r="M870" s="73"/>
      <c r="N870" s="73"/>
      <c r="O870" s="7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 x14ac:dyDescent="0.35">
      <c r="A871" s="9">
        <f t="shared" si="40"/>
        <v>863</v>
      </c>
      <c r="B871" s="15"/>
      <c r="C871" s="11">
        <f t="shared" si="39"/>
        <v>1</v>
      </c>
      <c r="D871" s="11"/>
      <c r="E871" s="11"/>
      <c r="F871" s="11"/>
      <c r="G871" s="89">
        <f>IFERROR(VLOOKUP(F871,COA!$A$1:$K$26,2,FALSE),0)</f>
        <v>0</v>
      </c>
      <c r="H871" s="11"/>
      <c r="I871" s="11"/>
      <c r="J871" s="78"/>
      <c r="K871" s="78"/>
      <c r="L871" s="146">
        <f t="shared" si="41"/>
        <v>1800000</v>
      </c>
      <c r="M871" s="73"/>
      <c r="N871" s="73"/>
      <c r="O871" s="7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 x14ac:dyDescent="0.35">
      <c r="A872" s="9">
        <f t="shared" si="40"/>
        <v>864</v>
      </c>
      <c r="B872" s="15"/>
      <c r="C872" s="11">
        <f t="shared" si="39"/>
        <v>1</v>
      </c>
      <c r="D872" s="11"/>
      <c r="E872" s="11"/>
      <c r="F872" s="11"/>
      <c r="G872" s="89">
        <f>IFERROR(VLOOKUP(F872,COA!$A$1:$K$26,2,FALSE),0)</f>
        <v>0</v>
      </c>
      <c r="H872" s="11"/>
      <c r="I872" s="11"/>
      <c r="J872" s="78"/>
      <c r="K872" s="78"/>
      <c r="L872" s="146">
        <f t="shared" si="41"/>
        <v>1800000</v>
      </c>
      <c r="M872" s="73"/>
      <c r="N872" s="73"/>
      <c r="O872" s="7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 x14ac:dyDescent="0.35">
      <c r="A873" s="9">
        <f t="shared" si="40"/>
        <v>865</v>
      </c>
      <c r="B873" s="15"/>
      <c r="C873" s="11">
        <f t="shared" si="39"/>
        <v>1</v>
      </c>
      <c r="D873" s="11"/>
      <c r="E873" s="11"/>
      <c r="F873" s="11"/>
      <c r="G873" s="89">
        <f>IFERROR(VLOOKUP(F873,COA!$A$1:$K$26,2,FALSE),0)</f>
        <v>0</v>
      </c>
      <c r="H873" s="11"/>
      <c r="I873" s="11"/>
      <c r="J873" s="78"/>
      <c r="K873" s="78"/>
      <c r="L873" s="146">
        <f t="shared" si="41"/>
        <v>1800000</v>
      </c>
      <c r="M873" s="73"/>
      <c r="N873" s="73"/>
      <c r="O873" s="7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 x14ac:dyDescent="0.35">
      <c r="A874" s="9">
        <f t="shared" si="40"/>
        <v>866</v>
      </c>
      <c r="B874" s="15"/>
      <c r="C874" s="11">
        <f t="shared" si="39"/>
        <v>1</v>
      </c>
      <c r="D874" s="11"/>
      <c r="E874" s="11"/>
      <c r="F874" s="11"/>
      <c r="G874" s="89">
        <f>IFERROR(VLOOKUP(F874,COA!$A$1:$K$26,2,FALSE),0)</f>
        <v>0</v>
      </c>
      <c r="H874" s="13"/>
      <c r="I874" s="13"/>
      <c r="J874" s="78"/>
      <c r="K874" s="78"/>
      <c r="L874" s="146">
        <f t="shared" si="41"/>
        <v>1800000</v>
      </c>
      <c r="M874" s="73"/>
      <c r="N874" s="73"/>
      <c r="O874" s="7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 x14ac:dyDescent="0.35">
      <c r="A875" s="9">
        <f t="shared" si="40"/>
        <v>867</v>
      </c>
      <c r="B875" s="15"/>
      <c r="C875" s="11">
        <f t="shared" si="39"/>
        <v>1</v>
      </c>
      <c r="D875" s="11"/>
      <c r="E875" s="11"/>
      <c r="F875" s="11"/>
      <c r="G875" s="89">
        <f>IFERROR(VLOOKUP(F875,COA!$A$1:$K$26,2,FALSE),0)</f>
        <v>0</v>
      </c>
      <c r="H875" s="11"/>
      <c r="I875" s="11"/>
      <c r="J875" s="78"/>
      <c r="K875" s="78"/>
      <c r="L875" s="146">
        <f t="shared" si="41"/>
        <v>1800000</v>
      </c>
      <c r="M875" s="73"/>
      <c r="N875" s="73"/>
      <c r="O875" s="7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 x14ac:dyDescent="0.35">
      <c r="A876" s="9">
        <f t="shared" si="40"/>
        <v>868</v>
      </c>
      <c r="B876" s="15"/>
      <c r="C876" s="11">
        <f t="shared" si="39"/>
        <v>1</v>
      </c>
      <c r="D876" s="11"/>
      <c r="E876" s="11"/>
      <c r="F876" s="11"/>
      <c r="G876" s="89">
        <f>IFERROR(VLOOKUP(F876,COA!$A$1:$K$26,2,FALSE),0)</f>
        <v>0</v>
      </c>
      <c r="H876" s="11"/>
      <c r="I876" s="11"/>
      <c r="J876" s="78"/>
      <c r="K876" s="78"/>
      <c r="L876" s="146">
        <f t="shared" si="41"/>
        <v>1800000</v>
      </c>
      <c r="M876" s="73"/>
      <c r="N876" s="73"/>
      <c r="O876" s="7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 x14ac:dyDescent="0.35">
      <c r="A877" s="9">
        <f t="shared" si="40"/>
        <v>869</v>
      </c>
      <c r="B877" s="15"/>
      <c r="C877" s="11">
        <f t="shared" si="39"/>
        <v>1</v>
      </c>
      <c r="D877" s="11"/>
      <c r="E877" s="11"/>
      <c r="F877" s="11"/>
      <c r="G877" s="89">
        <f>IFERROR(VLOOKUP(F877,COA!$A$1:$K$26,2,FALSE),0)</f>
        <v>0</v>
      </c>
      <c r="H877" s="11"/>
      <c r="I877" s="11"/>
      <c r="J877" s="78"/>
      <c r="K877" s="78"/>
      <c r="L877" s="146">
        <f t="shared" si="41"/>
        <v>1800000</v>
      </c>
      <c r="M877" s="73"/>
      <c r="N877" s="73"/>
      <c r="O877" s="7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 x14ac:dyDescent="0.35">
      <c r="A878" s="9">
        <f t="shared" si="40"/>
        <v>870</v>
      </c>
      <c r="B878" s="15"/>
      <c r="C878" s="11">
        <f t="shared" si="39"/>
        <v>1</v>
      </c>
      <c r="D878" s="11"/>
      <c r="E878" s="11"/>
      <c r="F878" s="11"/>
      <c r="G878" s="89">
        <f>IFERROR(VLOOKUP(F878,COA!$A$1:$K$26,2,FALSE),0)</f>
        <v>0</v>
      </c>
      <c r="H878" s="11"/>
      <c r="I878" s="11"/>
      <c r="J878" s="78"/>
      <c r="K878" s="78"/>
      <c r="L878" s="146">
        <f t="shared" si="41"/>
        <v>1800000</v>
      </c>
      <c r="M878" s="73"/>
      <c r="N878" s="73"/>
      <c r="O878" s="7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 x14ac:dyDescent="0.35">
      <c r="A879" s="9">
        <f t="shared" si="40"/>
        <v>871</v>
      </c>
      <c r="B879" s="15"/>
      <c r="C879" s="11">
        <f t="shared" si="39"/>
        <v>1</v>
      </c>
      <c r="D879" s="11"/>
      <c r="E879" s="11"/>
      <c r="F879" s="11"/>
      <c r="G879" s="89">
        <f>IFERROR(VLOOKUP(F879,COA!$A$1:$K$26,2,FALSE),0)</f>
        <v>0</v>
      </c>
      <c r="H879" s="11"/>
      <c r="I879" s="11"/>
      <c r="J879" s="78"/>
      <c r="K879" s="78"/>
      <c r="L879" s="146">
        <f t="shared" si="41"/>
        <v>1800000</v>
      </c>
      <c r="M879" s="73"/>
      <c r="N879" s="73"/>
      <c r="O879" s="7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 x14ac:dyDescent="0.35">
      <c r="A880" s="9">
        <f t="shared" si="40"/>
        <v>872</v>
      </c>
      <c r="B880" s="15"/>
      <c r="C880" s="11">
        <f t="shared" si="39"/>
        <v>1</v>
      </c>
      <c r="D880" s="11"/>
      <c r="E880" s="11"/>
      <c r="F880" s="11"/>
      <c r="G880" s="89">
        <f>IFERROR(VLOOKUP(F880,COA!$A$1:$K$26,2,FALSE),0)</f>
        <v>0</v>
      </c>
      <c r="H880" s="11"/>
      <c r="I880" s="11"/>
      <c r="J880" s="78"/>
      <c r="K880" s="78"/>
      <c r="L880" s="146">
        <f t="shared" si="41"/>
        <v>1800000</v>
      </c>
      <c r="M880" s="73"/>
      <c r="N880" s="73"/>
      <c r="O880" s="7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 x14ac:dyDescent="0.35">
      <c r="A881" s="9">
        <f t="shared" si="40"/>
        <v>873</v>
      </c>
      <c r="B881" s="15"/>
      <c r="C881" s="11">
        <f t="shared" si="39"/>
        <v>1</v>
      </c>
      <c r="D881" s="11"/>
      <c r="E881" s="11"/>
      <c r="F881" s="11"/>
      <c r="G881" s="89">
        <f>IFERROR(VLOOKUP(F881,COA!$A$1:$K$26,2,FALSE),0)</f>
        <v>0</v>
      </c>
      <c r="H881" s="13"/>
      <c r="I881" s="13"/>
      <c r="J881" s="78"/>
      <c r="K881" s="78"/>
      <c r="L881" s="146">
        <f t="shared" si="41"/>
        <v>1800000</v>
      </c>
      <c r="M881" s="73"/>
      <c r="N881" s="73"/>
      <c r="O881" s="7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 x14ac:dyDescent="0.35">
      <c r="A882" s="9">
        <f t="shared" si="40"/>
        <v>874</v>
      </c>
      <c r="B882" s="15"/>
      <c r="C882" s="11">
        <f t="shared" si="39"/>
        <v>1</v>
      </c>
      <c r="D882" s="11"/>
      <c r="E882" s="11"/>
      <c r="F882" s="11"/>
      <c r="G882" s="89">
        <f>IFERROR(VLOOKUP(F882,COA!$A$1:$K$26,2,FALSE),0)</f>
        <v>0</v>
      </c>
      <c r="H882" s="11"/>
      <c r="I882" s="11"/>
      <c r="J882" s="78"/>
      <c r="K882" s="78"/>
      <c r="L882" s="146">
        <f t="shared" si="41"/>
        <v>1800000</v>
      </c>
      <c r="M882" s="73"/>
      <c r="N882" s="73"/>
      <c r="O882" s="7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 x14ac:dyDescent="0.35">
      <c r="A883" s="9">
        <f t="shared" si="40"/>
        <v>875</v>
      </c>
      <c r="B883" s="15"/>
      <c r="C883" s="11">
        <f t="shared" si="39"/>
        <v>1</v>
      </c>
      <c r="D883" s="11"/>
      <c r="E883" s="11"/>
      <c r="F883" s="11"/>
      <c r="G883" s="89">
        <f>IFERROR(VLOOKUP(F883,COA!$A$1:$K$26,2,FALSE),0)</f>
        <v>0</v>
      </c>
      <c r="H883" s="11"/>
      <c r="I883" s="11"/>
      <c r="J883" s="78"/>
      <c r="K883" s="78"/>
      <c r="L883" s="146">
        <f t="shared" si="41"/>
        <v>1800000</v>
      </c>
      <c r="M883" s="73"/>
      <c r="N883" s="73"/>
      <c r="O883" s="7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 x14ac:dyDescent="0.35">
      <c r="A884" s="9">
        <f t="shared" si="40"/>
        <v>876</v>
      </c>
      <c r="B884" s="15"/>
      <c r="C884" s="11">
        <f t="shared" si="39"/>
        <v>1</v>
      </c>
      <c r="D884" s="11"/>
      <c r="E884" s="11"/>
      <c r="F884" s="11"/>
      <c r="G884" s="89">
        <f>IFERROR(VLOOKUP(F884,COA!$A$1:$K$26,2,FALSE),0)</f>
        <v>0</v>
      </c>
      <c r="H884" s="11"/>
      <c r="I884" s="11"/>
      <c r="J884" s="78"/>
      <c r="K884" s="78"/>
      <c r="L884" s="146">
        <f t="shared" si="41"/>
        <v>1800000</v>
      </c>
      <c r="M884" s="73"/>
      <c r="N884" s="73"/>
      <c r="O884" s="7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 x14ac:dyDescent="0.35">
      <c r="A885" s="9">
        <f t="shared" si="40"/>
        <v>877</v>
      </c>
      <c r="B885" s="15"/>
      <c r="C885" s="11">
        <f t="shared" si="39"/>
        <v>1</v>
      </c>
      <c r="D885" s="11"/>
      <c r="E885" s="11"/>
      <c r="F885" s="11"/>
      <c r="G885" s="89">
        <f>IFERROR(VLOOKUP(F885,COA!$A$1:$K$26,2,FALSE),0)</f>
        <v>0</v>
      </c>
      <c r="H885" s="11"/>
      <c r="I885" s="11"/>
      <c r="J885" s="78"/>
      <c r="K885" s="78"/>
      <c r="L885" s="146">
        <f t="shared" si="41"/>
        <v>1800000</v>
      </c>
      <c r="M885" s="73"/>
      <c r="N885" s="73"/>
      <c r="O885" s="7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 x14ac:dyDescent="0.35">
      <c r="A886" s="9">
        <f t="shared" si="40"/>
        <v>878</v>
      </c>
      <c r="B886" s="15"/>
      <c r="C886" s="11">
        <f t="shared" si="39"/>
        <v>1</v>
      </c>
      <c r="D886" s="11"/>
      <c r="E886" s="11"/>
      <c r="F886" s="11"/>
      <c r="G886" s="89">
        <f>IFERROR(VLOOKUP(F886,COA!$A$1:$K$26,2,FALSE),0)</f>
        <v>0</v>
      </c>
      <c r="H886" s="11"/>
      <c r="I886" s="11"/>
      <c r="J886" s="78"/>
      <c r="K886" s="78"/>
      <c r="L886" s="146">
        <f t="shared" si="41"/>
        <v>1800000</v>
      </c>
      <c r="M886" s="73"/>
      <c r="N886" s="73"/>
      <c r="O886" s="7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 x14ac:dyDescent="0.35">
      <c r="A887" s="9">
        <f t="shared" si="40"/>
        <v>879</v>
      </c>
      <c r="B887" s="15"/>
      <c r="C887" s="11">
        <f t="shared" si="39"/>
        <v>1</v>
      </c>
      <c r="D887" s="11"/>
      <c r="E887" s="11"/>
      <c r="F887" s="11"/>
      <c r="G887" s="89">
        <f>IFERROR(VLOOKUP(F887,COA!$A$1:$K$26,2,FALSE),0)</f>
        <v>0</v>
      </c>
      <c r="H887" s="11"/>
      <c r="I887" s="11"/>
      <c r="J887" s="78"/>
      <c r="K887" s="78"/>
      <c r="L887" s="146">
        <f t="shared" si="41"/>
        <v>1800000</v>
      </c>
      <c r="M887" s="73"/>
      <c r="N887" s="73"/>
      <c r="O887" s="7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 x14ac:dyDescent="0.35">
      <c r="A888" s="9">
        <f t="shared" si="40"/>
        <v>880</v>
      </c>
      <c r="B888" s="15"/>
      <c r="C888" s="11">
        <f t="shared" si="39"/>
        <v>1</v>
      </c>
      <c r="D888" s="11"/>
      <c r="E888" s="11"/>
      <c r="F888" s="11"/>
      <c r="G888" s="89">
        <f>IFERROR(VLOOKUP(F888,COA!$A$1:$K$26,2,FALSE),0)</f>
        <v>0</v>
      </c>
      <c r="H888" s="11"/>
      <c r="I888" s="11"/>
      <c r="J888" s="78"/>
      <c r="K888" s="78"/>
      <c r="L888" s="146">
        <f t="shared" si="41"/>
        <v>1800000</v>
      </c>
      <c r="M888" s="73"/>
      <c r="N888" s="73"/>
      <c r="O888" s="7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 x14ac:dyDescent="0.35">
      <c r="A889" s="9">
        <f t="shared" si="40"/>
        <v>881</v>
      </c>
      <c r="B889" s="15"/>
      <c r="C889" s="11">
        <f t="shared" si="39"/>
        <v>1</v>
      </c>
      <c r="D889" s="11"/>
      <c r="E889" s="11"/>
      <c r="F889" s="11"/>
      <c r="G889" s="89">
        <f>IFERROR(VLOOKUP(F889,COA!$A$1:$K$26,2,FALSE),0)</f>
        <v>0</v>
      </c>
      <c r="H889" s="11"/>
      <c r="I889" s="11"/>
      <c r="J889" s="78"/>
      <c r="K889" s="78"/>
      <c r="L889" s="146">
        <f t="shared" si="41"/>
        <v>1800000</v>
      </c>
      <c r="M889" s="73"/>
      <c r="N889" s="73"/>
      <c r="O889" s="7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 x14ac:dyDescent="0.35">
      <c r="A890" s="9">
        <f t="shared" si="40"/>
        <v>882</v>
      </c>
      <c r="B890" s="15"/>
      <c r="C890" s="11">
        <f t="shared" si="39"/>
        <v>1</v>
      </c>
      <c r="D890" s="11"/>
      <c r="E890" s="11"/>
      <c r="F890" s="11"/>
      <c r="G890" s="89">
        <f>IFERROR(VLOOKUP(F890,COA!$A$1:$K$26,2,FALSE),0)</f>
        <v>0</v>
      </c>
      <c r="H890" s="11"/>
      <c r="I890" s="11"/>
      <c r="J890" s="78"/>
      <c r="K890" s="78"/>
      <c r="L890" s="146">
        <f t="shared" si="41"/>
        <v>1800000</v>
      </c>
      <c r="M890" s="73"/>
      <c r="N890" s="73"/>
      <c r="O890" s="7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 x14ac:dyDescent="0.35">
      <c r="A891" s="9">
        <f t="shared" si="40"/>
        <v>883</v>
      </c>
      <c r="B891" s="15"/>
      <c r="C891" s="11">
        <f t="shared" si="39"/>
        <v>1</v>
      </c>
      <c r="D891" s="11"/>
      <c r="E891" s="11"/>
      <c r="F891" s="11"/>
      <c r="G891" s="89">
        <f>IFERROR(VLOOKUP(F891,COA!$A$1:$K$26,2,FALSE),0)</f>
        <v>0</v>
      </c>
      <c r="H891" s="11"/>
      <c r="I891" s="11"/>
      <c r="J891" s="78"/>
      <c r="K891" s="78"/>
      <c r="L891" s="146">
        <f t="shared" si="41"/>
        <v>1800000</v>
      </c>
      <c r="M891" s="73"/>
      <c r="N891" s="73"/>
      <c r="O891" s="7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 x14ac:dyDescent="0.35">
      <c r="A892" s="9">
        <f t="shared" si="40"/>
        <v>884</v>
      </c>
      <c r="B892" s="15"/>
      <c r="C892" s="11">
        <f t="shared" si="39"/>
        <v>1</v>
      </c>
      <c r="D892" s="11"/>
      <c r="E892" s="11"/>
      <c r="F892" s="11"/>
      <c r="G892" s="89">
        <f>IFERROR(VLOOKUP(F892,COA!$A$1:$K$26,2,FALSE),0)</f>
        <v>0</v>
      </c>
      <c r="H892" s="13"/>
      <c r="I892" s="13"/>
      <c r="J892" s="78"/>
      <c r="K892" s="78"/>
      <c r="L892" s="146">
        <f t="shared" si="41"/>
        <v>1800000</v>
      </c>
      <c r="M892" s="73"/>
      <c r="N892" s="73"/>
      <c r="O892" s="7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 x14ac:dyDescent="0.35">
      <c r="A893" s="9">
        <f t="shared" si="40"/>
        <v>885</v>
      </c>
      <c r="B893" s="15"/>
      <c r="C893" s="11">
        <f t="shared" si="39"/>
        <v>1</v>
      </c>
      <c r="D893" s="11"/>
      <c r="E893" s="11"/>
      <c r="F893" s="11"/>
      <c r="G893" s="89">
        <f>IFERROR(VLOOKUP(F893,COA!$A$1:$K$26,2,FALSE),0)</f>
        <v>0</v>
      </c>
      <c r="H893" s="11"/>
      <c r="I893" s="11"/>
      <c r="J893" s="78"/>
      <c r="K893" s="78"/>
      <c r="L893" s="146">
        <f t="shared" si="41"/>
        <v>1800000</v>
      </c>
      <c r="M893" s="73"/>
      <c r="N893" s="73"/>
      <c r="O893" s="7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 x14ac:dyDescent="0.35">
      <c r="A894" s="9">
        <f t="shared" si="40"/>
        <v>886</v>
      </c>
      <c r="B894" s="15"/>
      <c r="C894" s="11">
        <f t="shared" si="39"/>
        <v>1</v>
      </c>
      <c r="D894" s="11"/>
      <c r="E894" s="11"/>
      <c r="F894" s="11"/>
      <c r="G894" s="89">
        <f>IFERROR(VLOOKUP(F894,COA!$A$1:$K$26,2,FALSE),0)</f>
        <v>0</v>
      </c>
      <c r="H894" s="11"/>
      <c r="I894" s="11"/>
      <c r="J894" s="78"/>
      <c r="K894" s="78"/>
      <c r="L894" s="146">
        <f t="shared" si="41"/>
        <v>1800000</v>
      </c>
      <c r="M894" s="73"/>
      <c r="N894" s="73"/>
      <c r="O894" s="7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 x14ac:dyDescent="0.35">
      <c r="A895" s="9">
        <f t="shared" si="40"/>
        <v>887</v>
      </c>
      <c r="B895" s="15"/>
      <c r="C895" s="11">
        <f t="shared" si="39"/>
        <v>1</v>
      </c>
      <c r="D895" s="11"/>
      <c r="E895" s="11"/>
      <c r="F895" s="11"/>
      <c r="G895" s="89">
        <f>IFERROR(VLOOKUP(F895,COA!$A$1:$K$26,2,FALSE),0)</f>
        <v>0</v>
      </c>
      <c r="H895" s="11"/>
      <c r="I895" s="11"/>
      <c r="J895" s="78"/>
      <c r="K895" s="78"/>
      <c r="L895" s="146">
        <f t="shared" si="41"/>
        <v>1800000</v>
      </c>
      <c r="M895" s="73"/>
      <c r="N895" s="73"/>
      <c r="O895" s="7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 x14ac:dyDescent="0.35">
      <c r="A896" s="9">
        <f t="shared" si="40"/>
        <v>888</v>
      </c>
      <c r="B896" s="15"/>
      <c r="C896" s="11">
        <f t="shared" si="39"/>
        <v>1</v>
      </c>
      <c r="D896" s="11"/>
      <c r="E896" s="11"/>
      <c r="F896" s="11"/>
      <c r="G896" s="89">
        <f>IFERROR(VLOOKUP(F896,COA!$A$1:$K$26,2,FALSE),0)</f>
        <v>0</v>
      </c>
      <c r="H896" s="11"/>
      <c r="I896" s="11"/>
      <c r="J896" s="78"/>
      <c r="K896" s="78"/>
      <c r="L896" s="146">
        <f t="shared" si="41"/>
        <v>1800000</v>
      </c>
      <c r="M896" s="73"/>
      <c r="N896" s="73"/>
      <c r="O896" s="7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 x14ac:dyDescent="0.35">
      <c r="A897" s="9">
        <f t="shared" si="40"/>
        <v>889</v>
      </c>
      <c r="B897" s="15"/>
      <c r="C897" s="11">
        <f t="shared" si="39"/>
        <v>1</v>
      </c>
      <c r="D897" s="11"/>
      <c r="E897" s="11"/>
      <c r="F897" s="11"/>
      <c r="G897" s="89">
        <f>IFERROR(VLOOKUP(F897,COA!$A$1:$K$26,2,FALSE),0)</f>
        <v>0</v>
      </c>
      <c r="H897" s="11"/>
      <c r="I897" s="11"/>
      <c r="J897" s="78"/>
      <c r="K897" s="78"/>
      <c r="L897" s="146">
        <f t="shared" si="41"/>
        <v>1800000</v>
      </c>
      <c r="M897" s="73"/>
      <c r="N897" s="73"/>
      <c r="O897" s="7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 x14ac:dyDescent="0.35">
      <c r="A898" s="9">
        <f t="shared" si="40"/>
        <v>890</v>
      </c>
      <c r="B898" s="15"/>
      <c r="C898" s="11">
        <f t="shared" si="39"/>
        <v>1</v>
      </c>
      <c r="D898" s="11"/>
      <c r="E898" s="11"/>
      <c r="F898" s="11"/>
      <c r="G898" s="89">
        <f>IFERROR(VLOOKUP(F898,COA!$A$1:$K$26,2,FALSE),0)</f>
        <v>0</v>
      </c>
      <c r="H898" s="13"/>
      <c r="I898" s="13"/>
      <c r="J898" s="78"/>
      <c r="K898" s="78"/>
      <c r="L898" s="146">
        <f t="shared" si="41"/>
        <v>1800000</v>
      </c>
      <c r="M898" s="73"/>
      <c r="N898" s="73"/>
      <c r="O898" s="7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 x14ac:dyDescent="0.35">
      <c r="A899" s="9">
        <f t="shared" si="40"/>
        <v>891</v>
      </c>
      <c r="B899" s="15"/>
      <c r="C899" s="11">
        <f t="shared" si="39"/>
        <v>1</v>
      </c>
      <c r="D899" s="11"/>
      <c r="E899" s="11"/>
      <c r="F899" s="11"/>
      <c r="G899" s="89">
        <f>IFERROR(VLOOKUP(F899,COA!$A$1:$K$26,2,FALSE),0)</f>
        <v>0</v>
      </c>
      <c r="H899" s="11"/>
      <c r="I899" s="11"/>
      <c r="J899" s="78"/>
      <c r="K899" s="78"/>
      <c r="L899" s="146">
        <f t="shared" si="41"/>
        <v>1800000</v>
      </c>
      <c r="M899" s="73"/>
      <c r="N899" s="73"/>
      <c r="O899" s="7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 x14ac:dyDescent="0.35">
      <c r="A900" s="9">
        <f t="shared" si="40"/>
        <v>892</v>
      </c>
      <c r="B900" s="15"/>
      <c r="C900" s="11">
        <f t="shared" si="39"/>
        <v>1</v>
      </c>
      <c r="D900" s="11"/>
      <c r="E900" s="11"/>
      <c r="F900" s="11"/>
      <c r="G900" s="89">
        <f>IFERROR(VLOOKUP(F900,COA!$A$1:$K$26,2,FALSE),0)</f>
        <v>0</v>
      </c>
      <c r="H900" s="11"/>
      <c r="I900" s="11"/>
      <c r="J900" s="78"/>
      <c r="K900" s="78"/>
      <c r="L900" s="146">
        <f t="shared" si="41"/>
        <v>1800000</v>
      </c>
      <c r="M900" s="73"/>
      <c r="N900" s="73"/>
      <c r="O900" s="7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 x14ac:dyDescent="0.35">
      <c r="A901" s="9">
        <f t="shared" si="40"/>
        <v>893</v>
      </c>
      <c r="B901" s="15"/>
      <c r="C901" s="11">
        <f t="shared" si="39"/>
        <v>1</v>
      </c>
      <c r="D901" s="11"/>
      <c r="E901" s="11"/>
      <c r="F901" s="11"/>
      <c r="G901" s="89">
        <f>IFERROR(VLOOKUP(F901,COA!$A$1:$K$26,2,FALSE),0)</f>
        <v>0</v>
      </c>
      <c r="H901" s="11"/>
      <c r="I901" s="11"/>
      <c r="J901" s="78"/>
      <c r="K901" s="78"/>
      <c r="L901" s="146">
        <f t="shared" si="41"/>
        <v>1800000</v>
      </c>
      <c r="M901" s="73"/>
      <c r="N901" s="73"/>
      <c r="O901" s="7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 x14ac:dyDescent="0.35">
      <c r="A902" s="9">
        <f t="shared" si="40"/>
        <v>894</v>
      </c>
      <c r="B902" s="15"/>
      <c r="C902" s="11">
        <f t="shared" si="39"/>
        <v>1</v>
      </c>
      <c r="D902" s="11"/>
      <c r="E902" s="11"/>
      <c r="F902" s="11"/>
      <c r="G902" s="89">
        <f>IFERROR(VLOOKUP(F902,COA!$A$1:$K$26,2,FALSE),0)</f>
        <v>0</v>
      </c>
      <c r="H902" s="11"/>
      <c r="I902" s="11"/>
      <c r="J902" s="78"/>
      <c r="K902" s="78"/>
      <c r="L902" s="146">
        <f t="shared" si="41"/>
        <v>1800000</v>
      </c>
      <c r="M902" s="73"/>
      <c r="N902" s="73"/>
      <c r="O902" s="7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 x14ac:dyDescent="0.35">
      <c r="A903" s="9">
        <f t="shared" si="40"/>
        <v>895</v>
      </c>
      <c r="B903" s="15"/>
      <c r="C903" s="11">
        <f t="shared" si="39"/>
        <v>1</v>
      </c>
      <c r="D903" s="11"/>
      <c r="E903" s="11"/>
      <c r="F903" s="11"/>
      <c r="G903" s="89">
        <f>IFERROR(VLOOKUP(F903,COA!$A$1:$K$26,2,FALSE),0)</f>
        <v>0</v>
      </c>
      <c r="H903" s="11"/>
      <c r="I903" s="11"/>
      <c r="J903" s="78"/>
      <c r="K903" s="78"/>
      <c r="L903" s="146">
        <f t="shared" si="41"/>
        <v>1800000</v>
      </c>
      <c r="M903" s="73"/>
      <c r="N903" s="73"/>
      <c r="O903" s="7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 x14ac:dyDescent="0.35">
      <c r="A904" s="9">
        <f t="shared" si="40"/>
        <v>896</v>
      </c>
      <c r="B904" s="15"/>
      <c r="C904" s="11">
        <f t="shared" ref="C904:C967" si="42">MONTH(B904)</f>
        <v>1</v>
      </c>
      <c r="D904" s="11"/>
      <c r="E904" s="11"/>
      <c r="F904" s="11"/>
      <c r="G904" s="89">
        <f>IFERROR(VLOOKUP(F904,COA!$A$1:$K$26,2,FALSE),0)</f>
        <v>0</v>
      </c>
      <c r="H904" s="13"/>
      <c r="I904" s="13"/>
      <c r="J904" s="78"/>
      <c r="K904" s="78"/>
      <c r="L904" s="146">
        <f t="shared" si="41"/>
        <v>1800000</v>
      </c>
      <c r="M904" s="73"/>
      <c r="N904" s="73"/>
      <c r="O904" s="7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 x14ac:dyDescent="0.35">
      <c r="A905" s="9">
        <f t="shared" si="40"/>
        <v>897</v>
      </c>
      <c r="B905" s="15"/>
      <c r="C905" s="11">
        <f t="shared" si="42"/>
        <v>1</v>
      </c>
      <c r="D905" s="11"/>
      <c r="E905" s="11"/>
      <c r="F905" s="11"/>
      <c r="G905" s="89">
        <f>IFERROR(VLOOKUP(F905,COA!$A$1:$K$26,2,FALSE),0)</f>
        <v>0</v>
      </c>
      <c r="H905" s="11"/>
      <c r="I905" s="11"/>
      <c r="J905" s="78"/>
      <c r="K905" s="78"/>
      <c r="L905" s="146">
        <f t="shared" si="41"/>
        <v>1800000</v>
      </c>
      <c r="M905" s="73"/>
      <c r="N905" s="73"/>
      <c r="O905" s="7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 x14ac:dyDescent="0.35">
      <c r="A906" s="9">
        <f t="shared" si="40"/>
        <v>898</v>
      </c>
      <c r="B906" s="15"/>
      <c r="C906" s="11">
        <f t="shared" si="42"/>
        <v>1</v>
      </c>
      <c r="D906" s="11"/>
      <c r="E906" s="11"/>
      <c r="F906" s="11"/>
      <c r="G906" s="89">
        <f>IFERROR(VLOOKUP(F906,COA!$A$1:$K$26,2,FALSE),0)</f>
        <v>0</v>
      </c>
      <c r="H906" s="11"/>
      <c r="I906" s="11"/>
      <c r="J906" s="78"/>
      <c r="K906" s="78"/>
      <c r="L906" s="146">
        <f t="shared" si="41"/>
        <v>1800000</v>
      </c>
      <c r="M906" s="73"/>
      <c r="N906" s="73"/>
      <c r="O906" s="7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 x14ac:dyDescent="0.35">
      <c r="A907" s="9">
        <f t="shared" ref="A907:A970" si="43">A906+1</f>
        <v>899</v>
      </c>
      <c r="B907" s="15"/>
      <c r="C907" s="11">
        <f t="shared" si="42"/>
        <v>1</v>
      </c>
      <c r="D907" s="11"/>
      <c r="E907" s="11"/>
      <c r="F907" s="11"/>
      <c r="G907" s="89">
        <f>IFERROR(VLOOKUP(F907,COA!$A$1:$K$26,2,FALSE),0)</f>
        <v>0</v>
      </c>
      <c r="H907" s="11"/>
      <c r="I907" s="11"/>
      <c r="J907" s="78"/>
      <c r="K907" s="78"/>
      <c r="L907" s="146">
        <f t="shared" ref="L907:L970" si="44">L906+J907-K907</f>
        <v>1800000</v>
      </c>
      <c r="M907" s="73"/>
      <c r="N907" s="73"/>
      <c r="O907" s="7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 x14ac:dyDescent="0.35">
      <c r="A908" s="9">
        <f t="shared" si="43"/>
        <v>900</v>
      </c>
      <c r="B908" s="15"/>
      <c r="C908" s="11">
        <f t="shared" si="42"/>
        <v>1</v>
      </c>
      <c r="D908" s="11"/>
      <c r="E908" s="11"/>
      <c r="F908" s="11"/>
      <c r="G908" s="89">
        <f>IFERROR(VLOOKUP(F908,COA!$A$1:$K$26,2,FALSE),0)</f>
        <v>0</v>
      </c>
      <c r="H908" s="11"/>
      <c r="I908" s="11"/>
      <c r="J908" s="78"/>
      <c r="K908" s="78"/>
      <c r="L908" s="146">
        <f t="shared" si="44"/>
        <v>1800000</v>
      </c>
      <c r="M908" s="73"/>
      <c r="N908" s="73"/>
      <c r="O908" s="7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 x14ac:dyDescent="0.35">
      <c r="A909" s="9">
        <f t="shared" si="43"/>
        <v>901</v>
      </c>
      <c r="B909" s="15"/>
      <c r="C909" s="11">
        <f t="shared" si="42"/>
        <v>1</v>
      </c>
      <c r="D909" s="11"/>
      <c r="E909" s="11"/>
      <c r="F909" s="11"/>
      <c r="G909" s="89">
        <f>IFERROR(VLOOKUP(F909,COA!$A$1:$K$26,2,FALSE),0)</f>
        <v>0</v>
      </c>
      <c r="H909" s="11"/>
      <c r="I909" s="11"/>
      <c r="J909" s="78"/>
      <c r="K909" s="78"/>
      <c r="L909" s="146">
        <f t="shared" si="44"/>
        <v>1800000</v>
      </c>
      <c r="M909" s="73"/>
      <c r="N909" s="73"/>
      <c r="O909" s="7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 x14ac:dyDescent="0.35">
      <c r="A910" s="9">
        <f t="shared" si="43"/>
        <v>902</v>
      </c>
      <c r="B910" s="15"/>
      <c r="C910" s="11">
        <f t="shared" si="42"/>
        <v>1</v>
      </c>
      <c r="D910" s="11"/>
      <c r="E910" s="11"/>
      <c r="F910" s="11"/>
      <c r="G910" s="89">
        <f>IFERROR(VLOOKUP(F910,COA!$A$1:$K$26,2,FALSE),0)</f>
        <v>0</v>
      </c>
      <c r="H910" s="13"/>
      <c r="I910" s="13"/>
      <c r="J910" s="78"/>
      <c r="K910" s="78"/>
      <c r="L910" s="146">
        <f t="shared" si="44"/>
        <v>1800000</v>
      </c>
      <c r="M910" s="73"/>
      <c r="N910" s="73"/>
      <c r="O910" s="7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 x14ac:dyDescent="0.35">
      <c r="A911" s="9">
        <f t="shared" si="43"/>
        <v>903</v>
      </c>
      <c r="B911" s="15"/>
      <c r="C911" s="11">
        <f t="shared" si="42"/>
        <v>1</v>
      </c>
      <c r="D911" s="11"/>
      <c r="E911" s="11"/>
      <c r="F911" s="11"/>
      <c r="G911" s="89">
        <f>IFERROR(VLOOKUP(F911,COA!$A$1:$K$26,2,FALSE),0)</f>
        <v>0</v>
      </c>
      <c r="H911" s="11"/>
      <c r="I911" s="11"/>
      <c r="J911" s="78"/>
      <c r="K911" s="78"/>
      <c r="L911" s="146">
        <f t="shared" si="44"/>
        <v>1800000</v>
      </c>
      <c r="M911" s="73"/>
      <c r="N911" s="73"/>
      <c r="O911" s="7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 x14ac:dyDescent="0.35">
      <c r="A912" s="9">
        <f t="shared" si="43"/>
        <v>904</v>
      </c>
      <c r="B912" s="15"/>
      <c r="C912" s="11">
        <f t="shared" si="42"/>
        <v>1</v>
      </c>
      <c r="D912" s="11"/>
      <c r="E912" s="11"/>
      <c r="F912" s="11"/>
      <c r="G912" s="89">
        <f>IFERROR(VLOOKUP(F912,COA!$A$1:$K$26,2,FALSE),0)</f>
        <v>0</v>
      </c>
      <c r="H912" s="11"/>
      <c r="I912" s="11"/>
      <c r="J912" s="78"/>
      <c r="K912" s="78"/>
      <c r="L912" s="146">
        <f t="shared" si="44"/>
        <v>1800000</v>
      </c>
      <c r="M912" s="73"/>
      <c r="N912" s="73"/>
      <c r="O912" s="7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 x14ac:dyDescent="0.35">
      <c r="A913" s="9">
        <f t="shared" si="43"/>
        <v>905</v>
      </c>
      <c r="B913" s="15"/>
      <c r="C913" s="11">
        <f t="shared" si="42"/>
        <v>1</v>
      </c>
      <c r="D913" s="11"/>
      <c r="E913" s="11"/>
      <c r="F913" s="11"/>
      <c r="G913" s="89">
        <f>IFERROR(VLOOKUP(F913,COA!$A$1:$K$26,2,FALSE),0)</f>
        <v>0</v>
      </c>
      <c r="H913" s="11"/>
      <c r="I913" s="11"/>
      <c r="J913" s="78"/>
      <c r="K913" s="78"/>
      <c r="L913" s="146">
        <f t="shared" si="44"/>
        <v>1800000</v>
      </c>
      <c r="M913" s="73"/>
      <c r="N913" s="73"/>
      <c r="O913" s="7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 x14ac:dyDescent="0.35">
      <c r="A914" s="9">
        <f t="shared" si="43"/>
        <v>906</v>
      </c>
      <c r="B914" s="15"/>
      <c r="C914" s="11">
        <f t="shared" si="42"/>
        <v>1</v>
      </c>
      <c r="D914" s="11"/>
      <c r="E914" s="11"/>
      <c r="F914" s="11"/>
      <c r="G914" s="89">
        <f>IFERROR(VLOOKUP(F914,COA!$A$1:$K$26,2,FALSE),0)</f>
        <v>0</v>
      </c>
      <c r="H914" s="11"/>
      <c r="I914" s="11"/>
      <c r="J914" s="78"/>
      <c r="K914" s="78"/>
      <c r="L914" s="146">
        <f t="shared" si="44"/>
        <v>1800000</v>
      </c>
      <c r="M914" s="73"/>
      <c r="N914" s="73"/>
      <c r="O914" s="7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 x14ac:dyDescent="0.35">
      <c r="A915" s="9">
        <f t="shared" si="43"/>
        <v>907</v>
      </c>
      <c r="B915" s="15"/>
      <c r="C915" s="11">
        <f t="shared" si="42"/>
        <v>1</v>
      </c>
      <c r="D915" s="11"/>
      <c r="E915" s="11"/>
      <c r="F915" s="11"/>
      <c r="G915" s="89">
        <f>IFERROR(VLOOKUP(F915,COA!$A$1:$K$26,2,FALSE),0)</f>
        <v>0</v>
      </c>
      <c r="H915" s="11"/>
      <c r="I915" s="11"/>
      <c r="J915" s="78"/>
      <c r="K915" s="78"/>
      <c r="L915" s="146">
        <f t="shared" si="44"/>
        <v>1800000</v>
      </c>
      <c r="M915" s="73"/>
      <c r="N915" s="73"/>
      <c r="O915" s="7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 x14ac:dyDescent="0.35">
      <c r="A916" s="9">
        <f t="shared" si="43"/>
        <v>908</v>
      </c>
      <c r="B916" s="15"/>
      <c r="C916" s="11">
        <f t="shared" si="42"/>
        <v>1</v>
      </c>
      <c r="D916" s="11"/>
      <c r="E916" s="11"/>
      <c r="F916" s="11"/>
      <c r="G916" s="89">
        <f>IFERROR(VLOOKUP(F916,COA!$A$1:$K$26,2,FALSE),0)</f>
        <v>0</v>
      </c>
      <c r="H916" s="13"/>
      <c r="I916" s="13"/>
      <c r="J916" s="78"/>
      <c r="K916" s="78"/>
      <c r="L916" s="146">
        <f t="shared" si="44"/>
        <v>1800000</v>
      </c>
      <c r="M916" s="73"/>
      <c r="N916" s="73"/>
      <c r="O916" s="7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 x14ac:dyDescent="0.35">
      <c r="A917" s="9">
        <f t="shared" si="43"/>
        <v>909</v>
      </c>
      <c r="B917" s="15"/>
      <c r="C917" s="11">
        <f t="shared" si="42"/>
        <v>1</v>
      </c>
      <c r="D917" s="11"/>
      <c r="E917" s="11"/>
      <c r="F917" s="11"/>
      <c r="G917" s="89">
        <f>IFERROR(VLOOKUP(F917,COA!$A$1:$K$26,2,FALSE),0)</f>
        <v>0</v>
      </c>
      <c r="H917" s="11"/>
      <c r="I917" s="11"/>
      <c r="J917" s="78"/>
      <c r="K917" s="78"/>
      <c r="L917" s="146">
        <f t="shared" si="44"/>
        <v>1800000</v>
      </c>
      <c r="M917" s="73"/>
      <c r="N917" s="73"/>
      <c r="O917" s="7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 x14ac:dyDescent="0.35">
      <c r="A918" s="9">
        <f t="shared" si="43"/>
        <v>910</v>
      </c>
      <c r="B918" s="15"/>
      <c r="C918" s="11">
        <f t="shared" si="42"/>
        <v>1</v>
      </c>
      <c r="D918" s="11"/>
      <c r="E918" s="11"/>
      <c r="F918" s="11"/>
      <c r="G918" s="89">
        <f>IFERROR(VLOOKUP(F918,COA!$A$1:$K$26,2,FALSE),0)</f>
        <v>0</v>
      </c>
      <c r="H918" s="11"/>
      <c r="I918" s="11"/>
      <c r="J918" s="78"/>
      <c r="K918" s="78"/>
      <c r="L918" s="146">
        <f t="shared" si="44"/>
        <v>1800000</v>
      </c>
      <c r="M918" s="73"/>
      <c r="N918" s="73"/>
      <c r="O918" s="7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 x14ac:dyDescent="0.35">
      <c r="A919" s="9">
        <f t="shared" si="43"/>
        <v>911</v>
      </c>
      <c r="B919" s="15"/>
      <c r="C919" s="11">
        <f t="shared" si="42"/>
        <v>1</v>
      </c>
      <c r="D919" s="11"/>
      <c r="E919" s="11"/>
      <c r="F919" s="11"/>
      <c r="G919" s="89">
        <f>IFERROR(VLOOKUP(F919,COA!$A$1:$K$26,2,FALSE),0)</f>
        <v>0</v>
      </c>
      <c r="H919" s="11"/>
      <c r="I919" s="11"/>
      <c r="J919" s="78"/>
      <c r="K919" s="78"/>
      <c r="L919" s="146">
        <f t="shared" si="44"/>
        <v>1800000</v>
      </c>
      <c r="M919" s="73"/>
      <c r="N919" s="73"/>
      <c r="O919" s="7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 x14ac:dyDescent="0.35">
      <c r="A920" s="9">
        <f t="shared" si="43"/>
        <v>912</v>
      </c>
      <c r="B920" s="15"/>
      <c r="C920" s="11">
        <f t="shared" si="42"/>
        <v>1</v>
      </c>
      <c r="D920" s="11"/>
      <c r="E920" s="11"/>
      <c r="F920" s="11"/>
      <c r="G920" s="89">
        <f>IFERROR(VLOOKUP(F920,COA!$A$1:$K$26,2,FALSE),0)</f>
        <v>0</v>
      </c>
      <c r="H920" s="11"/>
      <c r="I920" s="11"/>
      <c r="J920" s="78"/>
      <c r="K920" s="78"/>
      <c r="L920" s="146">
        <f t="shared" si="44"/>
        <v>1800000</v>
      </c>
      <c r="M920" s="73"/>
      <c r="N920" s="73"/>
      <c r="O920" s="7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 x14ac:dyDescent="0.35">
      <c r="A921" s="9">
        <f t="shared" si="43"/>
        <v>913</v>
      </c>
      <c r="B921" s="15"/>
      <c r="C921" s="11">
        <f t="shared" si="42"/>
        <v>1</v>
      </c>
      <c r="D921" s="11"/>
      <c r="E921" s="11"/>
      <c r="F921" s="11"/>
      <c r="G921" s="89">
        <f>IFERROR(VLOOKUP(F921,COA!$A$1:$K$26,2,FALSE),0)</f>
        <v>0</v>
      </c>
      <c r="H921" s="11"/>
      <c r="I921" s="11"/>
      <c r="J921" s="78"/>
      <c r="K921" s="78"/>
      <c r="L921" s="146">
        <f t="shared" si="44"/>
        <v>1800000</v>
      </c>
      <c r="M921" s="73"/>
      <c r="N921" s="73"/>
      <c r="O921" s="7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 x14ac:dyDescent="0.35">
      <c r="A922" s="9">
        <f t="shared" si="43"/>
        <v>914</v>
      </c>
      <c r="B922" s="15"/>
      <c r="C922" s="11">
        <f t="shared" si="42"/>
        <v>1</v>
      </c>
      <c r="D922" s="11"/>
      <c r="E922" s="11"/>
      <c r="F922" s="11"/>
      <c r="G922" s="89">
        <f>IFERROR(VLOOKUP(F922,COA!$A$1:$K$26,2,FALSE),0)</f>
        <v>0</v>
      </c>
      <c r="H922" s="13"/>
      <c r="I922" s="13"/>
      <c r="J922" s="78"/>
      <c r="K922" s="78"/>
      <c r="L922" s="146">
        <f t="shared" si="44"/>
        <v>1800000</v>
      </c>
      <c r="M922" s="73"/>
      <c r="N922" s="73"/>
      <c r="O922" s="7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 x14ac:dyDescent="0.35">
      <c r="A923" s="9">
        <f t="shared" si="43"/>
        <v>915</v>
      </c>
      <c r="B923" s="15"/>
      <c r="C923" s="11">
        <f t="shared" si="42"/>
        <v>1</v>
      </c>
      <c r="D923" s="11"/>
      <c r="E923" s="11"/>
      <c r="F923" s="11"/>
      <c r="G923" s="89">
        <f>IFERROR(VLOOKUP(F923,COA!$A$1:$K$26,2,FALSE),0)</f>
        <v>0</v>
      </c>
      <c r="H923" s="11"/>
      <c r="I923" s="11"/>
      <c r="J923" s="78"/>
      <c r="K923" s="78"/>
      <c r="L923" s="146">
        <f t="shared" si="44"/>
        <v>1800000</v>
      </c>
      <c r="M923" s="73"/>
      <c r="N923" s="73"/>
      <c r="O923" s="7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 x14ac:dyDescent="0.35">
      <c r="A924" s="9">
        <f t="shared" si="43"/>
        <v>916</v>
      </c>
      <c r="B924" s="15"/>
      <c r="C924" s="11">
        <f t="shared" si="42"/>
        <v>1</v>
      </c>
      <c r="D924" s="11"/>
      <c r="E924" s="11"/>
      <c r="F924" s="11"/>
      <c r="G924" s="89">
        <f>IFERROR(VLOOKUP(F924,COA!$A$1:$K$26,2,FALSE),0)</f>
        <v>0</v>
      </c>
      <c r="H924" s="11"/>
      <c r="I924" s="11"/>
      <c r="J924" s="78"/>
      <c r="K924" s="78"/>
      <c r="L924" s="146">
        <f t="shared" si="44"/>
        <v>1800000</v>
      </c>
      <c r="M924" s="73"/>
      <c r="N924" s="73"/>
      <c r="O924" s="7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 x14ac:dyDescent="0.35">
      <c r="A925" s="9">
        <f t="shared" si="43"/>
        <v>917</v>
      </c>
      <c r="B925" s="15"/>
      <c r="C925" s="11">
        <f t="shared" si="42"/>
        <v>1</v>
      </c>
      <c r="D925" s="11"/>
      <c r="E925" s="11"/>
      <c r="F925" s="11"/>
      <c r="G925" s="89">
        <f>IFERROR(VLOOKUP(F925,COA!$A$1:$K$26,2,FALSE),0)</f>
        <v>0</v>
      </c>
      <c r="H925" s="11"/>
      <c r="I925" s="11"/>
      <c r="J925" s="78"/>
      <c r="K925" s="78"/>
      <c r="L925" s="146">
        <f t="shared" si="44"/>
        <v>1800000</v>
      </c>
      <c r="M925" s="73"/>
      <c r="N925" s="73"/>
      <c r="O925" s="7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 x14ac:dyDescent="0.35">
      <c r="A926" s="9">
        <f t="shared" si="43"/>
        <v>918</v>
      </c>
      <c r="B926" s="15"/>
      <c r="C926" s="11">
        <f t="shared" si="42"/>
        <v>1</v>
      </c>
      <c r="D926" s="11"/>
      <c r="E926" s="11"/>
      <c r="F926" s="11"/>
      <c r="G926" s="89">
        <f>IFERROR(VLOOKUP(F926,COA!$A$1:$K$26,2,FALSE),0)</f>
        <v>0</v>
      </c>
      <c r="H926" s="11"/>
      <c r="I926" s="11"/>
      <c r="J926" s="78"/>
      <c r="K926" s="78"/>
      <c r="L926" s="146">
        <f t="shared" si="44"/>
        <v>1800000</v>
      </c>
      <c r="M926" s="73"/>
      <c r="N926" s="73"/>
      <c r="O926" s="7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 x14ac:dyDescent="0.35">
      <c r="A927" s="9">
        <f t="shared" si="43"/>
        <v>919</v>
      </c>
      <c r="B927" s="15"/>
      <c r="C927" s="11">
        <f t="shared" si="42"/>
        <v>1</v>
      </c>
      <c r="D927" s="11"/>
      <c r="E927" s="11"/>
      <c r="F927" s="11"/>
      <c r="G927" s="89">
        <f>IFERROR(VLOOKUP(F927,COA!$A$1:$K$26,2,FALSE),0)</f>
        <v>0</v>
      </c>
      <c r="H927" s="11"/>
      <c r="I927" s="11"/>
      <c r="J927" s="78"/>
      <c r="K927" s="78"/>
      <c r="L927" s="146">
        <f t="shared" si="44"/>
        <v>1800000</v>
      </c>
      <c r="M927" s="73"/>
      <c r="N927" s="73"/>
      <c r="O927" s="7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 x14ac:dyDescent="0.35">
      <c r="A928" s="9">
        <f t="shared" si="43"/>
        <v>920</v>
      </c>
      <c r="B928" s="15"/>
      <c r="C928" s="11">
        <f t="shared" si="42"/>
        <v>1</v>
      </c>
      <c r="D928" s="11"/>
      <c r="E928" s="11"/>
      <c r="F928" s="11"/>
      <c r="G928" s="89">
        <f>IFERROR(VLOOKUP(F928,COA!$A$1:$K$26,2,FALSE),0)</f>
        <v>0</v>
      </c>
      <c r="H928" s="11"/>
      <c r="I928" s="11"/>
      <c r="J928" s="78"/>
      <c r="K928" s="78"/>
      <c r="L928" s="146">
        <f t="shared" si="44"/>
        <v>1800000</v>
      </c>
      <c r="M928" s="73"/>
      <c r="N928" s="73"/>
      <c r="O928" s="7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 x14ac:dyDescent="0.35">
      <c r="A929" s="9">
        <f t="shared" si="43"/>
        <v>921</v>
      </c>
      <c r="B929" s="15"/>
      <c r="C929" s="11">
        <f t="shared" si="42"/>
        <v>1</v>
      </c>
      <c r="D929" s="11"/>
      <c r="E929" s="11"/>
      <c r="F929" s="11"/>
      <c r="G929" s="89">
        <f>IFERROR(VLOOKUP(F929,COA!$A$1:$K$26,2,FALSE),0)</f>
        <v>0</v>
      </c>
      <c r="H929" s="13"/>
      <c r="I929" s="13"/>
      <c r="J929" s="78"/>
      <c r="K929" s="78"/>
      <c r="L929" s="146">
        <f t="shared" si="44"/>
        <v>1800000</v>
      </c>
      <c r="M929" s="73"/>
      <c r="N929" s="73"/>
      <c r="O929" s="7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 x14ac:dyDescent="0.35">
      <c r="A930" s="9">
        <f t="shared" si="43"/>
        <v>922</v>
      </c>
      <c r="B930" s="15"/>
      <c r="C930" s="11">
        <f t="shared" si="42"/>
        <v>1</v>
      </c>
      <c r="D930" s="11"/>
      <c r="E930" s="11"/>
      <c r="F930" s="11"/>
      <c r="G930" s="89">
        <f>IFERROR(VLOOKUP(F930,COA!$A$1:$K$26,2,FALSE),0)</f>
        <v>0</v>
      </c>
      <c r="H930" s="11"/>
      <c r="I930" s="11"/>
      <c r="J930" s="78"/>
      <c r="K930" s="78"/>
      <c r="L930" s="146">
        <f t="shared" si="44"/>
        <v>1800000</v>
      </c>
      <c r="M930" s="73"/>
      <c r="N930" s="73"/>
      <c r="O930" s="7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 x14ac:dyDescent="0.35">
      <c r="A931" s="9">
        <f t="shared" si="43"/>
        <v>923</v>
      </c>
      <c r="B931" s="15"/>
      <c r="C931" s="11">
        <f t="shared" si="42"/>
        <v>1</v>
      </c>
      <c r="D931" s="11"/>
      <c r="E931" s="11"/>
      <c r="F931" s="11"/>
      <c r="G931" s="89">
        <f>IFERROR(VLOOKUP(F931,COA!$A$1:$K$26,2,FALSE),0)</f>
        <v>0</v>
      </c>
      <c r="H931" s="11"/>
      <c r="I931" s="11"/>
      <c r="J931" s="78"/>
      <c r="K931" s="78"/>
      <c r="L931" s="146">
        <f t="shared" si="44"/>
        <v>1800000</v>
      </c>
      <c r="M931" s="73"/>
      <c r="N931" s="73"/>
      <c r="O931" s="7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 x14ac:dyDescent="0.35">
      <c r="A932" s="9">
        <f t="shared" si="43"/>
        <v>924</v>
      </c>
      <c r="B932" s="15"/>
      <c r="C932" s="11">
        <f t="shared" si="42"/>
        <v>1</v>
      </c>
      <c r="D932" s="11"/>
      <c r="E932" s="11"/>
      <c r="F932" s="11"/>
      <c r="G932" s="89">
        <f>IFERROR(VLOOKUP(F932,COA!$A$1:$K$26,2,FALSE),0)</f>
        <v>0</v>
      </c>
      <c r="H932" s="11"/>
      <c r="I932" s="11"/>
      <c r="J932" s="78"/>
      <c r="K932" s="78"/>
      <c r="L932" s="146">
        <f t="shared" si="44"/>
        <v>1800000</v>
      </c>
      <c r="M932" s="73"/>
      <c r="N932" s="73"/>
      <c r="O932" s="7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 x14ac:dyDescent="0.35">
      <c r="A933" s="9">
        <f t="shared" si="43"/>
        <v>925</v>
      </c>
      <c r="B933" s="15"/>
      <c r="C933" s="11">
        <f t="shared" si="42"/>
        <v>1</v>
      </c>
      <c r="D933" s="11"/>
      <c r="E933" s="11"/>
      <c r="F933" s="11"/>
      <c r="G933" s="89">
        <f>IFERROR(VLOOKUP(F933,COA!$A$1:$K$26,2,FALSE),0)</f>
        <v>0</v>
      </c>
      <c r="H933" s="11"/>
      <c r="I933" s="11"/>
      <c r="J933" s="78"/>
      <c r="K933" s="78"/>
      <c r="L933" s="146">
        <f t="shared" si="44"/>
        <v>1800000</v>
      </c>
      <c r="M933" s="73"/>
      <c r="N933" s="73"/>
      <c r="O933" s="7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 x14ac:dyDescent="0.35">
      <c r="A934" s="9">
        <f t="shared" si="43"/>
        <v>926</v>
      </c>
      <c r="B934" s="15"/>
      <c r="C934" s="11">
        <f t="shared" si="42"/>
        <v>1</v>
      </c>
      <c r="D934" s="11"/>
      <c r="E934" s="11"/>
      <c r="F934" s="11"/>
      <c r="G934" s="89">
        <f>IFERROR(VLOOKUP(F934,COA!$A$1:$K$26,2,FALSE),0)</f>
        <v>0</v>
      </c>
      <c r="H934" s="11"/>
      <c r="I934" s="11"/>
      <c r="J934" s="78"/>
      <c r="K934" s="78"/>
      <c r="L934" s="146">
        <f t="shared" si="44"/>
        <v>1800000</v>
      </c>
      <c r="M934" s="73"/>
      <c r="N934" s="73"/>
      <c r="O934" s="7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 x14ac:dyDescent="0.35">
      <c r="A935" s="9">
        <f t="shared" si="43"/>
        <v>927</v>
      </c>
      <c r="B935" s="15"/>
      <c r="C935" s="11">
        <f t="shared" si="42"/>
        <v>1</v>
      </c>
      <c r="D935" s="11"/>
      <c r="E935" s="11"/>
      <c r="F935" s="11"/>
      <c r="G935" s="89">
        <f>IFERROR(VLOOKUP(F935,COA!$A$1:$K$26,2,FALSE),0)</f>
        <v>0</v>
      </c>
      <c r="H935" s="13"/>
      <c r="I935" s="13"/>
      <c r="J935" s="78"/>
      <c r="K935" s="78"/>
      <c r="L935" s="146">
        <f t="shared" si="44"/>
        <v>1800000</v>
      </c>
      <c r="M935" s="73"/>
      <c r="N935" s="73"/>
      <c r="O935" s="7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 x14ac:dyDescent="0.35">
      <c r="A936" s="9">
        <f t="shared" si="43"/>
        <v>928</v>
      </c>
      <c r="B936" s="15"/>
      <c r="C936" s="11">
        <f t="shared" si="42"/>
        <v>1</v>
      </c>
      <c r="D936" s="11"/>
      <c r="E936" s="11"/>
      <c r="F936" s="11"/>
      <c r="G936" s="89">
        <f>IFERROR(VLOOKUP(F936,COA!$A$1:$K$26,2,FALSE),0)</f>
        <v>0</v>
      </c>
      <c r="H936" s="11"/>
      <c r="I936" s="11"/>
      <c r="J936" s="78"/>
      <c r="K936" s="78"/>
      <c r="L936" s="146">
        <f t="shared" si="44"/>
        <v>1800000</v>
      </c>
      <c r="M936" s="73"/>
      <c r="N936" s="73"/>
      <c r="O936" s="7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 x14ac:dyDescent="0.35">
      <c r="A937" s="9">
        <f t="shared" si="43"/>
        <v>929</v>
      </c>
      <c r="B937" s="15"/>
      <c r="C937" s="11">
        <f t="shared" si="42"/>
        <v>1</v>
      </c>
      <c r="D937" s="11"/>
      <c r="E937" s="11"/>
      <c r="F937" s="11"/>
      <c r="G937" s="89">
        <f>IFERROR(VLOOKUP(F937,COA!$A$1:$K$26,2,FALSE),0)</f>
        <v>0</v>
      </c>
      <c r="H937" s="11"/>
      <c r="I937" s="11"/>
      <c r="J937" s="78"/>
      <c r="K937" s="78"/>
      <c r="L937" s="146">
        <f t="shared" si="44"/>
        <v>1800000</v>
      </c>
      <c r="M937" s="73"/>
      <c r="N937" s="73"/>
      <c r="O937" s="7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 x14ac:dyDescent="0.35">
      <c r="A938" s="9">
        <f t="shared" si="43"/>
        <v>930</v>
      </c>
      <c r="B938" s="15"/>
      <c r="C938" s="11">
        <f t="shared" si="42"/>
        <v>1</v>
      </c>
      <c r="D938" s="11"/>
      <c r="E938" s="11"/>
      <c r="F938" s="11"/>
      <c r="G938" s="89">
        <f>IFERROR(VLOOKUP(F938,COA!$A$1:$K$26,2,FALSE),0)</f>
        <v>0</v>
      </c>
      <c r="H938" s="11"/>
      <c r="I938" s="11"/>
      <c r="J938" s="78"/>
      <c r="K938" s="78"/>
      <c r="L938" s="146">
        <f t="shared" si="44"/>
        <v>1800000</v>
      </c>
      <c r="M938" s="73"/>
      <c r="N938" s="73"/>
      <c r="O938" s="7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 x14ac:dyDescent="0.35">
      <c r="A939" s="9">
        <f t="shared" si="43"/>
        <v>931</v>
      </c>
      <c r="B939" s="15"/>
      <c r="C939" s="11">
        <f t="shared" si="42"/>
        <v>1</v>
      </c>
      <c r="D939" s="11"/>
      <c r="E939" s="11"/>
      <c r="F939" s="11"/>
      <c r="G939" s="89">
        <f>IFERROR(VLOOKUP(F939,COA!$A$1:$K$26,2,FALSE),0)</f>
        <v>0</v>
      </c>
      <c r="H939" s="11"/>
      <c r="I939" s="11"/>
      <c r="J939" s="78"/>
      <c r="K939" s="78"/>
      <c r="L939" s="146">
        <f t="shared" si="44"/>
        <v>1800000</v>
      </c>
      <c r="M939" s="73"/>
      <c r="N939" s="73"/>
      <c r="O939" s="7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 x14ac:dyDescent="0.35">
      <c r="A940" s="9">
        <f t="shared" si="43"/>
        <v>932</v>
      </c>
      <c r="B940" s="15"/>
      <c r="C940" s="11">
        <f t="shared" si="42"/>
        <v>1</v>
      </c>
      <c r="D940" s="11"/>
      <c r="E940" s="11"/>
      <c r="F940" s="11"/>
      <c r="G940" s="89">
        <f>IFERROR(VLOOKUP(F940,COA!$A$1:$K$26,2,FALSE),0)</f>
        <v>0</v>
      </c>
      <c r="H940" s="11"/>
      <c r="I940" s="11"/>
      <c r="J940" s="78"/>
      <c r="K940" s="78"/>
      <c r="L940" s="146">
        <f t="shared" si="44"/>
        <v>1800000</v>
      </c>
      <c r="M940" s="73"/>
      <c r="N940" s="73"/>
      <c r="O940" s="7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 x14ac:dyDescent="0.35">
      <c r="A941" s="9">
        <f t="shared" si="43"/>
        <v>933</v>
      </c>
      <c r="B941" s="15"/>
      <c r="C941" s="11">
        <f t="shared" si="42"/>
        <v>1</v>
      </c>
      <c r="D941" s="11"/>
      <c r="E941" s="11"/>
      <c r="F941" s="11"/>
      <c r="G941" s="89">
        <f>IFERROR(VLOOKUP(F941,COA!$A$1:$K$26,2,FALSE),0)</f>
        <v>0</v>
      </c>
      <c r="H941" s="13"/>
      <c r="I941" s="13"/>
      <c r="J941" s="78"/>
      <c r="K941" s="78"/>
      <c r="L941" s="146">
        <f t="shared" si="44"/>
        <v>1800000</v>
      </c>
      <c r="M941" s="73"/>
      <c r="N941" s="73"/>
      <c r="O941" s="7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 x14ac:dyDescent="0.35">
      <c r="A942" s="9">
        <f t="shared" si="43"/>
        <v>934</v>
      </c>
      <c r="B942" s="15"/>
      <c r="C942" s="11">
        <f t="shared" si="42"/>
        <v>1</v>
      </c>
      <c r="D942" s="11"/>
      <c r="E942" s="11"/>
      <c r="F942" s="11"/>
      <c r="G942" s="89">
        <f>IFERROR(VLOOKUP(F942,COA!$A$1:$K$26,2,FALSE),0)</f>
        <v>0</v>
      </c>
      <c r="H942" s="11"/>
      <c r="I942" s="11"/>
      <c r="J942" s="78"/>
      <c r="K942" s="78"/>
      <c r="L942" s="146">
        <f t="shared" si="44"/>
        <v>1800000</v>
      </c>
      <c r="M942" s="73"/>
      <c r="N942" s="73"/>
      <c r="O942" s="7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 x14ac:dyDescent="0.35">
      <c r="A943" s="9">
        <f t="shared" si="43"/>
        <v>935</v>
      </c>
      <c r="B943" s="15"/>
      <c r="C943" s="11">
        <f t="shared" si="42"/>
        <v>1</v>
      </c>
      <c r="D943" s="11"/>
      <c r="E943" s="11"/>
      <c r="F943" s="11"/>
      <c r="G943" s="89">
        <f>IFERROR(VLOOKUP(F943,COA!$A$1:$K$26,2,FALSE),0)</f>
        <v>0</v>
      </c>
      <c r="H943" s="11"/>
      <c r="I943" s="11"/>
      <c r="J943" s="78"/>
      <c r="K943" s="78"/>
      <c r="L943" s="146">
        <f t="shared" si="44"/>
        <v>1800000</v>
      </c>
      <c r="M943" s="73"/>
      <c r="N943" s="73"/>
      <c r="O943" s="7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 x14ac:dyDescent="0.35">
      <c r="A944" s="9">
        <f t="shared" si="43"/>
        <v>936</v>
      </c>
      <c r="B944" s="15"/>
      <c r="C944" s="11">
        <f t="shared" si="42"/>
        <v>1</v>
      </c>
      <c r="D944" s="11"/>
      <c r="E944" s="11"/>
      <c r="F944" s="11"/>
      <c r="G944" s="89">
        <f>IFERROR(VLOOKUP(F944,COA!$A$1:$K$26,2,FALSE),0)</f>
        <v>0</v>
      </c>
      <c r="H944" s="11"/>
      <c r="I944" s="11"/>
      <c r="J944" s="78"/>
      <c r="K944" s="78"/>
      <c r="L944" s="146">
        <f t="shared" si="44"/>
        <v>1800000</v>
      </c>
      <c r="M944" s="73"/>
      <c r="N944" s="73"/>
      <c r="O944" s="7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 x14ac:dyDescent="0.35">
      <c r="A945" s="9">
        <f t="shared" si="43"/>
        <v>937</v>
      </c>
      <c r="B945" s="15"/>
      <c r="C945" s="11">
        <f t="shared" si="42"/>
        <v>1</v>
      </c>
      <c r="D945" s="11"/>
      <c r="E945" s="11"/>
      <c r="F945" s="11"/>
      <c r="G945" s="89">
        <f>IFERROR(VLOOKUP(F945,COA!$A$1:$K$26,2,FALSE),0)</f>
        <v>0</v>
      </c>
      <c r="H945" s="11"/>
      <c r="I945" s="11"/>
      <c r="J945" s="78"/>
      <c r="K945" s="78"/>
      <c r="L945" s="146">
        <f t="shared" si="44"/>
        <v>1800000</v>
      </c>
      <c r="M945" s="73"/>
      <c r="N945" s="73"/>
      <c r="O945" s="7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 x14ac:dyDescent="0.35">
      <c r="A946" s="9">
        <f t="shared" si="43"/>
        <v>938</v>
      </c>
      <c r="B946" s="15"/>
      <c r="C946" s="11">
        <f t="shared" si="42"/>
        <v>1</v>
      </c>
      <c r="D946" s="11"/>
      <c r="E946" s="11"/>
      <c r="F946" s="11"/>
      <c r="G946" s="89">
        <f>IFERROR(VLOOKUP(F946,COA!$A$1:$K$26,2,FALSE),0)</f>
        <v>0</v>
      </c>
      <c r="H946" s="11"/>
      <c r="I946" s="11"/>
      <c r="J946" s="78"/>
      <c r="K946" s="78"/>
      <c r="L946" s="146">
        <f t="shared" si="44"/>
        <v>1800000</v>
      </c>
      <c r="M946" s="73"/>
      <c r="N946" s="73"/>
      <c r="O946" s="7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 x14ac:dyDescent="0.35">
      <c r="A947" s="9">
        <f t="shared" si="43"/>
        <v>939</v>
      </c>
      <c r="B947" s="15"/>
      <c r="C947" s="11">
        <f t="shared" si="42"/>
        <v>1</v>
      </c>
      <c r="D947" s="11"/>
      <c r="E947" s="11"/>
      <c r="F947" s="11"/>
      <c r="G947" s="89">
        <f>IFERROR(VLOOKUP(F947,COA!$A$1:$K$26,2,FALSE),0)</f>
        <v>0</v>
      </c>
      <c r="H947" s="11"/>
      <c r="I947" s="11"/>
      <c r="J947" s="78"/>
      <c r="K947" s="78"/>
      <c r="L947" s="146">
        <f t="shared" si="44"/>
        <v>1800000</v>
      </c>
      <c r="M947" s="73"/>
      <c r="N947" s="73"/>
      <c r="O947" s="7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 x14ac:dyDescent="0.35">
      <c r="A948" s="9">
        <f t="shared" si="43"/>
        <v>940</v>
      </c>
      <c r="B948" s="15"/>
      <c r="C948" s="11">
        <f t="shared" si="42"/>
        <v>1</v>
      </c>
      <c r="D948" s="11"/>
      <c r="E948" s="11"/>
      <c r="F948" s="11"/>
      <c r="G948" s="89">
        <f>IFERROR(VLOOKUP(F948,COA!$A$1:$K$26,2,FALSE),0)</f>
        <v>0</v>
      </c>
      <c r="H948" s="11"/>
      <c r="I948" s="11"/>
      <c r="J948" s="78"/>
      <c r="K948" s="78"/>
      <c r="L948" s="146">
        <f t="shared" si="44"/>
        <v>1800000</v>
      </c>
      <c r="M948" s="73"/>
      <c r="N948" s="73"/>
      <c r="O948" s="7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 x14ac:dyDescent="0.35">
      <c r="A949" s="9">
        <f t="shared" si="43"/>
        <v>941</v>
      </c>
      <c r="B949" s="15"/>
      <c r="C949" s="11">
        <f t="shared" si="42"/>
        <v>1</v>
      </c>
      <c r="D949" s="11"/>
      <c r="E949" s="11"/>
      <c r="F949" s="11"/>
      <c r="G949" s="89">
        <f>IFERROR(VLOOKUP(F949,COA!$A$1:$K$26,2,FALSE),0)</f>
        <v>0</v>
      </c>
      <c r="H949" s="11"/>
      <c r="I949" s="11"/>
      <c r="J949" s="78"/>
      <c r="K949" s="78"/>
      <c r="L949" s="146">
        <f t="shared" si="44"/>
        <v>1800000</v>
      </c>
      <c r="M949" s="73"/>
      <c r="N949" s="73"/>
      <c r="O949" s="7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 x14ac:dyDescent="0.35">
      <c r="A950" s="9">
        <f t="shared" si="43"/>
        <v>942</v>
      </c>
      <c r="B950" s="15"/>
      <c r="C950" s="11">
        <f t="shared" si="42"/>
        <v>1</v>
      </c>
      <c r="D950" s="11"/>
      <c r="E950" s="11"/>
      <c r="F950" s="11"/>
      <c r="G950" s="89">
        <f>IFERROR(VLOOKUP(F950,COA!$A$1:$K$26,2,FALSE),0)</f>
        <v>0</v>
      </c>
      <c r="H950" s="11"/>
      <c r="I950" s="11"/>
      <c r="J950" s="78"/>
      <c r="K950" s="78"/>
      <c r="L950" s="146">
        <f t="shared" si="44"/>
        <v>1800000</v>
      </c>
      <c r="M950" s="73"/>
      <c r="N950" s="73"/>
      <c r="O950" s="7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 x14ac:dyDescent="0.35">
      <c r="A951" s="9">
        <f t="shared" si="43"/>
        <v>943</v>
      </c>
      <c r="B951" s="15"/>
      <c r="C951" s="11">
        <f t="shared" si="42"/>
        <v>1</v>
      </c>
      <c r="D951" s="11"/>
      <c r="E951" s="11"/>
      <c r="F951" s="11"/>
      <c r="G951" s="89">
        <f>IFERROR(VLOOKUP(F951,COA!$A$1:$K$26,2,FALSE),0)</f>
        <v>0</v>
      </c>
      <c r="H951" s="11"/>
      <c r="I951" s="11"/>
      <c r="J951" s="78"/>
      <c r="K951" s="78"/>
      <c r="L951" s="146">
        <f t="shared" si="44"/>
        <v>1800000</v>
      </c>
      <c r="M951" s="73"/>
      <c r="N951" s="73"/>
      <c r="O951" s="7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 x14ac:dyDescent="0.35">
      <c r="A952" s="9">
        <f t="shared" si="43"/>
        <v>944</v>
      </c>
      <c r="B952" s="15"/>
      <c r="C952" s="11">
        <f t="shared" si="42"/>
        <v>1</v>
      </c>
      <c r="D952" s="11"/>
      <c r="E952" s="11"/>
      <c r="F952" s="11"/>
      <c r="G952" s="89">
        <f>IFERROR(VLOOKUP(F952,COA!$A$1:$K$26,2,FALSE),0)</f>
        <v>0</v>
      </c>
      <c r="H952" s="11"/>
      <c r="I952" s="11"/>
      <c r="J952" s="78"/>
      <c r="K952" s="78"/>
      <c r="L952" s="146">
        <f t="shared" si="44"/>
        <v>1800000</v>
      </c>
      <c r="M952" s="73"/>
      <c r="N952" s="73"/>
      <c r="O952" s="7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 x14ac:dyDescent="0.35">
      <c r="A953" s="9">
        <f t="shared" si="43"/>
        <v>945</v>
      </c>
      <c r="B953" s="15"/>
      <c r="C953" s="11">
        <f t="shared" si="42"/>
        <v>1</v>
      </c>
      <c r="D953" s="11"/>
      <c r="E953" s="11"/>
      <c r="F953" s="11"/>
      <c r="G953" s="89">
        <f>IFERROR(VLOOKUP(F953,COA!$A$1:$K$26,2,FALSE),0)</f>
        <v>0</v>
      </c>
      <c r="H953" s="11"/>
      <c r="I953" s="11"/>
      <c r="J953" s="78"/>
      <c r="K953" s="78"/>
      <c r="L953" s="146">
        <f t="shared" si="44"/>
        <v>1800000</v>
      </c>
      <c r="M953" s="73"/>
      <c r="N953" s="73"/>
      <c r="O953" s="7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 x14ac:dyDescent="0.35">
      <c r="A954" s="9">
        <f t="shared" si="43"/>
        <v>946</v>
      </c>
      <c r="B954" s="15"/>
      <c r="C954" s="11">
        <f t="shared" si="42"/>
        <v>1</v>
      </c>
      <c r="D954" s="11"/>
      <c r="E954" s="11"/>
      <c r="F954" s="11"/>
      <c r="G954" s="89">
        <f>IFERROR(VLOOKUP(F954,COA!$A$1:$K$26,2,FALSE),0)</f>
        <v>0</v>
      </c>
      <c r="H954" s="11"/>
      <c r="I954" s="11"/>
      <c r="J954" s="78"/>
      <c r="K954" s="78"/>
      <c r="L954" s="146">
        <f t="shared" si="44"/>
        <v>1800000</v>
      </c>
      <c r="M954" s="73"/>
      <c r="N954" s="73"/>
      <c r="O954" s="7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 x14ac:dyDescent="0.35">
      <c r="A955" s="9">
        <f t="shared" si="43"/>
        <v>947</v>
      </c>
      <c r="B955" s="15"/>
      <c r="C955" s="11">
        <f t="shared" si="42"/>
        <v>1</v>
      </c>
      <c r="D955" s="11"/>
      <c r="E955" s="11"/>
      <c r="F955" s="11"/>
      <c r="G955" s="89">
        <f>IFERROR(VLOOKUP(F955,COA!$A$1:$K$26,2,FALSE),0)</f>
        <v>0</v>
      </c>
      <c r="H955" s="11"/>
      <c r="I955" s="11"/>
      <c r="J955" s="78"/>
      <c r="K955" s="78"/>
      <c r="L955" s="146">
        <f t="shared" si="44"/>
        <v>1800000</v>
      </c>
      <c r="M955" s="73"/>
      <c r="N955" s="73"/>
      <c r="O955" s="7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 x14ac:dyDescent="0.35">
      <c r="A956" s="9">
        <f t="shared" si="43"/>
        <v>948</v>
      </c>
      <c r="B956" s="15"/>
      <c r="C956" s="11">
        <f t="shared" si="42"/>
        <v>1</v>
      </c>
      <c r="D956" s="11"/>
      <c r="E956" s="11"/>
      <c r="F956" s="11"/>
      <c r="G956" s="89">
        <f>IFERROR(VLOOKUP(F956,COA!$A$1:$K$26,2,FALSE),0)</f>
        <v>0</v>
      </c>
      <c r="H956" s="11"/>
      <c r="I956" s="11"/>
      <c r="J956" s="78"/>
      <c r="K956" s="78"/>
      <c r="L956" s="146">
        <f t="shared" si="44"/>
        <v>1800000</v>
      </c>
      <c r="M956" s="73"/>
      <c r="N956" s="73"/>
      <c r="O956" s="7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 x14ac:dyDescent="0.35">
      <c r="A957" s="9">
        <f t="shared" si="43"/>
        <v>949</v>
      </c>
      <c r="B957" s="15"/>
      <c r="C957" s="11">
        <f t="shared" si="42"/>
        <v>1</v>
      </c>
      <c r="D957" s="11"/>
      <c r="E957" s="11"/>
      <c r="F957" s="11"/>
      <c r="G957" s="89">
        <f>IFERROR(VLOOKUP(F957,COA!$A$1:$K$26,2,FALSE),0)</f>
        <v>0</v>
      </c>
      <c r="H957" s="11"/>
      <c r="I957" s="11"/>
      <c r="J957" s="78"/>
      <c r="K957" s="78"/>
      <c r="L957" s="146">
        <f t="shared" si="44"/>
        <v>1800000</v>
      </c>
      <c r="M957" s="73"/>
      <c r="N957" s="73"/>
      <c r="O957" s="7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 x14ac:dyDescent="0.35">
      <c r="A958" s="9">
        <f t="shared" si="43"/>
        <v>950</v>
      </c>
      <c r="B958" s="15"/>
      <c r="C958" s="11">
        <f t="shared" si="42"/>
        <v>1</v>
      </c>
      <c r="D958" s="11"/>
      <c r="E958" s="11"/>
      <c r="F958" s="11"/>
      <c r="G958" s="89">
        <f>IFERROR(VLOOKUP(F958,COA!$A$1:$K$26,2,FALSE),0)</f>
        <v>0</v>
      </c>
      <c r="H958" s="11"/>
      <c r="I958" s="11"/>
      <c r="J958" s="78"/>
      <c r="K958" s="78"/>
      <c r="L958" s="146">
        <f t="shared" si="44"/>
        <v>1800000</v>
      </c>
      <c r="M958" s="73"/>
      <c r="N958" s="73"/>
      <c r="O958" s="7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 x14ac:dyDescent="0.35">
      <c r="A959" s="9">
        <f t="shared" si="43"/>
        <v>951</v>
      </c>
      <c r="B959" s="15"/>
      <c r="C959" s="11">
        <f t="shared" si="42"/>
        <v>1</v>
      </c>
      <c r="D959" s="11"/>
      <c r="E959" s="11"/>
      <c r="F959" s="11"/>
      <c r="G959" s="89">
        <f>IFERROR(VLOOKUP(F959,COA!$A$1:$K$26,2,FALSE),0)</f>
        <v>0</v>
      </c>
      <c r="H959" s="11"/>
      <c r="I959" s="11"/>
      <c r="J959" s="78"/>
      <c r="K959" s="78"/>
      <c r="L959" s="146">
        <f t="shared" si="44"/>
        <v>1800000</v>
      </c>
      <c r="M959" s="73"/>
      <c r="N959" s="73"/>
      <c r="O959" s="7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 x14ac:dyDescent="0.35">
      <c r="A960" s="9">
        <f t="shared" si="43"/>
        <v>952</v>
      </c>
      <c r="B960" s="15"/>
      <c r="C960" s="11">
        <f t="shared" si="42"/>
        <v>1</v>
      </c>
      <c r="D960" s="11"/>
      <c r="E960" s="11"/>
      <c r="F960" s="11"/>
      <c r="G960" s="89">
        <f>IFERROR(VLOOKUP(F960,COA!$A$1:$K$26,2,FALSE),0)</f>
        <v>0</v>
      </c>
      <c r="H960" s="11"/>
      <c r="I960" s="11"/>
      <c r="J960" s="78"/>
      <c r="K960" s="78"/>
      <c r="L960" s="146">
        <f t="shared" si="44"/>
        <v>1800000</v>
      </c>
      <c r="M960" s="73"/>
      <c r="N960" s="73"/>
      <c r="O960" s="7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 x14ac:dyDescent="0.35">
      <c r="A961" s="9">
        <f t="shared" si="43"/>
        <v>953</v>
      </c>
      <c r="B961" s="15"/>
      <c r="C961" s="11">
        <f t="shared" si="42"/>
        <v>1</v>
      </c>
      <c r="D961" s="11"/>
      <c r="E961" s="11"/>
      <c r="F961" s="11"/>
      <c r="G961" s="89">
        <f>IFERROR(VLOOKUP(F961,COA!$A$1:$K$26,2,FALSE),0)</f>
        <v>0</v>
      </c>
      <c r="H961" s="11"/>
      <c r="I961" s="11"/>
      <c r="J961" s="78"/>
      <c r="K961" s="78"/>
      <c r="L961" s="146">
        <f t="shared" si="44"/>
        <v>1800000</v>
      </c>
      <c r="M961" s="73"/>
      <c r="N961" s="73"/>
      <c r="O961" s="7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 x14ac:dyDescent="0.35">
      <c r="A962" s="9">
        <f t="shared" si="43"/>
        <v>954</v>
      </c>
      <c r="B962" s="15"/>
      <c r="C962" s="11">
        <f t="shared" si="42"/>
        <v>1</v>
      </c>
      <c r="D962" s="11"/>
      <c r="E962" s="11"/>
      <c r="F962" s="11"/>
      <c r="G962" s="89">
        <f>IFERROR(VLOOKUP(F962,COA!$A$1:$K$26,2,FALSE),0)</f>
        <v>0</v>
      </c>
      <c r="H962" s="11"/>
      <c r="I962" s="11"/>
      <c r="J962" s="78"/>
      <c r="K962" s="78"/>
      <c r="L962" s="146">
        <f t="shared" si="44"/>
        <v>1800000</v>
      </c>
      <c r="M962" s="73"/>
      <c r="N962" s="73"/>
      <c r="O962" s="7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 x14ac:dyDescent="0.35">
      <c r="A963" s="9">
        <f t="shared" si="43"/>
        <v>955</v>
      </c>
      <c r="B963" s="15"/>
      <c r="C963" s="11">
        <f t="shared" si="42"/>
        <v>1</v>
      </c>
      <c r="D963" s="11"/>
      <c r="E963" s="11"/>
      <c r="F963" s="11"/>
      <c r="G963" s="89">
        <f>IFERROR(VLOOKUP(F963,COA!$A$1:$K$26,2,FALSE),0)</f>
        <v>0</v>
      </c>
      <c r="H963" s="11"/>
      <c r="I963" s="11"/>
      <c r="J963" s="78"/>
      <c r="K963" s="78"/>
      <c r="L963" s="146">
        <f t="shared" si="44"/>
        <v>1800000</v>
      </c>
      <c r="M963" s="73"/>
      <c r="N963" s="73"/>
      <c r="O963" s="7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 x14ac:dyDescent="0.35">
      <c r="A964" s="9">
        <f t="shared" si="43"/>
        <v>956</v>
      </c>
      <c r="B964" s="15"/>
      <c r="C964" s="11">
        <f t="shared" si="42"/>
        <v>1</v>
      </c>
      <c r="D964" s="11"/>
      <c r="E964" s="11"/>
      <c r="F964" s="11"/>
      <c r="G964" s="89">
        <f>IFERROR(VLOOKUP(F964,COA!$A$1:$K$26,2,FALSE),0)</f>
        <v>0</v>
      </c>
      <c r="H964" s="11"/>
      <c r="I964" s="11"/>
      <c r="J964" s="78"/>
      <c r="K964" s="78"/>
      <c r="L964" s="146">
        <f t="shared" si="44"/>
        <v>1800000</v>
      </c>
      <c r="M964" s="73"/>
      <c r="N964" s="73"/>
      <c r="O964" s="7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 x14ac:dyDescent="0.35">
      <c r="A965" s="9">
        <f t="shared" si="43"/>
        <v>957</v>
      </c>
      <c r="B965" s="15"/>
      <c r="C965" s="11">
        <f t="shared" si="42"/>
        <v>1</v>
      </c>
      <c r="D965" s="11"/>
      <c r="E965" s="11"/>
      <c r="F965" s="11"/>
      <c r="G965" s="89">
        <f>IFERROR(VLOOKUP(F965,COA!$A$1:$K$26,2,FALSE),0)</f>
        <v>0</v>
      </c>
      <c r="H965" s="11"/>
      <c r="I965" s="11"/>
      <c r="J965" s="78"/>
      <c r="K965" s="78"/>
      <c r="L965" s="146">
        <f t="shared" si="44"/>
        <v>1800000</v>
      </c>
      <c r="M965" s="73"/>
      <c r="N965" s="73"/>
      <c r="O965" s="7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 x14ac:dyDescent="0.35">
      <c r="A966" s="9">
        <f t="shared" si="43"/>
        <v>958</v>
      </c>
      <c r="B966" s="15"/>
      <c r="C966" s="11">
        <f t="shared" si="42"/>
        <v>1</v>
      </c>
      <c r="D966" s="11"/>
      <c r="E966" s="11"/>
      <c r="F966" s="11"/>
      <c r="G966" s="89">
        <f>IFERROR(VLOOKUP(F966,COA!$A$1:$K$26,2,FALSE),0)</f>
        <v>0</v>
      </c>
      <c r="H966" s="11"/>
      <c r="I966" s="11"/>
      <c r="J966" s="78"/>
      <c r="K966" s="78"/>
      <c r="L966" s="146">
        <f t="shared" si="44"/>
        <v>1800000</v>
      </c>
      <c r="M966" s="73"/>
      <c r="N966" s="73"/>
      <c r="O966" s="7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 x14ac:dyDescent="0.35">
      <c r="A967" s="9">
        <f t="shared" si="43"/>
        <v>959</v>
      </c>
      <c r="B967" s="15"/>
      <c r="C967" s="11">
        <f t="shared" si="42"/>
        <v>1</v>
      </c>
      <c r="D967" s="11"/>
      <c r="E967" s="11"/>
      <c r="F967" s="11"/>
      <c r="G967" s="89">
        <f>IFERROR(VLOOKUP(F967,COA!$A$1:$K$26,2,FALSE),0)</f>
        <v>0</v>
      </c>
      <c r="H967" s="11"/>
      <c r="I967" s="11"/>
      <c r="J967" s="78"/>
      <c r="K967" s="78"/>
      <c r="L967" s="146">
        <f t="shared" si="44"/>
        <v>1800000</v>
      </c>
      <c r="M967" s="73"/>
      <c r="N967" s="73"/>
      <c r="O967" s="7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 x14ac:dyDescent="0.35">
      <c r="A968" s="9">
        <f t="shared" si="43"/>
        <v>960</v>
      </c>
      <c r="B968" s="15"/>
      <c r="C968" s="11">
        <f t="shared" ref="C968:C1031" si="45">MONTH(B968)</f>
        <v>1</v>
      </c>
      <c r="D968" s="11"/>
      <c r="E968" s="11"/>
      <c r="F968" s="11"/>
      <c r="G968" s="89">
        <f>IFERROR(VLOOKUP(F968,COA!$A$1:$K$26,2,FALSE),0)</f>
        <v>0</v>
      </c>
      <c r="H968" s="11"/>
      <c r="I968" s="11"/>
      <c r="J968" s="78"/>
      <c r="K968" s="78"/>
      <c r="L968" s="146">
        <f t="shared" si="44"/>
        <v>1800000</v>
      </c>
      <c r="M968" s="73"/>
      <c r="N968" s="73"/>
      <c r="O968" s="7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 x14ac:dyDescent="0.35">
      <c r="A969" s="9">
        <f t="shared" si="43"/>
        <v>961</v>
      </c>
      <c r="B969" s="15"/>
      <c r="C969" s="11">
        <f t="shared" si="45"/>
        <v>1</v>
      </c>
      <c r="D969" s="11"/>
      <c r="E969" s="11"/>
      <c r="F969" s="11"/>
      <c r="G969" s="89">
        <f>IFERROR(VLOOKUP(F969,COA!$A$1:$K$26,2,FALSE),0)</f>
        <v>0</v>
      </c>
      <c r="H969" s="11"/>
      <c r="I969" s="11"/>
      <c r="J969" s="78"/>
      <c r="K969" s="78"/>
      <c r="L969" s="146">
        <f t="shared" si="44"/>
        <v>1800000</v>
      </c>
      <c r="M969" s="73"/>
      <c r="N969" s="73"/>
      <c r="O969" s="7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 x14ac:dyDescent="0.35">
      <c r="A970" s="9">
        <f t="shared" si="43"/>
        <v>962</v>
      </c>
      <c r="B970" s="15"/>
      <c r="C970" s="11">
        <f t="shared" si="45"/>
        <v>1</v>
      </c>
      <c r="D970" s="11"/>
      <c r="E970" s="11"/>
      <c r="F970" s="11"/>
      <c r="G970" s="89">
        <f>IFERROR(VLOOKUP(F970,COA!$A$1:$K$26,2,FALSE),0)</f>
        <v>0</v>
      </c>
      <c r="H970" s="11"/>
      <c r="I970" s="11"/>
      <c r="J970" s="78"/>
      <c r="K970" s="78"/>
      <c r="L970" s="146">
        <f t="shared" si="44"/>
        <v>1800000</v>
      </c>
      <c r="M970" s="73"/>
      <c r="N970" s="73"/>
      <c r="O970" s="7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 x14ac:dyDescent="0.35">
      <c r="A971" s="9">
        <f t="shared" ref="A971:A1034" si="46">A970+1</f>
        <v>963</v>
      </c>
      <c r="B971" s="15"/>
      <c r="C971" s="11">
        <f t="shared" si="45"/>
        <v>1</v>
      </c>
      <c r="D971" s="11"/>
      <c r="E971" s="11"/>
      <c r="F971" s="11"/>
      <c r="G971" s="89">
        <f>IFERROR(VLOOKUP(F971,COA!$A$1:$K$26,2,FALSE),0)</f>
        <v>0</v>
      </c>
      <c r="H971" s="11"/>
      <c r="I971" s="11"/>
      <c r="J971" s="78"/>
      <c r="K971" s="78"/>
      <c r="L971" s="146">
        <f t="shared" ref="L971:L1034" si="47">L970+J971-K971</f>
        <v>1800000</v>
      </c>
      <c r="M971" s="73"/>
      <c r="N971" s="73"/>
      <c r="O971" s="7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 x14ac:dyDescent="0.35">
      <c r="A972" s="9">
        <f t="shared" si="46"/>
        <v>964</v>
      </c>
      <c r="B972" s="15"/>
      <c r="C972" s="11">
        <f t="shared" si="45"/>
        <v>1</v>
      </c>
      <c r="D972" s="11"/>
      <c r="E972" s="11"/>
      <c r="F972" s="11"/>
      <c r="G972" s="89">
        <f>IFERROR(VLOOKUP(F972,COA!$A$1:$K$26,2,FALSE),0)</f>
        <v>0</v>
      </c>
      <c r="H972" s="11"/>
      <c r="I972" s="11"/>
      <c r="J972" s="78"/>
      <c r="K972" s="78"/>
      <c r="L972" s="146">
        <f t="shared" si="47"/>
        <v>1800000</v>
      </c>
      <c r="M972" s="73"/>
      <c r="N972" s="73"/>
      <c r="O972" s="7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 x14ac:dyDescent="0.35">
      <c r="A973" s="9">
        <f t="shared" si="46"/>
        <v>965</v>
      </c>
      <c r="B973" s="15"/>
      <c r="C973" s="11">
        <f t="shared" si="45"/>
        <v>1</v>
      </c>
      <c r="D973" s="11"/>
      <c r="E973" s="11"/>
      <c r="F973" s="11"/>
      <c r="G973" s="89">
        <f>IFERROR(VLOOKUP(F973,COA!$A$1:$K$26,2,FALSE),0)</f>
        <v>0</v>
      </c>
      <c r="H973" s="11"/>
      <c r="I973" s="11"/>
      <c r="J973" s="78"/>
      <c r="K973" s="78"/>
      <c r="L973" s="146">
        <f t="shared" si="47"/>
        <v>1800000</v>
      </c>
      <c r="M973" s="73"/>
      <c r="N973" s="73"/>
      <c r="O973" s="7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 x14ac:dyDescent="0.35">
      <c r="A974" s="9">
        <f t="shared" si="46"/>
        <v>966</v>
      </c>
      <c r="B974" s="15"/>
      <c r="C974" s="11">
        <f t="shared" si="45"/>
        <v>1</v>
      </c>
      <c r="D974" s="11"/>
      <c r="E974" s="11"/>
      <c r="F974" s="11"/>
      <c r="G974" s="89">
        <f>IFERROR(VLOOKUP(F974,COA!$A$1:$K$26,2,FALSE),0)</f>
        <v>0</v>
      </c>
      <c r="H974" s="11"/>
      <c r="I974" s="11"/>
      <c r="J974" s="78"/>
      <c r="K974" s="78"/>
      <c r="L974" s="146">
        <f t="shared" si="47"/>
        <v>1800000</v>
      </c>
      <c r="M974" s="73"/>
      <c r="N974" s="73"/>
      <c r="O974" s="7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 x14ac:dyDescent="0.35">
      <c r="A975" s="9">
        <f t="shared" si="46"/>
        <v>967</v>
      </c>
      <c r="B975" s="15"/>
      <c r="C975" s="11">
        <f t="shared" si="45"/>
        <v>1</v>
      </c>
      <c r="D975" s="11"/>
      <c r="E975" s="11"/>
      <c r="F975" s="11"/>
      <c r="G975" s="89">
        <f>IFERROR(VLOOKUP(F975,COA!$A$1:$K$26,2,FALSE),0)</f>
        <v>0</v>
      </c>
      <c r="H975" s="11"/>
      <c r="I975" s="11"/>
      <c r="J975" s="78"/>
      <c r="K975" s="78"/>
      <c r="L975" s="146">
        <f t="shared" si="47"/>
        <v>1800000</v>
      </c>
      <c r="M975" s="73"/>
      <c r="N975" s="73"/>
      <c r="O975" s="7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 x14ac:dyDescent="0.35">
      <c r="A976" s="9">
        <f t="shared" si="46"/>
        <v>968</v>
      </c>
      <c r="B976" s="15"/>
      <c r="C976" s="11">
        <f t="shared" si="45"/>
        <v>1</v>
      </c>
      <c r="D976" s="11"/>
      <c r="E976" s="11"/>
      <c r="F976" s="11"/>
      <c r="G976" s="89">
        <f>IFERROR(VLOOKUP(F976,COA!$A$1:$K$26,2,FALSE),0)</f>
        <v>0</v>
      </c>
      <c r="H976" s="11"/>
      <c r="I976" s="11"/>
      <c r="J976" s="78"/>
      <c r="K976" s="78"/>
      <c r="L976" s="146">
        <f t="shared" si="47"/>
        <v>1800000</v>
      </c>
      <c r="M976" s="73"/>
      <c r="N976" s="73"/>
      <c r="O976" s="7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 x14ac:dyDescent="0.35">
      <c r="A977" s="9">
        <f t="shared" si="46"/>
        <v>969</v>
      </c>
      <c r="B977" s="15"/>
      <c r="C977" s="11">
        <f t="shared" si="45"/>
        <v>1</v>
      </c>
      <c r="D977" s="11"/>
      <c r="E977" s="11"/>
      <c r="F977" s="11"/>
      <c r="G977" s="89">
        <f>IFERROR(VLOOKUP(F977,COA!$A$1:$K$26,2,FALSE),0)</f>
        <v>0</v>
      </c>
      <c r="H977" s="11"/>
      <c r="I977" s="11"/>
      <c r="J977" s="78"/>
      <c r="K977" s="78"/>
      <c r="L977" s="146">
        <f t="shared" si="47"/>
        <v>1800000</v>
      </c>
      <c r="M977" s="73"/>
      <c r="N977" s="73"/>
      <c r="O977" s="7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 x14ac:dyDescent="0.35">
      <c r="A978" s="9">
        <f t="shared" si="46"/>
        <v>970</v>
      </c>
      <c r="B978" s="15"/>
      <c r="C978" s="11">
        <f t="shared" si="45"/>
        <v>1</v>
      </c>
      <c r="D978" s="11"/>
      <c r="E978" s="11"/>
      <c r="F978" s="11"/>
      <c r="G978" s="89">
        <f>IFERROR(VLOOKUP(F978,COA!$A$1:$K$26,2,FALSE),0)</f>
        <v>0</v>
      </c>
      <c r="H978" s="11"/>
      <c r="I978" s="11"/>
      <c r="J978" s="78"/>
      <c r="K978" s="78"/>
      <c r="L978" s="146">
        <f t="shared" si="47"/>
        <v>1800000</v>
      </c>
      <c r="M978" s="73"/>
      <c r="N978" s="73"/>
      <c r="O978" s="7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 x14ac:dyDescent="0.35">
      <c r="A979" s="9">
        <f t="shared" si="46"/>
        <v>971</v>
      </c>
      <c r="B979" s="15"/>
      <c r="C979" s="11">
        <f t="shared" si="45"/>
        <v>1</v>
      </c>
      <c r="D979" s="11"/>
      <c r="E979" s="11"/>
      <c r="F979" s="11"/>
      <c r="G979" s="89">
        <f>IFERROR(VLOOKUP(F979,COA!$A$1:$K$26,2,FALSE),0)</f>
        <v>0</v>
      </c>
      <c r="H979" s="11"/>
      <c r="I979" s="11"/>
      <c r="J979" s="78"/>
      <c r="K979" s="78"/>
      <c r="L979" s="146">
        <f t="shared" si="47"/>
        <v>1800000</v>
      </c>
      <c r="M979" s="73"/>
      <c r="N979" s="73"/>
      <c r="O979" s="7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 x14ac:dyDescent="0.35">
      <c r="A980" s="9">
        <f t="shared" si="46"/>
        <v>972</v>
      </c>
      <c r="B980" s="15"/>
      <c r="C980" s="11">
        <f t="shared" si="45"/>
        <v>1</v>
      </c>
      <c r="D980" s="11"/>
      <c r="E980" s="11"/>
      <c r="F980" s="11"/>
      <c r="G980" s="89">
        <f>IFERROR(VLOOKUP(F980,COA!$A$1:$K$26,2,FALSE),0)</f>
        <v>0</v>
      </c>
      <c r="H980" s="11"/>
      <c r="I980" s="11"/>
      <c r="J980" s="78"/>
      <c r="K980" s="78"/>
      <c r="L980" s="146">
        <f t="shared" si="47"/>
        <v>1800000</v>
      </c>
      <c r="M980" s="73"/>
      <c r="N980" s="73"/>
      <c r="O980" s="7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 x14ac:dyDescent="0.35">
      <c r="A981" s="9">
        <f t="shared" si="46"/>
        <v>973</v>
      </c>
      <c r="B981" s="15"/>
      <c r="C981" s="11">
        <f t="shared" si="45"/>
        <v>1</v>
      </c>
      <c r="D981" s="11"/>
      <c r="E981" s="11"/>
      <c r="F981" s="11"/>
      <c r="G981" s="89">
        <f>IFERROR(VLOOKUP(F981,COA!$A$1:$K$26,2,FALSE),0)</f>
        <v>0</v>
      </c>
      <c r="H981" s="11"/>
      <c r="I981" s="11"/>
      <c r="J981" s="78"/>
      <c r="K981" s="78"/>
      <c r="L981" s="146">
        <f t="shared" si="47"/>
        <v>1800000</v>
      </c>
      <c r="M981" s="73"/>
      <c r="N981" s="73"/>
      <c r="O981" s="7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 x14ac:dyDescent="0.35">
      <c r="A982" s="9">
        <f t="shared" si="46"/>
        <v>974</v>
      </c>
      <c r="B982" s="15"/>
      <c r="C982" s="11">
        <f t="shared" si="45"/>
        <v>1</v>
      </c>
      <c r="D982" s="11"/>
      <c r="E982" s="11"/>
      <c r="F982" s="11"/>
      <c r="G982" s="89">
        <f>IFERROR(VLOOKUP(F982,COA!$A$1:$K$26,2,FALSE),0)</f>
        <v>0</v>
      </c>
      <c r="H982" s="11"/>
      <c r="I982" s="11"/>
      <c r="J982" s="78"/>
      <c r="K982" s="78"/>
      <c r="L982" s="146">
        <f t="shared" si="47"/>
        <v>1800000</v>
      </c>
      <c r="M982" s="73"/>
      <c r="N982" s="73"/>
      <c r="O982" s="7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 x14ac:dyDescent="0.35">
      <c r="A983" s="9">
        <f t="shared" si="46"/>
        <v>975</v>
      </c>
      <c r="B983" s="15"/>
      <c r="C983" s="11">
        <f t="shared" si="45"/>
        <v>1</v>
      </c>
      <c r="D983" s="11"/>
      <c r="E983" s="11"/>
      <c r="F983" s="11"/>
      <c r="G983" s="89">
        <f>IFERROR(VLOOKUP(F983,COA!$A$1:$K$26,2,FALSE),0)</f>
        <v>0</v>
      </c>
      <c r="H983" s="11"/>
      <c r="I983" s="11"/>
      <c r="J983" s="78"/>
      <c r="K983" s="78"/>
      <c r="L983" s="146">
        <f t="shared" si="47"/>
        <v>1800000</v>
      </c>
      <c r="M983" s="73"/>
      <c r="N983" s="73"/>
      <c r="O983" s="7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 x14ac:dyDescent="0.35">
      <c r="A984" s="9">
        <f t="shared" si="46"/>
        <v>976</v>
      </c>
      <c r="B984" s="15"/>
      <c r="C984" s="11">
        <f t="shared" si="45"/>
        <v>1</v>
      </c>
      <c r="D984" s="11"/>
      <c r="E984" s="11"/>
      <c r="F984" s="11"/>
      <c r="G984" s="89">
        <f>IFERROR(VLOOKUP(F984,COA!$A$1:$K$26,2,FALSE),0)</f>
        <v>0</v>
      </c>
      <c r="H984" s="11"/>
      <c r="I984" s="11"/>
      <c r="J984" s="78"/>
      <c r="K984" s="78"/>
      <c r="L984" s="146">
        <f t="shared" si="47"/>
        <v>1800000</v>
      </c>
      <c r="M984" s="73"/>
      <c r="N984" s="73"/>
      <c r="O984" s="7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 x14ac:dyDescent="0.35">
      <c r="A985" s="9">
        <f t="shared" si="46"/>
        <v>977</v>
      </c>
      <c r="B985" s="15"/>
      <c r="C985" s="11">
        <f t="shared" si="45"/>
        <v>1</v>
      </c>
      <c r="D985" s="11"/>
      <c r="E985" s="11"/>
      <c r="F985" s="11"/>
      <c r="G985" s="89">
        <f>IFERROR(VLOOKUP(F985,COA!$A$1:$K$26,2,FALSE),0)</f>
        <v>0</v>
      </c>
      <c r="H985" s="11"/>
      <c r="I985" s="11"/>
      <c r="J985" s="78"/>
      <c r="K985" s="78"/>
      <c r="L985" s="146">
        <f t="shared" si="47"/>
        <v>1800000</v>
      </c>
      <c r="M985" s="73"/>
      <c r="N985" s="73"/>
      <c r="O985" s="7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 x14ac:dyDescent="0.35">
      <c r="A986" s="9">
        <f t="shared" si="46"/>
        <v>978</v>
      </c>
      <c r="B986" s="15"/>
      <c r="C986" s="11">
        <f t="shared" si="45"/>
        <v>1</v>
      </c>
      <c r="D986" s="11"/>
      <c r="E986" s="11"/>
      <c r="F986" s="11"/>
      <c r="G986" s="89">
        <f>IFERROR(VLOOKUP(F986,COA!$A$1:$K$26,2,FALSE),0)</f>
        <v>0</v>
      </c>
      <c r="H986" s="11"/>
      <c r="I986" s="11"/>
      <c r="J986" s="78"/>
      <c r="K986" s="78"/>
      <c r="L986" s="146">
        <f t="shared" si="47"/>
        <v>1800000</v>
      </c>
      <c r="M986" s="73"/>
      <c r="N986" s="73"/>
      <c r="O986" s="7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 x14ac:dyDescent="0.35">
      <c r="A987" s="9">
        <f t="shared" si="46"/>
        <v>979</v>
      </c>
      <c r="B987" s="15"/>
      <c r="C987" s="11">
        <f t="shared" si="45"/>
        <v>1</v>
      </c>
      <c r="D987" s="11"/>
      <c r="E987" s="11"/>
      <c r="F987" s="11"/>
      <c r="G987" s="89">
        <f>IFERROR(VLOOKUP(F987,COA!$A$1:$K$26,2,FALSE),0)</f>
        <v>0</v>
      </c>
      <c r="H987" s="11"/>
      <c r="I987" s="11"/>
      <c r="J987" s="78"/>
      <c r="K987" s="78"/>
      <c r="L987" s="146">
        <f t="shared" si="47"/>
        <v>1800000</v>
      </c>
      <c r="M987" s="73"/>
      <c r="N987" s="73"/>
      <c r="O987" s="7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 x14ac:dyDescent="0.35">
      <c r="A988" s="9">
        <f t="shared" si="46"/>
        <v>980</v>
      </c>
      <c r="B988" s="15"/>
      <c r="C988" s="11">
        <f t="shared" si="45"/>
        <v>1</v>
      </c>
      <c r="D988" s="11"/>
      <c r="E988" s="11"/>
      <c r="F988" s="11"/>
      <c r="G988" s="89">
        <f>IFERROR(VLOOKUP(F988,COA!$A$1:$K$26,2,FALSE),0)</f>
        <v>0</v>
      </c>
      <c r="H988" s="11"/>
      <c r="I988" s="11"/>
      <c r="J988" s="78"/>
      <c r="K988" s="78"/>
      <c r="L988" s="146">
        <f t="shared" si="47"/>
        <v>1800000</v>
      </c>
      <c r="M988" s="73"/>
      <c r="N988" s="73"/>
      <c r="O988" s="7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 x14ac:dyDescent="0.35">
      <c r="A989" s="9">
        <f t="shared" si="46"/>
        <v>981</v>
      </c>
      <c r="B989" s="15"/>
      <c r="C989" s="11">
        <f t="shared" si="45"/>
        <v>1</v>
      </c>
      <c r="D989" s="11"/>
      <c r="E989" s="11"/>
      <c r="F989" s="11"/>
      <c r="G989" s="89">
        <f>IFERROR(VLOOKUP(F989,COA!$A$1:$K$26,2,FALSE),0)</f>
        <v>0</v>
      </c>
      <c r="H989" s="11"/>
      <c r="I989" s="11"/>
      <c r="J989" s="78"/>
      <c r="K989" s="78"/>
      <c r="L989" s="146">
        <f t="shared" si="47"/>
        <v>1800000</v>
      </c>
      <c r="M989" s="73"/>
      <c r="N989" s="73"/>
      <c r="O989" s="7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 x14ac:dyDescent="0.35">
      <c r="A990" s="9">
        <f t="shared" si="46"/>
        <v>982</v>
      </c>
      <c r="B990" s="15"/>
      <c r="C990" s="11">
        <f t="shared" si="45"/>
        <v>1</v>
      </c>
      <c r="D990" s="11"/>
      <c r="E990" s="11"/>
      <c r="F990" s="11"/>
      <c r="G990" s="89">
        <f>IFERROR(VLOOKUP(F990,COA!$A$1:$K$26,2,FALSE),0)</f>
        <v>0</v>
      </c>
      <c r="H990" s="11"/>
      <c r="I990" s="11"/>
      <c r="J990" s="78"/>
      <c r="K990" s="78"/>
      <c r="L990" s="146">
        <f t="shared" si="47"/>
        <v>1800000</v>
      </c>
      <c r="M990" s="73"/>
      <c r="N990" s="73"/>
      <c r="O990" s="7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 x14ac:dyDescent="0.35">
      <c r="A991" s="9">
        <f t="shared" si="46"/>
        <v>983</v>
      </c>
      <c r="B991" s="15"/>
      <c r="C991" s="11">
        <f t="shared" si="45"/>
        <v>1</v>
      </c>
      <c r="D991" s="11"/>
      <c r="E991" s="11"/>
      <c r="F991" s="11"/>
      <c r="G991" s="89">
        <f>IFERROR(VLOOKUP(F991,COA!$A$1:$K$26,2,FALSE),0)</f>
        <v>0</v>
      </c>
      <c r="H991" s="11"/>
      <c r="I991" s="11"/>
      <c r="J991" s="78"/>
      <c r="K991" s="78"/>
      <c r="L991" s="146">
        <f t="shared" si="47"/>
        <v>1800000</v>
      </c>
      <c r="M991" s="73"/>
      <c r="N991" s="73"/>
      <c r="O991" s="7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 x14ac:dyDescent="0.35">
      <c r="A992" s="9">
        <f t="shared" si="46"/>
        <v>984</v>
      </c>
      <c r="B992" s="15"/>
      <c r="C992" s="11">
        <f t="shared" si="45"/>
        <v>1</v>
      </c>
      <c r="D992" s="11"/>
      <c r="E992" s="11"/>
      <c r="F992" s="11"/>
      <c r="G992" s="89">
        <f>IFERROR(VLOOKUP(F992,COA!$A$1:$K$26,2,FALSE),0)</f>
        <v>0</v>
      </c>
      <c r="H992" s="11"/>
      <c r="I992" s="11"/>
      <c r="J992" s="78"/>
      <c r="K992" s="78"/>
      <c r="L992" s="146">
        <f t="shared" si="47"/>
        <v>1800000</v>
      </c>
      <c r="M992" s="73"/>
      <c r="N992" s="73"/>
      <c r="O992" s="7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 x14ac:dyDescent="0.35">
      <c r="A993" s="9">
        <f t="shared" si="46"/>
        <v>985</v>
      </c>
      <c r="B993" s="15"/>
      <c r="C993" s="11">
        <f t="shared" si="45"/>
        <v>1</v>
      </c>
      <c r="D993" s="11"/>
      <c r="E993" s="11"/>
      <c r="F993" s="11"/>
      <c r="G993" s="89">
        <f>IFERROR(VLOOKUP(F993,COA!$A$1:$K$26,2,FALSE),0)</f>
        <v>0</v>
      </c>
      <c r="H993" s="11"/>
      <c r="I993" s="11"/>
      <c r="J993" s="78"/>
      <c r="K993" s="78"/>
      <c r="L993" s="146">
        <f t="shared" si="47"/>
        <v>1800000</v>
      </c>
      <c r="M993" s="73"/>
      <c r="N993" s="73"/>
      <c r="O993" s="7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 x14ac:dyDescent="0.35">
      <c r="A994" s="9">
        <f t="shared" si="46"/>
        <v>986</v>
      </c>
      <c r="B994" s="15"/>
      <c r="C994" s="11">
        <f t="shared" si="45"/>
        <v>1</v>
      </c>
      <c r="D994" s="11"/>
      <c r="E994" s="11"/>
      <c r="F994" s="11"/>
      <c r="G994" s="89">
        <f>IFERROR(VLOOKUP(F994,COA!$A$1:$K$26,2,FALSE),0)</f>
        <v>0</v>
      </c>
      <c r="H994" s="11"/>
      <c r="I994" s="11"/>
      <c r="J994" s="78"/>
      <c r="K994" s="78"/>
      <c r="L994" s="146">
        <f t="shared" si="47"/>
        <v>1800000</v>
      </c>
      <c r="M994" s="73"/>
      <c r="N994" s="73"/>
      <c r="O994" s="7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 x14ac:dyDescent="0.35">
      <c r="A995" s="9">
        <f t="shared" si="46"/>
        <v>987</v>
      </c>
      <c r="B995" s="15"/>
      <c r="C995" s="11">
        <f t="shared" si="45"/>
        <v>1</v>
      </c>
      <c r="D995" s="11"/>
      <c r="E995" s="11"/>
      <c r="F995" s="11"/>
      <c r="G995" s="89">
        <f>IFERROR(VLOOKUP(F995,COA!$A$1:$K$26,2,FALSE),0)</f>
        <v>0</v>
      </c>
      <c r="H995" s="11"/>
      <c r="I995" s="11"/>
      <c r="J995" s="78"/>
      <c r="K995" s="78"/>
      <c r="L995" s="146">
        <f t="shared" si="47"/>
        <v>1800000</v>
      </c>
      <c r="M995" s="73"/>
      <c r="N995" s="73"/>
      <c r="O995" s="7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 x14ac:dyDescent="0.35">
      <c r="A996" s="9">
        <f t="shared" si="46"/>
        <v>988</v>
      </c>
      <c r="B996" s="15"/>
      <c r="C996" s="11">
        <f t="shared" si="45"/>
        <v>1</v>
      </c>
      <c r="D996" s="11"/>
      <c r="E996" s="11"/>
      <c r="F996" s="11"/>
      <c r="G996" s="89">
        <f>IFERROR(VLOOKUP(F996,COA!$A$1:$K$26,2,FALSE),0)</f>
        <v>0</v>
      </c>
      <c r="H996" s="11"/>
      <c r="I996" s="11"/>
      <c r="J996" s="78"/>
      <c r="K996" s="78"/>
      <c r="L996" s="146">
        <f t="shared" si="47"/>
        <v>1800000</v>
      </c>
      <c r="M996" s="73"/>
      <c r="N996" s="73"/>
      <c r="O996" s="7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 x14ac:dyDescent="0.35">
      <c r="A997" s="9">
        <f t="shared" si="46"/>
        <v>989</v>
      </c>
      <c r="B997" s="15"/>
      <c r="C997" s="11">
        <f t="shared" si="45"/>
        <v>1</v>
      </c>
      <c r="D997" s="11"/>
      <c r="E997" s="11"/>
      <c r="F997" s="11"/>
      <c r="G997" s="89">
        <f>IFERROR(VLOOKUP(F997,COA!$A$1:$K$26,2,FALSE),0)</f>
        <v>0</v>
      </c>
      <c r="H997" s="11"/>
      <c r="I997" s="11"/>
      <c r="J997" s="78"/>
      <c r="K997" s="78"/>
      <c r="L997" s="146">
        <f t="shared" si="47"/>
        <v>1800000</v>
      </c>
      <c r="M997" s="73"/>
      <c r="N997" s="73"/>
      <c r="O997" s="7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 x14ac:dyDescent="0.35">
      <c r="A998" s="9">
        <f t="shared" si="46"/>
        <v>990</v>
      </c>
      <c r="B998" s="15"/>
      <c r="C998" s="11">
        <f t="shared" si="45"/>
        <v>1</v>
      </c>
      <c r="D998" s="11"/>
      <c r="E998" s="11"/>
      <c r="F998" s="11"/>
      <c r="G998" s="89">
        <f>IFERROR(VLOOKUP(F998,COA!$A$1:$K$26,2,FALSE),0)</f>
        <v>0</v>
      </c>
      <c r="H998" s="11"/>
      <c r="I998" s="11"/>
      <c r="J998" s="78"/>
      <c r="K998" s="78"/>
      <c r="L998" s="146">
        <f t="shared" si="47"/>
        <v>1800000</v>
      </c>
      <c r="M998" s="73"/>
      <c r="N998" s="73"/>
      <c r="O998" s="7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 x14ac:dyDescent="0.35">
      <c r="A999" s="9">
        <f t="shared" si="46"/>
        <v>991</v>
      </c>
      <c r="B999" s="15"/>
      <c r="C999" s="11">
        <f t="shared" si="45"/>
        <v>1</v>
      </c>
      <c r="D999" s="11"/>
      <c r="E999" s="11"/>
      <c r="F999" s="11"/>
      <c r="G999" s="89">
        <f>IFERROR(VLOOKUP(F999,COA!$A$1:$K$26,2,FALSE),0)</f>
        <v>0</v>
      </c>
      <c r="H999" s="11"/>
      <c r="I999" s="11"/>
      <c r="J999" s="78"/>
      <c r="K999" s="78"/>
      <c r="L999" s="146">
        <f t="shared" si="47"/>
        <v>1800000</v>
      </c>
      <c r="M999" s="73"/>
      <c r="N999" s="73"/>
      <c r="O999" s="7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 x14ac:dyDescent="0.35">
      <c r="A1000" s="9">
        <f t="shared" si="46"/>
        <v>992</v>
      </c>
      <c r="B1000" s="15"/>
      <c r="C1000" s="11">
        <f t="shared" si="45"/>
        <v>1</v>
      </c>
      <c r="D1000" s="11"/>
      <c r="E1000" s="11"/>
      <c r="F1000" s="11"/>
      <c r="G1000" s="89">
        <f>IFERROR(VLOOKUP(F1000,COA!$A$1:$K$26,2,FALSE),0)</f>
        <v>0</v>
      </c>
      <c r="H1000" s="11"/>
      <c r="I1000" s="11"/>
      <c r="J1000" s="78"/>
      <c r="K1000" s="78"/>
      <c r="L1000" s="146">
        <f t="shared" si="47"/>
        <v>1800000</v>
      </c>
      <c r="M1000" s="73"/>
      <c r="N1000" s="73"/>
      <c r="O1000" s="7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4.25" customHeight="1" x14ac:dyDescent="0.35">
      <c r="A1001" s="9">
        <f t="shared" si="46"/>
        <v>993</v>
      </c>
      <c r="B1001" s="15"/>
      <c r="C1001" s="11">
        <f t="shared" si="45"/>
        <v>1</v>
      </c>
      <c r="D1001" s="11"/>
      <c r="E1001" s="11"/>
      <c r="F1001" s="11"/>
      <c r="G1001" s="89">
        <f>IFERROR(VLOOKUP(F1001,COA!$A$1:$K$26,2,FALSE),0)</f>
        <v>0</v>
      </c>
      <c r="H1001" s="11"/>
      <c r="I1001" s="11"/>
      <c r="J1001" s="78"/>
      <c r="K1001" s="78"/>
      <c r="L1001" s="146">
        <f t="shared" si="47"/>
        <v>1800000</v>
      </c>
      <c r="M1001" s="73"/>
      <c r="N1001" s="73"/>
      <c r="O1001" s="7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4.25" customHeight="1" x14ac:dyDescent="0.35">
      <c r="A1002" s="9">
        <f t="shared" si="46"/>
        <v>994</v>
      </c>
      <c r="B1002" s="15"/>
      <c r="C1002" s="11">
        <f t="shared" si="45"/>
        <v>1</v>
      </c>
      <c r="D1002" s="11"/>
      <c r="E1002" s="11"/>
      <c r="F1002" s="11"/>
      <c r="G1002" s="89">
        <f>IFERROR(VLOOKUP(F1002,COA!$A$1:$K$26,2,FALSE),0)</f>
        <v>0</v>
      </c>
      <c r="H1002" s="11"/>
      <c r="I1002" s="11"/>
      <c r="J1002" s="78"/>
      <c r="K1002" s="78"/>
      <c r="L1002" s="146">
        <f t="shared" si="47"/>
        <v>1800000</v>
      </c>
      <c r="M1002" s="73"/>
      <c r="N1002" s="73"/>
      <c r="O1002" s="7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4.25" customHeight="1" x14ac:dyDescent="0.35">
      <c r="A1003" s="9">
        <f t="shared" si="46"/>
        <v>995</v>
      </c>
      <c r="B1003" s="15"/>
      <c r="C1003" s="11">
        <f t="shared" si="45"/>
        <v>1</v>
      </c>
      <c r="D1003" s="11"/>
      <c r="E1003" s="11"/>
      <c r="F1003" s="11"/>
      <c r="G1003" s="89">
        <f>IFERROR(VLOOKUP(F1003,COA!$A$1:$K$26,2,FALSE),0)</f>
        <v>0</v>
      </c>
      <c r="H1003" s="11"/>
      <c r="I1003" s="11"/>
      <c r="J1003" s="78"/>
      <c r="K1003" s="78"/>
      <c r="L1003" s="146">
        <f t="shared" si="47"/>
        <v>1800000</v>
      </c>
      <c r="M1003" s="73"/>
      <c r="N1003" s="73"/>
      <c r="O1003" s="7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4.25" customHeight="1" x14ac:dyDescent="0.35">
      <c r="A1004" s="9">
        <f t="shared" si="46"/>
        <v>996</v>
      </c>
      <c r="B1004" s="15"/>
      <c r="C1004" s="11">
        <f t="shared" si="45"/>
        <v>1</v>
      </c>
      <c r="D1004" s="11"/>
      <c r="E1004" s="11"/>
      <c r="F1004" s="11"/>
      <c r="G1004" s="89">
        <f>IFERROR(VLOOKUP(F1004,COA!$A$1:$K$26,2,FALSE),0)</f>
        <v>0</v>
      </c>
      <c r="H1004" s="11"/>
      <c r="I1004" s="11"/>
      <c r="J1004" s="78"/>
      <c r="K1004" s="78"/>
      <c r="L1004" s="146">
        <f t="shared" si="47"/>
        <v>1800000</v>
      </c>
      <c r="M1004" s="73"/>
      <c r="N1004" s="73"/>
      <c r="O1004" s="7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4.25" customHeight="1" x14ac:dyDescent="0.35">
      <c r="A1005" s="9">
        <f t="shared" si="46"/>
        <v>997</v>
      </c>
      <c r="B1005" s="15"/>
      <c r="C1005" s="11">
        <f t="shared" si="45"/>
        <v>1</v>
      </c>
      <c r="D1005" s="11"/>
      <c r="E1005" s="11"/>
      <c r="F1005" s="11"/>
      <c r="G1005" s="89">
        <f>IFERROR(VLOOKUP(F1005,COA!$A$1:$K$26,2,FALSE),0)</f>
        <v>0</v>
      </c>
      <c r="H1005" s="11"/>
      <c r="I1005" s="11"/>
      <c r="J1005" s="78"/>
      <c r="K1005" s="78"/>
      <c r="L1005" s="146">
        <f t="shared" si="47"/>
        <v>1800000</v>
      </c>
      <c r="M1005" s="73"/>
      <c r="N1005" s="73"/>
      <c r="O1005" s="7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4.25" customHeight="1" x14ac:dyDescent="0.35">
      <c r="A1006" s="9">
        <f t="shared" si="46"/>
        <v>998</v>
      </c>
      <c r="B1006" s="15"/>
      <c r="C1006" s="11">
        <f t="shared" si="45"/>
        <v>1</v>
      </c>
      <c r="D1006" s="11"/>
      <c r="E1006" s="11"/>
      <c r="F1006" s="11"/>
      <c r="G1006" s="89">
        <f>IFERROR(VLOOKUP(F1006,COA!$A$1:$K$26,2,FALSE),0)</f>
        <v>0</v>
      </c>
      <c r="H1006" s="11"/>
      <c r="I1006" s="11"/>
      <c r="J1006" s="78"/>
      <c r="K1006" s="78"/>
      <c r="L1006" s="146">
        <f t="shared" si="47"/>
        <v>1800000</v>
      </c>
      <c r="M1006" s="73"/>
      <c r="N1006" s="73"/>
      <c r="O1006" s="7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4.25" customHeight="1" x14ac:dyDescent="0.35">
      <c r="A1007" s="9">
        <f t="shared" si="46"/>
        <v>999</v>
      </c>
      <c r="B1007" s="15"/>
      <c r="C1007" s="11">
        <f t="shared" si="45"/>
        <v>1</v>
      </c>
      <c r="D1007" s="11"/>
      <c r="E1007" s="11"/>
      <c r="F1007" s="11"/>
      <c r="G1007" s="89">
        <f>IFERROR(VLOOKUP(F1007,COA!$A$1:$K$26,2,FALSE),0)</f>
        <v>0</v>
      </c>
      <c r="H1007" s="11"/>
      <c r="I1007" s="11"/>
      <c r="J1007" s="78"/>
      <c r="K1007" s="78"/>
      <c r="L1007" s="146">
        <f t="shared" si="47"/>
        <v>1800000</v>
      </c>
      <c r="M1007" s="73"/>
      <c r="N1007" s="73"/>
      <c r="O1007" s="7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4.25" customHeight="1" x14ac:dyDescent="0.35">
      <c r="A1008" s="9">
        <f t="shared" si="46"/>
        <v>1000</v>
      </c>
      <c r="B1008" s="15"/>
      <c r="C1008" s="11">
        <f t="shared" si="45"/>
        <v>1</v>
      </c>
      <c r="D1008" s="11"/>
      <c r="E1008" s="11"/>
      <c r="F1008" s="11"/>
      <c r="G1008" s="89">
        <f>IFERROR(VLOOKUP(F1008,COA!$A$1:$K$26,2,FALSE),0)</f>
        <v>0</v>
      </c>
      <c r="H1008" s="11"/>
      <c r="I1008" s="11"/>
      <c r="J1008" s="78"/>
      <c r="K1008" s="78"/>
      <c r="L1008" s="146">
        <f t="shared" si="47"/>
        <v>1800000</v>
      </c>
      <c r="M1008" s="73"/>
      <c r="N1008" s="73"/>
      <c r="O1008" s="7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4.25" customHeight="1" x14ac:dyDescent="0.35">
      <c r="A1009" s="9">
        <f t="shared" si="46"/>
        <v>1001</v>
      </c>
      <c r="B1009" s="15"/>
      <c r="C1009" s="11">
        <f t="shared" si="45"/>
        <v>1</v>
      </c>
      <c r="D1009" s="11"/>
      <c r="E1009" s="11"/>
      <c r="F1009" s="11"/>
      <c r="G1009" s="89">
        <f>IFERROR(VLOOKUP(F1009,COA!$A$1:$K$26,2,FALSE),0)</f>
        <v>0</v>
      </c>
      <c r="H1009" s="11"/>
      <c r="I1009" s="11"/>
      <c r="J1009" s="78"/>
      <c r="K1009" s="78"/>
      <c r="L1009" s="146">
        <f t="shared" si="47"/>
        <v>1800000</v>
      </c>
      <c r="M1009" s="73"/>
      <c r="N1009" s="73"/>
      <c r="O1009" s="7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4.25" customHeight="1" x14ac:dyDescent="0.35">
      <c r="A1010" s="9">
        <f t="shared" si="46"/>
        <v>1002</v>
      </c>
      <c r="B1010" s="15"/>
      <c r="C1010" s="11">
        <f t="shared" si="45"/>
        <v>1</v>
      </c>
      <c r="D1010" s="11"/>
      <c r="E1010" s="11"/>
      <c r="F1010" s="11"/>
      <c r="G1010" s="89">
        <f>IFERROR(VLOOKUP(F1010,COA!$A$1:$K$26,2,FALSE),0)</f>
        <v>0</v>
      </c>
      <c r="H1010" s="11"/>
      <c r="I1010" s="11"/>
      <c r="J1010" s="78"/>
      <c r="K1010" s="78"/>
      <c r="L1010" s="146">
        <f t="shared" si="47"/>
        <v>1800000</v>
      </c>
      <c r="M1010" s="73"/>
      <c r="N1010" s="73"/>
      <c r="O1010" s="7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14.25" customHeight="1" x14ac:dyDescent="0.35">
      <c r="A1011" s="9">
        <f t="shared" si="46"/>
        <v>1003</v>
      </c>
      <c r="B1011" s="15"/>
      <c r="C1011" s="11">
        <f t="shared" si="45"/>
        <v>1</v>
      </c>
      <c r="D1011" s="11"/>
      <c r="E1011" s="11"/>
      <c r="F1011" s="11"/>
      <c r="G1011" s="89">
        <f>IFERROR(VLOOKUP(F1011,COA!$A$1:$K$26,2,FALSE),0)</f>
        <v>0</v>
      </c>
      <c r="H1011" s="11"/>
      <c r="I1011" s="11"/>
      <c r="J1011" s="78"/>
      <c r="K1011" s="78"/>
      <c r="L1011" s="146">
        <f t="shared" si="47"/>
        <v>1800000</v>
      </c>
      <c r="M1011" s="73"/>
      <c r="N1011" s="73"/>
      <c r="O1011" s="7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14.25" customHeight="1" x14ac:dyDescent="0.35">
      <c r="A1012" s="9">
        <f t="shared" si="46"/>
        <v>1004</v>
      </c>
      <c r="B1012" s="15"/>
      <c r="C1012" s="11">
        <f t="shared" si="45"/>
        <v>1</v>
      </c>
      <c r="D1012" s="11"/>
      <c r="E1012" s="11"/>
      <c r="F1012" s="11"/>
      <c r="G1012" s="89">
        <f>IFERROR(VLOOKUP(F1012,COA!$A$1:$K$26,2,FALSE),0)</f>
        <v>0</v>
      </c>
      <c r="H1012" s="11"/>
      <c r="I1012" s="11"/>
      <c r="J1012" s="78"/>
      <c r="K1012" s="78"/>
      <c r="L1012" s="146">
        <f t="shared" si="47"/>
        <v>1800000</v>
      </c>
      <c r="M1012" s="73"/>
      <c r="N1012" s="73"/>
      <c r="O1012" s="7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14.25" customHeight="1" x14ac:dyDescent="0.35">
      <c r="A1013" s="9">
        <f t="shared" si="46"/>
        <v>1005</v>
      </c>
      <c r="B1013" s="15"/>
      <c r="C1013" s="11">
        <f t="shared" si="45"/>
        <v>1</v>
      </c>
      <c r="D1013" s="11"/>
      <c r="E1013" s="11"/>
      <c r="F1013" s="11"/>
      <c r="G1013" s="89">
        <f>IFERROR(VLOOKUP(F1013,COA!$A$1:$K$26,2,FALSE),0)</f>
        <v>0</v>
      </c>
      <c r="H1013" s="11"/>
      <c r="I1013" s="11"/>
      <c r="J1013" s="78"/>
      <c r="K1013" s="78"/>
      <c r="L1013" s="146">
        <f t="shared" si="47"/>
        <v>1800000</v>
      </c>
      <c r="M1013" s="73"/>
      <c r="N1013" s="73"/>
      <c r="O1013" s="7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14.25" customHeight="1" x14ac:dyDescent="0.35">
      <c r="A1014" s="9">
        <f t="shared" si="46"/>
        <v>1006</v>
      </c>
      <c r="B1014" s="15"/>
      <c r="C1014" s="11">
        <f t="shared" si="45"/>
        <v>1</v>
      </c>
      <c r="D1014" s="11"/>
      <c r="E1014" s="11"/>
      <c r="F1014" s="11"/>
      <c r="G1014" s="89">
        <f>IFERROR(VLOOKUP(F1014,COA!$A$1:$K$26,2,FALSE),0)</f>
        <v>0</v>
      </c>
      <c r="H1014" s="11"/>
      <c r="I1014" s="11"/>
      <c r="J1014" s="78"/>
      <c r="K1014" s="78"/>
      <c r="L1014" s="146">
        <f t="shared" si="47"/>
        <v>1800000</v>
      </c>
      <c r="M1014" s="73"/>
      <c r="N1014" s="73"/>
      <c r="O1014" s="7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14.25" customHeight="1" x14ac:dyDescent="0.35">
      <c r="A1015" s="9">
        <f t="shared" si="46"/>
        <v>1007</v>
      </c>
      <c r="B1015" s="15"/>
      <c r="C1015" s="11">
        <f t="shared" si="45"/>
        <v>1</v>
      </c>
      <c r="D1015" s="11"/>
      <c r="E1015" s="11"/>
      <c r="F1015" s="11"/>
      <c r="G1015" s="89">
        <f>IFERROR(VLOOKUP(F1015,COA!$A$1:$K$26,2,FALSE),0)</f>
        <v>0</v>
      </c>
      <c r="H1015" s="11"/>
      <c r="I1015" s="11"/>
      <c r="J1015" s="78"/>
      <c r="K1015" s="78"/>
      <c r="L1015" s="146">
        <f t="shared" si="47"/>
        <v>1800000</v>
      </c>
      <c r="M1015" s="73"/>
      <c r="N1015" s="73"/>
      <c r="O1015" s="7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14.25" customHeight="1" x14ac:dyDescent="0.35">
      <c r="A1016" s="9">
        <f t="shared" si="46"/>
        <v>1008</v>
      </c>
      <c r="B1016" s="15"/>
      <c r="C1016" s="11">
        <f t="shared" si="45"/>
        <v>1</v>
      </c>
      <c r="D1016" s="11"/>
      <c r="E1016" s="11"/>
      <c r="F1016" s="11"/>
      <c r="G1016" s="89">
        <f>IFERROR(VLOOKUP(F1016,COA!$A$1:$K$26,2,FALSE),0)</f>
        <v>0</v>
      </c>
      <c r="H1016" s="11"/>
      <c r="I1016" s="11"/>
      <c r="J1016" s="78"/>
      <c r="K1016" s="78"/>
      <c r="L1016" s="146">
        <f t="shared" si="47"/>
        <v>1800000</v>
      </c>
      <c r="M1016" s="73"/>
      <c r="N1016" s="73"/>
      <c r="O1016" s="7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14.25" customHeight="1" x14ac:dyDescent="0.35">
      <c r="A1017" s="9">
        <f t="shared" si="46"/>
        <v>1009</v>
      </c>
      <c r="B1017" s="15"/>
      <c r="C1017" s="11">
        <f t="shared" si="45"/>
        <v>1</v>
      </c>
      <c r="D1017" s="11"/>
      <c r="E1017" s="11"/>
      <c r="F1017" s="11"/>
      <c r="G1017" s="89">
        <f>IFERROR(VLOOKUP(F1017,COA!$A$1:$K$26,2,FALSE),0)</f>
        <v>0</v>
      </c>
      <c r="H1017" s="11"/>
      <c r="I1017" s="11"/>
      <c r="J1017" s="78"/>
      <c r="K1017" s="78"/>
      <c r="L1017" s="146">
        <f t="shared" si="47"/>
        <v>1800000</v>
      </c>
      <c r="M1017" s="73"/>
      <c r="N1017" s="73"/>
      <c r="O1017" s="7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14.25" customHeight="1" x14ac:dyDescent="0.35">
      <c r="A1018" s="9">
        <f t="shared" si="46"/>
        <v>1010</v>
      </c>
      <c r="B1018" s="15"/>
      <c r="C1018" s="11">
        <f t="shared" si="45"/>
        <v>1</v>
      </c>
      <c r="D1018" s="11"/>
      <c r="E1018" s="11"/>
      <c r="F1018" s="11"/>
      <c r="G1018" s="89">
        <f>IFERROR(VLOOKUP(F1018,COA!$A$1:$K$26,2,FALSE),0)</f>
        <v>0</v>
      </c>
      <c r="H1018" s="11"/>
      <c r="I1018" s="11"/>
      <c r="J1018" s="78"/>
      <c r="K1018" s="78"/>
      <c r="L1018" s="146">
        <f t="shared" si="47"/>
        <v>1800000</v>
      </c>
      <c r="M1018" s="73"/>
      <c r="N1018" s="73"/>
      <c r="O1018" s="7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14.25" customHeight="1" x14ac:dyDescent="0.35">
      <c r="A1019" s="9">
        <f t="shared" si="46"/>
        <v>1011</v>
      </c>
      <c r="B1019" s="15"/>
      <c r="C1019" s="11">
        <f t="shared" si="45"/>
        <v>1</v>
      </c>
      <c r="D1019" s="11"/>
      <c r="E1019" s="11"/>
      <c r="F1019" s="11"/>
      <c r="G1019" s="89">
        <f>IFERROR(VLOOKUP(F1019,COA!$A$1:$K$26,2,FALSE),0)</f>
        <v>0</v>
      </c>
      <c r="H1019" s="11"/>
      <c r="I1019" s="11"/>
      <c r="J1019" s="78"/>
      <c r="K1019" s="78"/>
      <c r="L1019" s="146">
        <f t="shared" si="47"/>
        <v>1800000</v>
      </c>
      <c r="M1019" s="73"/>
      <c r="N1019" s="73"/>
      <c r="O1019" s="7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14.25" customHeight="1" x14ac:dyDescent="0.35">
      <c r="A1020" s="9">
        <f t="shared" si="46"/>
        <v>1012</v>
      </c>
      <c r="B1020" s="15"/>
      <c r="C1020" s="11">
        <f t="shared" si="45"/>
        <v>1</v>
      </c>
      <c r="D1020" s="11"/>
      <c r="E1020" s="11"/>
      <c r="F1020" s="11"/>
      <c r="G1020" s="89">
        <f>IFERROR(VLOOKUP(F1020,COA!$A$1:$K$26,2,FALSE),0)</f>
        <v>0</v>
      </c>
      <c r="H1020" s="11"/>
      <c r="I1020" s="11"/>
      <c r="J1020" s="78"/>
      <c r="K1020" s="78"/>
      <c r="L1020" s="146">
        <f t="shared" si="47"/>
        <v>1800000</v>
      </c>
      <c r="M1020" s="73"/>
      <c r="N1020" s="73"/>
      <c r="O1020" s="7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14.25" customHeight="1" x14ac:dyDescent="0.35">
      <c r="A1021" s="9">
        <f t="shared" si="46"/>
        <v>1013</v>
      </c>
      <c r="B1021" s="15"/>
      <c r="C1021" s="11">
        <f t="shared" si="45"/>
        <v>1</v>
      </c>
      <c r="D1021" s="11"/>
      <c r="E1021" s="11"/>
      <c r="F1021" s="11"/>
      <c r="G1021" s="89">
        <f>IFERROR(VLOOKUP(F1021,COA!$A$1:$K$26,2,FALSE),0)</f>
        <v>0</v>
      </c>
      <c r="H1021" s="11"/>
      <c r="I1021" s="11"/>
      <c r="J1021" s="78"/>
      <c r="K1021" s="78"/>
      <c r="L1021" s="146">
        <f t="shared" si="47"/>
        <v>1800000</v>
      </c>
      <c r="M1021" s="73"/>
      <c r="N1021" s="73"/>
      <c r="O1021" s="7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14.25" customHeight="1" x14ac:dyDescent="0.35">
      <c r="A1022" s="9">
        <f t="shared" si="46"/>
        <v>1014</v>
      </c>
      <c r="B1022" s="15"/>
      <c r="C1022" s="11">
        <f t="shared" si="45"/>
        <v>1</v>
      </c>
      <c r="D1022" s="11"/>
      <c r="E1022" s="11"/>
      <c r="F1022" s="11"/>
      <c r="G1022" s="89">
        <f>IFERROR(VLOOKUP(F1022,COA!$A$1:$K$26,2,FALSE),0)</f>
        <v>0</v>
      </c>
      <c r="H1022" s="11"/>
      <c r="I1022" s="11"/>
      <c r="J1022" s="78"/>
      <c r="K1022" s="78"/>
      <c r="L1022" s="146">
        <f t="shared" si="47"/>
        <v>1800000</v>
      </c>
      <c r="M1022" s="73"/>
      <c r="N1022" s="73"/>
      <c r="O1022" s="7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14.25" customHeight="1" x14ac:dyDescent="0.35">
      <c r="A1023" s="9">
        <f t="shared" si="46"/>
        <v>1015</v>
      </c>
      <c r="B1023" s="15"/>
      <c r="C1023" s="11">
        <f t="shared" si="45"/>
        <v>1</v>
      </c>
      <c r="D1023" s="11"/>
      <c r="E1023" s="11"/>
      <c r="F1023" s="11"/>
      <c r="G1023" s="89">
        <f>IFERROR(VLOOKUP(F1023,COA!$A$1:$K$26,2,FALSE),0)</f>
        <v>0</v>
      </c>
      <c r="H1023" s="11"/>
      <c r="I1023" s="11"/>
      <c r="J1023" s="78"/>
      <c r="K1023" s="78"/>
      <c r="L1023" s="146">
        <f t="shared" si="47"/>
        <v>1800000</v>
      </c>
      <c r="M1023" s="73"/>
      <c r="N1023" s="73"/>
      <c r="O1023" s="7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14.25" customHeight="1" x14ac:dyDescent="0.35">
      <c r="A1024" s="9">
        <f t="shared" si="46"/>
        <v>1016</v>
      </c>
      <c r="B1024" s="15"/>
      <c r="C1024" s="11">
        <f t="shared" si="45"/>
        <v>1</v>
      </c>
      <c r="D1024" s="11"/>
      <c r="E1024" s="11"/>
      <c r="F1024" s="11"/>
      <c r="G1024" s="89">
        <f>IFERROR(VLOOKUP(F1024,COA!$A$1:$K$26,2,FALSE),0)</f>
        <v>0</v>
      </c>
      <c r="H1024" s="11"/>
      <c r="I1024" s="11"/>
      <c r="J1024" s="78"/>
      <c r="K1024" s="78"/>
      <c r="L1024" s="146">
        <f t="shared" si="47"/>
        <v>1800000</v>
      </c>
      <c r="M1024" s="73"/>
      <c r="N1024" s="73"/>
      <c r="O1024" s="7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14.25" customHeight="1" x14ac:dyDescent="0.35">
      <c r="A1025" s="9">
        <f t="shared" si="46"/>
        <v>1017</v>
      </c>
      <c r="B1025" s="15"/>
      <c r="C1025" s="11">
        <f t="shared" si="45"/>
        <v>1</v>
      </c>
      <c r="D1025" s="11"/>
      <c r="E1025" s="11"/>
      <c r="F1025" s="11"/>
      <c r="G1025" s="89">
        <f>IFERROR(VLOOKUP(F1025,COA!$A$1:$K$26,2,FALSE),0)</f>
        <v>0</v>
      </c>
      <c r="H1025" s="11"/>
      <c r="I1025" s="11"/>
      <c r="J1025" s="78"/>
      <c r="K1025" s="78"/>
      <c r="L1025" s="146">
        <f t="shared" si="47"/>
        <v>1800000</v>
      </c>
      <c r="M1025" s="73"/>
      <c r="N1025" s="73"/>
      <c r="O1025" s="7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14.25" customHeight="1" x14ac:dyDescent="0.35">
      <c r="A1026" s="9">
        <f t="shared" si="46"/>
        <v>1018</v>
      </c>
      <c r="B1026" s="15"/>
      <c r="C1026" s="11">
        <f t="shared" si="45"/>
        <v>1</v>
      </c>
      <c r="D1026" s="11"/>
      <c r="E1026" s="11"/>
      <c r="F1026" s="11"/>
      <c r="G1026" s="89">
        <f>IFERROR(VLOOKUP(F1026,COA!$A$1:$K$26,2,FALSE),0)</f>
        <v>0</v>
      </c>
      <c r="H1026" s="11"/>
      <c r="I1026" s="11"/>
      <c r="J1026" s="78"/>
      <c r="K1026" s="78"/>
      <c r="L1026" s="146">
        <f t="shared" si="47"/>
        <v>1800000</v>
      </c>
      <c r="M1026" s="73"/>
      <c r="N1026" s="73"/>
      <c r="O1026" s="7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14.25" customHeight="1" x14ac:dyDescent="0.35">
      <c r="A1027" s="9">
        <f t="shared" si="46"/>
        <v>1019</v>
      </c>
      <c r="B1027" s="15"/>
      <c r="C1027" s="11">
        <f t="shared" si="45"/>
        <v>1</v>
      </c>
      <c r="D1027" s="11"/>
      <c r="E1027" s="11"/>
      <c r="F1027" s="11"/>
      <c r="G1027" s="89">
        <f>IFERROR(VLOOKUP(F1027,COA!$A$1:$K$26,2,FALSE),0)</f>
        <v>0</v>
      </c>
      <c r="H1027" s="11"/>
      <c r="I1027" s="11"/>
      <c r="J1027" s="78"/>
      <c r="K1027" s="78"/>
      <c r="L1027" s="146">
        <f t="shared" si="47"/>
        <v>1800000</v>
      </c>
      <c r="M1027" s="73"/>
      <c r="N1027" s="73"/>
      <c r="O1027" s="7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14.25" customHeight="1" x14ac:dyDescent="0.35">
      <c r="A1028" s="9">
        <f t="shared" si="46"/>
        <v>1020</v>
      </c>
      <c r="B1028" s="15"/>
      <c r="C1028" s="11">
        <f t="shared" si="45"/>
        <v>1</v>
      </c>
      <c r="D1028" s="11"/>
      <c r="E1028" s="11"/>
      <c r="F1028" s="11"/>
      <c r="G1028" s="89">
        <f>IFERROR(VLOOKUP(F1028,COA!$A$1:$K$26,2,FALSE),0)</f>
        <v>0</v>
      </c>
      <c r="H1028" s="11"/>
      <c r="I1028" s="11"/>
      <c r="J1028" s="78"/>
      <c r="K1028" s="78"/>
      <c r="L1028" s="146">
        <f t="shared" si="47"/>
        <v>1800000</v>
      </c>
      <c r="M1028" s="73"/>
      <c r="N1028" s="73"/>
      <c r="O1028" s="7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14.25" customHeight="1" x14ac:dyDescent="0.35">
      <c r="A1029" s="9">
        <f t="shared" si="46"/>
        <v>1021</v>
      </c>
      <c r="B1029" s="15"/>
      <c r="C1029" s="11">
        <f t="shared" si="45"/>
        <v>1</v>
      </c>
      <c r="D1029" s="11"/>
      <c r="E1029" s="11"/>
      <c r="F1029" s="11"/>
      <c r="G1029" s="89">
        <f>IFERROR(VLOOKUP(F1029,COA!$A$1:$K$26,2,FALSE),0)</f>
        <v>0</v>
      </c>
      <c r="H1029" s="11"/>
      <c r="I1029" s="11"/>
      <c r="J1029" s="78"/>
      <c r="K1029" s="78"/>
      <c r="L1029" s="146">
        <f t="shared" si="47"/>
        <v>1800000</v>
      </c>
      <c r="M1029" s="73"/>
      <c r="N1029" s="73"/>
      <c r="O1029" s="7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14.25" customHeight="1" x14ac:dyDescent="0.35">
      <c r="A1030" s="9">
        <f t="shared" si="46"/>
        <v>1022</v>
      </c>
      <c r="B1030" s="15"/>
      <c r="C1030" s="11">
        <f t="shared" si="45"/>
        <v>1</v>
      </c>
      <c r="D1030" s="11"/>
      <c r="E1030" s="11"/>
      <c r="F1030" s="11"/>
      <c r="G1030" s="89">
        <f>IFERROR(VLOOKUP(F1030,COA!$A$1:$K$26,2,FALSE),0)</f>
        <v>0</v>
      </c>
      <c r="H1030" s="11"/>
      <c r="I1030" s="11"/>
      <c r="J1030" s="78"/>
      <c r="K1030" s="78"/>
      <c r="L1030" s="146">
        <f t="shared" si="47"/>
        <v>1800000</v>
      </c>
      <c r="M1030" s="73"/>
      <c r="N1030" s="73"/>
      <c r="O1030" s="7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14.25" customHeight="1" x14ac:dyDescent="0.35">
      <c r="A1031" s="9">
        <f t="shared" si="46"/>
        <v>1023</v>
      </c>
      <c r="B1031" s="15"/>
      <c r="C1031" s="11">
        <f t="shared" si="45"/>
        <v>1</v>
      </c>
      <c r="D1031" s="11"/>
      <c r="E1031" s="11"/>
      <c r="F1031" s="11"/>
      <c r="G1031" s="89">
        <f>IFERROR(VLOOKUP(F1031,COA!$A$1:$K$26,2,FALSE),0)</f>
        <v>0</v>
      </c>
      <c r="H1031" s="11"/>
      <c r="I1031" s="11"/>
      <c r="J1031" s="78"/>
      <c r="K1031" s="78"/>
      <c r="L1031" s="146">
        <f t="shared" si="47"/>
        <v>1800000</v>
      </c>
      <c r="M1031" s="73"/>
      <c r="N1031" s="73"/>
      <c r="O1031" s="7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14.25" customHeight="1" x14ac:dyDescent="0.35">
      <c r="A1032" s="9">
        <f t="shared" si="46"/>
        <v>1024</v>
      </c>
      <c r="B1032" s="15"/>
      <c r="C1032" s="11">
        <f t="shared" ref="C1032:C1095" si="48">MONTH(B1032)</f>
        <v>1</v>
      </c>
      <c r="D1032" s="11"/>
      <c r="E1032" s="11"/>
      <c r="F1032" s="11"/>
      <c r="G1032" s="89">
        <f>IFERROR(VLOOKUP(F1032,COA!$A$1:$K$26,2,FALSE),0)</f>
        <v>0</v>
      </c>
      <c r="H1032" s="11"/>
      <c r="I1032" s="11"/>
      <c r="J1032" s="78"/>
      <c r="K1032" s="78"/>
      <c r="L1032" s="146">
        <f t="shared" si="47"/>
        <v>1800000</v>
      </c>
      <c r="M1032" s="73"/>
      <c r="N1032" s="73"/>
      <c r="O1032" s="7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14.25" customHeight="1" x14ac:dyDescent="0.35">
      <c r="A1033" s="9">
        <f t="shared" si="46"/>
        <v>1025</v>
      </c>
      <c r="B1033" s="15"/>
      <c r="C1033" s="11">
        <f t="shared" si="48"/>
        <v>1</v>
      </c>
      <c r="D1033" s="11"/>
      <c r="E1033" s="11"/>
      <c r="F1033" s="11"/>
      <c r="G1033" s="89">
        <f>IFERROR(VLOOKUP(F1033,COA!$A$1:$K$26,2,FALSE),0)</f>
        <v>0</v>
      </c>
      <c r="H1033" s="11"/>
      <c r="I1033" s="11"/>
      <c r="J1033" s="78"/>
      <c r="K1033" s="78"/>
      <c r="L1033" s="146">
        <f t="shared" si="47"/>
        <v>1800000</v>
      </c>
      <c r="M1033" s="73"/>
      <c r="N1033" s="73"/>
      <c r="O1033" s="7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14.25" customHeight="1" x14ac:dyDescent="0.35">
      <c r="A1034" s="9">
        <f t="shared" si="46"/>
        <v>1026</v>
      </c>
      <c r="B1034" s="15"/>
      <c r="C1034" s="11">
        <f t="shared" si="48"/>
        <v>1</v>
      </c>
      <c r="D1034" s="11"/>
      <c r="E1034" s="11"/>
      <c r="F1034" s="11"/>
      <c r="G1034" s="89">
        <f>IFERROR(VLOOKUP(F1034,COA!$A$1:$K$26,2,FALSE),0)</f>
        <v>0</v>
      </c>
      <c r="H1034" s="11"/>
      <c r="I1034" s="11"/>
      <c r="J1034" s="78"/>
      <c r="K1034" s="78"/>
      <c r="L1034" s="146">
        <f t="shared" si="47"/>
        <v>1800000</v>
      </c>
      <c r="M1034" s="73"/>
      <c r="N1034" s="73"/>
      <c r="O1034" s="7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14.25" customHeight="1" x14ac:dyDescent="0.35">
      <c r="A1035" s="9">
        <f t="shared" ref="A1035:A1098" si="49">A1034+1</f>
        <v>1027</v>
      </c>
      <c r="B1035" s="15"/>
      <c r="C1035" s="11">
        <f t="shared" si="48"/>
        <v>1</v>
      </c>
      <c r="D1035" s="11"/>
      <c r="E1035" s="11"/>
      <c r="F1035" s="11"/>
      <c r="G1035" s="89">
        <f>IFERROR(VLOOKUP(F1035,COA!$A$1:$K$26,2,FALSE),0)</f>
        <v>0</v>
      </c>
      <c r="H1035" s="11"/>
      <c r="I1035" s="11"/>
      <c r="J1035" s="78"/>
      <c r="K1035" s="78"/>
      <c r="L1035" s="146">
        <f t="shared" ref="L1035:L1098" si="50">L1034+J1035-K1035</f>
        <v>1800000</v>
      </c>
      <c r="M1035" s="73"/>
      <c r="N1035" s="73"/>
      <c r="O1035" s="7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14.25" customHeight="1" x14ac:dyDescent="0.35">
      <c r="A1036" s="9">
        <f t="shared" si="49"/>
        <v>1028</v>
      </c>
      <c r="B1036" s="15"/>
      <c r="C1036" s="11">
        <f t="shared" si="48"/>
        <v>1</v>
      </c>
      <c r="D1036" s="11"/>
      <c r="E1036" s="11"/>
      <c r="F1036" s="11"/>
      <c r="G1036" s="89">
        <f>IFERROR(VLOOKUP(F1036,COA!$A$1:$K$26,2,FALSE),0)</f>
        <v>0</v>
      </c>
      <c r="H1036" s="11"/>
      <c r="I1036" s="11"/>
      <c r="J1036" s="78"/>
      <c r="K1036" s="78"/>
      <c r="L1036" s="146">
        <f t="shared" si="50"/>
        <v>1800000</v>
      </c>
      <c r="M1036" s="73"/>
      <c r="N1036" s="73"/>
      <c r="O1036" s="7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14.25" customHeight="1" x14ac:dyDescent="0.35">
      <c r="A1037" s="9">
        <f t="shared" si="49"/>
        <v>1029</v>
      </c>
      <c r="B1037" s="15"/>
      <c r="C1037" s="11">
        <f t="shared" si="48"/>
        <v>1</v>
      </c>
      <c r="D1037" s="11"/>
      <c r="E1037" s="11"/>
      <c r="F1037" s="11"/>
      <c r="G1037" s="89">
        <f>IFERROR(VLOOKUP(F1037,COA!$A$1:$K$26,2,FALSE),0)</f>
        <v>0</v>
      </c>
      <c r="H1037" s="11"/>
      <c r="I1037" s="11"/>
      <c r="J1037" s="78"/>
      <c r="K1037" s="78"/>
      <c r="L1037" s="146">
        <f t="shared" si="50"/>
        <v>1800000</v>
      </c>
      <c r="M1037" s="73"/>
      <c r="N1037" s="73"/>
      <c r="O1037" s="7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14.25" customHeight="1" x14ac:dyDescent="0.35">
      <c r="A1038" s="9">
        <f t="shared" si="49"/>
        <v>1030</v>
      </c>
      <c r="B1038" s="15"/>
      <c r="C1038" s="11">
        <f t="shared" si="48"/>
        <v>1</v>
      </c>
      <c r="D1038" s="11"/>
      <c r="E1038" s="11"/>
      <c r="F1038" s="11"/>
      <c r="G1038" s="89">
        <f>IFERROR(VLOOKUP(F1038,COA!$A$1:$K$26,2,FALSE),0)</f>
        <v>0</v>
      </c>
      <c r="H1038" s="11"/>
      <c r="I1038" s="11"/>
      <c r="J1038" s="78"/>
      <c r="K1038" s="78"/>
      <c r="L1038" s="146">
        <f t="shared" si="50"/>
        <v>1800000</v>
      </c>
      <c r="M1038" s="73"/>
      <c r="N1038" s="73"/>
      <c r="O1038" s="7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14.25" customHeight="1" x14ac:dyDescent="0.35">
      <c r="A1039" s="9">
        <f t="shared" si="49"/>
        <v>1031</v>
      </c>
      <c r="B1039" s="15"/>
      <c r="C1039" s="11">
        <f t="shared" si="48"/>
        <v>1</v>
      </c>
      <c r="D1039" s="11"/>
      <c r="E1039" s="11"/>
      <c r="F1039" s="11"/>
      <c r="G1039" s="89">
        <f>IFERROR(VLOOKUP(F1039,COA!$A$1:$K$26,2,FALSE),0)</f>
        <v>0</v>
      </c>
      <c r="H1039" s="11"/>
      <c r="I1039" s="11"/>
      <c r="J1039" s="78"/>
      <c r="K1039" s="78"/>
      <c r="L1039" s="146">
        <f t="shared" si="50"/>
        <v>1800000</v>
      </c>
      <c r="M1039" s="73"/>
      <c r="N1039" s="73"/>
      <c r="O1039" s="7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4.25" customHeight="1" x14ac:dyDescent="0.35">
      <c r="A1040" s="9">
        <f t="shared" si="49"/>
        <v>1032</v>
      </c>
      <c r="B1040" s="15"/>
      <c r="C1040" s="11">
        <f t="shared" si="48"/>
        <v>1</v>
      </c>
      <c r="D1040" s="11"/>
      <c r="E1040" s="11"/>
      <c r="F1040" s="11"/>
      <c r="G1040" s="89">
        <f>IFERROR(VLOOKUP(F1040,COA!$A$1:$K$26,2,FALSE),0)</f>
        <v>0</v>
      </c>
      <c r="H1040" s="11"/>
      <c r="I1040" s="11"/>
      <c r="J1040" s="78"/>
      <c r="K1040" s="78"/>
      <c r="L1040" s="146">
        <f t="shared" si="50"/>
        <v>1800000</v>
      </c>
      <c r="M1040" s="73"/>
      <c r="N1040" s="73"/>
      <c r="O1040" s="73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14.25" customHeight="1" x14ac:dyDescent="0.35">
      <c r="A1041" s="9">
        <f t="shared" si="49"/>
        <v>1033</v>
      </c>
      <c r="B1041" s="15"/>
      <c r="C1041" s="11">
        <f t="shared" si="48"/>
        <v>1</v>
      </c>
      <c r="D1041" s="11"/>
      <c r="E1041" s="11"/>
      <c r="F1041" s="11"/>
      <c r="G1041" s="89">
        <f>IFERROR(VLOOKUP(F1041,COA!$A$1:$K$26,2,FALSE),0)</f>
        <v>0</v>
      </c>
      <c r="H1041" s="11"/>
      <c r="I1041" s="11"/>
      <c r="J1041" s="78"/>
      <c r="K1041" s="78"/>
      <c r="L1041" s="146">
        <f t="shared" si="50"/>
        <v>1800000</v>
      </c>
      <c r="M1041" s="73"/>
      <c r="N1041" s="73"/>
      <c r="O1041" s="73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4.25" customHeight="1" x14ac:dyDescent="0.35">
      <c r="A1042" s="9">
        <f t="shared" si="49"/>
        <v>1034</v>
      </c>
      <c r="B1042" s="15"/>
      <c r="C1042" s="11">
        <f t="shared" si="48"/>
        <v>1</v>
      </c>
      <c r="D1042" s="11"/>
      <c r="E1042" s="11"/>
      <c r="F1042" s="11"/>
      <c r="G1042" s="89">
        <f>IFERROR(VLOOKUP(F1042,COA!$A$1:$K$26,2,FALSE),0)</f>
        <v>0</v>
      </c>
      <c r="H1042" s="11"/>
      <c r="I1042" s="11"/>
      <c r="J1042" s="78"/>
      <c r="K1042" s="78"/>
      <c r="L1042" s="146">
        <f t="shared" si="50"/>
        <v>1800000</v>
      </c>
      <c r="M1042" s="73"/>
      <c r="N1042" s="73"/>
      <c r="O1042" s="73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14.25" customHeight="1" x14ac:dyDescent="0.35">
      <c r="A1043" s="9">
        <f t="shared" si="49"/>
        <v>1035</v>
      </c>
      <c r="B1043" s="15"/>
      <c r="C1043" s="11">
        <f t="shared" si="48"/>
        <v>1</v>
      </c>
      <c r="D1043" s="11"/>
      <c r="E1043" s="11"/>
      <c r="F1043" s="11"/>
      <c r="G1043" s="89">
        <f>IFERROR(VLOOKUP(F1043,COA!$A$1:$K$26,2,FALSE),0)</f>
        <v>0</v>
      </c>
      <c r="H1043" s="11"/>
      <c r="I1043" s="11"/>
      <c r="J1043" s="78"/>
      <c r="K1043" s="78"/>
      <c r="L1043" s="146">
        <f t="shared" si="50"/>
        <v>1800000</v>
      </c>
      <c r="M1043" s="73"/>
      <c r="N1043" s="73"/>
      <c r="O1043" s="73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14.25" customHeight="1" x14ac:dyDescent="0.35">
      <c r="A1044" s="9">
        <f t="shared" si="49"/>
        <v>1036</v>
      </c>
      <c r="B1044" s="15"/>
      <c r="C1044" s="11">
        <f t="shared" si="48"/>
        <v>1</v>
      </c>
      <c r="D1044" s="11"/>
      <c r="E1044" s="11"/>
      <c r="F1044" s="11"/>
      <c r="G1044" s="89">
        <f>IFERROR(VLOOKUP(F1044,COA!$A$1:$K$26,2,FALSE),0)</f>
        <v>0</v>
      </c>
      <c r="H1044" s="11"/>
      <c r="I1044" s="11"/>
      <c r="J1044" s="78"/>
      <c r="K1044" s="78"/>
      <c r="L1044" s="146">
        <f t="shared" si="50"/>
        <v>1800000</v>
      </c>
      <c r="M1044" s="73"/>
      <c r="N1044" s="73"/>
      <c r="O1044" s="73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14.25" customHeight="1" x14ac:dyDescent="0.35">
      <c r="A1045" s="9">
        <f t="shared" si="49"/>
        <v>1037</v>
      </c>
      <c r="B1045" s="15"/>
      <c r="C1045" s="11">
        <f t="shared" si="48"/>
        <v>1</v>
      </c>
      <c r="D1045" s="11"/>
      <c r="E1045" s="11"/>
      <c r="F1045" s="11"/>
      <c r="G1045" s="89">
        <f>IFERROR(VLOOKUP(F1045,COA!$A$1:$K$26,2,FALSE),0)</f>
        <v>0</v>
      </c>
      <c r="H1045" s="11"/>
      <c r="I1045" s="11"/>
      <c r="J1045" s="78"/>
      <c r="K1045" s="78"/>
      <c r="L1045" s="146">
        <f t="shared" si="50"/>
        <v>1800000</v>
      </c>
      <c r="M1045" s="73"/>
      <c r="N1045" s="73"/>
      <c r="O1045" s="73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14.25" customHeight="1" x14ac:dyDescent="0.35">
      <c r="A1046" s="9">
        <f t="shared" si="49"/>
        <v>1038</v>
      </c>
      <c r="B1046" s="15"/>
      <c r="C1046" s="11">
        <f t="shared" si="48"/>
        <v>1</v>
      </c>
      <c r="D1046" s="11"/>
      <c r="E1046" s="11"/>
      <c r="F1046" s="11"/>
      <c r="G1046" s="89">
        <f>IFERROR(VLOOKUP(F1046,COA!$A$1:$K$26,2,FALSE),0)</f>
        <v>0</v>
      </c>
      <c r="H1046" s="11"/>
      <c r="I1046" s="11"/>
      <c r="J1046" s="78"/>
      <c r="K1046" s="78"/>
      <c r="L1046" s="146">
        <f t="shared" si="50"/>
        <v>1800000</v>
      </c>
      <c r="M1046" s="73"/>
      <c r="N1046" s="73"/>
      <c r="O1046" s="73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14.25" customHeight="1" x14ac:dyDescent="0.35">
      <c r="A1047" s="9">
        <f t="shared" si="49"/>
        <v>1039</v>
      </c>
      <c r="B1047" s="15"/>
      <c r="C1047" s="11">
        <f t="shared" si="48"/>
        <v>1</v>
      </c>
      <c r="D1047" s="11"/>
      <c r="E1047" s="11"/>
      <c r="F1047" s="11"/>
      <c r="G1047" s="89">
        <f>IFERROR(VLOOKUP(F1047,COA!$A$1:$K$26,2,FALSE),0)</f>
        <v>0</v>
      </c>
      <c r="H1047" s="11"/>
      <c r="I1047" s="11"/>
      <c r="J1047" s="78"/>
      <c r="K1047" s="78"/>
      <c r="L1047" s="146">
        <f t="shared" si="50"/>
        <v>1800000</v>
      </c>
      <c r="M1047" s="73"/>
      <c r="N1047" s="73"/>
      <c r="O1047" s="73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14.25" customHeight="1" x14ac:dyDescent="0.35">
      <c r="A1048" s="9">
        <f t="shared" si="49"/>
        <v>1040</v>
      </c>
      <c r="B1048" s="15"/>
      <c r="C1048" s="11">
        <f t="shared" si="48"/>
        <v>1</v>
      </c>
      <c r="D1048" s="11"/>
      <c r="E1048" s="11"/>
      <c r="F1048" s="11"/>
      <c r="G1048" s="89">
        <f>IFERROR(VLOOKUP(F1048,COA!$A$1:$K$26,2,FALSE),0)</f>
        <v>0</v>
      </c>
      <c r="H1048" s="11"/>
      <c r="I1048" s="11"/>
      <c r="J1048" s="78"/>
      <c r="K1048" s="78"/>
      <c r="L1048" s="146">
        <f t="shared" si="50"/>
        <v>1800000</v>
      </c>
      <c r="M1048" s="73"/>
      <c r="N1048" s="73"/>
      <c r="O1048" s="73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14.25" customHeight="1" x14ac:dyDescent="0.35">
      <c r="A1049" s="9">
        <f t="shared" si="49"/>
        <v>1041</v>
      </c>
      <c r="B1049" s="15"/>
      <c r="C1049" s="11">
        <f t="shared" si="48"/>
        <v>1</v>
      </c>
      <c r="D1049" s="11"/>
      <c r="E1049" s="11"/>
      <c r="F1049" s="11"/>
      <c r="G1049" s="89">
        <f>IFERROR(VLOOKUP(F1049,COA!$A$1:$K$26,2,FALSE),0)</f>
        <v>0</v>
      </c>
      <c r="H1049" s="11"/>
      <c r="I1049" s="11"/>
      <c r="J1049" s="78"/>
      <c r="K1049" s="78"/>
      <c r="L1049" s="146">
        <f t="shared" si="50"/>
        <v>1800000</v>
      </c>
      <c r="M1049" s="73"/>
      <c r="N1049" s="73"/>
      <c r="O1049" s="73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14.25" customHeight="1" x14ac:dyDescent="0.35">
      <c r="A1050" s="9">
        <f t="shared" si="49"/>
        <v>1042</v>
      </c>
      <c r="B1050" s="15"/>
      <c r="C1050" s="11">
        <f t="shared" si="48"/>
        <v>1</v>
      </c>
      <c r="D1050" s="11"/>
      <c r="E1050" s="11"/>
      <c r="F1050" s="11"/>
      <c r="G1050" s="89">
        <f>IFERROR(VLOOKUP(F1050,COA!$A$1:$K$26,2,FALSE),0)</f>
        <v>0</v>
      </c>
      <c r="H1050" s="11"/>
      <c r="I1050" s="11"/>
      <c r="J1050" s="78"/>
      <c r="K1050" s="78"/>
      <c r="L1050" s="146">
        <f t="shared" si="50"/>
        <v>1800000</v>
      </c>
      <c r="M1050" s="73"/>
      <c r="N1050" s="73"/>
      <c r="O1050" s="73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14.25" customHeight="1" x14ac:dyDescent="0.35">
      <c r="A1051" s="9">
        <f t="shared" si="49"/>
        <v>1043</v>
      </c>
      <c r="B1051" s="15"/>
      <c r="C1051" s="11">
        <f t="shared" si="48"/>
        <v>1</v>
      </c>
      <c r="D1051" s="11"/>
      <c r="E1051" s="11"/>
      <c r="F1051" s="11"/>
      <c r="G1051" s="89">
        <f>IFERROR(VLOOKUP(F1051,COA!$A$1:$K$26,2,FALSE),0)</f>
        <v>0</v>
      </c>
      <c r="H1051" s="11"/>
      <c r="I1051" s="11"/>
      <c r="J1051" s="78"/>
      <c r="K1051" s="78"/>
      <c r="L1051" s="146">
        <f t="shared" si="50"/>
        <v>1800000</v>
      </c>
      <c r="M1051" s="73"/>
      <c r="N1051" s="73"/>
      <c r="O1051" s="73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14.25" customHeight="1" x14ac:dyDescent="0.35">
      <c r="A1052" s="9">
        <f t="shared" si="49"/>
        <v>1044</v>
      </c>
      <c r="B1052" s="15"/>
      <c r="C1052" s="11">
        <f t="shared" si="48"/>
        <v>1</v>
      </c>
      <c r="D1052" s="11"/>
      <c r="E1052" s="11"/>
      <c r="F1052" s="11"/>
      <c r="G1052" s="89">
        <f>IFERROR(VLOOKUP(F1052,COA!$A$1:$K$26,2,FALSE),0)</f>
        <v>0</v>
      </c>
      <c r="H1052" s="11"/>
      <c r="I1052" s="11"/>
      <c r="J1052" s="78"/>
      <c r="K1052" s="78"/>
      <c r="L1052" s="146">
        <f t="shared" si="50"/>
        <v>1800000</v>
      </c>
      <c r="M1052" s="73"/>
      <c r="N1052" s="73"/>
      <c r="O1052" s="73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14.25" customHeight="1" x14ac:dyDescent="0.35">
      <c r="A1053" s="9">
        <f t="shared" si="49"/>
        <v>1045</v>
      </c>
      <c r="B1053" s="15"/>
      <c r="C1053" s="11">
        <f t="shared" si="48"/>
        <v>1</v>
      </c>
      <c r="D1053" s="11"/>
      <c r="E1053" s="11"/>
      <c r="F1053" s="11"/>
      <c r="G1053" s="89">
        <f>IFERROR(VLOOKUP(F1053,COA!$A$1:$K$26,2,FALSE),0)</f>
        <v>0</v>
      </c>
      <c r="H1053" s="11"/>
      <c r="I1053" s="11"/>
      <c r="J1053" s="78"/>
      <c r="K1053" s="78"/>
      <c r="L1053" s="146">
        <f t="shared" si="50"/>
        <v>1800000</v>
      </c>
      <c r="M1053" s="73"/>
      <c r="N1053" s="73"/>
      <c r="O1053" s="73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14.25" customHeight="1" x14ac:dyDescent="0.35">
      <c r="A1054" s="9">
        <f t="shared" si="49"/>
        <v>1046</v>
      </c>
      <c r="B1054" s="15"/>
      <c r="C1054" s="11">
        <f t="shared" si="48"/>
        <v>1</v>
      </c>
      <c r="D1054" s="11"/>
      <c r="E1054" s="11"/>
      <c r="F1054" s="11"/>
      <c r="G1054" s="89">
        <f>IFERROR(VLOOKUP(F1054,COA!$A$1:$K$26,2,FALSE),0)</f>
        <v>0</v>
      </c>
      <c r="H1054" s="11"/>
      <c r="I1054" s="11"/>
      <c r="J1054" s="78"/>
      <c r="K1054" s="78"/>
      <c r="L1054" s="146">
        <f t="shared" si="50"/>
        <v>1800000</v>
      </c>
      <c r="M1054" s="73"/>
      <c r="N1054" s="73"/>
      <c r="O1054" s="73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14.25" customHeight="1" x14ac:dyDescent="0.35">
      <c r="A1055" s="9">
        <f t="shared" si="49"/>
        <v>1047</v>
      </c>
      <c r="B1055" s="15"/>
      <c r="C1055" s="11">
        <f t="shared" si="48"/>
        <v>1</v>
      </c>
      <c r="D1055" s="11"/>
      <c r="E1055" s="11"/>
      <c r="F1055" s="11"/>
      <c r="G1055" s="89">
        <f>IFERROR(VLOOKUP(F1055,COA!$A$1:$K$26,2,FALSE),0)</f>
        <v>0</v>
      </c>
      <c r="H1055" s="11"/>
      <c r="I1055" s="11"/>
      <c r="J1055" s="78"/>
      <c r="K1055" s="78"/>
      <c r="L1055" s="146">
        <f t="shared" si="50"/>
        <v>1800000</v>
      </c>
      <c r="M1055" s="73"/>
      <c r="N1055" s="73"/>
      <c r="O1055" s="73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14.25" customHeight="1" x14ac:dyDescent="0.35">
      <c r="A1056" s="9">
        <f t="shared" si="49"/>
        <v>1048</v>
      </c>
      <c r="B1056" s="15"/>
      <c r="C1056" s="11">
        <f t="shared" si="48"/>
        <v>1</v>
      </c>
      <c r="D1056" s="11"/>
      <c r="E1056" s="11"/>
      <c r="F1056" s="11"/>
      <c r="G1056" s="89">
        <f>IFERROR(VLOOKUP(F1056,COA!$A$1:$K$26,2,FALSE),0)</f>
        <v>0</v>
      </c>
      <c r="H1056" s="11"/>
      <c r="I1056" s="11"/>
      <c r="J1056" s="78"/>
      <c r="K1056" s="78"/>
      <c r="L1056" s="146">
        <f t="shared" si="50"/>
        <v>1800000</v>
      </c>
      <c r="M1056" s="73"/>
      <c r="N1056" s="73"/>
      <c r="O1056" s="73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14.25" customHeight="1" x14ac:dyDescent="0.35">
      <c r="A1057" s="9">
        <f t="shared" si="49"/>
        <v>1049</v>
      </c>
      <c r="B1057" s="15"/>
      <c r="C1057" s="11">
        <f t="shared" si="48"/>
        <v>1</v>
      </c>
      <c r="D1057" s="11"/>
      <c r="E1057" s="11"/>
      <c r="F1057" s="11"/>
      <c r="G1057" s="89">
        <f>IFERROR(VLOOKUP(F1057,COA!$A$1:$K$26,2,FALSE),0)</f>
        <v>0</v>
      </c>
      <c r="H1057" s="11"/>
      <c r="I1057" s="11"/>
      <c r="J1057" s="78"/>
      <c r="K1057" s="78"/>
      <c r="L1057" s="146">
        <f t="shared" si="50"/>
        <v>1800000</v>
      </c>
      <c r="M1057" s="73"/>
      <c r="N1057" s="73"/>
      <c r="O1057" s="73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14.25" customHeight="1" x14ac:dyDescent="0.35">
      <c r="A1058" s="9">
        <f t="shared" si="49"/>
        <v>1050</v>
      </c>
      <c r="B1058" s="15"/>
      <c r="C1058" s="11">
        <f t="shared" si="48"/>
        <v>1</v>
      </c>
      <c r="D1058" s="11"/>
      <c r="E1058" s="11"/>
      <c r="F1058" s="11"/>
      <c r="G1058" s="89">
        <f>IFERROR(VLOOKUP(F1058,COA!$A$1:$K$26,2,FALSE),0)</f>
        <v>0</v>
      </c>
      <c r="H1058" s="11"/>
      <c r="I1058" s="11"/>
      <c r="J1058" s="78"/>
      <c r="K1058" s="78"/>
      <c r="L1058" s="146">
        <f t="shared" si="50"/>
        <v>1800000</v>
      </c>
      <c r="M1058" s="73"/>
      <c r="N1058" s="73"/>
      <c r="O1058" s="73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14.25" customHeight="1" x14ac:dyDescent="0.35">
      <c r="A1059" s="9">
        <f t="shared" si="49"/>
        <v>1051</v>
      </c>
      <c r="B1059" s="15"/>
      <c r="C1059" s="11">
        <f t="shared" si="48"/>
        <v>1</v>
      </c>
      <c r="D1059" s="11"/>
      <c r="E1059" s="11"/>
      <c r="F1059" s="11"/>
      <c r="G1059" s="89">
        <f>IFERROR(VLOOKUP(F1059,COA!$A$1:$K$26,2,FALSE),0)</f>
        <v>0</v>
      </c>
      <c r="H1059" s="11"/>
      <c r="I1059" s="11"/>
      <c r="J1059" s="78"/>
      <c r="K1059" s="78"/>
      <c r="L1059" s="146">
        <f t="shared" si="50"/>
        <v>1800000</v>
      </c>
      <c r="M1059" s="73"/>
      <c r="N1059" s="73"/>
      <c r="O1059" s="73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14.25" customHeight="1" x14ac:dyDescent="0.35">
      <c r="A1060" s="9">
        <f t="shared" si="49"/>
        <v>1052</v>
      </c>
      <c r="B1060" s="15"/>
      <c r="C1060" s="11">
        <f t="shared" si="48"/>
        <v>1</v>
      </c>
      <c r="D1060" s="11"/>
      <c r="E1060" s="11"/>
      <c r="F1060" s="11"/>
      <c r="G1060" s="89">
        <f>IFERROR(VLOOKUP(F1060,COA!$A$1:$K$26,2,FALSE),0)</f>
        <v>0</v>
      </c>
      <c r="H1060" s="11"/>
      <c r="I1060" s="11"/>
      <c r="J1060" s="78"/>
      <c r="K1060" s="78"/>
      <c r="L1060" s="146">
        <f t="shared" si="50"/>
        <v>1800000</v>
      </c>
      <c r="M1060" s="73"/>
      <c r="N1060" s="73"/>
      <c r="O1060" s="73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14.25" customHeight="1" x14ac:dyDescent="0.35">
      <c r="A1061" s="9">
        <f t="shared" si="49"/>
        <v>1053</v>
      </c>
      <c r="B1061" s="15"/>
      <c r="C1061" s="11">
        <f t="shared" si="48"/>
        <v>1</v>
      </c>
      <c r="D1061" s="11"/>
      <c r="E1061" s="11"/>
      <c r="F1061" s="11"/>
      <c r="G1061" s="89">
        <f>IFERROR(VLOOKUP(F1061,COA!$A$1:$K$26,2,FALSE),0)</f>
        <v>0</v>
      </c>
      <c r="H1061" s="11"/>
      <c r="I1061" s="11"/>
      <c r="J1061" s="78"/>
      <c r="K1061" s="78"/>
      <c r="L1061" s="146">
        <f t="shared" si="50"/>
        <v>1800000</v>
      </c>
      <c r="M1061" s="73"/>
      <c r="N1061" s="73"/>
      <c r="O1061" s="73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14.25" customHeight="1" x14ac:dyDescent="0.35">
      <c r="A1062" s="9">
        <f t="shared" si="49"/>
        <v>1054</v>
      </c>
      <c r="B1062" s="15"/>
      <c r="C1062" s="11">
        <f t="shared" si="48"/>
        <v>1</v>
      </c>
      <c r="D1062" s="11"/>
      <c r="E1062" s="11"/>
      <c r="F1062" s="11"/>
      <c r="G1062" s="89">
        <f>IFERROR(VLOOKUP(F1062,COA!$A$1:$K$26,2,FALSE),0)</f>
        <v>0</v>
      </c>
      <c r="H1062" s="11"/>
      <c r="I1062" s="11"/>
      <c r="J1062" s="78"/>
      <c r="K1062" s="78"/>
      <c r="L1062" s="146">
        <f t="shared" si="50"/>
        <v>1800000</v>
      </c>
      <c r="M1062" s="73"/>
      <c r="N1062" s="73"/>
      <c r="O1062" s="73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14.25" customHeight="1" x14ac:dyDescent="0.35">
      <c r="A1063" s="9">
        <f t="shared" si="49"/>
        <v>1055</v>
      </c>
      <c r="B1063" s="15"/>
      <c r="C1063" s="11">
        <f t="shared" si="48"/>
        <v>1</v>
      </c>
      <c r="D1063" s="11"/>
      <c r="E1063" s="11"/>
      <c r="F1063" s="11"/>
      <c r="G1063" s="89">
        <f>IFERROR(VLOOKUP(F1063,COA!$A$1:$K$26,2,FALSE),0)</f>
        <v>0</v>
      </c>
      <c r="H1063" s="11"/>
      <c r="I1063" s="11"/>
      <c r="J1063" s="78"/>
      <c r="K1063" s="78"/>
      <c r="L1063" s="146">
        <f t="shared" si="50"/>
        <v>1800000</v>
      </c>
      <c r="M1063" s="73"/>
      <c r="N1063" s="73"/>
      <c r="O1063" s="73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14.25" customHeight="1" x14ac:dyDescent="0.35">
      <c r="A1064" s="9">
        <f t="shared" si="49"/>
        <v>1056</v>
      </c>
      <c r="B1064" s="15"/>
      <c r="C1064" s="11">
        <f t="shared" si="48"/>
        <v>1</v>
      </c>
      <c r="D1064" s="11"/>
      <c r="E1064" s="11"/>
      <c r="F1064" s="11"/>
      <c r="G1064" s="89">
        <f>IFERROR(VLOOKUP(F1064,COA!$A$1:$K$26,2,FALSE),0)</f>
        <v>0</v>
      </c>
      <c r="H1064" s="11"/>
      <c r="I1064" s="11"/>
      <c r="J1064" s="78"/>
      <c r="K1064" s="78"/>
      <c r="L1064" s="146">
        <f t="shared" si="50"/>
        <v>1800000</v>
      </c>
      <c r="M1064" s="73"/>
      <c r="N1064" s="73"/>
      <c r="O1064" s="73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14.25" customHeight="1" x14ac:dyDescent="0.35">
      <c r="A1065" s="9">
        <f t="shared" si="49"/>
        <v>1057</v>
      </c>
      <c r="B1065" s="15"/>
      <c r="C1065" s="11">
        <f t="shared" si="48"/>
        <v>1</v>
      </c>
      <c r="D1065" s="11"/>
      <c r="E1065" s="11"/>
      <c r="F1065" s="11"/>
      <c r="G1065" s="89">
        <f>IFERROR(VLOOKUP(F1065,COA!$A$1:$K$26,2,FALSE),0)</f>
        <v>0</v>
      </c>
      <c r="H1065" s="11"/>
      <c r="I1065" s="11"/>
      <c r="J1065" s="78"/>
      <c r="K1065" s="78"/>
      <c r="L1065" s="146">
        <f t="shared" si="50"/>
        <v>1800000</v>
      </c>
      <c r="M1065" s="73"/>
      <c r="N1065" s="73"/>
      <c r="O1065" s="73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14.25" customHeight="1" x14ac:dyDescent="0.35">
      <c r="A1066" s="9">
        <f t="shared" si="49"/>
        <v>1058</v>
      </c>
      <c r="B1066" s="15"/>
      <c r="C1066" s="11">
        <f t="shared" si="48"/>
        <v>1</v>
      </c>
      <c r="D1066" s="11"/>
      <c r="E1066" s="11"/>
      <c r="F1066" s="11"/>
      <c r="G1066" s="89">
        <f>IFERROR(VLOOKUP(F1066,COA!$A$1:$K$26,2,FALSE),0)</f>
        <v>0</v>
      </c>
      <c r="H1066" s="11"/>
      <c r="I1066" s="11"/>
      <c r="J1066" s="78"/>
      <c r="K1066" s="78"/>
      <c r="L1066" s="146">
        <f t="shared" si="50"/>
        <v>1800000</v>
      </c>
      <c r="M1066" s="73"/>
      <c r="N1066" s="73"/>
      <c r="O1066" s="73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14.25" customHeight="1" x14ac:dyDescent="0.35">
      <c r="A1067" s="9">
        <f t="shared" si="49"/>
        <v>1059</v>
      </c>
      <c r="B1067" s="15"/>
      <c r="C1067" s="11">
        <f t="shared" si="48"/>
        <v>1</v>
      </c>
      <c r="D1067" s="11"/>
      <c r="E1067" s="11"/>
      <c r="F1067" s="11"/>
      <c r="G1067" s="89">
        <f>IFERROR(VLOOKUP(F1067,COA!$A$1:$K$26,2,FALSE),0)</f>
        <v>0</v>
      </c>
      <c r="H1067" s="11"/>
      <c r="I1067" s="11"/>
      <c r="J1067" s="78"/>
      <c r="K1067" s="78"/>
      <c r="L1067" s="146">
        <f t="shared" si="50"/>
        <v>1800000</v>
      </c>
      <c r="M1067" s="73"/>
      <c r="N1067" s="73"/>
      <c r="O1067" s="73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14.25" customHeight="1" x14ac:dyDescent="0.35">
      <c r="A1068" s="9">
        <f t="shared" si="49"/>
        <v>1060</v>
      </c>
      <c r="B1068" s="15"/>
      <c r="C1068" s="11">
        <f t="shared" si="48"/>
        <v>1</v>
      </c>
      <c r="D1068" s="11"/>
      <c r="E1068" s="11"/>
      <c r="F1068" s="11"/>
      <c r="G1068" s="89">
        <f>IFERROR(VLOOKUP(F1068,COA!$A$1:$K$26,2,FALSE),0)</f>
        <v>0</v>
      </c>
      <c r="H1068" s="11"/>
      <c r="I1068" s="11"/>
      <c r="J1068" s="78"/>
      <c r="K1068" s="78"/>
      <c r="L1068" s="146">
        <f t="shared" si="50"/>
        <v>1800000</v>
      </c>
      <c r="M1068" s="73"/>
      <c r="N1068" s="73"/>
      <c r="O1068" s="73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14.25" customHeight="1" x14ac:dyDescent="0.35">
      <c r="A1069" s="9">
        <f t="shared" si="49"/>
        <v>1061</v>
      </c>
      <c r="B1069" s="15"/>
      <c r="C1069" s="11">
        <f t="shared" si="48"/>
        <v>1</v>
      </c>
      <c r="D1069" s="11"/>
      <c r="E1069" s="11"/>
      <c r="F1069" s="11"/>
      <c r="G1069" s="89">
        <f>IFERROR(VLOOKUP(F1069,COA!$A$1:$K$26,2,FALSE),0)</f>
        <v>0</v>
      </c>
      <c r="H1069" s="11"/>
      <c r="I1069" s="11"/>
      <c r="J1069" s="78"/>
      <c r="K1069" s="78"/>
      <c r="L1069" s="146">
        <f t="shared" si="50"/>
        <v>1800000</v>
      </c>
      <c r="M1069" s="73"/>
      <c r="N1069" s="73"/>
      <c r="O1069" s="73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14.25" customHeight="1" x14ac:dyDescent="0.35">
      <c r="A1070" s="9">
        <f t="shared" si="49"/>
        <v>1062</v>
      </c>
      <c r="B1070" s="15"/>
      <c r="C1070" s="11">
        <f t="shared" si="48"/>
        <v>1</v>
      </c>
      <c r="D1070" s="11"/>
      <c r="E1070" s="11"/>
      <c r="F1070" s="11"/>
      <c r="G1070" s="89">
        <f>IFERROR(VLOOKUP(F1070,COA!$A$1:$K$26,2,FALSE),0)</f>
        <v>0</v>
      </c>
      <c r="H1070" s="11"/>
      <c r="I1070" s="11"/>
      <c r="J1070" s="78"/>
      <c r="K1070" s="78"/>
      <c r="L1070" s="146">
        <f t="shared" si="50"/>
        <v>1800000</v>
      </c>
      <c r="M1070" s="73"/>
      <c r="N1070" s="73"/>
      <c r="O1070" s="73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14.25" customHeight="1" x14ac:dyDescent="0.35">
      <c r="A1071" s="9">
        <f t="shared" si="49"/>
        <v>1063</v>
      </c>
      <c r="B1071" s="15"/>
      <c r="C1071" s="11">
        <f t="shared" si="48"/>
        <v>1</v>
      </c>
      <c r="D1071" s="11"/>
      <c r="E1071" s="11"/>
      <c r="F1071" s="11"/>
      <c r="G1071" s="89">
        <f>IFERROR(VLOOKUP(F1071,COA!$A$1:$K$26,2,FALSE),0)</f>
        <v>0</v>
      </c>
      <c r="H1071" s="11"/>
      <c r="I1071" s="11"/>
      <c r="J1071" s="78"/>
      <c r="K1071" s="78"/>
      <c r="L1071" s="146">
        <f t="shared" si="50"/>
        <v>1800000</v>
      </c>
      <c r="M1071" s="73"/>
      <c r="N1071" s="73"/>
      <c r="O1071" s="73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14.25" customHeight="1" x14ac:dyDescent="0.35">
      <c r="A1072" s="9">
        <f t="shared" si="49"/>
        <v>1064</v>
      </c>
      <c r="B1072" s="15"/>
      <c r="C1072" s="11">
        <f t="shared" si="48"/>
        <v>1</v>
      </c>
      <c r="D1072" s="11"/>
      <c r="E1072" s="11"/>
      <c r="F1072" s="11"/>
      <c r="G1072" s="89">
        <f>IFERROR(VLOOKUP(F1072,COA!$A$1:$K$26,2,FALSE),0)</f>
        <v>0</v>
      </c>
      <c r="H1072" s="11"/>
      <c r="I1072" s="11"/>
      <c r="J1072" s="78"/>
      <c r="K1072" s="78"/>
      <c r="L1072" s="146">
        <f t="shared" si="50"/>
        <v>1800000</v>
      </c>
      <c r="M1072" s="73"/>
      <c r="N1072" s="73"/>
      <c r="O1072" s="73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14.25" customHeight="1" x14ac:dyDescent="0.35">
      <c r="A1073" s="9">
        <f t="shared" si="49"/>
        <v>1065</v>
      </c>
      <c r="B1073" s="15"/>
      <c r="C1073" s="11">
        <f t="shared" si="48"/>
        <v>1</v>
      </c>
      <c r="D1073" s="11"/>
      <c r="E1073" s="11"/>
      <c r="F1073" s="11"/>
      <c r="G1073" s="89">
        <f>IFERROR(VLOOKUP(F1073,COA!$A$1:$K$26,2,FALSE),0)</f>
        <v>0</v>
      </c>
      <c r="H1073" s="11"/>
      <c r="I1073" s="11"/>
      <c r="J1073" s="78"/>
      <c r="K1073" s="78"/>
      <c r="L1073" s="146">
        <f t="shared" si="50"/>
        <v>1800000</v>
      </c>
      <c r="M1073" s="73"/>
      <c r="N1073" s="73"/>
      <c r="O1073" s="73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14.25" customHeight="1" x14ac:dyDescent="0.35">
      <c r="A1074" s="9">
        <f t="shared" si="49"/>
        <v>1066</v>
      </c>
      <c r="B1074" s="15"/>
      <c r="C1074" s="11">
        <f t="shared" si="48"/>
        <v>1</v>
      </c>
      <c r="D1074" s="11"/>
      <c r="E1074" s="11"/>
      <c r="F1074" s="11"/>
      <c r="G1074" s="89">
        <f>IFERROR(VLOOKUP(F1074,COA!$A$1:$K$26,2,FALSE),0)</f>
        <v>0</v>
      </c>
      <c r="H1074" s="11"/>
      <c r="I1074" s="11"/>
      <c r="J1074" s="78"/>
      <c r="K1074" s="78"/>
      <c r="L1074" s="146">
        <f t="shared" si="50"/>
        <v>1800000</v>
      </c>
      <c r="M1074" s="73"/>
      <c r="N1074" s="73"/>
      <c r="O1074" s="73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14.25" customHeight="1" x14ac:dyDescent="0.35">
      <c r="A1075" s="9">
        <f t="shared" si="49"/>
        <v>1067</v>
      </c>
      <c r="B1075" s="15"/>
      <c r="C1075" s="11">
        <f t="shared" si="48"/>
        <v>1</v>
      </c>
      <c r="D1075" s="11"/>
      <c r="E1075" s="11"/>
      <c r="F1075" s="11"/>
      <c r="G1075" s="89">
        <f>IFERROR(VLOOKUP(F1075,COA!$A$1:$K$26,2,FALSE),0)</f>
        <v>0</v>
      </c>
      <c r="H1075" s="11"/>
      <c r="I1075" s="11"/>
      <c r="J1075" s="78"/>
      <c r="K1075" s="78"/>
      <c r="L1075" s="146">
        <f t="shared" si="50"/>
        <v>1800000</v>
      </c>
      <c r="M1075" s="73"/>
      <c r="N1075" s="73"/>
      <c r="O1075" s="73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14.25" customHeight="1" x14ac:dyDescent="0.35">
      <c r="A1076" s="9">
        <f t="shared" si="49"/>
        <v>1068</v>
      </c>
      <c r="B1076" s="15"/>
      <c r="C1076" s="11">
        <f t="shared" si="48"/>
        <v>1</v>
      </c>
      <c r="D1076" s="11"/>
      <c r="E1076" s="11"/>
      <c r="F1076" s="11"/>
      <c r="G1076" s="89">
        <f>IFERROR(VLOOKUP(F1076,COA!$A$1:$K$26,2,FALSE),0)</f>
        <v>0</v>
      </c>
      <c r="H1076" s="11"/>
      <c r="I1076" s="11"/>
      <c r="J1076" s="78"/>
      <c r="K1076" s="78"/>
      <c r="L1076" s="146">
        <f t="shared" si="50"/>
        <v>1800000</v>
      </c>
      <c r="M1076" s="73"/>
      <c r="N1076" s="73"/>
      <c r="O1076" s="73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14.25" customHeight="1" x14ac:dyDescent="0.35">
      <c r="A1077" s="9">
        <f t="shared" si="49"/>
        <v>1069</v>
      </c>
      <c r="B1077" s="15"/>
      <c r="C1077" s="11">
        <f t="shared" si="48"/>
        <v>1</v>
      </c>
      <c r="D1077" s="11"/>
      <c r="E1077" s="11"/>
      <c r="F1077" s="11"/>
      <c r="G1077" s="89">
        <f>IFERROR(VLOOKUP(F1077,COA!$A$1:$K$26,2,FALSE),0)</f>
        <v>0</v>
      </c>
      <c r="H1077" s="11"/>
      <c r="I1077" s="11"/>
      <c r="J1077" s="78"/>
      <c r="K1077" s="78"/>
      <c r="L1077" s="146">
        <f t="shared" si="50"/>
        <v>1800000</v>
      </c>
      <c r="M1077" s="73"/>
      <c r="N1077" s="73"/>
      <c r="O1077" s="73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14.25" customHeight="1" x14ac:dyDescent="0.35">
      <c r="A1078" s="9">
        <f t="shared" si="49"/>
        <v>1070</v>
      </c>
      <c r="B1078" s="15"/>
      <c r="C1078" s="11">
        <f t="shared" si="48"/>
        <v>1</v>
      </c>
      <c r="D1078" s="11"/>
      <c r="E1078" s="11"/>
      <c r="F1078" s="11"/>
      <c r="G1078" s="89">
        <f>IFERROR(VLOOKUP(F1078,COA!$A$1:$K$26,2,FALSE),0)</f>
        <v>0</v>
      </c>
      <c r="H1078" s="11"/>
      <c r="I1078" s="11"/>
      <c r="J1078" s="78"/>
      <c r="K1078" s="78"/>
      <c r="L1078" s="146">
        <f t="shared" si="50"/>
        <v>1800000</v>
      </c>
      <c r="M1078" s="73"/>
      <c r="N1078" s="73"/>
      <c r="O1078" s="73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14.25" customHeight="1" x14ac:dyDescent="0.35">
      <c r="A1079" s="9">
        <f t="shared" si="49"/>
        <v>1071</v>
      </c>
      <c r="B1079" s="15"/>
      <c r="C1079" s="11">
        <f t="shared" si="48"/>
        <v>1</v>
      </c>
      <c r="D1079" s="11"/>
      <c r="E1079" s="11"/>
      <c r="F1079" s="11"/>
      <c r="G1079" s="89">
        <f>IFERROR(VLOOKUP(F1079,COA!$A$1:$K$26,2,FALSE),0)</f>
        <v>0</v>
      </c>
      <c r="H1079" s="11"/>
      <c r="I1079" s="11"/>
      <c r="J1079" s="78"/>
      <c r="K1079" s="78"/>
      <c r="L1079" s="146">
        <f t="shared" si="50"/>
        <v>1800000</v>
      </c>
      <c r="M1079" s="73"/>
      <c r="N1079" s="73"/>
      <c r="O1079" s="73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14.25" customHeight="1" x14ac:dyDescent="0.35">
      <c r="A1080" s="9">
        <f t="shared" si="49"/>
        <v>1072</v>
      </c>
      <c r="B1080" s="15"/>
      <c r="C1080" s="11">
        <f t="shared" si="48"/>
        <v>1</v>
      </c>
      <c r="D1080" s="11"/>
      <c r="E1080" s="11"/>
      <c r="F1080" s="11"/>
      <c r="G1080" s="89">
        <f>IFERROR(VLOOKUP(F1080,COA!$A$1:$K$26,2,FALSE),0)</f>
        <v>0</v>
      </c>
      <c r="H1080" s="11"/>
      <c r="I1080" s="11"/>
      <c r="J1080" s="78"/>
      <c r="K1080" s="78"/>
      <c r="L1080" s="146">
        <f t="shared" si="50"/>
        <v>1800000</v>
      </c>
      <c r="M1080" s="73"/>
      <c r="N1080" s="73"/>
      <c r="O1080" s="73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14.25" customHeight="1" x14ac:dyDescent="0.35">
      <c r="A1081" s="9">
        <f t="shared" si="49"/>
        <v>1073</v>
      </c>
      <c r="B1081" s="15"/>
      <c r="C1081" s="11">
        <f t="shared" si="48"/>
        <v>1</v>
      </c>
      <c r="D1081" s="11"/>
      <c r="E1081" s="11"/>
      <c r="F1081" s="11"/>
      <c r="G1081" s="89">
        <f>IFERROR(VLOOKUP(F1081,COA!$A$1:$K$26,2,FALSE),0)</f>
        <v>0</v>
      </c>
      <c r="H1081" s="11"/>
      <c r="I1081" s="11"/>
      <c r="J1081" s="78"/>
      <c r="K1081" s="78"/>
      <c r="L1081" s="146">
        <f t="shared" si="50"/>
        <v>1800000</v>
      </c>
      <c r="M1081" s="73"/>
      <c r="N1081" s="73"/>
      <c r="O1081" s="73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14.25" customHeight="1" x14ac:dyDescent="0.35">
      <c r="A1082" s="9">
        <f t="shared" si="49"/>
        <v>1074</v>
      </c>
      <c r="B1082" s="15"/>
      <c r="C1082" s="11">
        <f t="shared" si="48"/>
        <v>1</v>
      </c>
      <c r="D1082" s="11"/>
      <c r="E1082" s="11"/>
      <c r="F1082" s="11"/>
      <c r="G1082" s="89">
        <f>IFERROR(VLOOKUP(F1082,COA!$A$1:$K$26,2,FALSE),0)</f>
        <v>0</v>
      </c>
      <c r="H1082" s="11"/>
      <c r="I1082" s="11"/>
      <c r="J1082" s="78"/>
      <c r="K1082" s="78"/>
      <c r="L1082" s="146">
        <f t="shared" si="50"/>
        <v>1800000</v>
      </c>
      <c r="M1082" s="73"/>
      <c r="N1082" s="73"/>
      <c r="O1082" s="73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14.25" customHeight="1" x14ac:dyDescent="0.35">
      <c r="A1083" s="9">
        <f t="shared" si="49"/>
        <v>1075</v>
      </c>
      <c r="B1083" s="15"/>
      <c r="C1083" s="11">
        <f t="shared" si="48"/>
        <v>1</v>
      </c>
      <c r="D1083" s="11"/>
      <c r="E1083" s="11"/>
      <c r="F1083" s="11"/>
      <c r="G1083" s="89">
        <f>IFERROR(VLOOKUP(F1083,COA!$A$1:$K$26,2,FALSE),0)</f>
        <v>0</v>
      </c>
      <c r="H1083" s="11"/>
      <c r="I1083" s="11"/>
      <c r="J1083" s="78"/>
      <c r="K1083" s="78"/>
      <c r="L1083" s="146">
        <f t="shared" si="50"/>
        <v>1800000</v>
      </c>
      <c r="M1083" s="73"/>
      <c r="N1083" s="73"/>
      <c r="O1083" s="73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14.25" customHeight="1" x14ac:dyDescent="0.35">
      <c r="A1084" s="9">
        <f t="shared" si="49"/>
        <v>1076</v>
      </c>
      <c r="B1084" s="15"/>
      <c r="C1084" s="11">
        <f t="shared" si="48"/>
        <v>1</v>
      </c>
      <c r="D1084" s="11"/>
      <c r="E1084" s="11"/>
      <c r="F1084" s="11"/>
      <c r="G1084" s="89">
        <f>IFERROR(VLOOKUP(F1084,COA!$A$1:$K$26,2,FALSE),0)</f>
        <v>0</v>
      </c>
      <c r="H1084" s="11"/>
      <c r="I1084" s="11"/>
      <c r="J1084" s="78"/>
      <c r="K1084" s="78"/>
      <c r="L1084" s="146">
        <f t="shared" si="50"/>
        <v>1800000</v>
      </c>
      <c r="M1084" s="73"/>
      <c r="N1084" s="73"/>
      <c r="O1084" s="73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14.25" customHeight="1" x14ac:dyDescent="0.35">
      <c r="A1085" s="9">
        <f t="shared" si="49"/>
        <v>1077</v>
      </c>
      <c r="B1085" s="15"/>
      <c r="C1085" s="11">
        <f t="shared" si="48"/>
        <v>1</v>
      </c>
      <c r="D1085" s="11"/>
      <c r="E1085" s="11"/>
      <c r="F1085" s="11"/>
      <c r="G1085" s="89">
        <f>IFERROR(VLOOKUP(F1085,COA!$A$1:$K$26,2,FALSE),0)</f>
        <v>0</v>
      </c>
      <c r="H1085" s="11"/>
      <c r="I1085" s="11"/>
      <c r="J1085" s="78"/>
      <c r="K1085" s="78"/>
      <c r="L1085" s="146">
        <f t="shared" si="50"/>
        <v>1800000</v>
      </c>
      <c r="M1085" s="73"/>
      <c r="N1085" s="73"/>
      <c r="O1085" s="73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14.25" customHeight="1" x14ac:dyDescent="0.35">
      <c r="A1086" s="9">
        <f t="shared" si="49"/>
        <v>1078</v>
      </c>
      <c r="B1086" s="15"/>
      <c r="C1086" s="11">
        <f t="shared" si="48"/>
        <v>1</v>
      </c>
      <c r="D1086" s="11"/>
      <c r="E1086" s="11"/>
      <c r="F1086" s="11"/>
      <c r="G1086" s="89">
        <f>IFERROR(VLOOKUP(F1086,COA!$A$1:$K$26,2,FALSE),0)</f>
        <v>0</v>
      </c>
      <c r="H1086" s="11"/>
      <c r="I1086" s="11"/>
      <c r="J1086" s="78"/>
      <c r="K1086" s="78"/>
      <c r="L1086" s="146">
        <f t="shared" si="50"/>
        <v>1800000</v>
      </c>
      <c r="M1086" s="73"/>
      <c r="N1086" s="73"/>
      <c r="O1086" s="73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14.25" customHeight="1" x14ac:dyDescent="0.35">
      <c r="A1087" s="9">
        <f t="shared" si="49"/>
        <v>1079</v>
      </c>
      <c r="B1087" s="15"/>
      <c r="C1087" s="11">
        <f t="shared" si="48"/>
        <v>1</v>
      </c>
      <c r="D1087" s="11"/>
      <c r="E1087" s="11"/>
      <c r="F1087" s="11"/>
      <c r="G1087" s="89">
        <f>IFERROR(VLOOKUP(F1087,COA!$A$1:$K$26,2,FALSE),0)</f>
        <v>0</v>
      </c>
      <c r="H1087" s="11"/>
      <c r="I1087" s="11"/>
      <c r="J1087" s="78"/>
      <c r="K1087" s="78"/>
      <c r="L1087" s="146">
        <f t="shared" si="50"/>
        <v>1800000</v>
      </c>
      <c r="M1087" s="73"/>
      <c r="N1087" s="73"/>
      <c r="O1087" s="73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14.25" customHeight="1" x14ac:dyDescent="0.35">
      <c r="A1088" s="9">
        <f t="shared" si="49"/>
        <v>1080</v>
      </c>
      <c r="B1088" s="15"/>
      <c r="C1088" s="11">
        <f t="shared" si="48"/>
        <v>1</v>
      </c>
      <c r="D1088" s="11"/>
      <c r="E1088" s="11"/>
      <c r="F1088" s="11"/>
      <c r="G1088" s="89">
        <f>IFERROR(VLOOKUP(F1088,COA!$A$1:$K$26,2,FALSE),0)</f>
        <v>0</v>
      </c>
      <c r="H1088" s="11"/>
      <c r="I1088" s="11"/>
      <c r="J1088" s="78"/>
      <c r="K1088" s="78"/>
      <c r="L1088" s="146">
        <f t="shared" si="50"/>
        <v>1800000</v>
      </c>
      <c r="M1088" s="73"/>
      <c r="N1088" s="73"/>
      <c r="O1088" s="73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14.25" customHeight="1" x14ac:dyDescent="0.35">
      <c r="A1089" s="9">
        <f t="shared" si="49"/>
        <v>1081</v>
      </c>
      <c r="B1089" s="15"/>
      <c r="C1089" s="11">
        <f t="shared" si="48"/>
        <v>1</v>
      </c>
      <c r="D1089" s="11"/>
      <c r="E1089" s="11"/>
      <c r="F1089" s="11"/>
      <c r="G1089" s="89">
        <f>IFERROR(VLOOKUP(F1089,COA!$A$1:$K$26,2,FALSE),0)</f>
        <v>0</v>
      </c>
      <c r="H1089" s="11"/>
      <c r="I1089" s="11"/>
      <c r="J1089" s="78"/>
      <c r="K1089" s="78"/>
      <c r="L1089" s="146">
        <f t="shared" si="50"/>
        <v>1800000</v>
      </c>
      <c r="M1089" s="73"/>
      <c r="N1089" s="73"/>
      <c r="O1089" s="73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14.25" customHeight="1" x14ac:dyDescent="0.35">
      <c r="A1090" s="9">
        <f t="shared" si="49"/>
        <v>1082</v>
      </c>
      <c r="B1090" s="15"/>
      <c r="C1090" s="11">
        <f t="shared" si="48"/>
        <v>1</v>
      </c>
      <c r="D1090" s="11"/>
      <c r="E1090" s="11"/>
      <c r="F1090" s="11"/>
      <c r="G1090" s="89">
        <f>IFERROR(VLOOKUP(F1090,COA!$A$1:$K$26,2,FALSE),0)</f>
        <v>0</v>
      </c>
      <c r="H1090" s="11"/>
      <c r="I1090" s="11"/>
      <c r="J1090" s="78"/>
      <c r="K1090" s="78"/>
      <c r="L1090" s="146">
        <f t="shared" si="50"/>
        <v>1800000</v>
      </c>
      <c r="M1090" s="73"/>
      <c r="N1090" s="73"/>
      <c r="O1090" s="73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14.25" customHeight="1" x14ac:dyDescent="0.35">
      <c r="A1091" s="9">
        <f t="shared" si="49"/>
        <v>1083</v>
      </c>
      <c r="B1091" s="15"/>
      <c r="C1091" s="11">
        <f t="shared" si="48"/>
        <v>1</v>
      </c>
      <c r="D1091" s="11"/>
      <c r="E1091" s="11"/>
      <c r="F1091" s="11"/>
      <c r="G1091" s="89">
        <f>IFERROR(VLOOKUP(F1091,COA!$A$1:$K$26,2,FALSE),0)</f>
        <v>0</v>
      </c>
      <c r="H1091" s="11"/>
      <c r="I1091" s="11"/>
      <c r="J1091" s="78"/>
      <c r="K1091" s="78"/>
      <c r="L1091" s="146">
        <f t="shared" si="50"/>
        <v>1800000</v>
      </c>
      <c r="M1091" s="73"/>
      <c r="N1091" s="73"/>
      <c r="O1091" s="73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14.25" customHeight="1" x14ac:dyDescent="0.35">
      <c r="A1092" s="9">
        <f t="shared" si="49"/>
        <v>1084</v>
      </c>
      <c r="B1092" s="15"/>
      <c r="C1092" s="11">
        <f t="shared" si="48"/>
        <v>1</v>
      </c>
      <c r="D1092" s="11"/>
      <c r="E1092" s="11"/>
      <c r="F1092" s="11"/>
      <c r="G1092" s="89">
        <f>IFERROR(VLOOKUP(F1092,COA!$A$1:$K$26,2,FALSE),0)</f>
        <v>0</v>
      </c>
      <c r="H1092" s="11"/>
      <c r="I1092" s="11"/>
      <c r="J1092" s="78"/>
      <c r="K1092" s="78"/>
      <c r="L1092" s="146">
        <f t="shared" si="50"/>
        <v>1800000</v>
      </c>
      <c r="M1092" s="73"/>
      <c r="N1092" s="73"/>
      <c r="O1092" s="73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14.25" customHeight="1" x14ac:dyDescent="0.35">
      <c r="A1093" s="9">
        <f t="shared" si="49"/>
        <v>1085</v>
      </c>
      <c r="B1093" s="15"/>
      <c r="C1093" s="11">
        <f t="shared" si="48"/>
        <v>1</v>
      </c>
      <c r="D1093" s="11"/>
      <c r="E1093" s="11"/>
      <c r="F1093" s="11"/>
      <c r="G1093" s="89">
        <f>IFERROR(VLOOKUP(F1093,COA!$A$1:$K$26,2,FALSE),0)</f>
        <v>0</v>
      </c>
      <c r="H1093" s="11"/>
      <c r="I1093" s="11"/>
      <c r="J1093" s="78"/>
      <c r="K1093" s="78"/>
      <c r="L1093" s="146">
        <f t="shared" si="50"/>
        <v>1800000</v>
      </c>
      <c r="M1093" s="73"/>
      <c r="N1093" s="73"/>
      <c r="O1093" s="73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14.25" customHeight="1" x14ac:dyDescent="0.35">
      <c r="A1094" s="9">
        <f t="shared" si="49"/>
        <v>1086</v>
      </c>
      <c r="B1094" s="15"/>
      <c r="C1094" s="11">
        <f t="shared" si="48"/>
        <v>1</v>
      </c>
      <c r="D1094" s="11"/>
      <c r="E1094" s="11"/>
      <c r="F1094" s="11"/>
      <c r="G1094" s="89">
        <f>IFERROR(VLOOKUP(F1094,COA!$A$1:$K$26,2,FALSE),0)</f>
        <v>0</v>
      </c>
      <c r="H1094" s="11"/>
      <c r="I1094" s="11"/>
      <c r="J1094" s="78"/>
      <c r="K1094" s="78"/>
      <c r="L1094" s="146">
        <f t="shared" si="50"/>
        <v>1800000</v>
      </c>
      <c r="M1094" s="73"/>
      <c r="N1094" s="73"/>
      <c r="O1094" s="73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14.25" customHeight="1" x14ac:dyDescent="0.35">
      <c r="A1095" s="9">
        <f t="shared" si="49"/>
        <v>1087</v>
      </c>
      <c r="B1095" s="15"/>
      <c r="C1095" s="11">
        <f t="shared" si="48"/>
        <v>1</v>
      </c>
      <c r="D1095" s="11"/>
      <c r="E1095" s="11"/>
      <c r="F1095" s="11"/>
      <c r="G1095" s="89">
        <f>IFERROR(VLOOKUP(F1095,COA!$A$1:$K$26,2,FALSE),0)</f>
        <v>0</v>
      </c>
      <c r="H1095" s="11"/>
      <c r="I1095" s="11"/>
      <c r="J1095" s="78"/>
      <c r="K1095" s="78"/>
      <c r="L1095" s="146">
        <f t="shared" si="50"/>
        <v>1800000</v>
      </c>
      <c r="M1095" s="73"/>
      <c r="N1095" s="73"/>
      <c r="O1095" s="73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14.25" customHeight="1" x14ac:dyDescent="0.35">
      <c r="A1096" s="9">
        <f t="shared" si="49"/>
        <v>1088</v>
      </c>
      <c r="B1096" s="15"/>
      <c r="C1096" s="11">
        <f t="shared" ref="C1096:C1159" si="51">MONTH(B1096)</f>
        <v>1</v>
      </c>
      <c r="D1096" s="11"/>
      <c r="E1096" s="11"/>
      <c r="F1096" s="11"/>
      <c r="G1096" s="89">
        <f>IFERROR(VLOOKUP(F1096,COA!$A$1:$K$26,2,FALSE),0)</f>
        <v>0</v>
      </c>
      <c r="H1096" s="11"/>
      <c r="I1096" s="11"/>
      <c r="J1096" s="78"/>
      <c r="K1096" s="78"/>
      <c r="L1096" s="146">
        <f t="shared" si="50"/>
        <v>1800000</v>
      </c>
      <c r="M1096" s="73"/>
      <c r="N1096" s="73"/>
      <c r="O1096" s="73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14.25" customHeight="1" x14ac:dyDescent="0.35">
      <c r="A1097" s="9">
        <f t="shared" si="49"/>
        <v>1089</v>
      </c>
      <c r="B1097" s="15"/>
      <c r="C1097" s="11">
        <f t="shared" si="51"/>
        <v>1</v>
      </c>
      <c r="D1097" s="11"/>
      <c r="E1097" s="11"/>
      <c r="F1097" s="11"/>
      <c r="G1097" s="89">
        <f>IFERROR(VLOOKUP(F1097,COA!$A$1:$K$26,2,FALSE),0)</f>
        <v>0</v>
      </c>
      <c r="H1097" s="11"/>
      <c r="I1097" s="11"/>
      <c r="J1097" s="78"/>
      <c r="K1097" s="78"/>
      <c r="L1097" s="146">
        <f t="shared" si="50"/>
        <v>1800000</v>
      </c>
      <c r="M1097" s="73"/>
      <c r="N1097" s="73"/>
      <c r="O1097" s="73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14.25" customHeight="1" x14ac:dyDescent="0.35">
      <c r="A1098" s="9">
        <f t="shared" si="49"/>
        <v>1090</v>
      </c>
      <c r="B1098" s="15"/>
      <c r="C1098" s="11">
        <f t="shared" si="51"/>
        <v>1</v>
      </c>
      <c r="D1098" s="11"/>
      <c r="E1098" s="11"/>
      <c r="F1098" s="11"/>
      <c r="G1098" s="89">
        <f>IFERROR(VLOOKUP(F1098,COA!$A$1:$K$26,2,FALSE),0)</f>
        <v>0</v>
      </c>
      <c r="H1098" s="11"/>
      <c r="I1098" s="11"/>
      <c r="J1098" s="78"/>
      <c r="K1098" s="78"/>
      <c r="L1098" s="146">
        <f t="shared" si="50"/>
        <v>1800000</v>
      </c>
      <c r="M1098" s="73"/>
      <c r="N1098" s="73"/>
      <c r="O1098" s="73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14.25" customHeight="1" x14ac:dyDescent="0.35">
      <c r="A1099" s="9">
        <f t="shared" ref="A1099:A1162" si="52">A1098+1</f>
        <v>1091</v>
      </c>
      <c r="B1099" s="15"/>
      <c r="C1099" s="11">
        <f t="shared" si="51"/>
        <v>1</v>
      </c>
      <c r="D1099" s="11"/>
      <c r="E1099" s="11"/>
      <c r="F1099" s="11"/>
      <c r="G1099" s="89">
        <f>IFERROR(VLOOKUP(F1099,COA!$A$1:$K$26,2,FALSE),0)</f>
        <v>0</v>
      </c>
      <c r="H1099" s="11"/>
      <c r="I1099" s="11"/>
      <c r="J1099" s="78"/>
      <c r="K1099" s="78"/>
      <c r="L1099" s="146">
        <f t="shared" ref="L1099:L1162" si="53">L1098+J1099-K1099</f>
        <v>1800000</v>
      </c>
      <c r="M1099" s="73"/>
      <c r="N1099" s="73"/>
      <c r="O1099" s="73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14.25" customHeight="1" x14ac:dyDescent="0.35">
      <c r="A1100" s="9">
        <f t="shared" si="52"/>
        <v>1092</v>
      </c>
      <c r="B1100" s="15"/>
      <c r="C1100" s="11">
        <f t="shared" si="51"/>
        <v>1</v>
      </c>
      <c r="D1100" s="11"/>
      <c r="E1100" s="11"/>
      <c r="F1100" s="11"/>
      <c r="G1100" s="89">
        <f>IFERROR(VLOOKUP(F1100,COA!$A$1:$K$26,2,FALSE),0)</f>
        <v>0</v>
      </c>
      <c r="H1100" s="11"/>
      <c r="I1100" s="11"/>
      <c r="J1100" s="78"/>
      <c r="K1100" s="78"/>
      <c r="L1100" s="146">
        <f t="shared" si="53"/>
        <v>1800000</v>
      </c>
      <c r="M1100" s="73"/>
      <c r="N1100" s="73"/>
      <c r="O1100" s="73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14.25" customHeight="1" x14ac:dyDescent="0.35">
      <c r="A1101" s="9">
        <f t="shared" si="52"/>
        <v>1093</v>
      </c>
      <c r="B1101" s="15"/>
      <c r="C1101" s="11">
        <f t="shared" si="51"/>
        <v>1</v>
      </c>
      <c r="D1101" s="11"/>
      <c r="E1101" s="11"/>
      <c r="F1101" s="11"/>
      <c r="G1101" s="89">
        <f>IFERROR(VLOOKUP(F1101,COA!$A$1:$K$26,2,FALSE),0)</f>
        <v>0</v>
      </c>
      <c r="H1101" s="11"/>
      <c r="I1101" s="11"/>
      <c r="J1101" s="78"/>
      <c r="K1101" s="78"/>
      <c r="L1101" s="146">
        <f t="shared" si="53"/>
        <v>1800000</v>
      </c>
      <c r="M1101" s="73"/>
      <c r="N1101" s="73"/>
      <c r="O1101" s="73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14.25" customHeight="1" x14ac:dyDescent="0.35">
      <c r="A1102" s="9">
        <f t="shared" si="52"/>
        <v>1094</v>
      </c>
      <c r="B1102" s="15"/>
      <c r="C1102" s="11">
        <f t="shared" si="51"/>
        <v>1</v>
      </c>
      <c r="D1102" s="11"/>
      <c r="E1102" s="11"/>
      <c r="F1102" s="11"/>
      <c r="G1102" s="89">
        <f>IFERROR(VLOOKUP(F1102,COA!$A$1:$K$26,2,FALSE),0)</f>
        <v>0</v>
      </c>
      <c r="H1102" s="11"/>
      <c r="I1102" s="11"/>
      <c r="J1102" s="78"/>
      <c r="K1102" s="78"/>
      <c r="L1102" s="146">
        <f t="shared" si="53"/>
        <v>1800000</v>
      </c>
      <c r="M1102" s="73"/>
      <c r="N1102" s="73"/>
      <c r="O1102" s="73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14.25" customHeight="1" x14ac:dyDescent="0.35">
      <c r="A1103" s="9">
        <f t="shared" si="52"/>
        <v>1095</v>
      </c>
      <c r="B1103" s="15"/>
      <c r="C1103" s="11">
        <f t="shared" si="51"/>
        <v>1</v>
      </c>
      <c r="D1103" s="11"/>
      <c r="E1103" s="11"/>
      <c r="F1103" s="11"/>
      <c r="G1103" s="89">
        <f>IFERROR(VLOOKUP(F1103,COA!$A$1:$K$26,2,FALSE),0)</f>
        <v>0</v>
      </c>
      <c r="H1103" s="11"/>
      <c r="I1103" s="11"/>
      <c r="J1103" s="78"/>
      <c r="K1103" s="78"/>
      <c r="L1103" s="146">
        <f t="shared" si="53"/>
        <v>1800000</v>
      </c>
      <c r="M1103" s="73"/>
      <c r="N1103" s="73"/>
      <c r="O1103" s="73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14.25" customHeight="1" x14ac:dyDescent="0.35">
      <c r="A1104" s="9">
        <f t="shared" si="52"/>
        <v>1096</v>
      </c>
      <c r="B1104" s="15"/>
      <c r="C1104" s="11">
        <f t="shared" si="51"/>
        <v>1</v>
      </c>
      <c r="D1104" s="11"/>
      <c r="E1104" s="11"/>
      <c r="F1104" s="11"/>
      <c r="G1104" s="89">
        <f>IFERROR(VLOOKUP(F1104,COA!$A$1:$K$26,2,FALSE),0)</f>
        <v>0</v>
      </c>
      <c r="H1104" s="11"/>
      <c r="I1104" s="11"/>
      <c r="J1104" s="78"/>
      <c r="K1104" s="78"/>
      <c r="L1104" s="146">
        <f t="shared" si="53"/>
        <v>1800000</v>
      </c>
      <c r="M1104" s="73"/>
      <c r="N1104" s="73"/>
      <c r="O1104" s="73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14.25" customHeight="1" x14ac:dyDescent="0.35">
      <c r="A1105" s="9">
        <f t="shared" si="52"/>
        <v>1097</v>
      </c>
      <c r="B1105" s="15"/>
      <c r="C1105" s="11">
        <f t="shared" si="51"/>
        <v>1</v>
      </c>
      <c r="D1105" s="11"/>
      <c r="E1105" s="11"/>
      <c r="F1105" s="11"/>
      <c r="G1105" s="89">
        <f>IFERROR(VLOOKUP(F1105,COA!$A$1:$K$26,2,FALSE),0)</f>
        <v>0</v>
      </c>
      <c r="H1105" s="11"/>
      <c r="I1105" s="11"/>
      <c r="J1105" s="78"/>
      <c r="K1105" s="78"/>
      <c r="L1105" s="146">
        <f t="shared" si="53"/>
        <v>1800000</v>
      </c>
      <c r="M1105" s="73"/>
      <c r="N1105" s="73"/>
      <c r="O1105" s="73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14.25" customHeight="1" x14ac:dyDescent="0.35">
      <c r="A1106" s="9">
        <f t="shared" si="52"/>
        <v>1098</v>
      </c>
      <c r="B1106" s="15"/>
      <c r="C1106" s="11">
        <f t="shared" si="51"/>
        <v>1</v>
      </c>
      <c r="D1106" s="11"/>
      <c r="E1106" s="11"/>
      <c r="F1106" s="11"/>
      <c r="G1106" s="89">
        <f>IFERROR(VLOOKUP(F1106,COA!$A$1:$K$26,2,FALSE),0)</f>
        <v>0</v>
      </c>
      <c r="H1106" s="11"/>
      <c r="I1106" s="11"/>
      <c r="J1106" s="78"/>
      <c r="K1106" s="78"/>
      <c r="L1106" s="146">
        <f t="shared" si="53"/>
        <v>1800000</v>
      </c>
      <c r="M1106" s="73"/>
      <c r="N1106" s="73"/>
      <c r="O1106" s="73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14.25" customHeight="1" x14ac:dyDescent="0.35">
      <c r="A1107" s="9">
        <f t="shared" si="52"/>
        <v>1099</v>
      </c>
      <c r="B1107" s="15"/>
      <c r="C1107" s="11">
        <f t="shared" si="51"/>
        <v>1</v>
      </c>
      <c r="D1107" s="11"/>
      <c r="E1107" s="11"/>
      <c r="F1107" s="11"/>
      <c r="G1107" s="89">
        <f>IFERROR(VLOOKUP(F1107,COA!$A$1:$K$26,2,FALSE),0)</f>
        <v>0</v>
      </c>
      <c r="H1107" s="11"/>
      <c r="I1107" s="11"/>
      <c r="J1107" s="78"/>
      <c r="K1107" s="78"/>
      <c r="L1107" s="146">
        <f t="shared" si="53"/>
        <v>1800000</v>
      </c>
      <c r="M1107" s="73"/>
      <c r="N1107" s="73"/>
      <c r="O1107" s="73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14.25" customHeight="1" x14ac:dyDescent="0.35">
      <c r="A1108" s="9">
        <f t="shared" si="52"/>
        <v>1100</v>
      </c>
      <c r="B1108" s="15"/>
      <c r="C1108" s="11">
        <f t="shared" si="51"/>
        <v>1</v>
      </c>
      <c r="D1108" s="11"/>
      <c r="E1108" s="11"/>
      <c r="F1108" s="11"/>
      <c r="G1108" s="89">
        <f>IFERROR(VLOOKUP(F1108,COA!$A$1:$K$26,2,FALSE),0)</f>
        <v>0</v>
      </c>
      <c r="H1108" s="11"/>
      <c r="I1108" s="11"/>
      <c r="J1108" s="78"/>
      <c r="K1108" s="78"/>
      <c r="L1108" s="146">
        <f t="shared" si="53"/>
        <v>1800000</v>
      </c>
      <c r="M1108" s="73"/>
      <c r="N1108" s="73"/>
      <c r="O1108" s="73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14.25" customHeight="1" x14ac:dyDescent="0.35">
      <c r="A1109" s="9">
        <f t="shared" si="52"/>
        <v>1101</v>
      </c>
      <c r="B1109" s="15"/>
      <c r="C1109" s="11">
        <f t="shared" si="51"/>
        <v>1</v>
      </c>
      <c r="D1109" s="11"/>
      <c r="E1109" s="11"/>
      <c r="F1109" s="11"/>
      <c r="G1109" s="89">
        <f>IFERROR(VLOOKUP(F1109,COA!$A$1:$K$26,2,FALSE),0)</f>
        <v>0</v>
      </c>
      <c r="H1109" s="11"/>
      <c r="I1109" s="11"/>
      <c r="J1109" s="78"/>
      <c r="K1109" s="78"/>
      <c r="L1109" s="146">
        <f t="shared" si="53"/>
        <v>1800000</v>
      </c>
      <c r="M1109" s="73"/>
      <c r="N1109" s="73"/>
      <c r="O1109" s="73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14.25" customHeight="1" x14ac:dyDescent="0.35">
      <c r="A1110" s="9">
        <f t="shared" si="52"/>
        <v>1102</v>
      </c>
      <c r="B1110" s="15"/>
      <c r="C1110" s="11">
        <f t="shared" si="51"/>
        <v>1</v>
      </c>
      <c r="D1110" s="11"/>
      <c r="E1110" s="11"/>
      <c r="F1110" s="11"/>
      <c r="G1110" s="89">
        <f>IFERROR(VLOOKUP(F1110,COA!$A$1:$K$26,2,FALSE),0)</f>
        <v>0</v>
      </c>
      <c r="H1110" s="11"/>
      <c r="I1110" s="11"/>
      <c r="J1110" s="78"/>
      <c r="K1110" s="78"/>
      <c r="L1110" s="146">
        <f t="shared" si="53"/>
        <v>1800000</v>
      </c>
      <c r="M1110" s="73"/>
      <c r="N1110" s="73"/>
      <c r="O1110" s="73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14.25" customHeight="1" x14ac:dyDescent="0.35">
      <c r="A1111" s="9">
        <f t="shared" si="52"/>
        <v>1103</v>
      </c>
      <c r="B1111" s="15"/>
      <c r="C1111" s="11">
        <f t="shared" si="51"/>
        <v>1</v>
      </c>
      <c r="D1111" s="11"/>
      <c r="E1111" s="11"/>
      <c r="F1111" s="11"/>
      <c r="G1111" s="89">
        <f>IFERROR(VLOOKUP(F1111,COA!$A$1:$K$26,2,FALSE),0)</f>
        <v>0</v>
      </c>
      <c r="H1111" s="11"/>
      <c r="I1111" s="11"/>
      <c r="J1111" s="78"/>
      <c r="K1111" s="78"/>
      <c r="L1111" s="146">
        <f t="shared" si="53"/>
        <v>1800000</v>
      </c>
      <c r="M1111" s="73"/>
      <c r="N1111" s="73"/>
      <c r="O1111" s="73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14.25" customHeight="1" x14ac:dyDescent="0.35">
      <c r="A1112" s="9">
        <f t="shared" si="52"/>
        <v>1104</v>
      </c>
      <c r="B1112" s="15"/>
      <c r="C1112" s="11">
        <f t="shared" si="51"/>
        <v>1</v>
      </c>
      <c r="D1112" s="11"/>
      <c r="E1112" s="11"/>
      <c r="F1112" s="11"/>
      <c r="G1112" s="89">
        <f>IFERROR(VLOOKUP(F1112,COA!$A$1:$K$26,2,FALSE),0)</f>
        <v>0</v>
      </c>
      <c r="H1112" s="11"/>
      <c r="I1112" s="11"/>
      <c r="J1112" s="78"/>
      <c r="K1112" s="78"/>
      <c r="L1112" s="146">
        <f t="shared" si="53"/>
        <v>1800000</v>
      </c>
      <c r="M1112" s="73"/>
      <c r="N1112" s="73"/>
      <c r="O1112" s="73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14.25" customHeight="1" x14ac:dyDescent="0.35">
      <c r="A1113" s="9">
        <f t="shared" si="52"/>
        <v>1105</v>
      </c>
      <c r="B1113" s="15"/>
      <c r="C1113" s="11">
        <f t="shared" si="51"/>
        <v>1</v>
      </c>
      <c r="D1113" s="11"/>
      <c r="E1113" s="11"/>
      <c r="F1113" s="11"/>
      <c r="G1113" s="89">
        <f>IFERROR(VLOOKUP(F1113,COA!$A$1:$K$26,2,FALSE),0)</f>
        <v>0</v>
      </c>
      <c r="H1113" s="11"/>
      <c r="I1113" s="11"/>
      <c r="J1113" s="78"/>
      <c r="K1113" s="78"/>
      <c r="L1113" s="146">
        <f t="shared" si="53"/>
        <v>1800000</v>
      </c>
      <c r="M1113" s="73"/>
      <c r="N1113" s="73"/>
      <c r="O1113" s="73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14.25" customHeight="1" x14ac:dyDescent="0.35">
      <c r="A1114" s="9">
        <f t="shared" si="52"/>
        <v>1106</v>
      </c>
      <c r="B1114" s="15"/>
      <c r="C1114" s="11">
        <f t="shared" si="51"/>
        <v>1</v>
      </c>
      <c r="D1114" s="11"/>
      <c r="E1114" s="11"/>
      <c r="F1114" s="11"/>
      <c r="G1114" s="89">
        <f>IFERROR(VLOOKUP(F1114,COA!$A$1:$K$26,2,FALSE),0)</f>
        <v>0</v>
      </c>
      <c r="H1114" s="11"/>
      <c r="I1114" s="11"/>
      <c r="J1114" s="78"/>
      <c r="K1114" s="78"/>
      <c r="L1114" s="146">
        <f t="shared" si="53"/>
        <v>1800000</v>
      </c>
      <c r="M1114" s="73"/>
      <c r="N1114" s="73"/>
      <c r="O1114" s="73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14.25" customHeight="1" x14ac:dyDescent="0.35">
      <c r="A1115" s="9">
        <f t="shared" si="52"/>
        <v>1107</v>
      </c>
      <c r="B1115" s="15"/>
      <c r="C1115" s="11">
        <f t="shared" si="51"/>
        <v>1</v>
      </c>
      <c r="D1115" s="11"/>
      <c r="E1115" s="11"/>
      <c r="F1115" s="11"/>
      <c r="G1115" s="89">
        <f>IFERROR(VLOOKUP(F1115,COA!$A$1:$K$26,2,FALSE),0)</f>
        <v>0</v>
      </c>
      <c r="H1115" s="11"/>
      <c r="I1115" s="11"/>
      <c r="J1115" s="78"/>
      <c r="K1115" s="78"/>
      <c r="L1115" s="146">
        <f t="shared" si="53"/>
        <v>1800000</v>
      </c>
      <c r="M1115" s="73"/>
      <c r="N1115" s="73"/>
      <c r="O1115" s="73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14.25" customHeight="1" x14ac:dyDescent="0.35">
      <c r="A1116" s="9">
        <f t="shared" si="52"/>
        <v>1108</v>
      </c>
      <c r="B1116" s="15"/>
      <c r="C1116" s="11">
        <f t="shared" si="51"/>
        <v>1</v>
      </c>
      <c r="D1116" s="11"/>
      <c r="E1116" s="11"/>
      <c r="F1116" s="11"/>
      <c r="G1116" s="89">
        <f>IFERROR(VLOOKUP(F1116,COA!$A$1:$K$26,2,FALSE),0)</f>
        <v>0</v>
      </c>
      <c r="H1116" s="11"/>
      <c r="I1116" s="11"/>
      <c r="J1116" s="78"/>
      <c r="K1116" s="78"/>
      <c r="L1116" s="146">
        <f t="shared" si="53"/>
        <v>1800000</v>
      </c>
      <c r="M1116" s="73"/>
      <c r="N1116" s="73"/>
      <c r="O1116" s="73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14.25" customHeight="1" x14ac:dyDescent="0.35">
      <c r="A1117" s="9">
        <f t="shared" si="52"/>
        <v>1109</v>
      </c>
      <c r="B1117" s="15"/>
      <c r="C1117" s="11">
        <f t="shared" si="51"/>
        <v>1</v>
      </c>
      <c r="D1117" s="11"/>
      <c r="E1117" s="11"/>
      <c r="F1117" s="11"/>
      <c r="G1117" s="89">
        <f>IFERROR(VLOOKUP(F1117,COA!$A$1:$K$26,2,FALSE),0)</f>
        <v>0</v>
      </c>
      <c r="H1117" s="11"/>
      <c r="I1117" s="11"/>
      <c r="J1117" s="78"/>
      <c r="K1117" s="78"/>
      <c r="L1117" s="146">
        <f t="shared" si="53"/>
        <v>1800000</v>
      </c>
      <c r="M1117" s="73"/>
      <c r="N1117" s="73"/>
      <c r="O1117" s="73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14.25" customHeight="1" x14ac:dyDescent="0.35">
      <c r="A1118" s="9">
        <f t="shared" si="52"/>
        <v>1110</v>
      </c>
      <c r="B1118" s="15"/>
      <c r="C1118" s="11">
        <f t="shared" si="51"/>
        <v>1</v>
      </c>
      <c r="D1118" s="11"/>
      <c r="E1118" s="11"/>
      <c r="F1118" s="11"/>
      <c r="G1118" s="89">
        <f>IFERROR(VLOOKUP(F1118,COA!$A$1:$K$26,2,FALSE),0)</f>
        <v>0</v>
      </c>
      <c r="H1118" s="11"/>
      <c r="I1118" s="11"/>
      <c r="J1118" s="78"/>
      <c r="K1118" s="78"/>
      <c r="L1118" s="146">
        <f t="shared" si="53"/>
        <v>1800000</v>
      </c>
      <c r="M1118" s="73"/>
      <c r="N1118" s="73"/>
      <c r="O1118" s="73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14.25" customHeight="1" x14ac:dyDescent="0.35">
      <c r="A1119" s="9">
        <f t="shared" si="52"/>
        <v>1111</v>
      </c>
      <c r="B1119" s="15"/>
      <c r="C1119" s="11">
        <f t="shared" si="51"/>
        <v>1</v>
      </c>
      <c r="D1119" s="11"/>
      <c r="E1119" s="11"/>
      <c r="F1119" s="11"/>
      <c r="G1119" s="89">
        <f>IFERROR(VLOOKUP(F1119,COA!$A$1:$K$26,2,FALSE),0)</f>
        <v>0</v>
      </c>
      <c r="H1119" s="11"/>
      <c r="I1119" s="11"/>
      <c r="J1119" s="78"/>
      <c r="K1119" s="78"/>
      <c r="L1119" s="146">
        <f t="shared" si="53"/>
        <v>1800000</v>
      </c>
      <c r="M1119" s="73"/>
      <c r="N1119" s="73"/>
      <c r="O1119" s="73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14.25" customHeight="1" x14ac:dyDescent="0.35">
      <c r="A1120" s="9">
        <f t="shared" si="52"/>
        <v>1112</v>
      </c>
      <c r="B1120" s="15"/>
      <c r="C1120" s="11">
        <f t="shared" si="51"/>
        <v>1</v>
      </c>
      <c r="D1120" s="11"/>
      <c r="E1120" s="11"/>
      <c r="F1120" s="11"/>
      <c r="G1120" s="89">
        <f>IFERROR(VLOOKUP(F1120,COA!$A$1:$K$26,2,FALSE),0)</f>
        <v>0</v>
      </c>
      <c r="H1120" s="11"/>
      <c r="I1120" s="11"/>
      <c r="J1120" s="78"/>
      <c r="K1120" s="78"/>
      <c r="L1120" s="146">
        <f t="shared" si="53"/>
        <v>1800000</v>
      </c>
      <c r="M1120" s="73"/>
      <c r="N1120" s="73"/>
      <c r="O1120" s="73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14.25" customHeight="1" x14ac:dyDescent="0.35">
      <c r="A1121" s="9">
        <f t="shared" si="52"/>
        <v>1113</v>
      </c>
      <c r="B1121" s="15"/>
      <c r="C1121" s="11">
        <f t="shared" si="51"/>
        <v>1</v>
      </c>
      <c r="D1121" s="11"/>
      <c r="E1121" s="11"/>
      <c r="F1121" s="11"/>
      <c r="G1121" s="89">
        <f>IFERROR(VLOOKUP(F1121,COA!$A$1:$K$26,2,FALSE),0)</f>
        <v>0</v>
      </c>
      <c r="H1121" s="11"/>
      <c r="I1121" s="11"/>
      <c r="J1121" s="78"/>
      <c r="K1121" s="78"/>
      <c r="L1121" s="146">
        <f t="shared" si="53"/>
        <v>1800000</v>
      </c>
      <c r="M1121" s="73"/>
      <c r="N1121" s="73"/>
      <c r="O1121" s="73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14.25" customHeight="1" x14ac:dyDescent="0.35">
      <c r="A1122" s="9">
        <f t="shared" si="52"/>
        <v>1114</v>
      </c>
      <c r="B1122" s="15"/>
      <c r="C1122" s="11">
        <f t="shared" si="51"/>
        <v>1</v>
      </c>
      <c r="D1122" s="11"/>
      <c r="E1122" s="11"/>
      <c r="F1122" s="11"/>
      <c r="G1122" s="89">
        <f>IFERROR(VLOOKUP(F1122,COA!$A$1:$K$26,2,FALSE),0)</f>
        <v>0</v>
      </c>
      <c r="H1122" s="11"/>
      <c r="I1122" s="11"/>
      <c r="J1122" s="78"/>
      <c r="K1122" s="78"/>
      <c r="L1122" s="146">
        <f t="shared" si="53"/>
        <v>1800000</v>
      </c>
      <c r="M1122" s="73"/>
      <c r="N1122" s="73"/>
      <c r="O1122" s="73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14.25" customHeight="1" x14ac:dyDescent="0.35">
      <c r="A1123" s="9">
        <f t="shared" si="52"/>
        <v>1115</v>
      </c>
      <c r="B1123" s="15"/>
      <c r="C1123" s="11">
        <f t="shared" si="51"/>
        <v>1</v>
      </c>
      <c r="D1123" s="11"/>
      <c r="E1123" s="11"/>
      <c r="F1123" s="11"/>
      <c r="G1123" s="89">
        <f>IFERROR(VLOOKUP(F1123,COA!$A$1:$K$26,2,FALSE),0)</f>
        <v>0</v>
      </c>
      <c r="H1123" s="11"/>
      <c r="I1123" s="11"/>
      <c r="J1123" s="78"/>
      <c r="K1123" s="78"/>
      <c r="L1123" s="146">
        <f t="shared" si="53"/>
        <v>1800000</v>
      </c>
      <c r="M1123" s="73"/>
      <c r="N1123" s="73"/>
      <c r="O1123" s="73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14.25" customHeight="1" x14ac:dyDescent="0.35">
      <c r="A1124" s="9">
        <f t="shared" si="52"/>
        <v>1116</v>
      </c>
      <c r="B1124" s="15"/>
      <c r="C1124" s="11">
        <f t="shared" si="51"/>
        <v>1</v>
      </c>
      <c r="D1124" s="11"/>
      <c r="E1124" s="11"/>
      <c r="F1124" s="11"/>
      <c r="G1124" s="89">
        <f>IFERROR(VLOOKUP(F1124,COA!$A$1:$K$26,2,FALSE),0)</f>
        <v>0</v>
      </c>
      <c r="H1124" s="11"/>
      <c r="I1124" s="11"/>
      <c r="J1124" s="78"/>
      <c r="K1124" s="78"/>
      <c r="L1124" s="146">
        <f t="shared" si="53"/>
        <v>1800000</v>
      </c>
      <c r="M1124" s="73"/>
      <c r="N1124" s="73"/>
      <c r="O1124" s="73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14.25" customHeight="1" x14ac:dyDescent="0.35">
      <c r="A1125" s="9">
        <f t="shared" si="52"/>
        <v>1117</v>
      </c>
      <c r="B1125" s="15"/>
      <c r="C1125" s="11">
        <f t="shared" si="51"/>
        <v>1</v>
      </c>
      <c r="D1125" s="11"/>
      <c r="E1125" s="11"/>
      <c r="F1125" s="11"/>
      <c r="G1125" s="89">
        <f>IFERROR(VLOOKUP(F1125,COA!$A$1:$K$26,2,FALSE),0)</f>
        <v>0</v>
      </c>
      <c r="H1125" s="11"/>
      <c r="I1125" s="11"/>
      <c r="J1125" s="78"/>
      <c r="K1125" s="78"/>
      <c r="L1125" s="146">
        <f t="shared" si="53"/>
        <v>1800000</v>
      </c>
      <c r="M1125" s="73"/>
      <c r="N1125" s="73"/>
      <c r="O1125" s="73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14.25" customHeight="1" x14ac:dyDescent="0.35">
      <c r="A1126" s="9">
        <f t="shared" si="52"/>
        <v>1118</v>
      </c>
      <c r="B1126" s="15"/>
      <c r="C1126" s="11">
        <f t="shared" si="51"/>
        <v>1</v>
      </c>
      <c r="D1126" s="11"/>
      <c r="E1126" s="11"/>
      <c r="F1126" s="11"/>
      <c r="G1126" s="89">
        <f>IFERROR(VLOOKUP(F1126,COA!$A$1:$K$26,2,FALSE),0)</f>
        <v>0</v>
      </c>
      <c r="H1126" s="11"/>
      <c r="I1126" s="11"/>
      <c r="J1126" s="78"/>
      <c r="K1126" s="78"/>
      <c r="L1126" s="146">
        <f t="shared" si="53"/>
        <v>1800000</v>
      </c>
      <c r="M1126" s="73"/>
      <c r="N1126" s="73"/>
      <c r="O1126" s="73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14.25" customHeight="1" x14ac:dyDescent="0.35">
      <c r="A1127" s="9">
        <f t="shared" si="52"/>
        <v>1119</v>
      </c>
      <c r="B1127" s="15"/>
      <c r="C1127" s="11">
        <f t="shared" si="51"/>
        <v>1</v>
      </c>
      <c r="D1127" s="11"/>
      <c r="E1127" s="11"/>
      <c r="F1127" s="11"/>
      <c r="G1127" s="89">
        <f>IFERROR(VLOOKUP(F1127,COA!$A$1:$K$26,2,FALSE),0)</f>
        <v>0</v>
      </c>
      <c r="H1127" s="11"/>
      <c r="I1127" s="11"/>
      <c r="J1127" s="78"/>
      <c r="K1127" s="78"/>
      <c r="L1127" s="146">
        <f t="shared" si="53"/>
        <v>1800000</v>
      </c>
      <c r="M1127" s="73"/>
      <c r="N1127" s="73"/>
      <c r="O1127" s="73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14.25" customHeight="1" x14ac:dyDescent="0.35">
      <c r="A1128" s="9">
        <f t="shared" si="52"/>
        <v>1120</v>
      </c>
      <c r="B1128" s="15"/>
      <c r="C1128" s="11">
        <f t="shared" si="51"/>
        <v>1</v>
      </c>
      <c r="D1128" s="11"/>
      <c r="E1128" s="11"/>
      <c r="F1128" s="11"/>
      <c r="G1128" s="89">
        <f>IFERROR(VLOOKUP(F1128,COA!$A$1:$K$26,2,FALSE),0)</f>
        <v>0</v>
      </c>
      <c r="H1128" s="11"/>
      <c r="I1128" s="11"/>
      <c r="J1128" s="78"/>
      <c r="K1128" s="78"/>
      <c r="L1128" s="146">
        <f t="shared" si="53"/>
        <v>1800000</v>
      </c>
      <c r="M1128" s="73"/>
      <c r="N1128" s="73"/>
      <c r="O1128" s="73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14.25" customHeight="1" x14ac:dyDescent="0.35">
      <c r="A1129" s="9">
        <f t="shared" si="52"/>
        <v>1121</v>
      </c>
      <c r="B1129" s="15"/>
      <c r="C1129" s="11">
        <f t="shared" si="51"/>
        <v>1</v>
      </c>
      <c r="D1129" s="11"/>
      <c r="E1129" s="11"/>
      <c r="F1129" s="11"/>
      <c r="G1129" s="89">
        <f>IFERROR(VLOOKUP(F1129,COA!$A$1:$K$26,2,FALSE),0)</f>
        <v>0</v>
      </c>
      <c r="H1129" s="11"/>
      <c r="I1129" s="11"/>
      <c r="J1129" s="78"/>
      <c r="K1129" s="78"/>
      <c r="L1129" s="146">
        <f t="shared" si="53"/>
        <v>1800000</v>
      </c>
      <c r="M1129" s="73"/>
      <c r="N1129" s="73"/>
      <c r="O1129" s="73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14.25" customHeight="1" x14ac:dyDescent="0.35">
      <c r="A1130" s="9">
        <f t="shared" si="52"/>
        <v>1122</v>
      </c>
      <c r="B1130" s="15"/>
      <c r="C1130" s="11">
        <f t="shared" si="51"/>
        <v>1</v>
      </c>
      <c r="D1130" s="11"/>
      <c r="E1130" s="11"/>
      <c r="F1130" s="11"/>
      <c r="G1130" s="89">
        <f>IFERROR(VLOOKUP(F1130,COA!$A$1:$K$26,2,FALSE),0)</f>
        <v>0</v>
      </c>
      <c r="H1130" s="11"/>
      <c r="I1130" s="11"/>
      <c r="J1130" s="78"/>
      <c r="K1130" s="78"/>
      <c r="L1130" s="146">
        <f t="shared" si="53"/>
        <v>1800000</v>
      </c>
      <c r="M1130" s="73"/>
      <c r="N1130" s="73"/>
      <c r="O1130" s="73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14.25" customHeight="1" x14ac:dyDescent="0.35">
      <c r="A1131" s="9">
        <f t="shared" si="52"/>
        <v>1123</v>
      </c>
      <c r="B1131" s="15"/>
      <c r="C1131" s="11">
        <f t="shared" si="51"/>
        <v>1</v>
      </c>
      <c r="D1131" s="11"/>
      <c r="E1131" s="11"/>
      <c r="F1131" s="11"/>
      <c r="G1131" s="89">
        <f>IFERROR(VLOOKUP(F1131,COA!$A$1:$K$26,2,FALSE),0)</f>
        <v>0</v>
      </c>
      <c r="H1131" s="11"/>
      <c r="I1131" s="11"/>
      <c r="J1131" s="78"/>
      <c r="K1131" s="78"/>
      <c r="L1131" s="146">
        <f t="shared" si="53"/>
        <v>1800000</v>
      </c>
      <c r="M1131" s="73"/>
      <c r="N1131" s="73"/>
      <c r="O1131" s="73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14.25" customHeight="1" x14ac:dyDescent="0.35">
      <c r="A1132" s="9">
        <f t="shared" si="52"/>
        <v>1124</v>
      </c>
      <c r="B1132" s="15"/>
      <c r="C1132" s="11">
        <f t="shared" si="51"/>
        <v>1</v>
      </c>
      <c r="D1132" s="11"/>
      <c r="E1132" s="11"/>
      <c r="F1132" s="11"/>
      <c r="G1132" s="89">
        <f>IFERROR(VLOOKUP(F1132,COA!$A$1:$K$26,2,FALSE),0)</f>
        <v>0</v>
      </c>
      <c r="H1132" s="11"/>
      <c r="I1132" s="11"/>
      <c r="J1132" s="78"/>
      <c r="K1132" s="78"/>
      <c r="L1132" s="146">
        <f t="shared" si="53"/>
        <v>1800000</v>
      </c>
      <c r="M1132" s="73"/>
      <c r="N1132" s="73"/>
      <c r="O1132" s="73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14.25" customHeight="1" x14ac:dyDescent="0.35">
      <c r="A1133" s="9">
        <f t="shared" si="52"/>
        <v>1125</v>
      </c>
      <c r="B1133" s="15"/>
      <c r="C1133" s="11">
        <f t="shared" si="51"/>
        <v>1</v>
      </c>
      <c r="D1133" s="11"/>
      <c r="E1133" s="11"/>
      <c r="F1133" s="11"/>
      <c r="G1133" s="89">
        <f>IFERROR(VLOOKUP(F1133,COA!$A$1:$K$26,2,FALSE),0)</f>
        <v>0</v>
      </c>
      <c r="H1133" s="11"/>
      <c r="I1133" s="11"/>
      <c r="J1133" s="78"/>
      <c r="K1133" s="78"/>
      <c r="L1133" s="146">
        <f t="shared" si="53"/>
        <v>1800000</v>
      </c>
      <c r="M1133" s="73"/>
      <c r="N1133" s="73"/>
      <c r="O1133" s="73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14.25" customHeight="1" x14ac:dyDescent="0.35">
      <c r="A1134" s="9">
        <f t="shared" si="52"/>
        <v>1126</v>
      </c>
      <c r="B1134" s="15"/>
      <c r="C1134" s="11">
        <f t="shared" si="51"/>
        <v>1</v>
      </c>
      <c r="D1134" s="11"/>
      <c r="E1134" s="11"/>
      <c r="F1134" s="11"/>
      <c r="G1134" s="89">
        <f>IFERROR(VLOOKUP(F1134,COA!$A$1:$K$26,2,FALSE),0)</f>
        <v>0</v>
      </c>
      <c r="H1134" s="11"/>
      <c r="I1134" s="11"/>
      <c r="J1134" s="78"/>
      <c r="K1134" s="78"/>
      <c r="L1134" s="146">
        <f t="shared" si="53"/>
        <v>1800000</v>
      </c>
      <c r="M1134" s="73"/>
      <c r="N1134" s="73"/>
      <c r="O1134" s="73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14.25" customHeight="1" x14ac:dyDescent="0.35">
      <c r="A1135" s="9">
        <f t="shared" si="52"/>
        <v>1127</v>
      </c>
      <c r="B1135" s="15"/>
      <c r="C1135" s="11">
        <f t="shared" si="51"/>
        <v>1</v>
      </c>
      <c r="D1135" s="11"/>
      <c r="E1135" s="11"/>
      <c r="F1135" s="11"/>
      <c r="G1135" s="89">
        <f>IFERROR(VLOOKUP(F1135,COA!$A$1:$K$26,2,FALSE),0)</f>
        <v>0</v>
      </c>
      <c r="H1135" s="11"/>
      <c r="I1135" s="11"/>
      <c r="J1135" s="78"/>
      <c r="K1135" s="78"/>
      <c r="L1135" s="146">
        <f t="shared" si="53"/>
        <v>1800000</v>
      </c>
      <c r="M1135" s="73"/>
      <c r="N1135" s="73"/>
      <c r="O1135" s="73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14.25" customHeight="1" x14ac:dyDescent="0.35">
      <c r="A1136" s="9">
        <f t="shared" si="52"/>
        <v>1128</v>
      </c>
      <c r="B1136" s="15"/>
      <c r="C1136" s="11">
        <f t="shared" si="51"/>
        <v>1</v>
      </c>
      <c r="D1136" s="11"/>
      <c r="E1136" s="11"/>
      <c r="F1136" s="11"/>
      <c r="G1136" s="89">
        <f>IFERROR(VLOOKUP(F1136,COA!$A$1:$K$26,2,FALSE),0)</f>
        <v>0</v>
      </c>
      <c r="H1136" s="11"/>
      <c r="I1136" s="11"/>
      <c r="J1136" s="78"/>
      <c r="K1136" s="78"/>
      <c r="L1136" s="146">
        <f t="shared" si="53"/>
        <v>1800000</v>
      </c>
      <c r="M1136" s="73"/>
      <c r="N1136" s="73"/>
      <c r="O1136" s="73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14.25" customHeight="1" x14ac:dyDescent="0.35">
      <c r="A1137" s="9">
        <f t="shared" si="52"/>
        <v>1129</v>
      </c>
      <c r="B1137" s="15"/>
      <c r="C1137" s="11">
        <f t="shared" si="51"/>
        <v>1</v>
      </c>
      <c r="D1137" s="11"/>
      <c r="E1137" s="11"/>
      <c r="F1137" s="11"/>
      <c r="G1137" s="89">
        <f>IFERROR(VLOOKUP(F1137,COA!$A$1:$K$26,2,FALSE),0)</f>
        <v>0</v>
      </c>
      <c r="H1137" s="11"/>
      <c r="I1137" s="11"/>
      <c r="J1137" s="78"/>
      <c r="K1137" s="78"/>
      <c r="L1137" s="146">
        <f t="shared" si="53"/>
        <v>1800000</v>
      </c>
      <c r="M1137" s="73"/>
      <c r="N1137" s="73"/>
      <c r="O1137" s="73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14.25" customHeight="1" x14ac:dyDescent="0.35">
      <c r="A1138" s="9">
        <f t="shared" si="52"/>
        <v>1130</v>
      </c>
      <c r="B1138" s="15"/>
      <c r="C1138" s="11">
        <f t="shared" si="51"/>
        <v>1</v>
      </c>
      <c r="D1138" s="11"/>
      <c r="E1138" s="11"/>
      <c r="F1138" s="11"/>
      <c r="G1138" s="89">
        <f>IFERROR(VLOOKUP(F1138,COA!$A$1:$K$26,2,FALSE),0)</f>
        <v>0</v>
      </c>
      <c r="H1138" s="11"/>
      <c r="I1138" s="11"/>
      <c r="J1138" s="78"/>
      <c r="K1138" s="78"/>
      <c r="L1138" s="146">
        <f t="shared" si="53"/>
        <v>1800000</v>
      </c>
      <c r="M1138" s="73"/>
      <c r="N1138" s="73"/>
      <c r="O1138" s="73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14.25" customHeight="1" x14ac:dyDescent="0.35">
      <c r="A1139" s="9">
        <f t="shared" si="52"/>
        <v>1131</v>
      </c>
      <c r="B1139" s="15"/>
      <c r="C1139" s="11">
        <f t="shared" si="51"/>
        <v>1</v>
      </c>
      <c r="D1139" s="11"/>
      <c r="E1139" s="11"/>
      <c r="F1139" s="11"/>
      <c r="G1139" s="89">
        <f>IFERROR(VLOOKUP(F1139,COA!$A$1:$K$26,2,FALSE),0)</f>
        <v>0</v>
      </c>
      <c r="H1139" s="11"/>
      <c r="I1139" s="11"/>
      <c r="J1139" s="78"/>
      <c r="K1139" s="78"/>
      <c r="L1139" s="146">
        <f t="shared" si="53"/>
        <v>1800000</v>
      </c>
      <c r="M1139" s="73"/>
      <c r="N1139" s="73"/>
      <c r="O1139" s="73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14.25" customHeight="1" x14ac:dyDescent="0.35">
      <c r="A1140" s="9">
        <f t="shared" si="52"/>
        <v>1132</v>
      </c>
      <c r="B1140" s="15"/>
      <c r="C1140" s="11">
        <f t="shared" si="51"/>
        <v>1</v>
      </c>
      <c r="D1140" s="11"/>
      <c r="E1140" s="11"/>
      <c r="F1140" s="11"/>
      <c r="G1140" s="89">
        <f>IFERROR(VLOOKUP(F1140,COA!$A$1:$K$26,2,FALSE),0)</f>
        <v>0</v>
      </c>
      <c r="H1140" s="11"/>
      <c r="I1140" s="11"/>
      <c r="J1140" s="78"/>
      <c r="K1140" s="78"/>
      <c r="L1140" s="146">
        <f t="shared" si="53"/>
        <v>1800000</v>
      </c>
      <c r="M1140" s="73"/>
      <c r="N1140" s="73"/>
      <c r="O1140" s="73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14.25" customHeight="1" x14ac:dyDescent="0.35">
      <c r="A1141" s="9">
        <f t="shared" si="52"/>
        <v>1133</v>
      </c>
      <c r="B1141" s="15"/>
      <c r="C1141" s="11">
        <f t="shared" si="51"/>
        <v>1</v>
      </c>
      <c r="D1141" s="11"/>
      <c r="E1141" s="11"/>
      <c r="F1141" s="11"/>
      <c r="G1141" s="89">
        <f>IFERROR(VLOOKUP(F1141,COA!$A$1:$K$26,2,FALSE),0)</f>
        <v>0</v>
      </c>
      <c r="H1141" s="11"/>
      <c r="I1141" s="11"/>
      <c r="J1141" s="78"/>
      <c r="K1141" s="78"/>
      <c r="L1141" s="146">
        <f t="shared" si="53"/>
        <v>1800000</v>
      </c>
      <c r="M1141" s="73"/>
      <c r="N1141" s="73"/>
      <c r="O1141" s="73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14.25" customHeight="1" x14ac:dyDescent="0.35">
      <c r="A1142" s="9">
        <f t="shared" si="52"/>
        <v>1134</v>
      </c>
      <c r="B1142" s="15"/>
      <c r="C1142" s="11">
        <f t="shared" si="51"/>
        <v>1</v>
      </c>
      <c r="D1142" s="11"/>
      <c r="E1142" s="11"/>
      <c r="F1142" s="11"/>
      <c r="G1142" s="89">
        <f>IFERROR(VLOOKUP(F1142,COA!$A$1:$K$26,2,FALSE),0)</f>
        <v>0</v>
      </c>
      <c r="H1142" s="11"/>
      <c r="I1142" s="11"/>
      <c r="J1142" s="78"/>
      <c r="K1142" s="78"/>
      <c r="L1142" s="146">
        <f t="shared" si="53"/>
        <v>1800000</v>
      </c>
      <c r="M1142" s="73"/>
      <c r="N1142" s="73"/>
      <c r="O1142" s="73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14.25" customHeight="1" x14ac:dyDescent="0.35">
      <c r="A1143" s="9">
        <f t="shared" si="52"/>
        <v>1135</v>
      </c>
      <c r="B1143" s="15"/>
      <c r="C1143" s="11">
        <f t="shared" si="51"/>
        <v>1</v>
      </c>
      <c r="D1143" s="11"/>
      <c r="E1143" s="11"/>
      <c r="F1143" s="11"/>
      <c r="G1143" s="89">
        <f>IFERROR(VLOOKUP(F1143,COA!$A$1:$K$26,2,FALSE),0)</f>
        <v>0</v>
      </c>
      <c r="H1143" s="11"/>
      <c r="I1143" s="11"/>
      <c r="J1143" s="78"/>
      <c r="K1143" s="78"/>
      <c r="L1143" s="146">
        <f t="shared" si="53"/>
        <v>1800000</v>
      </c>
      <c r="M1143" s="73"/>
      <c r="N1143" s="73"/>
      <c r="O1143" s="73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14.25" customHeight="1" x14ac:dyDescent="0.35">
      <c r="A1144" s="9">
        <f t="shared" si="52"/>
        <v>1136</v>
      </c>
      <c r="B1144" s="15"/>
      <c r="C1144" s="11">
        <f t="shared" si="51"/>
        <v>1</v>
      </c>
      <c r="D1144" s="11"/>
      <c r="E1144" s="11"/>
      <c r="F1144" s="11"/>
      <c r="G1144" s="89">
        <f>IFERROR(VLOOKUP(F1144,COA!$A$1:$K$26,2,FALSE),0)</f>
        <v>0</v>
      </c>
      <c r="H1144" s="11"/>
      <c r="I1144" s="11"/>
      <c r="J1144" s="78"/>
      <c r="K1144" s="78"/>
      <c r="L1144" s="146">
        <f t="shared" si="53"/>
        <v>1800000</v>
      </c>
      <c r="M1144" s="73"/>
      <c r="N1144" s="73"/>
      <c r="O1144" s="73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14.25" customHeight="1" x14ac:dyDescent="0.35">
      <c r="A1145" s="9">
        <f t="shared" si="52"/>
        <v>1137</v>
      </c>
      <c r="B1145" s="15"/>
      <c r="C1145" s="11">
        <f t="shared" si="51"/>
        <v>1</v>
      </c>
      <c r="D1145" s="11"/>
      <c r="E1145" s="11"/>
      <c r="F1145" s="11"/>
      <c r="G1145" s="89">
        <f>IFERROR(VLOOKUP(F1145,COA!$A$1:$K$26,2,FALSE),0)</f>
        <v>0</v>
      </c>
      <c r="H1145" s="11"/>
      <c r="I1145" s="11"/>
      <c r="J1145" s="78"/>
      <c r="K1145" s="78"/>
      <c r="L1145" s="146">
        <f t="shared" si="53"/>
        <v>1800000</v>
      </c>
      <c r="M1145" s="73"/>
      <c r="N1145" s="73"/>
      <c r="O1145" s="73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14.25" customHeight="1" x14ac:dyDescent="0.35">
      <c r="A1146" s="9">
        <f t="shared" si="52"/>
        <v>1138</v>
      </c>
      <c r="B1146" s="15"/>
      <c r="C1146" s="11">
        <f t="shared" si="51"/>
        <v>1</v>
      </c>
      <c r="D1146" s="11"/>
      <c r="E1146" s="11"/>
      <c r="F1146" s="11"/>
      <c r="G1146" s="89">
        <f>IFERROR(VLOOKUP(F1146,COA!$A$1:$K$26,2,FALSE),0)</f>
        <v>0</v>
      </c>
      <c r="H1146" s="11"/>
      <c r="I1146" s="11"/>
      <c r="J1146" s="78"/>
      <c r="K1146" s="78"/>
      <c r="L1146" s="146">
        <f t="shared" si="53"/>
        <v>1800000</v>
      </c>
      <c r="M1146" s="73"/>
      <c r="N1146" s="73"/>
      <c r="O1146" s="73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14.25" customHeight="1" x14ac:dyDescent="0.35">
      <c r="A1147" s="9">
        <f t="shared" si="52"/>
        <v>1139</v>
      </c>
      <c r="B1147" s="15"/>
      <c r="C1147" s="11">
        <f t="shared" si="51"/>
        <v>1</v>
      </c>
      <c r="D1147" s="11"/>
      <c r="E1147" s="11"/>
      <c r="F1147" s="11"/>
      <c r="G1147" s="89">
        <f>IFERROR(VLOOKUP(F1147,COA!$A$1:$K$26,2,FALSE),0)</f>
        <v>0</v>
      </c>
      <c r="H1147" s="11"/>
      <c r="I1147" s="11"/>
      <c r="J1147" s="78"/>
      <c r="K1147" s="78"/>
      <c r="L1147" s="146">
        <f t="shared" si="53"/>
        <v>1800000</v>
      </c>
      <c r="M1147" s="73"/>
      <c r="N1147" s="73"/>
      <c r="O1147" s="73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14.25" customHeight="1" x14ac:dyDescent="0.35">
      <c r="A1148" s="9">
        <f t="shared" si="52"/>
        <v>1140</v>
      </c>
      <c r="B1148" s="15"/>
      <c r="C1148" s="11">
        <f t="shared" si="51"/>
        <v>1</v>
      </c>
      <c r="D1148" s="11"/>
      <c r="E1148" s="11"/>
      <c r="F1148" s="11"/>
      <c r="G1148" s="89">
        <f>IFERROR(VLOOKUP(F1148,COA!$A$1:$K$26,2,FALSE),0)</f>
        <v>0</v>
      </c>
      <c r="H1148" s="11"/>
      <c r="I1148" s="11"/>
      <c r="J1148" s="78"/>
      <c r="K1148" s="78"/>
      <c r="L1148" s="146">
        <f t="shared" si="53"/>
        <v>1800000</v>
      </c>
      <c r="M1148" s="73"/>
      <c r="N1148" s="73"/>
      <c r="O1148" s="73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14.25" customHeight="1" x14ac:dyDescent="0.35">
      <c r="A1149" s="9">
        <f t="shared" si="52"/>
        <v>1141</v>
      </c>
      <c r="B1149" s="15"/>
      <c r="C1149" s="11">
        <f t="shared" si="51"/>
        <v>1</v>
      </c>
      <c r="D1149" s="11"/>
      <c r="E1149" s="11"/>
      <c r="F1149" s="11"/>
      <c r="G1149" s="89">
        <f>IFERROR(VLOOKUP(F1149,COA!$A$1:$K$26,2,FALSE),0)</f>
        <v>0</v>
      </c>
      <c r="H1149" s="11"/>
      <c r="I1149" s="11"/>
      <c r="J1149" s="78"/>
      <c r="K1149" s="78"/>
      <c r="L1149" s="146">
        <f t="shared" si="53"/>
        <v>1800000</v>
      </c>
      <c r="M1149" s="73"/>
      <c r="N1149" s="73"/>
      <c r="O1149" s="73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14.25" customHeight="1" x14ac:dyDescent="0.35">
      <c r="A1150" s="9">
        <f t="shared" si="52"/>
        <v>1142</v>
      </c>
      <c r="B1150" s="15"/>
      <c r="C1150" s="11">
        <f t="shared" si="51"/>
        <v>1</v>
      </c>
      <c r="D1150" s="11"/>
      <c r="E1150" s="11"/>
      <c r="F1150" s="11"/>
      <c r="G1150" s="89">
        <f>IFERROR(VLOOKUP(F1150,COA!$A$1:$K$26,2,FALSE),0)</f>
        <v>0</v>
      </c>
      <c r="H1150" s="11"/>
      <c r="I1150" s="11"/>
      <c r="J1150" s="78"/>
      <c r="K1150" s="78"/>
      <c r="L1150" s="146">
        <f t="shared" si="53"/>
        <v>1800000</v>
      </c>
      <c r="M1150" s="73"/>
      <c r="N1150" s="73"/>
      <c r="O1150" s="73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14.25" customHeight="1" x14ac:dyDescent="0.35">
      <c r="A1151" s="9">
        <f t="shared" si="52"/>
        <v>1143</v>
      </c>
      <c r="B1151" s="15"/>
      <c r="C1151" s="11">
        <f t="shared" si="51"/>
        <v>1</v>
      </c>
      <c r="D1151" s="11"/>
      <c r="E1151" s="11"/>
      <c r="F1151" s="11"/>
      <c r="G1151" s="89">
        <f>IFERROR(VLOOKUP(F1151,COA!$A$1:$K$26,2,FALSE),0)</f>
        <v>0</v>
      </c>
      <c r="H1151" s="11"/>
      <c r="I1151" s="11"/>
      <c r="J1151" s="78"/>
      <c r="K1151" s="78"/>
      <c r="L1151" s="146">
        <f t="shared" si="53"/>
        <v>1800000</v>
      </c>
      <c r="M1151" s="73"/>
      <c r="N1151" s="73"/>
      <c r="O1151" s="73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14.25" customHeight="1" x14ac:dyDescent="0.35">
      <c r="A1152" s="9">
        <f t="shared" si="52"/>
        <v>1144</v>
      </c>
      <c r="B1152" s="15"/>
      <c r="C1152" s="11">
        <f t="shared" si="51"/>
        <v>1</v>
      </c>
      <c r="D1152" s="11"/>
      <c r="E1152" s="11"/>
      <c r="F1152" s="11"/>
      <c r="G1152" s="89">
        <f>IFERROR(VLOOKUP(F1152,COA!$A$1:$K$26,2,FALSE),0)</f>
        <v>0</v>
      </c>
      <c r="H1152" s="11"/>
      <c r="I1152" s="11"/>
      <c r="J1152" s="78"/>
      <c r="K1152" s="78"/>
      <c r="L1152" s="146">
        <f t="shared" si="53"/>
        <v>1800000</v>
      </c>
      <c r="M1152" s="73"/>
      <c r="N1152" s="73"/>
      <c r="O1152" s="73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14.25" customHeight="1" x14ac:dyDescent="0.35">
      <c r="A1153" s="9">
        <f t="shared" si="52"/>
        <v>1145</v>
      </c>
      <c r="B1153" s="15"/>
      <c r="C1153" s="11">
        <f t="shared" si="51"/>
        <v>1</v>
      </c>
      <c r="D1153" s="11"/>
      <c r="E1153" s="11"/>
      <c r="F1153" s="11"/>
      <c r="G1153" s="89">
        <f>IFERROR(VLOOKUP(F1153,COA!$A$1:$K$26,2,FALSE),0)</f>
        <v>0</v>
      </c>
      <c r="H1153" s="11"/>
      <c r="I1153" s="11"/>
      <c r="J1153" s="78"/>
      <c r="K1153" s="78"/>
      <c r="L1153" s="146">
        <f t="shared" si="53"/>
        <v>1800000</v>
      </c>
      <c r="M1153" s="73"/>
      <c r="N1153" s="73"/>
      <c r="O1153" s="73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14.25" customHeight="1" x14ac:dyDescent="0.35">
      <c r="A1154" s="9">
        <f t="shared" si="52"/>
        <v>1146</v>
      </c>
      <c r="B1154" s="15"/>
      <c r="C1154" s="11">
        <f t="shared" si="51"/>
        <v>1</v>
      </c>
      <c r="D1154" s="11"/>
      <c r="E1154" s="11"/>
      <c r="F1154" s="11"/>
      <c r="G1154" s="89">
        <f>IFERROR(VLOOKUP(F1154,COA!$A$1:$K$26,2,FALSE),0)</f>
        <v>0</v>
      </c>
      <c r="H1154" s="11"/>
      <c r="I1154" s="11"/>
      <c r="J1154" s="78"/>
      <c r="K1154" s="78"/>
      <c r="L1154" s="146">
        <f t="shared" si="53"/>
        <v>1800000</v>
      </c>
      <c r="M1154" s="73"/>
      <c r="N1154" s="73"/>
      <c r="O1154" s="73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14.25" customHeight="1" x14ac:dyDescent="0.35">
      <c r="A1155" s="9">
        <f t="shared" si="52"/>
        <v>1147</v>
      </c>
      <c r="B1155" s="15"/>
      <c r="C1155" s="11">
        <f t="shared" si="51"/>
        <v>1</v>
      </c>
      <c r="D1155" s="11"/>
      <c r="E1155" s="11"/>
      <c r="F1155" s="11"/>
      <c r="G1155" s="89">
        <f>IFERROR(VLOOKUP(F1155,COA!$A$1:$K$26,2,FALSE),0)</f>
        <v>0</v>
      </c>
      <c r="H1155" s="11"/>
      <c r="I1155" s="11"/>
      <c r="J1155" s="78"/>
      <c r="K1155" s="78"/>
      <c r="L1155" s="146">
        <f t="shared" si="53"/>
        <v>1800000</v>
      </c>
      <c r="M1155" s="73"/>
      <c r="N1155" s="73"/>
      <c r="O1155" s="73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14.25" customHeight="1" x14ac:dyDescent="0.35">
      <c r="A1156" s="9">
        <f t="shared" si="52"/>
        <v>1148</v>
      </c>
      <c r="B1156" s="15"/>
      <c r="C1156" s="11">
        <f t="shared" si="51"/>
        <v>1</v>
      </c>
      <c r="D1156" s="11"/>
      <c r="E1156" s="11"/>
      <c r="F1156" s="11"/>
      <c r="G1156" s="89">
        <f>IFERROR(VLOOKUP(F1156,COA!$A$1:$K$26,2,FALSE),0)</f>
        <v>0</v>
      </c>
      <c r="H1156" s="11"/>
      <c r="I1156" s="11"/>
      <c r="J1156" s="78"/>
      <c r="K1156" s="78"/>
      <c r="L1156" s="146">
        <f t="shared" si="53"/>
        <v>1800000</v>
      </c>
      <c r="M1156" s="73"/>
      <c r="N1156" s="73"/>
      <c r="O1156" s="73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14.25" customHeight="1" x14ac:dyDescent="0.35">
      <c r="A1157" s="9">
        <f t="shared" si="52"/>
        <v>1149</v>
      </c>
      <c r="B1157" s="15"/>
      <c r="C1157" s="11">
        <f t="shared" si="51"/>
        <v>1</v>
      </c>
      <c r="D1157" s="11"/>
      <c r="E1157" s="11"/>
      <c r="F1157" s="11"/>
      <c r="G1157" s="89">
        <f>IFERROR(VLOOKUP(F1157,COA!$A$1:$K$26,2,FALSE),0)</f>
        <v>0</v>
      </c>
      <c r="H1157" s="11"/>
      <c r="I1157" s="11"/>
      <c r="J1157" s="78"/>
      <c r="K1157" s="78"/>
      <c r="L1157" s="146">
        <f t="shared" si="53"/>
        <v>1800000</v>
      </c>
      <c r="M1157" s="73"/>
      <c r="N1157" s="73"/>
      <c r="O1157" s="73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14.25" customHeight="1" x14ac:dyDescent="0.35">
      <c r="A1158" s="9">
        <f t="shared" si="52"/>
        <v>1150</v>
      </c>
      <c r="B1158" s="15"/>
      <c r="C1158" s="11">
        <f t="shared" si="51"/>
        <v>1</v>
      </c>
      <c r="D1158" s="11"/>
      <c r="E1158" s="11"/>
      <c r="F1158" s="11"/>
      <c r="G1158" s="89">
        <f>IFERROR(VLOOKUP(F1158,COA!$A$1:$K$26,2,FALSE),0)</f>
        <v>0</v>
      </c>
      <c r="H1158" s="11"/>
      <c r="I1158" s="11"/>
      <c r="J1158" s="78"/>
      <c r="K1158" s="78"/>
      <c r="L1158" s="146">
        <f t="shared" si="53"/>
        <v>1800000</v>
      </c>
      <c r="M1158" s="73"/>
      <c r="N1158" s="73"/>
      <c r="O1158" s="73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14.25" customHeight="1" x14ac:dyDescent="0.35">
      <c r="A1159" s="9">
        <f t="shared" si="52"/>
        <v>1151</v>
      </c>
      <c r="B1159" s="15"/>
      <c r="C1159" s="11">
        <f t="shared" si="51"/>
        <v>1</v>
      </c>
      <c r="D1159" s="11"/>
      <c r="E1159" s="11"/>
      <c r="F1159" s="11"/>
      <c r="G1159" s="89">
        <f>IFERROR(VLOOKUP(F1159,COA!$A$1:$K$26,2,FALSE),0)</f>
        <v>0</v>
      </c>
      <c r="H1159" s="11"/>
      <c r="I1159" s="11"/>
      <c r="J1159" s="78"/>
      <c r="K1159" s="78"/>
      <c r="L1159" s="146">
        <f t="shared" si="53"/>
        <v>1800000</v>
      </c>
      <c r="M1159" s="73"/>
      <c r="N1159" s="73"/>
      <c r="O1159" s="73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14.25" customHeight="1" x14ac:dyDescent="0.35">
      <c r="A1160" s="9">
        <f t="shared" si="52"/>
        <v>1152</v>
      </c>
      <c r="B1160" s="15"/>
      <c r="C1160" s="11">
        <f t="shared" ref="C1160:C1223" si="54">MONTH(B1160)</f>
        <v>1</v>
      </c>
      <c r="D1160" s="11"/>
      <c r="E1160" s="11"/>
      <c r="F1160" s="11"/>
      <c r="G1160" s="89">
        <f>IFERROR(VLOOKUP(F1160,COA!$A$1:$K$26,2,FALSE),0)</f>
        <v>0</v>
      </c>
      <c r="H1160" s="11"/>
      <c r="I1160" s="11"/>
      <c r="J1160" s="78"/>
      <c r="K1160" s="78"/>
      <c r="L1160" s="146">
        <f t="shared" si="53"/>
        <v>1800000</v>
      </c>
      <c r="M1160" s="73"/>
      <c r="N1160" s="73"/>
      <c r="O1160" s="73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14.25" customHeight="1" x14ac:dyDescent="0.35">
      <c r="A1161" s="9">
        <f t="shared" si="52"/>
        <v>1153</v>
      </c>
      <c r="B1161" s="15"/>
      <c r="C1161" s="11">
        <f t="shared" si="54"/>
        <v>1</v>
      </c>
      <c r="D1161" s="11"/>
      <c r="E1161" s="11"/>
      <c r="F1161" s="11"/>
      <c r="G1161" s="89">
        <f>IFERROR(VLOOKUP(F1161,COA!$A$1:$K$26,2,FALSE),0)</f>
        <v>0</v>
      </c>
      <c r="H1161" s="11"/>
      <c r="I1161" s="11"/>
      <c r="J1161" s="78"/>
      <c r="K1161" s="78"/>
      <c r="L1161" s="146">
        <f t="shared" si="53"/>
        <v>1800000</v>
      </c>
      <c r="M1161" s="73"/>
      <c r="N1161" s="73"/>
      <c r="O1161" s="73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14.25" customHeight="1" x14ac:dyDescent="0.35">
      <c r="A1162" s="9">
        <f t="shared" si="52"/>
        <v>1154</v>
      </c>
      <c r="B1162" s="15"/>
      <c r="C1162" s="11">
        <f t="shared" si="54"/>
        <v>1</v>
      </c>
      <c r="D1162" s="11"/>
      <c r="E1162" s="11"/>
      <c r="F1162" s="11"/>
      <c r="G1162" s="89">
        <f>IFERROR(VLOOKUP(F1162,COA!$A$1:$K$26,2,FALSE),0)</f>
        <v>0</v>
      </c>
      <c r="H1162" s="11"/>
      <c r="I1162" s="11"/>
      <c r="J1162" s="78"/>
      <c r="K1162" s="78"/>
      <c r="L1162" s="146">
        <f t="shared" si="53"/>
        <v>1800000</v>
      </c>
      <c r="M1162" s="73"/>
      <c r="N1162" s="73"/>
      <c r="O1162" s="73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14.25" customHeight="1" x14ac:dyDescent="0.35">
      <c r="A1163" s="9">
        <f t="shared" ref="A1163:A1226" si="55">A1162+1</f>
        <v>1155</v>
      </c>
      <c r="B1163" s="15"/>
      <c r="C1163" s="11">
        <f t="shared" si="54"/>
        <v>1</v>
      </c>
      <c r="D1163" s="11"/>
      <c r="E1163" s="11"/>
      <c r="F1163" s="11"/>
      <c r="G1163" s="89">
        <f>IFERROR(VLOOKUP(F1163,COA!$A$1:$K$26,2,FALSE),0)</f>
        <v>0</v>
      </c>
      <c r="H1163" s="11"/>
      <c r="I1163" s="11"/>
      <c r="J1163" s="78"/>
      <c r="K1163" s="78"/>
      <c r="L1163" s="146">
        <f t="shared" ref="L1163:L1226" si="56">L1162+J1163-K1163</f>
        <v>1800000</v>
      </c>
      <c r="M1163" s="73"/>
      <c r="N1163" s="73"/>
      <c r="O1163" s="73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14.25" customHeight="1" x14ac:dyDescent="0.35">
      <c r="A1164" s="9">
        <f t="shared" si="55"/>
        <v>1156</v>
      </c>
      <c r="B1164" s="15"/>
      <c r="C1164" s="11">
        <f t="shared" si="54"/>
        <v>1</v>
      </c>
      <c r="D1164" s="11"/>
      <c r="E1164" s="11"/>
      <c r="F1164" s="11"/>
      <c r="G1164" s="89">
        <f>IFERROR(VLOOKUP(F1164,COA!$A$1:$K$26,2,FALSE),0)</f>
        <v>0</v>
      </c>
      <c r="H1164" s="11"/>
      <c r="I1164" s="11"/>
      <c r="J1164" s="78"/>
      <c r="K1164" s="78"/>
      <c r="L1164" s="146">
        <f t="shared" si="56"/>
        <v>1800000</v>
      </c>
      <c r="M1164" s="73"/>
      <c r="N1164" s="73"/>
      <c r="O1164" s="73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14.25" customHeight="1" x14ac:dyDescent="0.35">
      <c r="A1165" s="9">
        <f t="shared" si="55"/>
        <v>1157</v>
      </c>
      <c r="B1165" s="15"/>
      <c r="C1165" s="11">
        <f t="shared" si="54"/>
        <v>1</v>
      </c>
      <c r="D1165" s="11"/>
      <c r="E1165" s="11"/>
      <c r="F1165" s="11"/>
      <c r="G1165" s="89">
        <f>IFERROR(VLOOKUP(F1165,COA!$A$1:$K$26,2,FALSE),0)</f>
        <v>0</v>
      </c>
      <c r="H1165" s="11"/>
      <c r="I1165" s="11"/>
      <c r="J1165" s="78"/>
      <c r="K1165" s="78"/>
      <c r="L1165" s="146">
        <f t="shared" si="56"/>
        <v>1800000</v>
      </c>
      <c r="M1165" s="73"/>
      <c r="N1165" s="73"/>
      <c r="O1165" s="73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14.25" customHeight="1" x14ac:dyDescent="0.35">
      <c r="A1166" s="9">
        <f t="shared" si="55"/>
        <v>1158</v>
      </c>
      <c r="B1166" s="15"/>
      <c r="C1166" s="11">
        <f t="shared" si="54"/>
        <v>1</v>
      </c>
      <c r="D1166" s="11"/>
      <c r="E1166" s="11"/>
      <c r="F1166" s="11"/>
      <c r="G1166" s="89">
        <f>IFERROR(VLOOKUP(F1166,COA!$A$1:$K$26,2,FALSE),0)</f>
        <v>0</v>
      </c>
      <c r="H1166" s="11"/>
      <c r="I1166" s="11"/>
      <c r="J1166" s="78"/>
      <c r="K1166" s="78"/>
      <c r="L1166" s="146">
        <f t="shared" si="56"/>
        <v>1800000</v>
      </c>
      <c r="M1166" s="73"/>
      <c r="N1166" s="73"/>
      <c r="O1166" s="73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14.25" customHeight="1" x14ac:dyDescent="0.35">
      <c r="A1167" s="9">
        <f t="shared" si="55"/>
        <v>1159</v>
      </c>
      <c r="B1167" s="15"/>
      <c r="C1167" s="11">
        <f t="shared" si="54"/>
        <v>1</v>
      </c>
      <c r="D1167" s="11"/>
      <c r="E1167" s="11"/>
      <c r="F1167" s="11"/>
      <c r="G1167" s="89">
        <f>IFERROR(VLOOKUP(F1167,COA!$A$1:$K$26,2,FALSE),0)</f>
        <v>0</v>
      </c>
      <c r="H1167" s="11"/>
      <c r="I1167" s="11"/>
      <c r="J1167" s="78"/>
      <c r="K1167" s="78"/>
      <c r="L1167" s="146">
        <f t="shared" si="56"/>
        <v>1800000</v>
      </c>
      <c r="M1167" s="73"/>
      <c r="N1167" s="73"/>
      <c r="O1167" s="73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14.25" customHeight="1" x14ac:dyDescent="0.35">
      <c r="A1168" s="9">
        <f t="shared" si="55"/>
        <v>1160</v>
      </c>
      <c r="B1168" s="15"/>
      <c r="C1168" s="11">
        <f t="shared" si="54"/>
        <v>1</v>
      </c>
      <c r="D1168" s="11"/>
      <c r="E1168" s="11"/>
      <c r="F1168" s="11"/>
      <c r="G1168" s="89">
        <f>IFERROR(VLOOKUP(F1168,COA!$A$1:$K$26,2,FALSE),0)</f>
        <v>0</v>
      </c>
      <c r="H1168" s="11"/>
      <c r="I1168" s="11"/>
      <c r="J1168" s="78"/>
      <c r="K1168" s="78"/>
      <c r="L1168" s="146">
        <f t="shared" si="56"/>
        <v>1800000</v>
      </c>
      <c r="M1168" s="73"/>
      <c r="N1168" s="73"/>
      <c r="O1168" s="73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14.25" customHeight="1" x14ac:dyDescent="0.35">
      <c r="A1169" s="9">
        <f t="shared" si="55"/>
        <v>1161</v>
      </c>
      <c r="B1169" s="15"/>
      <c r="C1169" s="11">
        <f t="shared" si="54"/>
        <v>1</v>
      </c>
      <c r="D1169" s="11"/>
      <c r="E1169" s="11"/>
      <c r="F1169" s="11"/>
      <c r="G1169" s="89">
        <f>IFERROR(VLOOKUP(F1169,COA!$A$1:$K$26,2,FALSE),0)</f>
        <v>0</v>
      </c>
      <c r="H1169" s="11"/>
      <c r="I1169" s="11"/>
      <c r="J1169" s="78"/>
      <c r="K1169" s="78"/>
      <c r="L1169" s="146">
        <f t="shared" si="56"/>
        <v>1800000</v>
      </c>
      <c r="M1169" s="73"/>
      <c r="N1169" s="73"/>
      <c r="O1169" s="73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14.25" customHeight="1" x14ac:dyDescent="0.35">
      <c r="A1170" s="9">
        <f t="shared" si="55"/>
        <v>1162</v>
      </c>
      <c r="B1170" s="15"/>
      <c r="C1170" s="11">
        <f t="shared" si="54"/>
        <v>1</v>
      </c>
      <c r="D1170" s="11"/>
      <c r="E1170" s="11"/>
      <c r="F1170" s="11"/>
      <c r="G1170" s="89">
        <f>IFERROR(VLOOKUP(F1170,COA!$A$1:$K$26,2,FALSE),0)</f>
        <v>0</v>
      </c>
      <c r="H1170" s="11"/>
      <c r="I1170" s="11"/>
      <c r="J1170" s="78"/>
      <c r="K1170" s="78"/>
      <c r="L1170" s="146">
        <f t="shared" si="56"/>
        <v>1800000</v>
      </c>
      <c r="M1170" s="73"/>
      <c r="N1170" s="73"/>
      <c r="O1170" s="73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14.25" customHeight="1" x14ac:dyDescent="0.35">
      <c r="A1171" s="9">
        <f t="shared" si="55"/>
        <v>1163</v>
      </c>
      <c r="B1171" s="15"/>
      <c r="C1171" s="11">
        <f t="shared" si="54"/>
        <v>1</v>
      </c>
      <c r="D1171" s="11"/>
      <c r="E1171" s="11"/>
      <c r="F1171" s="11"/>
      <c r="G1171" s="89">
        <f>IFERROR(VLOOKUP(F1171,COA!$A$1:$K$26,2,FALSE),0)</f>
        <v>0</v>
      </c>
      <c r="H1171" s="11"/>
      <c r="I1171" s="11"/>
      <c r="J1171" s="78"/>
      <c r="K1171" s="78"/>
      <c r="L1171" s="146">
        <f t="shared" si="56"/>
        <v>1800000</v>
      </c>
      <c r="M1171" s="73"/>
      <c r="N1171" s="73"/>
      <c r="O1171" s="73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14.25" customHeight="1" x14ac:dyDescent="0.35">
      <c r="A1172" s="9">
        <f t="shared" si="55"/>
        <v>1164</v>
      </c>
      <c r="B1172" s="15"/>
      <c r="C1172" s="11">
        <f t="shared" si="54"/>
        <v>1</v>
      </c>
      <c r="D1172" s="11"/>
      <c r="E1172" s="11"/>
      <c r="F1172" s="11"/>
      <c r="G1172" s="89">
        <f>IFERROR(VLOOKUP(F1172,COA!$A$1:$K$26,2,FALSE),0)</f>
        <v>0</v>
      </c>
      <c r="H1172" s="11"/>
      <c r="I1172" s="11"/>
      <c r="J1172" s="78"/>
      <c r="K1172" s="78"/>
      <c r="L1172" s="146">
        <f t="shared" si="56"/>
        <v>1800000</v>
      </c>
      <c r="M1172" s="73"/>
      <c r="N1172" s="73"/>
      <c r="O1172" s="73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14.25" customHeight="1" x14ac:dyDescent="0.35">
      <c r="A1173" s="9">
        <f t="shared" si="55"/>
        <v>1165</v>
      </c>
      <c r="B1173" s="15"/>
      <c r="C1173" s="11">
        <f t="shared" si="54"/>
        <v>1</v>
      </c>
      <c r="D1173" s="11"/>
      <c r="E1173" s="11"/>
      <c r="F1173" s="11"/>
      <c r="G1173" s="89">
        <f>IFERROR(VLOOKUP(F1173,COA!$A$1:$K$26,2,FALSE),0)</f>
        <v>0</v>
      </c>
      <c r="H1173" s="11"/>
      <c r="I1173" s="11"/>
      <c r="J1173" s="78"/>
      <c r="K1173" s="78"/>
      <c r="L1173" s="146">
        <f t="shared" si="56"/>
        <v>1800000</v>
      </c>
      <c r="M1173" s="73"/>
      <c r="N1173" s="73"/>
      <c r="O1173" s="73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14.25" customHeight="1" x14ac:dyDescent="0.35">
      <c r="A1174" s="9">
        <f t="shared" si="55"/>
        <v>1166</v>
      </c>
      <c r="B1174" s="15"/>
      <c r="C1174" s="11">
        <f t="shared" si="54"/>
        <v>1</v>
      </c>
      <c r="D1174" s="11"/>
      <c r="E1174" s="11"/>
      <c r="F1174" s="11"/>
      <c r="G1174" s="89">
        <f>IFERROR(VLOOKUP(F1174,COA!$A$1:$K$26,2,FALSE),0)</f>
        <v>0</v>
      </c>
      <c r="H1174" s="11"/>
      <c r="I1174" s="11"/>
      <c r="J1174" s="78"/>
      <c r="K1174" s="78"/>
      <c r="L1174" s="146">
        <f t="shared" si="56"/>
        <v>1800000</v>
      </c>
      <c r="M1174" s="73"/>
      <c r="N1174" s="73"/>
      <c r="O1174" s="73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14.25" customHeight="1" x14ac:dyDescent="0.35">
      <c r="A1175" s="9">
        <f t="shared" si="55"/>
        <v>1167</v>
      </c>
      <c r="B1175" s="15"/>
      <c r="C1175" s="11">
        <f t="shared" si="54"/>
        <v>1</v>
      </c>
      <c r="D1175" s="11"/>
      <c r="E1175" s="11"/>
      <c r="F1175" s="11"/>
      <c r="G1175" s="89">
        <f>IFERROR(VLOOKUP(F1175,COA!$A$1:$K$26,2,FALSE),0)</f>
        <v>0</v>
      </c>
      <c r="H1175" s="11"/>
      <c r="I1175" s="11"/>
      <c r="J1175" s="78"/>
      <c r="K1175" s="78"/>
      <c r="L1175" s="146">
        <f t="shared" si="56"/>
        <v>1800000</v>
      </c>
      <c r="M1175" s="73"/>
      <c r="N1175" s="73"/>
      <c r="O1175" s="73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14.25" customHeight="1" x14ac:dyDescent="0.35">
      <c r="A1176" s="9">
        <f t="shared" si="55"/>
        <v>1168</v>
      </c>
      <c r="B1176" s="15"/>
      <c r="C1176" s="11">
        <f t="shared" si="54"/>
        <v>1</v>
      </c>
      <c r="D1176" s="11"/>
      <c r="E1176" s="11"/>
      <c r="F1176" s="11"/>
      <c r="G1176" s="89">
        <f>IFERROR(VLOOKUP(F1176,COA!$A$1:$K$26,2,FALSE),0)</f>
        <v>0</v>
      </c>
      <c r="H1176" s="11"/>
      <c r="I1176" s="11"/>
      <c r="J1176" s="78"/>
      <c r="K1176" s="78"/>
      <c r="L1176" s="146">
        <f t="shared" si="56"/>
        <v>1800000</v>
      </c>
      <c r="M1176" s="73"/>
      <c r="N1176" s="73"/>
      <c r="O1176" s="73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14.25" customHeight="1" x14ac:dyDescent="0.35">
      <c r="A1177" s="9">
        <f t="shared" si="55"/>
        <v>1169</v>
      </c>
      <c r="B1177" s="15"/>
      <c r="C1177" s="11">
        <f t="shared" si="54"/>
        <v>1</v>
      </c>
      <c r="D1177" s="11"/>
      <c r="E1177" s="11"/>
      <c r="F1177" s="11"/>
      <c r="G1177" s="89">
        <f>IFERROR(VLOOKUP(F1177,COA!$A$1:$K$26,2,FALSE),0)</f>
        <v>0</v>
      </c>
      <c r="H1177" s="11"/>
      <c r="I1177" s="11"/>
      <c r="J1177" s="78"/>
      <c r="K1177" s="78"/>
      <c r="L1177" s="146">
        <f t="shared" si="56"/>
        <v>1800000</v>
      </c>
      <c r="M1177" s="73"/>
      <c r="N1177" s="73"/>
      <c r="O1177" s="73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14.25" customHeight="1" x14ac:dyDescent="0.35">
      <c r="A1178" s="9">
        <f t="shared" si="55"/>
        <v>1170</v>
      </c>
      <c r="B1178" s="15"/>
      <c r="C1178" s="11">
        <f t="shared" si="54"/>
        <v>1</v>
      </c>
      <c r="D1178" s="11"/>
      <c r="E1178" s="11"/>
      <c r="F1178" s="11"/>
      <c r="G1178" s="89">
        <f>IFERROR(VLOOKUP(F1178,COA!$A$1:$K$26,2,FALSE),0)</f>
        <v>0</v>
      </c>
      <c r="H1178" s="11"/>
      <c r="I1178" s="11"/>
      <c r="J1178" s="78"/>
      <c r="K1178" s="78"/>
      <c r="L1178" s="146">
        <f t="shared" si="56"/>
        <v>1800000</v>
      </c>
      <c r="M1178" s="73"/>
      <c r="N1178" s="73"/>
      <c r="O1178" s="73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14.25" customHeight="1" x14ac:dyDescent="0.35">
      <c r="A1179" s="9">
        <f t="shared" si="55"/>
        <v>1171</v>
      </c>
      <c r="B1179" s="15"/>
      <c r="C1179" s="11">
        <f t="shared" si="54"/>
        <v>1</v>
      </c>
      <c r="D1179" s="11"/>
      <c r="E1179" s="11"/>
      <c r="F1179" s="11"/>
      <c r="G1179" s="89">
        <f>IFERROR(VLOOKUP(F1179,COA!$A$1:$K$26,2,FALSE),0)</f>
        <v>0</v>
      </c>
      <c r="H1179" s="11"/>
      <c r="I1179" s="11"/>
      <c r="J1179" s="78"/>
      <c r="K1179" s="78"/>
      <c r="L1179" s="146">
        <f t="shared" si="56"/>
        <v>1800000</v>
      </c>
      <c r="M1179" s="73"/>
      <c r="N1179" s="73"/>
      <c r="O1179" s="73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14.25" customHeight="1" x14ac:dyDescent="0.35">
      <c r="A1180" s="9">
        <f t="shared" si="55"/>
        <v>1172</v>
      </c>
      <c r="B1180" s="15"/>
      <c r="C1180" s="11">
        <f t="shared" si="54"/>
        <v>1</v>
      </c>
      <c r="D1180" s="11"/>
      <c r="E1180" s="11"/>
      <c r="F1180" s="11"/>
      <c r="G1180" s="89">
        <f>IFERROR(VLOOKUP(F1180,COA!$A$1:$K$26,2,FALSE),0)</f>
        <v>0</v>
      </c>
      <c r="H1180" s="11"/>
      <c r="I1180" s="11"/>
      <c r="J1180" s="78"/>
      <c r="K1180" s="78"/>
      <c r="L1180" s="146">
        <f t="shared" si="56"/>
        <v>1800000</v>
      </c>
      <c r="M1180" s="73"/>
      <c r="N1180" s="73"/>
      <c r="O1180" s="73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14.25" customHeight="1" x14ac:dyDescent="0.35">
      <c r="A1181" s="9">
        <f t="shared" si="55"/>
        <v>1173</v>
      </c>
      <c r="B1181" s="15"/>
      <c r="C1181" s="11">
        <f t="shared" si="54"/>
        <v>1</v>
      </c>
      <c r="D1181" s="11"/>
      <c r="E1181" s="11"/>
      <c r="F1181" s="11"/>
      <c r="G1181" s="89">
        <f>IFERROR(VLOOKUP(F1181,COA!$A$1:$K$26,2,FALSE),0)</f>
        <v>0</v>
      </c>
      <c r="H1181" s="11"/>
      <c r="I1181" s="11"/>
      <c r="J1181" s="78"/>
      <c r="K1181" s="78"/>
      <c r="L1181" s="146">
        <f t="shared" si="56"/>
        <v>1800000</v>
      </c>
      <c r="M1181" s="73"/>
      <c r="N1181" s="73"/>
      <c r="O1181" s="73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14.25" customHeight="1" x14ac:dyDescent="0.35">
      <c r="A1182" s="9">
        <f t="shared" si="55"/>
        <v>1174</v>
      </c>
      <c r="B1182" s="15"/>
      <c r="C1182" s="11">
        <f t="shared" si="54"/>
        <v>1</v>
      </c>
      <c r="D1182" s="11"/>
      <c r="E1182" s="11"/>
      <c r="F1182" s="11"/>
      <c r="G1182" s="89">
        <f>IFERROR(VLOOKUP(F1182,COA!$A$1:$K$26,2,FALSE),0)</f>
        <v>0</v>
      </c>
      <c r="H1182" s="11"/>
      <c r="I1182" s="11"/>
      <c r="J1182" s="78"/>
      <c r="K1182" s="78"/>
      <c r="L1182" s="146">
        <f t="shared" si="56"/>
        <v>1800000</v>
      </c>
      <c r="M1182" s="73"/>
      <c r="N1182" s="73"/>
      <c r="O1182" s="73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14.25" customHeight="1" x14ac:dyDescent="0.35">
      <c r="A1183" s="9">
        <f t="shared" si="55"/>
        <v>1175</v>
      </c>
      <c r="B1183" s="15"/>
      <c r="C1183" s="11">
        <f t="shared" si="54"/>
        <v>1</v>
      </c>
      <c r="D1183" s="11"/>
      <c r="E1183" s="11"/>
      <c r="F1183" s="11"/>
      <c r="G1183" s="89">
        <f>IFERROR(VLOOKUP(F1183,COA!$A$1:$K$26,2,FALSE),0)</f>
        <v>0</v>
      </c>
      <c r="H1183" s="11"/>
      <c r="I1183" s="11"/>
      <c r="J1183" s="78"/>
      <c r="K1183" s="78"/>
      <c r="L1183" s="146">
        <f t="shared" si="56"/>
        <v>1800000</v>
      </c>
      <c r="M1183" s="73"/>
      <c r="N1183" s="73"/>
      <c r="O1183" s="73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14.25" customHeight="1" x14ac:dyDescent="0.35">
      <c r="A1184" s="9">
        <f t="shared" si="55"/>
        <v>1176</v>
      </c>
      <c r="B1184" s="15"/>
      <c r="C1184" s="11">
        <f t="shared" si="54"/>
        <v>1</v>
      </c>
      <c r="D1184" s="11"/>
      <c r="E1184" s="11"/>
      <c r="F1184" s="11"/>
      <c r="G1184" s="89">
        <f>IFERROR(VLOOKUP(F1184,COA!$A$1:$K$26,2,FALSE),0)</f>
        <v>0</v>
      </c>
      <c r="H1184" s="11"/>
      <c r="I1184" s="11"/>
      <c r="J1184" s="78"/>
      <c r="K1184" s="78"/>
      <c r="L1184" s="146">
        <f t="shared" si="56"/>
        <v>1800000</v>
      </c>
      <c r="M1184" s="73"/>
      <c r="N1184" s="73"/>
      <c r="O1184" s="73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14.25" customHeight="1" x14ac:dyDescent="0.35">
      <c r="A1185" s="9">
        <f t="shared" si="55"/>
        <v>1177</v>
      </c>
      <c r="B1185" s="15"/>
      <c r="C1185" s="11">
        <f t="shared" si="54"/>
        <v>1</v>
      </c>
      <c r="D1185" s="11"/>
      <c r="E1185" s="11"/>
      <c r="F1185" s="11"/>
      <c r="G1185" s="89">
        <f>IFERROR(VLOOKUP(F1185,COA!$A$1:$K$26,2,FALSE),0)</f>
        <v>0</v>
      </c>
      <c r="H1185" s="11"/>
      <c r="I1185" s="11"/>
      <c r="J1185" s="78"/>
      <c r="K1185" s="78"/>
      <c r="L1185" s="146">
        <f t="shared" si="56"/>
        <v>1800000</v>
      </c>
      <c r="M1185" s="73"/>
      <c r="N1185" s="73"/>
      <c r="O1185" s="73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14.25" customHeight="1" x14ac:dyDescent="0.35">
      <c r="A1186" s="9">
        <f t="shared" si="55"/>
        <v>1178</v>
      </c>
      <c r="B1186" s="15"/>
      <c r="C1186" s="11">
        <f t="shared" si="54"/>
        <v>1</v>
      </c>
      <c r="D1186" s="11"/>
      <c r="E1186" s="11"/>
      <c r="F1186" s="11"/>
      <c r="G1186" s="89">
        <f>IFERROR(VLOOKUP(F1186,COA!$A$1:$K$26,2,FALSE),0)</f>
        <v>0</v>
      </c>
      <c r="H1186" s="11"/>
      <c r="I1186" s="11"/>
      <c r="J1186" s="78"/>
      <c r="K1186" s="78"/>
      <c r="L1186" s="146">
        <f t="shared" si="56"/>
        <v>1800000</v>
      </c>
      <c r="M1186" s="73"/>
      <c r="N1186" s="73"/>
      <c r="O1186" s="73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14.25" customHeight="1" x14ac:dyDescent="0.35">
      <c r="A1187" s="9">
        <f t="shared" si="55"/>
        <v>1179</v>
      </c>
      <c r="B1187" s="15"/>
      <c r="C1187" s="11">
        <f t="shared" si="54"/>
        <v>1</v>
      </c>
      <c r="D1187" s="11"/>
      <c r="E1187" s="11"/>
      <c r="F1187" s="11"/>
      <c r="G1187" s="89">
        <f>IFERROR(VLOOKUP(F1187,COA!$A$1:$K$26,2,FALSE),0)</f>
        <v>0</v>
      </c>
      <c r="H1187" s="11"/>
      <c r="I1187" s="11"/>
      <c r="J1187" s="78"/>
      <c r="K1187" s="78"/>
      <c r="L1187" s="146">
        <f t="shared" si="56"/>
        <v>1800000</v>
      </c>
      <c r="M1187" s="73"/>
      <c r="N1187" s="73"/>
      <c r="O1187" s="73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14.25" customHeight="1" x14ac:dyDescent="0.35">
      <c r="A1188" s="9">
        <f t="shared" si="55"/>
        <v>1180</v>
      </c>
      <c r="B1188" s="15"/>
      <c r="C1188" s="11">
        <f t="shared" si="54"/>
        <v>1</v>
      </c>
      <c r="D1188" s="11"/>
      <c r="E1188" s="11"/>
      <c r="F1188" s="11"/>
      <c r="G1188" s="89">
        <f>IFERROR(VLOOKUP(F1188,COA!$A$1:$K$26,2,FALSE),0)</f>
        <v>0</v>
      </c>
      <c r="H1188" s="11"/>
      <c r="I1188" s="11"/>
      <c r="J1188" s="78"/>
      <c r="K1188" s="78"/>
      <c r="L1188" s="146">
        <f t="shared" si="56"/>
        <v>1800000</v>
      </c>
      <c r="M1188" s="73"/>
      <c r="N1188" s="73"/>
      <c r="O1188" s="73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14.25" customHeight="1" x14ac:dyDescent="0.35">
      <c r="A1189" s="9">
        <f t="shared" si="55"/>
        <v>1181</v>
      </c>
      <c r="B1189" s="15"/>
      <c r="C1189" s="11">
        <f t="shared" si="54"/>
        <v>1</v>
      </c>
      <c r="D1189" s="11"/>
      <c r="E1189" s="11"/>
      <c r="F1189" s="11"/>
      <c r="G1189" s="89">
        <f>IFERROR(VLOOKUP(F1189,COA!$A$1:$K$26,2,FALSE),0)</f>
        <v>0</v>
      </c>
      <c r="H1189" s="11"/>
      <c r="I1189" s="11"/>
      <c r="J1189" s="78"/>
      <c r="K1189" s="78"/>
      <c r="L1189" s="146">
        <f t="shared" si="56"/>
        <v>1800000</v>
      </c>
      <c r="M1189" s="73"/>
      <c r="N1189" s="73"/>
      <c r="O1189" s="73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14.25" customHeight="1" x14ac:dyDescent="0.35">
      <c r="A1190" s="9">
        <f t="shared" si="55"/>
        <v>1182</v>
      </c>
      <c r="B1190" s="15"/>
      <c r="C1190" s="11">
        <f t="shared" si="54"/>
        <v>1</v>
      </c>
      <c r="D1190" s="11"/>
      <c r="E1190" s="11"/>
      <c r="F1190" s="11"/>
      <c r="G1190" s="89">
        <f>IFERROR(VLOOKUP(F1190,COA!$A$1:$K$26,2,FALSE),0)</f>
        <v>0</v>
      </c>
      <c r="H1190" s="11"/>
      <c r="I1190" s="11"/>
      <c r="J1190" s="78"/>
      <c r="K1190" s="78"/>
      <c r="L1190" s="146">
        <f t="shared" si="56"/>
        <v>1800000</v>
      </c>
      <c r="M1190" s="73"/>
      <c r="N1190" s="73"/>
      <c r="O1190" s="73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14.25" customHeight="1" x14ac:dyDescent="0.35">
      <c r="A1191" s="9">
        <f t="shared" si="55"/>
        <v>1183</v>
      </c>
      <c r="B1191" s="15"/>
      <c r="C1191" s="11">
        <f t="shared" si="54"/>
        <v>1</v>
      </c>
      <c r="D1191" s="11"/>
      <c r="E1191" s="11"/>
      <c r="F1191" s="11"/>
      <c r="G1191" s="89">
        <f>IFERROR(VLOOKUP(F1191,COA!$A$1:$K$26,2,FALSE),0)</f>
        <v>0</v>
      </c>
      <c r="H1191" s="11"/>
      <c r="I1191" s="11"/>
      <c r="J1191" s="78"/>
      <c r="K1191" s="78"/>
      <c r="L1191" s="146">
        <f t="shared" si="56"/>
        <v>1800000</v>
      </c>
      <c r="M1191" s="73"/>
      <c r="N1191" s="73"/>
      <c r="O1191" s="73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14.25" customHeight="1" x14ac:dyDescent="0.35">
      <c r="A1192" s="9">
        <f t="shared" si="55"/>
        <v>1184</v>
      </c>
      <c r="B1192" s="15"/>
      <c r="C1192" s="11">
        <f t="shared" si="54"/>
        <v>1</v>
      </c>
      <c r="D1192" s="11"/>
      <c r="E1192" s="11"/>
      <c r="F1192" s="11"/>
      <c r="G1192" s="89">
        <f>IFERROR(VLOOKUP(F1192,COA!$A$1:$K$26,2,FALSE),0)</f>
        <v>0</v>
      </c>
      <c r="H1192" s="11"/>
      <c r="I1192" s="11"/>
      <c r="J1192" s="78"/>
      <c r="K1192" s="78"/>
      <c r="L1192" s="146">
        <f t="shared" si="56"/>
        <v>1800000</v>
      </c>
      <c r="M1192" s="73"/>
      <c r="N1192" s="73"/>
      <c r="O1192" s="73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14.25" customHeight="1" x14ac:dyDescent="0.35">
      <c r="A1193" s="9">
        <f t="shared" si="55"/>
        <v>1185</v>
      </c>
      <c r="B1193" s="15"/>
      <c r="C1193" s="11">
        <f t="shared" si="54"/>
        <v>1</v>
      </c>
      <c r="D1193" s="11"/>
      <c r="E1193" s="11"/>
      <c r="F1193" s="11"/>
      <c r="G1193" s="89">
        <f>IFERROR(VLOOKUP(F1193,COA!$A$1:$K$26,2,FALSE),0)</f>
        <v>0</v>
      </c>
      <c r="H1193" s="11"/>
      <c r="I1193" s="11"/>
      <c r="J1193" s="78"/>
      <c r="K1193" s="78"/>
      <c r="L1193" s="146">
        <f t="shared" si="56"/>
        <v>1800000</v>
      </c>
      <c r="M1193" s="73"/>
      <c r="N1193" s="73"/>
      <c r="O1193" s="73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14.25" customHeight="1" x14ac:dyDescent="0.35">
      <c r="A1194" s="9">
        <f t="shared" si="55"/>
        <v>1186</v>
      </c>
      <c r="B1194" s="15"/>
      <c r="C1194" s="11">
        <f t="shared" si="54"/>
        <v>1</v>
      </c>
      <c r="D1194" s="11"/>
      <c r="E1194" s="11"/>
      <c r="F1194" s="11"/>
      <c r="G1194" s="89">
        <f>IFERROR(VLOOKUP(F1194,COA!$A$1:$K$26,2,FALSE),0)</f>
        <v>0</v>
      </c>
      <c r="H1194" s="11"/>
      <c r="I1194" s="11"/>
      <c r="J1194" s="78"/>
      <c r="K1194" s="78"/>
      <c r="L1194" s="146">
        <f t="shared" si="56"/>
        <v>1800000</v>
      </c>
      <c r="M1194" s="73"/>
      <c r="N1194" s="73"/>
      <c r="O1194" s="73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14.25" customHeight="1" x14ac:dyDescent="0.35">
      <c r="A1195" s="9">
        <f t="shared" si="55"/>
        <v>1187</v>
      </c>
      <c r="B1195" s="15"/>
      <c r="C1195" s="11">
        <f t="shared" si="54"/>
        <v>1</v>
      </c>
      <c r="D1195" s="11"/>
      <c r="E1195" s="11"/>
      <c r="F1195" s="11"/>
      <c r="G1195" s="89">
        <f>IFERROR(VLOOKUP(F1195,COA!$A$1:$K$26,2,FALSE),0)</f>
        <v>0</v>
      </c>
      <c r="H1195" s="11"/>
      <c r="I1195" s="11"/>
      <c r="J1195" s="78"/>
      <c r="K1195" s="78"/>
      <c r="L1195" s="146">
        <f t="shared" si="56"/>
        <v>1800000</v>
      </c>
      <c r="M1195" s="73"/>
      <c r="N1195" s="73"/>
      <c r="O1195" s="73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14.25" customHeight="1" x14ac:dyDescent="0.35">
      <c r="A1196" s="9">
        <f t="shared" si="55"/>
        <v>1188</v>
      </c>
      <c r="B1196" s="15"/>
      <c r="C1196" s="11">
        <f t="shared" si="54"/>
        <v>1</v>
      </c>
      <c r="D1196" s="11"/>
      <c r="E1196" s="11"/>
      <c r="F1196" s="11"/>
      <c r="G1196" s="89">
        <f>IFERROR(VLOOKUP(F1196,COA!$A$1:$K$26,2,FALSE),0)</f>
        <v>0</v>
      </c>
      <c r="H1196" s="11"/>
      <c r="I1196" s="11"/>
      <c r="J1196" s="78"/>
      <c r="K1196" s="78"/>
      <c r="L1196" s="146">
        <f t="shared" si="56"/>
        <v>1800000</v>
      </c>
      <c r="M1196" s="73"/>
      <c r="N1196" s="73"/>
      <c r="O1196" s="73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14.25" customHeight="1" x14ac:dyDescent="0.35">
      <c r="A1197" s="9">
        <f t="shared" si="55"/>
        <v>1189</v>
      </c>
      <c r="B1197" s="15"/>
      <c r="C1197" s="11">
        <f t="shared" si="54"/>
        <v>1</v>
      </c>
      <c r="D1197" s="11"/>
      <c r="E1197" s="11"/>
      <c r="F1197" s="11"/>
      <c r="G1197" s="89">
        <f>IFERROR(VLOOKUP(F1197,COA!$A$1:$K$26,2,FALSE),0)</f>
        <v>0</v>
      </c>
      <c r="H1197" s="11"/>
      <c r="I1197" s="11"/>
      <c r="J1197" s="78"/>
      <c r="K1197" s="78"/>
      <c r="L1197" s="146">
        <f t="shared" si="56"/>
        <v>1800000</v>
      </c>
      <c r="M1197" s="73"/>
      <c r="N1197" s="73"/>
      <c r="O1197" s="73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14.25" customHeight="1" x14ac:dyDescent="0.35">
      <c r="A1198" s="9">
        <f t="shared" si="55"/>
        <v>1190</v>
      </c>
      <c r="B1198" s="15"/>
      <c r="C1198" s="11">
        <f t="shared" si="54"/>
        <v>1</v>
      </c>
      <c r="D1198" s="11"/>
      <c r="E1198" s="11"/>
      <c r="F1198" s="11"/>
      <c r="G1198" s="89">
        <f>IFERROR(VLOOKUP(F1198,COA!$A$1:$K$26,2,FALSE),0)</f>
        <v>0</v>
      </c>
      <c r="H1198" s="11"/>
      <c r="I1198" s="11"/>
      <c r="J1198" s="78"/>
      <c r="K1198" s="78"/>
      <c r="L1198" s="146">
        <f t="shared" si="56"/>
        <v>1800000</v>
      </c>
      <c r="M1198" s="73"/>
      <c r="N1198" s="73"/>
      <c r="O1198" s="73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14.25" customHeight="1" x14ac:dyDescent="0.35">
      <c r="A1199" s="9">
        <f t="shared" si="55"/>
        <v>1191</v>
      </c>
      <c r="B1199" s="15"/>
      <c r="C1199" s="11">
        <f t="shared" si="54"/>
        <v>1</v>
      </c>
      <c r="D1199" s="11"/>
      <c r="E1199" s="11"/>
      <c r="F1199" s="11"/>
      <c r="G1199" s="89">
        <f>IFERROR(VLOOKUP(F1199,COA!$A$1:$K$26,2,FALSE),0)</f>
        <v>0</v>
      </c>
      <c r="H1199" s="11"/>
      <c r="I1199" s="11"/>
      <c r="J1199" s="78"/>
      <c r="K1199" s="78"/>
      <c r="L1199" s="146">
        <f t="shared" si="56"/>
        <v>1800000</v>
      </c>
      <c r="M1199" s="73"/>
      <c r="N1199" s="73"/>
      <c r="O1199" s="73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14.25" customHeight="1" x14ac:dyDescent="0.35">
      <c r="A1200" s="9">
        <f t="shared" si="55"/>
        <v>1192</v>
      </c>
      <c r="B1200" s="15"/>
      <c r="C1200" s="11">
        <f t="shared" si="54"/>
        <v>1</v>
      </c>
      <c r="D1200" s="11"/>
      <c r="E1200" s="11"/>
      <c r="F1200" s="11"/>
      <c r="G1200" s="89">
        <f>IFERROR(VLOOKUP(F1200,COA!$A$1:$K$26,2,FALSE),0)</f>
        <v>0</v>
      </c>
      <c r="H1200" s="11"/>
      <c r="I1200" s="11"/>
      <c r="J1200" s="78"/>
      <c r="K1200" s="78"/>
      <c r="L1200" s="146">
        <f t="shared" si="56"/>
        <v>1800000</v>
      </c>
      <c r="M1200" s="73"/>
      <c r="N1200" s="73"/>
      <c r="O1200" s="73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14.25" customHeight="1" x14ac:dyDescent="0.35">
      <c r="A1201" s="9">
        <f t="shared" si="55"/>
        <v>1193</v>
      </c>
      <c r="B1201" s="15"/>
      <c r="C1201" s="11">
        <f t="shared" si="54"/>
        <v>1</v>
      </c>
      <c r="D1201" s="11"/>
      <c r="E1201" s="11"/>
      <c r="F1201" s="11"/>
      <c r="G1201" s="89">
        <f>IFERROR(VLOOKUP(F1201,COA!$A$1:$K$26,2,FALSE),0)</f>
        <v>0</v>
      </c>
      <c r="H1201" s="11"/>
      <c r="I1201" s="11"/>
      <c r="J1201" s="78"/>
      <c r="K1201" s="78"/>
      <c r="L1201" s="146">
        <f t="shared" si="56"/>
        <v>1800000</v>
      </c>
      <c r="M1201" s="73"/>
      <c r="N1201" s="73"/>
      <c r="O1201" s="73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14.25" customHeight="1" x14ac:dyDescent="0.35">
      <c r="A1202" s="9">
        <f t="shared" si="55"/>
        <v>1194</v>
      </c>
      <c r="B1202" s="15"/>
      <c r="C1202" s="11">
        <f t="shared" si="54"/>
        <v>1</v>
      </c>
      <c r="D1202" s="11"/>
      <c r="E1202" s="11"/>
      <c r="F1202" s="11"/>
      <c r="G1202" s="89">
        <f>IFERROR(VLOOKUP(F1202,COA!$A$1:$K$26,2,FALSE),0)</f>
        <v>0</v>
      </c>
      <c r="H1202" s="11"/>
      <c r="I1202" s="11"/>
      <c r="J1202" s="78"/>
      <c r="K1202" s="78"/>
      <c r="L1202" s="146">
        <f t="shared" si="56"/>
        <v>1800000</v>
      </c>
      <c r="M1202" s="73"/>
      <c r="N1202" s="73"/>
      <c r="O1202" s="73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14.25" customHeight="1" x14ac:dyDescent="0.35">
      <c r="A1203" s="9">
        <f t="shared" si="55"/>
        <v>1195</v>
      </c>
      <c r="B1203" s="15"/>
      <c r="C1203" s="11">
        <f t="shared" si="54"/>
        <v>1</v>
      </c>
      <c r="D1203" s="11"/>
      <c r="E1203" s="11"/>
      <c r="F1203" s="11"/>
      <c r="G1203" s="89">
        <f>IFERROR(VLOOKUP(F1203,COA!$A$1:$K$26,2,FALSE),0)</f>
        <v>0</v>
      </c>
      <c r="H1203" s="11"/>
      <c r="I1203" s="11"/>
      <c r="J1203" s="78"/>
      <c r="K1203" s="78"/>
      <c r="L1203" s="146">
        <f t="shared" si="56"/>
        <v>1800000</v>
      </c>
      <c r="M1203" s="73"/>
      <c r="N1203" s="73"/>
      <c r="O1203" s="73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14.25" customHeight="1" x14ac:dyDescent="0.35">
      <c r="A1204" s="9">
        <f t="shared" si="55"/>
        <v>1196</v>
      </c>
      <c r="B1204" s="15"/>
      <c r="C1204" s="11">
        <f t="shared" si="54"/>
        <v>1</v>
      </c>
      <c r="D1204" s="11"/>
      <c r="E1204" s="11"/>
      <c r="F1204" s="11"/>
      <c r="G1204" s="89">
        <f>IFERROR(VLOOKUP(F1204,COA!$A$1:$K$26,2,FALSE),0)</f>
        <v>0</v>
      </c>
      <c r="H1204" s="11"/>
      <c r="I1204" s="11"/>
      <c r="J1204" s="78"/>
      <c r="K1204" s="78"/>
      <c r="L1204" s="146">
        <f t="shared" si="56"/>
        <v>1800000</v>
      </c>
      <c r="M1204" s="73"/>
      <c r="N1204" s="73"/>
      <c r="O1204" s="73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14.25" customHeight="1" x14ac:dyDescent="0.35">
      <c r="A1205" s="9">
        <f t="shared" si="55"/>
        <v>1197</v>
      </c>
      <c r="B1205" s="15"/>
      <c r="C1205" s="11">
        <f t="shared" si="54"/>
        <v>1</v>
      </c>
      <c r="D1205" s="11"/>
      <c r="E1205" s="11"/>
      <c r="F1205" s="11"/>
      <c r="G1205" s="89">
        <f>IFERROR(VLOOKUP(F1205,COA!$A$1:$K$26,2,FALSE),0)</f>
        <v>0</v>
      </c>
      <c r="H1205" s="11"/>
      <c r="I1205" s="11"/>
      <c r="J1205" s="78"/>
      <c r="K1205" s="78"/>
      <c r="L1205" s="146">
        <f t="shared" si="56"/>
        <v>1800000</v>
      </c>
      <c r="M1205" s="73"/>
      <c r="N1205" s="73"/>
      <c r="O1205" s="73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14.25" customHeight="1" x14ac:dyDescent="0.35">
      <c r="A1206" s="9">
        <f t="shared" si="55"/>
        <v>1198</v>
      </c>
      <c r="B1206" s="15"/>
      <c r="C1206" s="11">
        <f t="shared" si="54"/>
        <v>1</v>
      </c>
      <c r="D1206" s="11"/>
      <c r="E1206" s="11"/>
      <c r="F1206" s="11"/>
      <c r="G1206" s="89">
        <f>IFERROR(VLOOKUP(F1206,COA!$A$1:$K$26,2,FALSE),0)</f>
        <v>0</v>
      </c>
      <c r="H1206" s="11"/>
      <c r="I1206" s="11"/>
      <c r="J1206" s="78"/>
      <c r="K1206" s="78"/>
      <c r="L1206" s="146">
        <f t="shared" si="56"/>
        <v>1800000</v>
      </c>
      <c r="M1206" s="73"/>
      <c r="N1206" s="73"/>
      <c r="O1206" s="73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14.25" customHeight="1" x14ac:dyDescent="0.35">
      <c r="A1207" s="9">
        <f t="shared" si="55"/>
        <v>1199</v>
      </c>
      <c r="B1207" s="15"/>
      <c r="C1207" s="11">
        <f t="shared" si="54"/>
        <v>1</v>
      </c>
      <c r="D1207" s="11"/>
      <c r="E1207" s="11"/>
      <c r="F1207" s="11"/>
      <c r="G1207" s="89">
        <f>IFERROR(VLOOKUP(F1207,COA!$A$1:$K$26,2,FALSE),0)</f>
        <v>0</v>
      </c>
      <c r="H1207" s="11"/>
      <c r="I1207" s="11"/>
      <c r="J1207" s="78"/>
      <c r="K1207" s="78"/>
      <c r="L1207" s="146">
        <f t="shared" si="56"/>
        <v>1800000</v>
      </c>
      <c r="M1207" s="73"/>
      <c r="N1207" s="73"/>
      <c r="O1207" s="73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14.25" customHeight="1" x14ac:dyDescent="0.35">
      <c r="A1208" s="9">
        <f t="shared" si="55"/>
        <v>1200</v>
      </c>
      <c r="B1208" s="15"/>
      <c r="C1208" s="11">
        <f t="shared" si="54"/>
        <v>1</v>
      </c>
      <c r="D1208" s="11"/>
      <c r="E1208" s="11"/>
      <c r="F1208" s="11"/>
      <c r="G1208" s="89">
        <f>IFERROR(VLOOKUP(F1208,COA!$A$1:$K$26,2,FALSE),0)</f>
        <v>0</v>
      </c>
      <c r="H1208" s="11"/>
      <c r="I1208" s="11"/>
      <c r="J1208" s="78"/>
      <c r="K1208" s="78"/>
      <c r="L1208" s="146">
        <f t="shared" si="56"/>
        <v>1800000</v>
      </c>
      <c r="M1208" s="73"/>
      <c r="N1208" s="73"/>
      <c r="O1208" s="73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14.25" customHeight="1" x14ac:dyDescent="0.35">
      <c r="A1209" s="9">
        <f t="shared" si="55"/>
        <v>1201</v>
      </c>
      <c r="B1209" s="15"/>
      <c r="C1209" s="11">
        <f t="shared" si="54"/>
        <v>1</v>
      </c>
      <c r="D1209" s="11"/>
      <c r="E1209" s="11"/>
      <c r="F1209" s="11"/>
      <c r="G1209" s="89">
        <f>IFERROR(VLOOKUP(F1209,COA!$A$1:$K$26,2,FALSE),0)</f>
        <v>0</v>
      </c>
      <c r="H1209" s="11"/>
      <c r="I1209" s="11"/>
      <c r="J1209" s="78"/>
      <c r="K1209" s="78"/>
      <c r="L1209" s="146">
        <f t="shared" si="56"/>
        <v>1800000</v>
      </c>
      <c r="M1209" s="73"/>
      <c r="N1209" s="73"/>
      <c r="O1209" s="73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14.25" customHeight="1" x14ac:dyDescent="0.35">
      <c r="A1210" s="9">
        <f t="shared" si="55"/>
        <v>1202</v>
      </c>
      <c r="B1210" s="15"/>
      <c r="C1210" s="11">
        <f t="shared" si="54"/>
        <v>1</v>
      </c>
      <c r="D1210" s="11"/>
      <c r="E1210" s="11"/>
      <c r="F1210" s="11"/>
      <c r="G1210" s="89">
        <f>IFERROR(VLOOKUP(F1210,COA!$A$1:$K$26,2,FALSE),0)</f>
        <v>0</v>
      </c>
      <c r="H1210" s="11"/>
      <c r="I1210" s="11"/>
      <c r="J1210" s="78"/>
      <c r="K1210" s="78"/>
      <c r="L1210" s="146">
        <f t="shared" si="56"/>
        <v>1800000</v>
      </c>
      <c r="M1210" s="73"/>
      <c r="N1210" s="73"/>
      <c r="O1210" s="73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14.25" customHeight="1" x14ac:dyDescent="0.35">
      <c r="A1211" s="9">
        <f t="shared" si="55"/>
        <v>1203</v>
      </c>
      <c r="B1211" s="15"/>
      <c r="C1211" s="11">
        <f t="shared" si="54"/>
        <v>1</v>
      </c>
      <c r="D1211" s="11"/>
      <c r="E1211" s="11"/>
      <c r="F1211" s="11"/>
      <c r="G1211" s="89">
        <f>IFERROR(VLOOKUP(F1211,COA!$A$1:$K$26,2,FALSE),0)</f>
        <v>0</v>
      </c>
      <c r="H1211" s="11"/>
      <c r="I1211" s="11"/>
      <c r="J1211" s="78"/>
      <c r="K1211" s="78"/>
      <c r="L1211" s="146">
        <f t="shared" si="56"/>
        <v>1800000</v>
      </c>
      <c r="M1211" s="73"/>
      <c r="N1211" s="73"/>
      <c r="O1211" s="73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14.25" customHeight="1" x14ac:dyDescent="0.35">
      <c r="A1212" s="9">
        <f t="shared" si="55"/>
        <v>1204</v>
      </c>
      <c r="B1212" s="15"/>
      <c r="C1212" s="11">
        <f t="shared" si="54"/>
        <v>1</v>
      </c>
      <c r="D1212" s="11"/>
      <c r="E1212" s="11"/>
      <c r="F1212" s="11"/>
      <c r="G1212" s="89">
        <f>IFERROR(VLOOKUP(F1212,COA!$A$1:$K$26,2,FALSE),0)</f>
        <v>0</v>
      </c>
      <c r="H1212" s="11"/>
      <c r="I1212" s="11"/>
      <c r="J1212" s="78"/>
      <c r="K1212" s="78"/>
      <c r="L1212" s="146">
        <f t="shared" si="56"/>
        <v>1800000</v>
      </c>
      <c r="M1212" s="73"/>
      <c r="N1212" s="73"/>
      <c r="O1212" s="73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14.25" customHeight="1" x14ac:dyDescent="0.35">
      <c r="A1213" s="9">
        <f t="shared" si="55"/>
        <v>1205</v>
      </c>
      <c r="B1213" s="15"/>
      <c r="C1213" s="11">
        <f t="shared" si="54"/>
        <v>1</v>
      </c>
      <c r="D1213" s="11"/>
      <c r="E1213" s="11"/>
      <c r="F1213" s="11"/>
      <c r="G1213" s="89">
        <f>IFERROR(VLOOKUP(F1213,COA!$A$1:$K$26,2,FALSE),0)</f>
        <v>0</v>
      </c>
      <c r="H1213" s="11"/>
      <c r="I1213" s="11"/>
      <c r="J1213" s="78"/>
      <c r="K1213" s="78"/>
      <c r="L1213" s="146">
        <f t="shared" si="56"/>
        <v>1800000</v>
      </c>
      <c r="M1213" s="73"/>
      <c r="N1213" s="73"/>
      <c r="O1213" s="73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14.25" customHeight="1" x14ac:dyDescent="0.35">
      <c r="A1214" s="9">
        <f t="shared" si="55"/>
        <v>1206</v>
      </c>
      <c r="B1214" s="15"/>
      <c r="C1214" s="11">
        <f t="shared" si="54"/>
        <v>1</v>
      </c>
      <c r="D1214" s="11"/>
      <c r="E1214" s="11"/>
      <c r="F1214" s="11"/>
      <c r="G1214" s="89">
        <f>IFERROR(VLOOKUP(F1214,COA!$A$1:$K$26,2,FALSE),0)</f>
        <v>0</v>
      </c>
      <c r="H1214" s="11"/>
      <c r="I1214" s="11"/>
      <c r="J1214" s="78"/>
      <c r="K1214" s="78"/>
      <c r="L1214" s="146">
        <f t="shared" si="56"/>
        <v>1800000</v>
      </c>
      <c r="M1214" s="73"/>
      <c r="N1214" s="73"/>
      <c r="O1214" s="73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14.25" customHeight="1" x14ac:dyDescent="0.35">
      <c r="A1215" s="9">
        <f t="shared" si="55"/>
        <v>1207</v>
      </c>
      <c r="B1215" s="15"/>
      <c r="C1215" s="11">
        <f t="shared" si="54"/>
        <v>1</v>
      </c>
      <c r="D1215" s="11"/>
      <c r="E1215" s="11"/>
      <c r="F1215" s="11"/>
      <c r="G1215" s="89">
        <f>IFERROR(VLOOKUP(F1215,COA!$A$1:$K$26,2,FALSE),0)</f>
        <v>0</v>
      </c>
      <c r="H1215" s="11"/>
      <c r="I1215" s="11"/>
      <c r="J1215" s="78"/>
      <c r="K1215" s="78"/>
      <c r="L1215" s="146">
        <f t="shared" si="56"/>
        <v>1800000</v>
      </c>
      <c r="M1215" s="73"/>
      <c r="N1215" s="73"/>
      <c r="O1215" s="73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14.25" customHeight="1" x14ac:dyDescent="0.35">
      <c r="A1216" s="9">
        <f t="shared" si="55"/>
        <v>1208</v>
      </c>
      <c r="B1216" s="15"/>
      <c r="C1216" s="11">
        <f t="shared" si="54"/>
        <v>1</v>
      </c>
      <c r="D1216" s="11"/>
      <c r="E1216" s="11"/>
      <c r="F1216" s="11"/>
      <c r="G1216" s="89">
        <f>IFERROR(VLOOKUP(F1216,COA!$A$1:$K$26,2,FALSE),0)</f>
        <v>0</v>
      </c>
      <c r="H1216" s="11"/>
      <c r="I1216" s="11"/>
      <c r="J1216" s="78"/>
      <c r="K1216" s="78"/>
      <c r="L1216" s="146">
        <f t="shared" si="56"/>
        <v>1800000</v>
      </c>
      <c r="M1216" s="73"/>
      <c r="N1216" s="73"/>
      <c r="O1216" s="73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14.25" customHeight="1" x14ac:dyDescent="0.35">
      <c r="A1217" s="9">
        <f t="shared" si="55"/>
        <v>1209</v>
      </c>
      <c r="B1217" s="15"/>
      <c r="C1217" s="11">
        <f t="shared" si="54"/>
        <v>1</v>
      </c>
      <c r="D1217" s="11"/>
      <c r="E1217" s="11"/>
      <c r="F1217" s="11"/>
      <c r="G1217" s="89">
        <f>IFERROR(VLOOKUP(F1217,COA!$A$1:$K$26,2,FALSE),0)</f>
        <v>0</v>
      </c>
      <c r="H1217" s="11"/>
      <c r="I1217" s="11"/>
      <c r="J1217" s="78"/>
      <c r="K1217" s="78"/>
      <c r="L1217" s="146">
        <f t="shared" si="56"/>
        <v>1800000</v>
      </c>
      <c r="M1217" s="73"/>
      <c r="N1217" s="73"/>
      <c r="O1217" s="73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14.25" customHeight="1" x14ac:dyDescent="0.35">
      <c r="A1218" s="9">
        <f t="shared" si="55"/>
        <v>1210</v>
      </c>
      <c r="B1218" s="15"/>
      <c r="C1218" s="11">
        <f t="shared" si="54"/>
        <v>1</v>
      </c>
      <c r="D1218" s="11"/>
      <c r="E1218" s="11"/>
      <c r="F1218" s="11"/>
      <c r="G1218" s="89">
        <f>IFERROR(VLOOKUP(F1218,COA!$A$1:$K$26,2,FALSE),0)</f>
        <v>0</v>
      </c>
      <c r="H1218" s="11"/>
      <c r="I1218" s="11"/>
      <c r="J1218" s="78"/>
      <c r="K1218" s="78"/>
      <c r="L1218" s="146">
        <f t="shared" si="56"/>
        <v>1800000</v>
      </c>
      <c r="M1218" s="73"/>
      <c r="N1218" s="73"/>
      <c r="O1218" s="73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14.25" customHeight="1" x14ac:dyDescent="0.35">
      <c r="A1219" s="9">
        <f t="shared" si="55"/>
        <v>1211</v>
      </c>
      <c r="B1219" s="15"/>
      <c r="C1219" s="11">
        <f t="shared" si="54"/>
        <v>1</v>
      </c>
      <c r="D1219" s="11"/>
      <c r="E1219" s="11"/>
      <c r="F1219" s="11"/>
      <c r="G1219" s="89">
        <f>IFERROR(VLOOKUP(F1219,COA!$A$1:$K$26,2,FALSE),0)</f>
        <v>0</v>
      </c>
      <c r="H1219" s="11"/>
      <c r="I1219" s="11"/>
      <c r="J1219" s="78"/>
      <c r="K1219" s="78"/>
      <c r="L1219" s="146">
        <f t="shared" si="56"/>
        <v>1800000</v>
      </c>
      <c r="M1219" s="73"/>
      <c r="N1219" s="73"/>
      <c r="O1219" s="73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14.25" customHeight="1" x14ac:dyDescent="0.35">
      <c r="A1220" s="9">
        <f t="shared" si="55"/>
        <v>1212</v>
      </c>
      <c r="B1220" s="15"/>
      <c r="C1220" s="11">
        <f t="shared" si="54"/>
        <v>1</v>
      </c>
      <c r="D1220" s="11"/>
      <c r="E1220" s="11"/>
      <c r="F1220" s="11"/>
      <c r="G1220" s="89">
        <f>IFERROR(VLOOKUP(F1220,COA!$A$1:$K$26,2,FALSE),0)</f>
        <v>0</v>
      </c>
      <c r="H1220" s="11"/>
      <c r="I1220" s="11"/>
      <c r="J1220" s="78"/>
      <c r="K1220" s="78"/>
      <c r="L1220" s="146">
        <f t="shared" si="56"/>
        <v>1800000</v>
      </c>
      <c r="M1220" s="73"/>
      <c r="N1220" s="73"/>
      <c r="O1220" s="73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14.25" customHeight="1" x14ac:dyDescent="0.35">
      <c r="A1221" s="9">
        <f t="shared" si="55"/>
        <v>1213</v>
      </c>
      <c r="B1221" s="15"/>
      <c r="C1221" s="11">
        <f t="shared" si="54"/>
        <v>1</v>
      </c>
      <c r="D1221" s="11"/>
      <c r="E1221" s="11"/>
      <c r="F1221" s="11"/>
      <c r="G1221" s="89">
        <f>IFERROR(VLOOKUP(F1221,COA!$A$1:$K$26,2,FALSE),0)</f>
        <v>0</v>
      </c>
      <c r="H1221" s="11"/>
      <c r="I1221" s="11"/>
      <c r="J1221" s="78"/>
      <c r="K1221" s="78"/>
      <c r="L1221" s="146">
        <f t="shared" si="56"/>
        <v>1800000</v>
      </c>
      <c r="M1221" s="73"/>
      <c r="N1221" s="73"/>
      <c r="O1221" s="73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14.25" customHeight="1" x14ac:dyDescent="0.35">
      <c r="A1222" s="9">
        <f t="shared" si="55"/>
        <v>1214</v>
      </c>
      <c r="B1222" s="15"/>
      <c r="C1222" s="11">
        <f t="shared" si="54"/>
        <v>1</v>
      </c>
      <c r="D1222" s="11"/>
      <c r="E1222" s="11"/>
      <c r="F1222" s="11"/>
      <c r="G1222" s="89">
        <f>IFERROR(VLOOKUP(F1222,COA!$A$1:$K$26,2,FALSE),0)</f>
        <v>0</v>
      </c>
      <c r="H1222" s="11"/>
      <c r="I1222" s="11"/>
      <c r="J1222" s="78"/>
      <c r="K1222" s="78"/>
      <c r="L1222" s="146">
        <f t="shared" si="56"/>
        <v>1800000</v>
      </c>
      <c r="M1222" s="73"/>
      <c r="N1222" s="73"/>
      <c r="O1222" s="73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14.25" customHeight="1" x14ac:dyDescent="0.35">
      <c r="A1223" s="9">
        <f t="shared" si="55"/>
        <v>1215</v>
      </c>
      <c r="B1223" s="15"/>
      <c r="C1223" s="11">
        <f t="shared" si="54"/>
        <v>1</v>
      </c>
      <c r="D1223" s="11"/>
      <c r="E1223" s="11"/>
      <c r="F1223" s="11"/>
      <c r="G1223" s="89">
        <f>IFERROR(VLOOKUP(F1223,COA!$A$1:$K$26,2,FALSE),0)</f>
        <v>0</v>
      </c>
      <c r="H1223" s="11"/>
      <c r="I1223" s="11"/>
      <c r="J1223" s="78"/>
      <c r="K1223" s="78"/>
      <c r="L1223" s="146">
        <f t="shared" si="56"/>
        <v>1800000</v>
      </c>
      <c r="M1223" s="73"/>
      <c r="N1223" s="73"/>
      <c r="O1223" s="73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14.25" customHeight="1" x14ac:dyDescent="0.35">
      <c r="A1224" s="9">
        <f t="shared" si="55"/>
        <v>1216</v>
      </c>
      <c r="B1224" s="15"/>
      <c r="C1224" s="11">
        <f t="shared" ref="C1224:C1287" si="57">MONTH(B1224)</f>
        <v>1</v>
      </c>
      <c r="D1224" s="11"/>
      <c r="E1224" s="11"/>
      <c r="F1224" s="11"/>
      <c r="G1224" s="89">
        <f>IFERROR(VLOOKUP(F1224,COA!$A$1:$K$26,2,FALSE),0)</f>
        <v>0</v>
      </c>
      <c r="H1224" s="11"/>
      <c r="I1224" s="11"/>
      <c r="J1224" s="78"/>
      <c r="K1224" s="78"/>
      <c r="L1224" s="146">
        <f t="shared" si="56"/>
        <v>1800000</v>
      </c>
      <c r="M1224" s="73"/>
      <c r="N1224" s="73"/>
      <c r="O1224" s="73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14.25" customHeight="1" x14ac:dyDescent="0.35">
      <c r="A1225" s="9">
        <f t="shared" si="55"/>
        <v>1217</v>
      </c>
      <c r="B1225" s="15"/>
      <c r="C1225" s="11">
        <f t="shared" si="57"/>
        <v>1</v>
      </c>
      <c r="D1225" s="11"/>
      <c r="E1225" s="11"/>
      <c r="F1225" s="11"/>
      <c r="G1225" s="89">
        <f>IFERROR(VLOOKUP(F1225,COA!$A$1:$K$26,2,FALSE),0)</f>
        <v>0</v>
      </c>
      <c r="H1225" s="11"/>
      <c r="I1225" s="11"/>
      <c r="J1225" s="78"/>
      <c r="K1225" s="78"/>
      <c r="L1225" s="146">
        <f t="shared" si="56"/>
        <v>1800000</v>
      </c>
      <c r="M1225" s="73"/>
      <c r="N1225" s="73"/>
      <c r="O1225" s="73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14.25" customHeight="1" x14ac:dyDescent="0.35">
      <c r="A1226" s="9">
        <f t="shared" si="55"/>
        <v>1218</v>
      </c>
      <c r="B1226" s="15"/>
      <c r="C1226" s="11">
        <f t="shared" si="57"/>
        <v>1</v>
      </c>
      <c r="D1226" s="11"/>
      <c r="E1226" s="11"/>
      <c r="F1226" s="11"/>
      <c r="G1226" s="89">
        <f>IFERROR(VLOOKUP(F1226,COA!$A$1:$K$26,2,FALSE),0)</f>
        <v>0</v>
      </c>
      <c r="H1226" s="11"/>
      <c r="I1226" s="11"/>
      <c r="J1226" s="78"/>
      <c r="K1226" s="78"/>
      <c r="L1226" s="146">
        <f t="shared" si="56"/>
        <v>1800000</v>
      </c>
      <c r="M1226" s="73"/>
      <c r="N1226" s="73"/>
      <c r="O1226" s="73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14.25" customHeight="1" x14ac:dyDescent="0.35">
      <c r="A1227" s="9">
        <f t="shared" ref="A1227:A1290" si="58">A1226+1</f>
        <v>1219</v>
      </c>
      <c r="B1227" s="15"/>
      <c r="C1227" s="11">
        <f t="shared" si="57"/>
        <v>1</v>
      </c>
      <c r="D1227" s="11"/>
      <c r="E1227" s="11"/>
      <c r="F1227" s="11"/>
      <c r="G1227" s="89">
        <f>IFERROR(VLOOKUP(F1227,COA!$A$1:$K$26,2,FALSE),0)</f>
        <v>0</v>
      </c>
      <c r="H1227" s="11"/>
      <c r="I1227" s="11"/>
      <c r="J1227" s="78"/>
      <c r="K1227" s="78"/>
      <c r="L1227" s="146">
        <f t="shared" ref="L1227:L1290" si="59">L1226+J1227-K1227</f>
        <v>1800000</v>
      </c>
      <c r="M1227" s="73"/>
      <c r="N1227" s="73"/>
      <c r="O1227" s="73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14.25" customHeight="1" x14ac:dyDescent="0.35">
      <c r="A1228" s="9">
        <f t="shared" si="58"/>
        <v>1220</v>
      </c>
      <c r="B1228" s="15"/>
      <c r="C1228" s="11">
        <f t="shared" si="57"/>
        <v>1</v>
      </c>
      <c r="D1228" s="11"/>
      <c r="E1228" s="11"/>
      <c r="F1228" s="11"/>
      <c r="G1228" s="89">
        <f>IFERROR(VLOOKUP(F1228,COA!$A$1:$K$26,2,FALSE),0)</f>
        <v>0</v>
      </c>
      <c r="H1228" s="11"/>
      <c r="I1228" s="11"/>
      <c r="J1228" s="78"/>
      <c r="K1228" s="78"/>
      <c r="L1228" s="146">
        <f t="shared" si="59"/>
        <v>1800000</v>
      </c>
      <c r="M1228" s="73"/>
      <c r="N1228" s="73"/>
      <c r="O1228" s="73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14.25" customHeight="1" x14ac:dyDescent="0.35">
      <c r="A1229" s="9">
        <f t="shared" si="58"/>
        <v>1221</v>
      </c>
      <c r="B1229" s="15"/>
      <c r="C1229" s="11">
        <f t="shared" si="57"/>
        <v>1</v>
      </c>
      <c r="D1229" s="11"/>
      <c r="E1229" s="11"/>
      <c r="F1229" s="11"/>
      <c r="G1229" s="89">
        <f>IFERROR(VLOOKUP(F1229,COA!$A$1:$K$26,2,FALSE),0)</f>
        <v>0</v>
      </c>
      <c r="H1229" s="11"/>
      <c r="I1229" s="11"/>
      <c r="J1229" s="78"/>
      <c r="K1229" s="78"/>
      <c r="L1229" s="146">
        <f t="shared" si="59"/>
        <v>1800000</v>
      </c>
      <c r="M1229" s="73"/>
      <c r="N1229" s="73"/>
      <c r="O1229" s="73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14.25" customHeight="1" x14ac:dyDescent="0.35">
      <c r="A1230" s="9">
        <f t="shared" si="58"/>
        <v>1222</v>
      </c>
      <c r="B1230" s="15"/>
      <c r="C1230" s="11">
        <f t="shared" si="57"/>
        <v>1</v>
      </c>
      <c r="D1230" s="11"/>
      <c r="E1230" s="11"/>
      <c r="F1230" s="11"/>
      <c r="G1230" s="89">
        <f>IFERROR(VLOOKUP(F1230,COA!$A$1:$K$26,2,FALSE),0)</f>
        <v>0</v>
      </c>
      <c r="H1230" s="11"/>
      <c r="I1230" s="11"/>
      <c r="J1230" s="78"/>
      <c r="K1230" s="78"/>
      <c r="L1230" s="146">
        <f t="shared" si="59"/>
        <v>1800000</v>
      </c>
      <c r="M1230" s="73"/>
      <c r="N1230" s="73"/>
      <c r="O1230" s="73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14.25" customHeight="1" x14ac:dyDescent="0.35">
      <c r="A1231" s="9">
        <f t="shared" si="58"/>
        <v>1223</v>
      </c>
      <c r="B1231" s="15"/>
      <c r="C1231" s="11">
        <f t="shared" si="57"/>
        <v>1</v>
      </c>
      <c r="D1231" s="11"/>
      <c r="E1231" s="11"/>
      <c r="F1231" s="11"/>
      <c r="G1231" s="89">
        <f>IFERROR(VLOOKUP(F1231,COA!$A$1:$K$26,2,FALSE),0)</f>
        <v>0</v>
      </c>
      <c r="H1231" s="11"/>
      <c r="I1231" s="11"/>
      <c r="J1231" s="78"/>
      <c r="K1231" s="78"/>
      <c r="L1231" s="146">
        <f t="shared" si="59"/>
        <v>1800000</v>
      </c>
      <c r="M1231" s="73"/>
      <c r="N1231" s="73"/>
      <c r="O1231" s="73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14.25" customHeight="1" x14ac:dyDescent="0.35">
      <c r="A1232" s="9">
        <f t="shared" si="58"/>
        <v>1224</v>
      </c>
      <c r="B1232" s="15"/>
      <c r="C1232" s="11">
        <f t="shared" si="57"/>
        <v>1</v>
      </c>
      <c r="D1232" s="11"/>
      <c r="E1232" s="11"/>
      <c r="F1232" s="11"/>
      <c r="G1232" s="89">
        <f>IFERROR(VLOOKUP(F1232,COA!$A$1:$K$26,2,FALSE),0)</f>
        <v>0</v>
      </c>
      <c r="H1232" s="11"/>
      <c r="I1232" s="11"/>
      <c r="J1232" s="78"/>
      <c r="K1232" s="78"/>
      <c r="L1232" s="146">
        <f t="shared" si="59"/>
        <v>1800000</v>
      </c>
      <c r="M1232" s="73"/>
      <c r="N1232" s="73"/>
      <c r="O1232" s="73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14.25" customHeight="1" x14ac:dyDescent="0.35">
      <c r="A1233" s="9">
        <f t="shared" si="58"/>
        <v>1225</v>
      </c>
      <c r="B1233" s="15"/>
      <c r="C1233" s="11">
        <f t="shared" si="57"/>
        <v>1</v>
      </c>
      <c r="D1233" s="11"/>
      <c r="E1233" s="11"/>
      <c r="F1233" s="11"/>
      <c r="G1233" s="89">
        <f>IFERROR(VLOOKUP(F1233,COA!$A$1:$K$26,2,FALSE),0)</f>
        <v>0</v>
      </c>
      <c r="H1233" s="11"/>
      <c r="I1233" s="11"/>
      <c r="J1233" s="78"/>
      <c r="K1233" s="78"/>
      <c r="L1233" s="146">
        <f t="shared" si="59"/>
        <v>1800000</v>
      </c>
      <c r="M1233" s="73"/>
      <c r="N1233" s="73"/>
      <c r="O1233" s="73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14.25" customHeight="1" x14ac:dyDescent="0.35">
      <c r="A1234" s="9">
        <f t="shared" si="58"/>
        <v>1226</v>
      </c>
      <c r="B1234" s="15"/>
      <c r="C1234" s="11">
        <f t="shared" si="57"/>
        <v>1</v>
      </c>
      <c r="D1234" s="11"/>
      <c r="E1234" s="11"/>
      <c r="F1234" s="11"/>
      <c r="G1234" s="89">
        <f>IFERROR(VLOOKUP(F1234,COA!$A$1:$K$26,2,FALSE),0)</f>
        <v>0</v>
      </c>
      <c r="H1234" s="11"/>
      <c r="I1234" s="11"/>
      <c r="J1234" s="78"/>
      <c r="K1234" s="78"/>
      <c r="L1234" s="146">
        <f t="shared" si="59"/>
        <v>1800000</v>
      </c>
      <c r="M1234" s="73"/>
      <c r="N1234" s="73"/>
      <c r="O1234" s="73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14.25" customHeight="1" x14ac:dyDescent="0.35">
      <c r="A1235" s="9">
        <f t="shared" si="58"/>
        <v>1227</v>
      </c>
      <c r="B1235" s="15"/>
      <c r="C1235" s="11">
        <f t="shared" si="57"/>
        <v>1</v>
      </c>
      <c r="D1235" s="11"/>
      <c r="E1235" s="11"/>
      <c r="F1235" s="11"/>
      <c r="G1235" s="89">
        <f>IFERROR(VLOOKUP(F1235,COA!$A$1:$K$26,2,FALSE),0)</f>
        <v>0</v>
      </c>
      <c r="H1235" s="11"/>
      <c r="I1235" s="11"/>
      <c r="J1235" s="78"/>
      <c r="K1235" s="78"/>
      <c r="L1235" s="146">
        <f t="shared" si="59"/>
        <v>1800000</v>
      </c>
      <c r="M1235" s="73"/>
      <c r="N1235" s="73"/>
      <c r="O1235" s="73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14.25" customHeight="1" x14ac:dyDescent="0.35">
      <c r="A1236" s="9">
        <f t="shared" si="58"/>
        <v>1228</v>
      </c>
      <c r="B1236" s="15"/>
      <c r="C1236" s="11">
        <f t="shared" si="57"/>
        <v>1</v>
      </c>
      <c r="D1236" s="11"/>
      <c r="E1236" s="11"/>
      <c r="F1236" s="11"/>
      <c r="G1236" s="89">
        <f>IFERROR(VLOOKUP(F1236,COA!$A$1:$K$26,2,FALSE),0)</f>
        <v>0</v>
      </c>
      <c r="H1236" s="11"/>
      <c r="I1236" s="11"/>
      <c r="J1236" s="78"/>
      <c r="K1236" s="78"/>
      <c r="L1236" s="146">
        <f t="shared" si="59"/>
        <v>1800000</v>
      </c>
      <c r="M1236" s="73"/>
      <c r="N1236" s="73"/>
      <c r="O1236" s="73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14.25" customHeight="1" x14ac:dyDescent="0.35">
      <c r="A1237" s="9">
        <f t="shared" si="58"/>
        <v>1229</v>
      </c>
      <c r="B1237" s="15"/>
      <c r="C1237" s="11">
        <f t="shared" si="57"/>
        <v>1</v>
      </c>
      <c r="D1237" s="11"/>
      <c r="E1237" s="11"/>
      <c r="F1237" s="11"/>
      <c r="G1237" s="89">
        <f>IFERROR(VLOOKUP(F1237,COA!$A$1:$K$26,2,FALSE),0)</f>
        <v>0</v>
      </c>
      <c r="H1237" s="11"/>
      <c r="I1237" s="11"/>
      <c r="J1237" s="78"/>
      <c r="K1237" s="78"/>
      <c r="L1237" s="146">
        <f t="shared" si="59"/>
        <v>1800000</v>
      </c>
      <c r="M1237" s="73"/>
      <c r="N1237" s="73"/>
      <c r="O1237" s="73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14.25" customHeight="1" x14ac:dyDescent="0.35">
      <c r="A1238" s="9">
        <f t="shared" si="58"/>
        <v>1230</v>
      </c>
      <c r="B1238" s="15"/>
      <c r="C1238" s="11">
        <f t="shared" si="57"/>
        <v>1</v>
      </c>
      <c r="D1238" s="11"/>
      <c r="E1238" s="11"/>
      <c r="F1238" s="11"/>
      <c r="G1238" s="89">
        <f>IFERROR(VLOOKUP(F1238,COA!$A$1:$K$26,2,FALSE),0)</f>
        <v>0</v>
      </c>
      <c r="H1238" s="11"/>
      <c r="I1238" s="11"/>
      <c r="J1238" s="78"/>
      <c r="K1238" s="78"/>
      <c r="L1238" s="146">
        <f t="shared" si="59"/>
        <v>1800000</v>
      </c>
      <c r="M1238" s="73"/>
      <c r="N1238" s="73"/>
      <c r="O1238" s="73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14.25" customHeight="1" x14ac:dyDescent="0.35">
      <c r="A1239" s="9">
        <f t="shared" si="58"/>
        <v>1231</v>
      </c>
      <c r="B1239" s="15"/>
      <c r="C1239" s="11">
        <f t="shared" si="57"/>
        <v>1</v>
      </c>
      <c r="D1239" s="11"/>
      <c r="E1239" s="11"/>
      <c r="F1239" s="11"/>
      <c r="G1239" s="89">
        <f>IFERROR(VLOOKUP(F1239,COA!$A$1:$K$26,2,FALSE),0)</f>
        <v>0</v>
      </c>
      <c r="H1239" s="11"/>
      <c r="I1239" s="11"/>
      <c r="J1239" s="78"/>
      <c r="K1239" s="78"/>
      <c r="L1239" s="146">
        <f t="shared" si="59"/>
        <v>1800000</v>
      </c>
      <c r="M1239" s="73"/>
      <c r="N1239" s="73"/>
      <c r="O1239" s="73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14.25" customHeight="1" x14ac:dyDescent="0.35">
      <c r="A1240" s="9">
        <f t="shared" si="58"/>
        <v>1232</v>
      </c>
      <c r="B1240" s="15"/>
      <c r="C1240" s="11">
        <f t="shared" si="57"/>
        <v>1</v>
      </c>
      <c r="D1240" s="11"/>
      <c r="E1240" s="11"/>
      <c r="F1240" s="11"/>
      <c r="G1240" s="89">
        <f>IFERROR(VLOOKUP(F1240,COA!$A$1:$K$26,2,FALSE),0)</f>
        <v>0</v>
      </c>
      <c r="H1240" s="11"/>
      <c r="I1240" s="11"/>
      <c r="J1240" s="78"/>
      <c r="K1240" s="78"/>
      <c r="L1240" s="146">
        <f t="shared" si="59"/>
        <v>1800000</v>
      </c>
      <c r="M1240" s="73"/>
      <c r="N1240" s="73"/>
      <c r="O1240" s="73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14.25" customHeight="1" x14ac:dyDescent="0.35">
      <c r="A1241" s="9">
        <f t="shared" si="58"/>
        <v>1233</v>
      </c>
      <c r="B1241" s="15"/>
      <c r="C1241" s="11">
        <f t="shared" si="57"/>
        <v>1</v>
      </c>
      <c r="D1241" s="11"/>
      <c r="E1241" s="11"/>
      <c r="F1241" s="11"/>
      <c r="G1241" s="89">
        <f>IFERROR(VLOOKUP(F1241,COA!$A$1:$K$26,2,FALSE),0)</f>
        <v>0</v>
      </c>
      <c r="H1241" s="11"/>
      <c r="I1241" s="11"/>
      <c r="J1241" s="78"/>
      <c r="K1241" s="78"/>
      <c r="L1241" s="146">
        <f t="shared" si="59"/>
        <v>1800000</v>
      </c>
      <c r="M1241" s="73"/>
      <c r="N1241" s="73"/>
      <c r="O1241" s="73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14.25" customHeight="1" x14ac:dyDescent="0.35">
      <c r="A1242" s="9">
        <f t="shared" si="58"/>
        <v>1234</v>
      </c>
      <c r="B1242" s="15"/>
      <c r="C1242" s="11">
        <f t="shared" si="57"/>
        <v>1</v>
      </c>
      <c r="D1242" s="11"/>
      <c r="E1242" s="11"/>
      <c r="F1242" s="11"/>
      <c r="G1242" s="89">
        <f>IFERROR(VLOOKUP(F1242,COA!$A$1:$K$26,2,FALSE),0)</f>
        <v>0</v>
      </c>
      <c r="H1242" s="11"/>
      <c r="I1242" s="11"/>
      <c r="J1242" s="78"/>
      <c r="K1242" s="78"/>
      <c r="L1242" s="146">
        <f t="shared" si="59"/>
        <v>1800000</v>
      </c>
      <c r="M1242" s="73"/>
      <c r="N1242" s="73"/>
      <c r="O1242" s="73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14.25" customHeight="1" x14ac:dyDescent="0.35">
      <c r="A1243" s="9">
        <f t="shared" si="58"/>
        <v>1235</v>
      </c>
      <c r="B1243" s="15"/>
      <c r="C1243" s="11">
        <f t="shared" si="57"/>
        <v>1</v>
      </c>
      <c r="D1243" s="11"/>
      <c r="E1243" s="11"/>
      <c r="F1243" s="11"/>
      <c r="G1243" s="89">
        <f>IFERROR(VLOOKUP(F1243,COA!$A$1:$K$26,2,FALSE),0)</f>
        <v>0</v>
      </c>
      <c r="H1243" s="11"/>
      <c r="I1243" s="11"/>
      <c r="J1243" s="78"/>
      <c r="K1243" s="78"/>
      <c r="L1243" s="146">
        <f t="shared" si="59"/>
        <v>1800000</v>
      </c>
      <c r="M1243" s="73"/>
      <c r="N1243" s="73"/>
      <c r="O1243" s="73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14.25" customHeight="1" x14ac:dyDescent="0.35">
      <c r="A1244" s="9">
        <f t="shared" si="58"/>
        <v>1236</v>
      </c>
      <c r="B1244" s="15"/>
      <c r="C1244" s="11">
        <f t="shared" si="57"/>
        <v>1</v>
      </c>
      <c r="D1244" s="11"/>
      <c r="E1244" s="11"/>
      <c r="F1244" s="11"/>
      <c r="G1244" s="89">
        <f>IFERROR(VLOOKUP(F1244,COA!$A$1:$K$26,2,FALSE),0)</f>
        <v>0</v>
      </c>
      <c r="H1244" s="11"/>
      <c r="I1244" s="11"/>
      <c r="J1244" s="78"/>
      <c r="K1244" s="78"/>
      <c r="L1244" s="146">
        <f t="shared" si="59"/>
        <v>1800000</v>
      </c>
      <c r="M1244" s="73"/>
      <c r="N1244" s="73"/>
      <c r="O1244" s="73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14.25" customHeight="1" x14ac:dyDescent="0.35">
      <c r="A1245" s="9">
        <f t="shared" si="58"/>
        <v>1237</v>
      </c>
      <c r="B1245" s="15"/>
      <c r="C1245" s="11">
        <f t="shared" si="57"/>
        <v>1</v>
      </c>
      <c r="D1245" s="11"/>
      <c r="E1245" s="11"/>
      <c r="F1245" s="11"/>
      <c r="G1245" s="89">
        <f>IFERROR(VLOOKUP(F1245,COA!$A$1:$K$26,2,FALSE),0)</f>
        <v>0</v>
      </c>
      <c r="H1245" s="11"/>
      <c r="I1245" s="11"/>
      <c r="J1245" s="78"/>
      <c r="K1245" s="78"/>
      <c r="L1245" s="146">
        <f t="shared" si="59"/>
        <v>1800000</v>
      </c>
      <c r="M1245" s="73"/>
      <c r="N1245" s="73"/>
      <c r="O1245" s="73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14.25" customHeight="1" x14ac:dyDescent="0.35">
      <c r="A1246" s="9">
        <f t="shared" si="58"/>
        <v>1238</v>
      </c>
      <c r="B1246" s="15"/>
      <c r="C1246" s="11">
        <f t="shared" si="57"/>
        <v>1</v>
      </c>
      <c r="D1246" s="11"/>
      <c r="E1246" s="11"/>
      <c r="F1246" s="11"/>
      <c r="G1246" s="89">
        <f>IFERROR(VLOOKUP(F1246,COA!$A$1:$K$26,2,FALSE),0)</f>
        <v>0</v>
      </c>
      <c r="H1246" s="11"/>
      <c r="I1246" s="11"/>
      <c r="J1246" s="78"/>
      <c r="K1246" s="78"/>
      <c r="L1246" s="146">
        <f t="shared" si="59"/>
        <v>1800000</v>
      </c>
      <c r="M1246" s="73"/>
      <c r="N1246" s="73"/>
      <c r="O1246" s="73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14.25" customHeight="1" x14ac:dyDescent="0.35">
      <c r="A1247" s="9">
        <f t="shared" si="58"/>
        <v>1239</v>
      </c>
      <c r="B1247" s="15"/>
      <c r="C1247" s="11">
        <f t="shared" si="57"/>
        <v>1</v>
      </c>
      <c r="D1247" s="11"/>
      <c r="E1247" s="11"/>
      <c r="F1247" s="11"/>
      <c r="G1247" s="89">
        <f>IFERROR(VLOOKUP(F1247,COA!$A$1:$K$26,2,FALSE),0)</f>
        <v>0</v>
      </c>
      <c r="H1247" s="11"/>
      <c r="I1247" s="11"/>
      <c r="J1247" s="78"/>
      <c r="K1247" s="78"/>
      <c r="L1247" s="146">
        <f t="shared" si="59"/>
        <v>1800000</v>
      </c>
      <c r="M1247" s="73"/>
      <c r="N1247" s="73"/>
      <c r="O1247" s="73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14.25" customHeight="1" x14ac:dyDescent="0.35">
      <c r="A1248" s="9">
        <f t="shared" si="58"/>
        <v>1240</v>
      </c>
      <c r="B1248" s="15"/>
      <c r="C1248" s="11">
        <f t="shared" si="57"/>
        <v>1</v>
      </c>
      <c r="D1248" s="11"/>
      <c r="E1248" s="11"/>
      <c r="F1248" s="11"/>
      <c r="G1248" s="89">
        <f>IFERROR(VLOOKUP(F1248,COA!$A$1:$K$26,2,FALSE),0)</f>
        <v>0</v>
      </c>
      <c r="H1248" s="11"/>
      <c r="I1248" s="11"/>
      <c r="J1248" s="78"/>
      <c r="K1248" s="78"/>
      <c r="L1248" s="146">
        <f t="shared" si="59"/>
        <v>1800000</v>
      </c>
      <c r="M1248" s="73"/>
      <c r="N1248" s="73"/>
      <c r="O1248" s="73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14.25" customHeight="1" x14ac:dyDescent="0.35">
      <c r="A1249" s="9">
        <f t="shared" si="58"/>
        <v>1241</v>
      </c>
      <c r="B1249" s="15"/>
      <c r="C1249" s="11">
        <f t="shared" si="57"/>
        <v>1</v>
      </c>
      <c r="D1249" s="11"/>
      <c r="E1249" s="11"/>
      <c r="F1249" s="11"/>
      <c r="G1249" s="89">
        <f>IFERROR(VLOOKUP(F1249,COA!$A$1:$K$26,2,FALSE),0)</f>
        <v>0</v>
      </c>
      <c r="H1249" s="11"/>
      <c r="I1249" s="11"/>
      <c r="J1249" s="78"/>
      <c r="K1249" s="78"/>
      <c r="L1249" s="146">
        <f t="shared" si="59"/>
        <v>1800000</v>
      </c>
      <c r="M1249" s="73"/>
      <c r="N1249" s="73"/>
      <c r="O1249" s="73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14.25" customHeight="1" x14ac:dyDescent="0.35">
      <c r="A1250" s="9">
        <f t="shared" si="58"/>
        <v>1242</v>
      </c>
      <c r="B1250" s="15"/>
      <c r="C1250" s="11">
        <f t="shared" si="57"/>
        <v>1</v>
      </c>
      <c r="D1250" s="11"/>
      <c r="E1250" s="11"/>
      <c r="F1250" s="11"/>
      <c r="G1250" s="89">
        <f>IFERROR(VLOOKUP(F1250,COA!$A$1:$K$26,2,FALSE),0)</f>
        <v>0</v>
      </c>
      <c r="H1250" s="11"/>
      <c r="I1250" s="11"/>
      <c r="J1250" s="78"/>
      <c r="K1250" s="78"/>
      <c r="L1250" s="146">
        <f t="shared" si="59"/>
        <v>1800000</v>
      </c>
      <c r="M1250" s="73"/>
      <c r="N1250" s="73"/>
      <c r="O1250" s="73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14.25" customHeight="1" x14ac:dyDescent="0.35">
      <c r="A1251" s="9">
        <f t="shared" si="58"/>
        <v>1243</v>
      </c>
      <c r="B1251" s="15"/>
      <c r="C1251" s="11">
        <f t="shared" si="57"/>
        <v>1</v>
      </c>
      <c r="D1251" s="11"/>
      <c r="E1251" s="11"/>
      <c r="F1251" s="11"/>
      <c r="G1251" s="89">
        <f>IFERROR(VLOOKUP(F1251,COA!$A$1:$K$26,2,FALSE),0)</f>
        <v>0</v>
      </c>
      <c r="H1251" s="11"/>
      <c r="I1251" s="11"/>
      <c r="J1251" s="78"/>
      <c r="K1251" s="78"/>
      <c r="L1251" s="146">
        <f t="shared" si="59"/>
        <v>1800000</v>
      </c>
      <c r="M1251" s="73"/>
      <c r="N1251" s="73"/>
      <c r="O1251" s="73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14.25" customHeight="1" x14ac:dyDescent="0.35">
      <c r="A1252" s="9">
        <f t="shared" si="58"/>
        <v>1244</v>
      </c>
      <c r="B1252" s="15"/>
      <c r="C1252" s="11">
        <f t="shared" si="57"/>
        <v>1</v>
      </c>
      <c r="D1252" s="11"/>
      <c r="E1252" s="11"/>
      <c r="F1252" s="11"/>
      <c r="G1252" s="89">
        <f>IFERROR(VLOOKUP(F1252,COA!$A$1:$K$26,2,FALSE),0)</f>
        <v>0</v>
      </c>
      <c r="H1252" s="11"/>
      <c r="I1252" s="11"/>
      <c r="J1252" s="78"/>
      <c r="K1252" s="78"/>
      <c r="L1252" s="146">
        <f t="shared" si="59"/>
        <v>1800000</v>
      </c>
      <c r="M1252" s="73"/>
      <c r="N1252" s="73"/>
      <c r="O1252" s="73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14.25" customHeight="1" x14ac:dyDescent="0.35">
      <c r="A1253" s="9">
        <f t="shared" si="58"/>
        <v>1245</v>
      </c>
      <c r="B1253" s="15"/>
      <c r="C1253" s="11">
        <f t="shared" si="57"/>
        <v>1</v>
      </c>
      <c r="D1253" s="11"/>
      <c r="E1253" s="11"/>
      <c r="F1253" s="11"/>
      <c r="G1253" s="89">
        <f>IFERROR(VLOOKUP(F1253,COA!$A$1:$K$26,2,FALSE),0)</f>
        <v>0</v>
      </c>
      <c r="H1253" s="11"/>
      <c r="I1253" s="11"/>
      <c r="J1253" s="78"/>
      <c r="K1253" s="78"/>
      <c r="L1253" s="146">
        <f t="shared" si="59"/>
        <v>1800000</v>
      </c>
      <c r="M1253" s="73"/>
      <c r="N1253" s="73"/>
      <c r="O1253" s="73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14.25" customHeight="1" x14ac:dyDescent="0.35">
      <c r="A1254" s="9">
        <f t="shared" si="58"/>
        <v>1246</v>
      </c>
      <c r="B1254" s="15"/>
      <c r="C1254" s="11">
        <f t="shared" si="57"/>
        <v>1</v>
      </c>
      <c r="D1254" s="11"/>
      <c r="E1254" s="11"/>
      <c r="F1254" s="11"/>
      <c r="G1254" s="89">
        <f>IFERROR(VLOOKUP(F1254,COA!$A$1:$K$26,2,FALSE),0)</f>
        <v>0</v>
      </c>
      <c r="H1254" s="11"/>
      <c r="I1254" s="11"/>
      <c r="J1254" s="78"/>
      <c r="K1254" s="78"/>
      <c r="L1254" s="146">
        <f t="shared" si="59"/>
        <v>1800000</v>
      </c>
      <c r="M1254" s="73"/>
      <c r="N1254" s="73"/>
      <c r="O1254" s="73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14.25" customHeight="1" x14ac:dyDescent="0.35">
      <c r="A1255" s="9">
        <f t="shared" si="58"/>
        <v>1247</v>
      </c>
      <c r="B1255" s="15"/>
      <c r="C1255" s="11">
        <f t="shared" si="57"/>
        <v>1</v>
      </c>
      <c r="D1255" s="11"/>
      <c r="E1255" s="11"/>
      <c r="F1255" s="11"/>
      <c r="G1255" s="89">
        <f>IFERROR(VLOOKUP(F1255,COA!$A$1:$K$26,2,FALSE),0)</f>
        <v>0</v>
      </c>
      <c r="H1255" s="11"/>
      <c r="I1255" s="11"/>
      <c r="J1255" s="78"/>
      <c r="K1255" s="78"/>
      <c r="L1255" s="146">
        <f t="shared" si="59"/>
        <v>1800000</v>
      </c>
      <c r="M1255" s="73"/>
      <c r="N1255" s="73"/>
      <c r="O1255" s="73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14.25" customHeight="1" x14ac:dyDescent="0.35">
      <c r="A1256" s="9">
        <f t="shared" si="58"/>
        <v>1248</v>
      </c>
      <c r="B1256" s="15"/>
      <c r="C1256" s="11">
        <f t="shared" si="57"/>
        <v>1</v>
      </c>
      <c r="D1256" s="11"/>
      <c r="E1256" s="11"/>
      <c r="F1256" s="11"/>
      <c r="G1256" s="89">
        <f>IFERROR(VLOOKUP(F1256,COA!$A$1:$K$26,2,FALSE),0)</f>
        <v>0</v>
      </c>
      <c r="H1256" s="11"/>
      <c r="I1256" s="11"/>
      <c r="J1256" s="78"/>
      <c r="K1256" s="78"/>
      <c r="L1256" s="146">
        <f t="shared" si="59"/>
        <v>1800000</v>
      </c>
      <c r="M1256" s="73"/>
      <c r="N1256" s="73"/>
      <c r="O1256" s="73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14.25" customHeight="1" x14ac:dyDescent="0.35">
      <c r="A1257" s="9">
        <f t="shared" si="58"/>
        <v>1249</v>
      </c>
      <c r="B1257" s="15"/>
      <c r="C1257" s="11">
        <f t="shared" si="57"/>
        <v>1</v>
      </c>
      <c r="D1257" s="11"/>
      <c r="E1257" s="11"/>
      <c r="F1257" s="11"/>
      <c r="G1257" s="89">
        <f>IFERROR(VLOOKUP(F1257,COA!$A$1:$K$26,2,FALSE),0)</f>
        <v>0</v>
      </c>
      <c r="H1257" s="11"/>
      <c r="I1257" s="11"/>
      <c r="J1257" s="78"/>
      <c r="K1257" s="78"/>
      <c r="L1257" s="146">
        <f t="shared" si="59"/>
        <v>1800000</v>
      </c>
      <c r="M1257" s="73"/>
      <c r="N1257" s="73"/>
      <c r="O1257" s="73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14.25" customHeight="1" x14ac:dyDescent="0.35">
      <c r="A1258" s="9">
        <f t="shared" si="58"/>
        <v>1250</v>
      </c>
      <c r="B1258" s="15"/>
      <c r="C1258" s="11">
        <f t="shared" si="57"/>
        <v>1</v>
      </c>
      <c r="D1258" s="11"/>
      <c r="E1258" s="11"/>
      <c r="F1258" s="11"/>
      <c r="G1258" s="89">
        <f>IFERROR(VLOOKUP(F1258,COA!$A$1:$K$26,2,FALSE),0)</f>
        <v>0</v>
      </c>
      <c r="H1258" s="11"/>
      <c r="I1258" s="11"/>
      <c r="J1258" s="78"/>
      <c r="K1258" s="78"/>
      <c r="L1258" s="146">
        <f t="shared" si="59"/>
        <v>1800000</v>
      </c>
      <c r="M1258" s="73"/>
      <c r="N1258" s="73"/>
      <c r="O1258" s="73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14.25" customHeight="1" x14ac:dyDescent="0.35">
      <c r="A1259" s="9">
        <f t="shared" si="58"/>
        <v>1251</v>
      </c>
      <c r="B1259" s="15"/>
      <c r="C1259" s="11">
        <f t="shared" si="57"/>
        <v>1</v>
      </c>
      <c r="D1259" s="11"/>
      <c r="E1259" s="11"/>
      <c r="F1259" s="11"/>
      <c r="G1259" s="89">
        <f>IFERROR(VLOOKUP(F1259,COA!$A$1:$K$26,2,FALSE),0)</f>
        <v>0</v>
      </c>
      <c r="H1259" s="11"/>
      <c r="I1259" s="11"/>
      <c r="J1259" s="78"/>
      <c r="K1259" s="78"/>
      <c r="L1259" s="146">
        <f t="shared" si="59"/>
        <v>1800000</v>
      </c>
      <c r="M1259" s="73"/>
      <c r="N1259" s="73"/>
      <c r="O1259" s="73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14.25" customHeight="1" x14ac:dyDescent="0.35">
      <c r="A1260" s="9">
        <f t="shared" si="58"/>
        <v>1252</v>
      </c>
      <c r="B1260" s="15"/>
      <c r="C1260" s="11">
        <f t="shared" si="57"/>
        <v>1</v>
      </c>
      <c r="D1260" s="11"/>
      <c r="E1260" s="11"/>
      <c r="F1260" s="11"/>
      <c r="G1260" s="89">
        <f>IFERROR(VLOOKUP(F1260,COA!$A$1:$K$26,2,FALSE),0)</f>
        <v>0</v>
      </c>
      <c r="H1260" s="11"/>
      <c r="I1260" s="11"/>
      <c r="J1260" s="78"/>
      <c r="K1260" s="78"/>
      <c r="L1260" s="146">
        <f t="shared" si="59"/>
        <v>1800000</v>
      </c>
      <c r="M1260" s="73"/>
      <c r="N1260" s="73"/>
      <c r="O1260" s="73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14.25" customHeight="1" x14ac:dyDescent="0.35">
      <c r="A1261" s="9">
        <f t="shared" si="58"/>
        <v>1253</v>
      </c>
      <c r="B1261" s="15"/>
      <c r="C1261" s="11">
        <f t="shared" si="57"/>
        <v>1</v>
      </c>
      <c r="D1261" s="11"/>
      <c r="E1261" s="11"/>
      <c r="F1261" s="11"/>
      <c r="G1261" s="89">
        <f>IFERROR(VLOOKUP(F1261,COA!$A$1:$K$26,2,FALSE),0)</f>
        <v>0</v>
      </c>
      <c r="H1261" s="11"/>
      <c r="I1261" s="11"/>
      <c r="J1261" s="78"/>
      <c r="K1261" s="78"/>
      <c r="L1261" s="146">
        <f t="shared" si="59"/>
        <v>1800000</v>
      </c>
      <c r="M1261" s="73"/>
      <c r="N1261" s="73"/>
      <c r="O1261" s="73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14.25" customHeight="1" x14ac:dyDescent="0.35">
      <c r="A1262" s="9">
        <f t="shared" si="58"/>
        <v>1254</v>
      </c>
      <c r="B1262" s="15"/>
      <c r="C1262" s="11">
        <f t="shared" si="57"/>
        <v>1</v>
      </c>
      <c r="D1262" s="11"/>
      <c r="E1262" s="11"/>
      <c r="F1262" s="11"/>
      <c r="G1262" s="89">
        <f>IFERROR(VLOOKUP(F1262,COA!$A$1:$K$26,2,FALSE),0)</f>
        <v>0</v>
      </c>
      <c r="H1262" s="11"/>
      <c r="I1262" s="11"/>
      <c r="J1262" s="78"/>
      <c r="K1262" s="78"/>
      <c r="L1262" s="146">
        <f t="shared" si="59"/>
        <v>1800000</v>
      </c>
      <c r="M1262" s="73"/>
      <c r="N1262" s="73"/>
      <c r="O1262" s="73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14.25" customHeight="1" x14ac:dyDescent="0.35">
      <c r="A1263" s="9">
        <f t="shared" si="58"/>
        <v>1255</v>
      </c>
      <c r="B1263" s="15"/>
      <c r="C1263" s="11">
        <f t="shared" si="57"/>
        <v>1</v>
      </c>
      <c r="D1263" s="11"/>
      <c r="E1263" s="11"/>
      <c r="F1263" s="11"/>
      <c r="G1263" s="89">
        <f>IFERROR(VLOOKUP(F1263,COA!$A$1:$K$26,2,FALSE),0)</f>
        <v>0</v>
      </c>
      <c r="H1263" s="11"/>
      <c r="I1263" s="11"/>
      <c r="J1263" s="78"/>
      <c r="K1263" s="78"/>
      <c r="L1263" s="146">
        <f t="shared" si="59"/>
        <v>1800000</v>
      </c>
      <c r="M1263" s="73"/>
      <c r="N1263" s="73"/>
      <c r="O1263" s="73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14.25" customHeight="1" x14ac:dyDescent="0.35">
      <c r="A1264" s="9">
        <f t="shared" si="58"/>
        <v>1256</v>
      </c>
      <c r="B1264" s="15"/>
      <c r="C1264" s="11">
        <f t="shared" si="57"/>
        <v>1</v>
      </c>
      <c r="D1264" s="11"/>
      <c r="E1264" s="11"/>
      <c r="F1264" s="11"/>
      <c r="G1264" s="89">
        <f>IFERROR(VLOOKUP(F1264,COA!$A$1:$K$26,2,FALSE),0)</f>
        <v>0</v>
      </c>
      <c r="H1264" s="11"/>
      <c r="I1264" s="11"/>
      <c r="J1264" s="78"/>
      <c r="K1264" s="78"/>
      <c r="L1264" s="146">
        <f t="shared" si="59"/>
        <v>1800000</v>
      </c>
      <c r="M1264" s="73"/>
      <c r="N1264" s="73"/>
      <c r="O1264" s="73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14.25" customHeight="1" x14ac:dyDescent="0.35">
      <c r="A1265" s="9">
        <f t="shared" si="58"/>
        <v>1257</v>
      </c>
      <c r="B1265" s="15"/>
      <c r="C1265" s="11">
        <f t="shared" si="57"/>
        <v>1</v>
      </c>
      <c r="D1265" s="11"/>
      <c r="E1265" s="11"/>
      <c r="F1265" s="11"/>
      <c r="G1265" s="89">
        <f>IFERROR(VLOOKUP(F1265,COA!$A$1:$K$26,2,FALSE),0)</f>
        <v>0</v>
      </c>
      <c r="H1265" s="11"/>
      <c r="I1265" s="11"/>
      <c r="J1265" s="78"/>
      <c r="K1265" s="78"/>
      <c r="L1265" s="146">
        <f t="shared" si="59"/>
        <v>1800000</v>
      </c>
      <c r="M1265" s="73"/>
      <c r="N1265" s="73"/>
      <c r="O1265" s="73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14.25" customHeight="1" x14ac:dyDescent="0.35">
      <c r="A1266" s="9">
        <f t="shared" si="58"/>
        <v>1258</v>
      </c>
      <c r="B1266" s="15"/>
      <c r="C1266" s="11">
        <f t="shared" si="57"/>
        <v>1</v>
      </c>
      <c r="D1266" s="11"/>
      <c r="E1266" s="11"/>
      <c r="F1266" s="11"/>
      <c r="G1266" s="89">
        <f>IFERROR(VLOOKUP(F1266,COA!$A$1:$K$26,2,FALSE),0)</f>
        <v>0</v>
      </c>
      <c r="H1266" s="11"/>
      <c r="I1266" s="11"/>
      <c r="J1266" s="78"/>
      <c r="K1266" s="78"/>
      <c r="L1266" s="146">
        <f t="shared" si="59"/>
        <v>1800000</v>
      </c>
      <c r="M1266" s="73"/>
      <c r="N1266" s="73"/>
      <c r="O1266" s="73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14.25" customHeight="1" x14ac:dyDescent="0.35">
      <c r="A1267" s="9">
        <f t="shared" si="58"/>
        <v>1259</v>
      </c>
      <c r="B1267" s="15"/>
      <c r="C1267" s="11">
        <f t="shared" si="57"/>
        <v>1</v>
      </c>
      <c r="D1267" s="11"/>
      <c r="E1267" s="11"/>
      <c r="F1267" s="11"/>
      <c r="G1267" s="89">
        <f>IFERROR(VLOOKUP(F1267,COA!$A$1:$K$26,2,FALSE),0)</f>
        <v>0</v>
      </c>
      <c r="H1267" s="11"/>
      <c r="I1267" s="11"/>
      <c r="J1267" s="78"/>
      <c r="K1267" s="78"/>
      <c r="L1267" s="146">
        <f t="shared" si="59"/>
        <v>1800000</v>
      </c>
      <c r="M1267" s="73"/>
      <c r="N1267" s="73"/>
      <c r="O1267" s="73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14.25" customHeight="1" x14ac:dyDescent="0.35">
      <c r="A1268" s="9">
        <f t="shared" si="58"/>
        <v>1260</v>
      </c>
      <c r="B1268" s="15"/>
      <c r="C1268" s="11">
        <f t="shared" si="57"/>
        <v>1</v>
      </c>
      <c r="D1268" s="11"/>
      <c r="E1268" s="11"/>
      <c r="F1268" s="11"/>
      <c r="G1268" s="89">
        <f>IFERROR(VLOOKUP(F1268,COA!$A$1:$K$26,2,FALSE),0)</f>
        <v>0</v>
      </c>
      <c r="H1268" s="11"/>
      <c r="I1268" s="11"/>
      <c r="J1268" s="78"/>
      <c r="K1268" s="78"/>
      <c r="L1268" s="146">
        <f t="shared" si="59"/>
        <v>1800000</v>
      </c>
      <c r="M1268" s="73"/>
      <c r="N1268" s="73"/>
      <c r="O1268" s="73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14.25" customHeight="1" x14ac:dyDescent="0.35">
      <c r="A1269" s="9">
        <f t="shared" si="58"/>
        <v>1261</v>
      </c>
      <c r="B1269" s="15"/>
      <c r="C1269" s="11">
        <f t="shared" si="57"/>
        <v>1</v>
      </c>
      <c r="D1269" s="11"/>
      <c r="E1269" s="11"/>
      <c r="F1269" s="11"/>
      <c r="G1269" s="89">
        <f>IFERROR(VLOOKUP(F1269,COA!$A$1:$K$26,2,FALSE),0)</f>
        <v>0</v>
      </c>
      <c r="H1269" s="11"/>
      <c r="I1269" s="11"/>
      <c r="J1269" s="78"/>
      <c r="K1269" s="78"/>
      <c r="L1269" s="146">
        <f t="shared" si="59"/>
        <v>1800000</v>
      </c>
      <c r="M1269" s="73"/>
      <c r="N1269" s="73"/>
      <c r="O1269" s="73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14.25" customHeight="1" x14ac:dyDescent="0.35">
      <c r="A1270" s="9">
        <f t="shared" si="58"/>
        <v>1262</v>
      </c>
      <c r="B1270" s="15"/>
      <c r="C1270" s="11">
        <f t="shared" si="57"/>
        <v>1</v>
      </c>
      <c r="D1270" s="11"/>
      <c r="E1270" s="11"/>
      <c r="F1270" s="11"/>
      <c r="G1270" s="89">
        <f>IFERROR(VLOOKUP(F1270,COA!$A$1:$K$26,2,FALSE),0)</f>
        <v>0</v>
      </c>
      <c r="H1270" s="11"/>
      <c r="I1270" s="11"/>
      <c r="J1270" s="78"/>
      <c r="K1270" s="78"/>
      <c r="L1270" s="146">
        <f t="shared" si="59"/>
        <v>1800000</v>
      </c>
      <c r="M1270" s="73"/>
      <c r="N1270" s="73"/>
      <c r="O1270" s="73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14.25" customHeight="1" x14ac:dyDescent="0.35">
      <c r="A1271" s="9">
        <f t="shared" si="58"/>
        <v>1263</v>
      </c>
      <c r="B1271" s="15"/>
      <c r="C1271" s="11">
        <f t="shared" si="57"/>
        <v>1</v>
      </c>
      <c r="D1271" s="11"/>
      <c r="E1271" s="11"/>
      <c r="F1271" s="11"/>
      <c r="G1271" s="89">
        <f>IFERROR(VLOOKUP(F1271,COA!$A$1:$K$26,2,FALSE),0)</f>
        <v>0</v>
      </c>
      <c r="H1271" s="11"/>
      <c r="I1271" s="11"/>
      <c r="J1271" s="78"/>
      <c r="K1271" s="78"/>
      <c r="L1271" s="146">
        <f t="shared" si="59"/>
        <v>1800000</v>
      </c>
      <c r="M1271" s="73"/>
      <c r="N1271" s="73"/>
      <c r="O1271" s="73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14.25" customHeight="1" x14ac:dyDescent="0.35">
      <c r="A1272" s="9">
        <f t="shared" si="58"/>
        <v>1264</v>
      </c>
      <c r="B1272" s="15"/>
      <c r="C1272" s="11">
        <f t="shared" si="57"/>
        <v>1</v>
      </c>
      <c r="D1272" s="11"/>
      <c r="E1272" s="11"/>
      <c r="F1272" s="11"/>
      <c r="G1272" s="89">
        <f>IFERROR(VLOOKUP(F1272,COA!$A$1:$K$26,2,FALSE),0)</f>
        <v>0</v>
      </c>
      <c r="H1272" s="11"/>
      <c r="I1272" s="11"/>
      <c r="J1272" s="78"/>
      <c r="K1272" s="78"/>
      <c r="L1272" s="146">
        <f t="shared" si="59"/>
        <v>1800000</v>
      </c>
      <c r="M1272" s="73"/>
      <c r="N1272" s="73"/>
      <c r="O1272" s="73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14.25" customHeight="1" x14ac:dyDescent="0.35">
      <c r="A1273" s="9">
        <f t="shared" si="58"/>
        <v>1265</v>
      </c>
      <c r="B1273" s="15"/>
      <c r="C1273" s="11">
        <f t="shared" si="57"/>
        <v>1</v>
      </c>
      <c r="D1273" s="11"/>
      <c r="E1273" s="11"/>
      <c r="F1273" s="11"/>
      <c r="G1273" s="89">
        <f>IFERROR(VLOOKUP(F1273,COA!$A$1:$K$26,2,FALSE),0)</f>
        <v>0</v>
      </c>
      <c r="H1273" s="11"/>
      <c r="I1273" s="11"/>
      <c r="J1273" s="78"/>
      <c r="K1273" s="78"/>
      <c r="L1273" s="146">
        <f t="shared" si="59"/>
        <v>1800000</v>
      </c>
      <c r="M1273" s="73"/>
      <c r="N1273" s="73"/>
      <c r="O1273" s="73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14.25" customHeight="1" x14ac:dyDescent="0.35">
      <c r="A1274" s="9">
        <f t="shared" si="58"/>
        <v>1266</v>
      </c>
      <c r="B1274" s="15"/>
      <c r="C1274" s="11">
        <f t="shared" si="57"/>
        <v>1</v>
      </c>
      <c r="D1274" s="11"/>
      <c r="E1274" s="11"/>
      <c r="F1274" s="11"/>
      <c r="G1274" s="89">
        <f>IFERROR(VLOOKUP(F1274,COA!$A$1:$K$26,2,FALSE),0)</f>
        <v>0</v>
      </c>
      <c r="H1274" s="11"/>
      <c r="I1274" s="11"/>
      <c r="J1274" s="78"/>
      <c r="K1274" s="78"/>
      <c r="L1274" s="146">
        <f t="shared" si="59"/>
        <v>1800000</v>
      </c>
      <c r="M1274" s="73"/>
      <c r="N1274" s="73"/>
      <c r="O1274" s="73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14.25" customHeight="1" x14ac:dyDescent="0.35">
      <c r="A1275" s="9">
        <f t="shared" si="58"/>
        <v>1267</v>
      </c>
      <c r="B1275" s="15"/>
      <c r="C1275" s="11">
        <f t="shared" si="57"/>
        <v>1</v>
      </c>
      <c r="D1275" s="11"/>
      <c r="E1275" s="11"/>
      <c r="F1275" s="11"/>
      <c r="G1275" s="89">
        <f>IFERROR(VLOOKUP(F1275,COA!$A$1:$K$26,2,FALSE),0)</f>
        <v>0</v>
      </c>
      <c r="H1275" s="11"/>
      <c r="I1275" s="11"/>
      <c r="J1275" s="78"/>
      <c r="K1275" s="78"/>
      <c r="L1275" s="146">
        <f t="shared" si="59"/>
        <v>1800000</v>
      </c>
      <c r="M1275" s="73"/>
      <c r="N1275" s="73"/>
      <c r="O1275" s="73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14.25" customHeight="1" x14ac:dyDescent="0.35">
      <c r="A1276" s="9">
        <f t="shared" si="58"/>
        <v>1268</v>
      </c>
      <c r="B1276" s="15"/>
      <c r="C1276" s="11">
        <f t="shared" si="57"/>
        <v>1</v>
      </c>
      <c r="D1276" s="11"/>
      <c r="E1276" s="11"/>
      <c r="F1276" s="11"/>
      <c r="G1276" s="89">
        <f>IFERROR(VLOOKUP(F1276,COA!$A$1:$K$26,2,FALSE),0)</f>
        <v>0</v>
      </c>
      <c r="H1276" s="11"/>
      <c r="I1276" s="11"/>
      <c r="J1276" s="78"/>
      <c r="K1276" s="78"/>
      <c r="L1276" s="146">
        <f t="shared" si="59"/>
        <v>1800000</v>
      </c>
      <c r="M1276" s="73"/>
      <c r="N1276" s="73"/>
      <c r="O1276" s="73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14.25" customHeight="1" x14ac:dyDescent="0.35">
      <c r="A1277" s="9">
        <f t="shared" si="58"/>
        <v>1269</v>
      </c>
      <c r="B1277" s="15"/>
      <c r="C1277" s="11">
        <f t="shared" si="57"/>
        <v>1</v>
      </c>
      <c r="D1277" s="11"/>
      <c r="E1277" s="11"/>
      <c r="F1277" s="11"/>
      <c r="G1277" s="89">
        <f>IFERROR(VLOOKUP(F1277,COA!$A$1:$K$26,2,FALSE),0)</f>
        <v>0</v>
      </c>
      <c r="H1277" s="11"/>
      <c r="I1277" s="11"/>
      <c r="J1277" s="78"/>
      <c r="K1277" s="78"/>
      <c r="L1277" s="146">
        <f t="shared" si="59"/>
        <v>1800000</v>
      </c>
      <c r="M1277" s="73"/>
      <c r="N1277" s="73"/>
      <c r="O1277" s="73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14.25" customHeight="1" x14ac:dyDescent="0.35">
      <c r="A1278" s="9">
        <f t="shared" si="58"/>
        <v>1270</v>
      </c>
      <c r="B1278" s="15"/>
      <c r="C1278" s="11">
        <f t="shared" si="57"/>
        <v>1</v>
      </c>
      <c r="D1278" s="11"/>
      <c r="E1278" s="11"/>
      <c r="F1278" s="11"/>
      <c r="G1278" s="89">
        <f>IFERROR(VLOOKUP(F1278,COA!$A$1:$K$26,2,FALSE),0)</f>
        <v>0</v>
      </c>
      <c r="H1278" s="11"/>
      <c r="I1278" s="11"/>
      <c r="J1278" s="78"/>
      <c r="K1278" s="78"/>
      <c r="L1278" s="146">
        <f t="shared" si="59"/>
        <v>1800000</v>
      </c>
      <c r="M1278" s="73"/>
      <c r="N1278" s="73"/>
      <c r="O1278" s="73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14.25" customHeight="1" x14ac:dyDescent="0.35">
      <c r="A1279" s="9">
        <f t="shared" si="58"/>
        <v>1271</v>
      </c>
      <c r="B1279" s="15"/>
      <c r="C1279" s="11">
        <f t="shared" si="57"/>
        <v>1</v>
      </c>
      <c r="D1279" s="11"/>
      <c r="E1279" s="11"/>
      <c r="F1279" s="11"/>
      <c r="G1279" s="89">
        <f>IFERROR(VLOOKUP(F1279,COA!$A$1:$K$26,2,FALSE),0)</f>
        <v>0</v>
      </c>
      <c r="H1279" s="11"/>
      <c r="I1279" s="11"/>
      <c r="J1279" s="78"/>
      <c r="K1279" s="78"/>
      <c r="L1279" s="146">
        <f t="shared" si="59"/>
        <v>1800000</v>
      </c>
      <c r="M1279" s="73"/>
      <c r="N1279" s="73"/>
      <c r="O1279" s="73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14.25" customHeight="1" x14ac:dyDescent="0.35">
      <c r="A1280" s="9">
        <f t="shared" si="58"/>
        <v>1272</v>
      </c>
      <c r="B1280" s="15"/>
      <c r="C1280" s="11">
        <f t="shared" si="57"/>
        <v>1</v>
      </c>
      <c r="D1280" s="11"/>
      <c r="E1280" s="11"/>
      <c r="F1280" s="11"/>
      <c r="G1280" s="89">
        <f>IFERROR(VLOOKUP(F1280,COA!$A$1:$K$26,2,FALSE),0)</f>
        <v>0</v>
      </c>
      <c r="H1280" s="11"/>
      <c r="I1280" s="11"/>
      <c r="J1280" s="78"/>
      <c r="K1280" s="78"/>
      <c r="L1280" s="146">
        <f t="shared" si="59"/>
        <v>1800000</v>
      </c>
      <c r="M1280" s="73"/>
      <c r="N1280" s="73"/>
      <c r="O1280" s="73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14.25" customHeight="1" x14ac:dyDescent="0.35">
      <c r="A1281" s="9">
        <f t="shared" si="58"/>
        <v>1273</v>
      </c>
      <c r="B1281" s="15"/>
      <c r="C1281" s="11">
        <f t="shared" si="57"/>
        <v>1</v>
      </c>
      <c r="D1281" s="11"/>
      <c r="E1281" s="11"/>
      <c r="F1281" s="11"/>
      <c r="G1281" s="89">
        <f>IFERROR(VLOOKUP(F1281,COA!$A$1:$K$26,2,FALSE),0)</f>
        <v>0</v>
      </c>
      <c r="H1281" s="11"/>
      <c r="I1281" s="11"/>
      <c r="J1281" s="78"/>
      <c r="K1281" s="78"/>
      <c r="L1281" s="146">
        <f t="shared" si="59"/>
        <v>1800000</v>
      </c>
      <c r="M1281" s="73"/>
      <c r="N1281" s="73"/>
      <c r="O1281" s="73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14.25" customHeight="1" x14ac:dyDescent="0.35">
      <c r="A1282" s="9">
        <f t="shared" si="58"/>
        <v>1274</v>
      </c>
      <c r="B1282" s="15"/>
      <c r="C1282" s="11">
        <f t="shared" si="57"/>
        <v>1</v>
      </c>
      <c r="D1282" s="11"/>
      <c r="E1282" s="11"/>
      <c r="F1282" s="11"/>
      <c r="G1282" s="89">
        <f>IFERROR(VLOOKUP(F1282,COA!$A$1:$K$26,2,FALSE),0)</f>
        <v>0</v>
      </c>
      <c r="H1282" s="11"/>
      <c r="I1282" s="11"/>
      <c r="J1282" s="78"/>
      <c r="K1282" s="78"/>
      <c r="L1282" s="146">
        <f t="shared" si="59"/>
        <v>1800000</v>
      </c>
      <c r="M1282" s="73"/>
      <c r="N1282" s="73"/>
      <c r="O1282" s="73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14.25" customHeight="1" x14ac:dyDescent="0.35">
      <c r="A1283" s="9">
        <f t="shared" si="58"/>
        <v>1275</v>
      </c>
      <c r="B1283" s="15"/>
      <c r="C1283" s="11">
        <f t="shared" si="57"/>
        <v>1</v>
      </c>
      <c r="D1283" s="11"/>
      <c r="E1283" s="11"/>
      <c r="F1283" s="11"/>
      <c r="G1283" s="89">
        <f>IFERROR(VLOOKUP(F1283,COA!$A$1:$K$26,2,FALSE),0)</f>
        <v>0</v>
      </c>
      <c r="H1283" s="11"/>
      <c r="I1283" s="11"/>
      <c r="J1283" s="78"/>
      <c r="K1283" s="78"/>
      <c r="L1283" s="146">
        <f t="shared" si="59"/>
        <v>1800000</v>
      </c>
      <c r="M1283" s="73"/>
      <c r="N1283" s="73"/>
      <c r="O1283" s="73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14.25" customHeight="1" x14ac:dyDescent="0.35">
      <c r="A1284" s="9">
        <f t="shared" si="58"/>
        <v>1276</v>
      </c>
      <c r="B1284" s="15"/>
      <c r="C1284" s="11">
        <f t="shared" si="57"/>
        <v>1</v>
      </c>
      <c r="D1284" s="11"/>
      <c r="E1284" s="11"/>
      <c r="F1284" s="11"/>
      <c r="G1284" s="89">
        <f>IFERROR(VLOOKUP(F1284,COA!$A$1:$K$26,2,FALSE),0)</f>
        <v>0</v>
      </c>
      <c r="H1284" s="11"/>
      <c r="I1284" s="11"/>
      <c r="J1284" s="78"/>
      <c r="K1284" s="78"/>
      <c r="L1284" s="146">
        <f t="shared" si="59"/>
        <v>1800000</v>
      </c>
      <c r="M1284" s="73"/>
      <c r="N1284" s="73"/>
      <c r="O1284" s="73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14.25" customHeight="1" x14ac:dyDescent="0.35">
      <c r="A1285" s="9">
        <f t="shared" si="58"/>
        <v>1277</v>
      </c>
      <c r="B1285" s="15"/>
      <c r="C1285" s="11">
        <f t="shared" si="57"/>
        <v>1</v>
      </c>
      <c r="D1285" s="11"/>
      <c r="E1285" s="11"/>
      <c r="F1285" s="11"/>
      <c r="G1285" s="89">
        <f>IFERROR(VLOOKUP(F1285,COA!$A$1:$K$26,2,FALSE),0)</f>
        <v>0</v>
      </c>
      <c r="H1285" s="11"/>
      <c r="I1285" s="11"/>
      <c r="J1285" s="78"/>
      <c r="K1285" s="78"/>
      <c r="L1285" s="146">
        <f t="shared" si="59"/>
        <v>1800000</v>
      </c>
      <c r="M1285" s="73"/>
      <c r="N1285" s="73"/>
      <c r="O1285" s="73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14.25" customHeight="1" x14ac:dyDescent="0.35">
      <c r="A1286" s="9">
        <f t="shared" si="58"/>
        <v>1278</v>
      </c>
      <c r="B1286" s="15"/>
      <c r="C1286" s="11">
        <f t="shared" si="57"/>
        <v>1</v>
      </c>
      <c r="D1286" s="11"/>
      <c r="E1286" s="11"/>
      <c r="F1286" s="11"/>
      <c r="G1286" s="89">
        <f>IFERROR(VLOOKUP(F1286,COA!$A$1:$K$26,2,FALSE),0)</f>
        <v>0</v>
      </c>
      <c r="H1286" s="11"/>
      <c r="I1286" s="11"/>
      <c r="J1286" s="78"/>
      <c r="K1286" s="78"/>
      <c r="L1286" s="146">
        <f t="shared" si="59"/>
        <v>1800000</v>
      </c>
      <c r="M1286" s="73"/>
      <c r="N1286" s="73"/>
      <c r="O1286" s="73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14.25" customHeight="1" x14ac:dyDescent="0.35">
      <c r="A1287" s="9">
        <f t="shared" si="58"/>
        <v>1279</v>
      </c>
      <c r="B1287" s="15"/>
      <c r="C1287" s="11">
        <f t="shared" si="57"/>
        <v>1</v>
      </c>
      <c r="D1287" s="11"/>
      <c r="E1287" s="11"/>
      <c r="F1287" s="11"/>
      <c r="G1287" s="89">
        <f>IFERROR(VLOOKUP(F1287,COA!$A$1:$K$26,2,FALSE),0)</f>
        <v>0</v>
      </c>
      <c r="H1287" s="11"/>
      <c r="I1287" s="11"/>
      <c r="J1287" s="78"/>
      <c r="K1287" s="78"/>
      <c r="L1287" s="146">
        <f t="shared" si="59"/>
        <v>1800000</v>
      </c>
      <c r="M1287" s="73"/>
      <c r="N1287" s="73"/>
      <c r="O1287" s="73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14.25" customHeight="1" x14ac:dyDescent="0.35">
      <c r="A1288" s="9">
        <f t="shared" si="58"/>
        <v>1280</v>
      </c>
      <c r="B1288" s="15"/>
      <c r="C1288" s="11">
        <f t="shared" ref="C1288:C1351" si="60">MONTH(B1288)</f>
        <v>1</v>
      </c>
      <c r="D1288" s="11"/>
      <c r="E1288" s="11"/>
      <c r="F1288" s="11"/>
      <c r="G1288" s="89">
        <f>IFERROR(VLOOKUP(F1288,COA!$A$1:$K$26,2,FALSE),0)</f>
        <v>0</v>
      </c>
      <c r="H1288" s="11"/>
      <c r="I1288" s="11"/>
      <c r="J1288" s="78"/>
      <c r="K1288" s="78"/>
      <c r="L1288" s="146">
        <f t="shared" si="59"/>
        <v>1800000</v>
      </c>
      <c r="M1288" s="73"/>
      <c r="N1288" s="73"/>
      <c r="O1288" s="73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14.25" customHeight="1" x14ac:dyDescent="0.35">
      <c r="A1289" s="9">
        <f t="shared" si="58"/>
        <v>1281</v>
      </c>
      <c r="B1289" s="15"/>
      <c r="C1289" s="11">
        <f t="shared" si="60"/>
        <v>1</v>
      </c>
      <c r="D1289" s="11"/>
      <c r="E1289" s="11"/>
      <c r="F1289" s="11"/>
      <c r="G1289" s="89">
        <f>IFERROR(VLOOKUP(F1289,COA!$A$1:$K$26,2,FALSE),0)</f>
        <v>0</v>
      </c>
      <c r="H1289" s="11"/>
      <c r="I1289" s="11"/>
      <c r="J1289" s="78"/>
      <c r="K1289" s="78"/>
      <c r="L1289" s="146">
        <f t="shared" si="59"/>
        <v>1800000</v>
      </c>
      <c r="M1289" s="73"/>
      <c r="N1289" s="73"/>
      <c r="O1289" s="73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14.25" customHeight="1" x14ac:dyDescent="0.35">
      <c r="A1290" s="9">
        <f t="shared" si="58"/>
        <v>1282</v>
      </c>
      <c r="B1290" s="15"/>
      <c r="C1290" s="11">
        <f t="shared" si="60"/>
        <v>1</v>
      </c>
      <c r="D1290" s="11"/>
      <c r="E1290" s="11"/>
      <c r="F1290" s="11"/>
      <c r="G1290" s="89">
        <f>IFERROR(VLOOKUP(F1290,COA!$A$1:$K$26,2,FALSE),0)</f>
        <v>0</v>
      </c>
      <c r="H1290" s="11"/>
      <c r="I1290" s="11"/>
      <c r="J1290" s="78"/>
      <c r="K1290" s="78"/>
      <c r="L1290" s="146">
        <f t="shared" si="59"/>
        <v>1800000</v>
      </c>
      <c r="M1290" s="73"/>
      <c r="N1290" s="73"/>
      <c r="O1290" s="73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14.25" customHeight="1" x14ac:dyDescent="0.35">
      <c r="A1291" s="9">
        <f t="shared" ref="A1291:A1354" si="61">A1290+1</f>
        <v>1283</v>
      </c>
      <c r="B1291" s="15"/>
      <c r="C1291" s="11">
        <f t="shared" si="60"/>
        <v>1</v>
      </c>
      <c r="D1291" s="11"/>
      <c r="E1291" s="11"/>
      <c r="F1291" s="11"/>
      <c r="G1291" s="89">
        <f>IFERROR(VLOOKUP(F1291,COA!$A$1:$K$26,2,FALSE),0)</f>
        <v>0</v>
      </c>
      <c r="H1291" s="11"/>
      <c r="I1291" s="11"/>
      <c r="J1291" s="78"/>
      <c r="K1291" s="78"/>
      <c r="L1291" s="146">
        <f t="shared" ref="L1291:L1354" si="62">L1290+J1291-K1291</f>
        <v>1800000</v>
      </c>
      <c r="M1291" s="73"/>
      <c r="N1291" s="73"/>
      <c r="O1291" s="73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14.25" customHeight="1" x14ac:dyDescent="0.35">
      <c r="A1292" s="9">
        <f t="shared" si="61"/>
        <v>1284</v>
      </c>
      <c r="B1292" s="15"/>
      <c r="C1292" s="11">
        <f t="shared" si="60"/>
        <v>1</v>
      </c>
      <c r="D1292" s="11"/>
      <c r="E1292" s="11"/>
      <c r="F1292" s="11"/>
      <c r="G1292" s="89">
        <f>IFERROR(VLOOKUP(F1292,COA!$A$1:$K$26,2,FALSE),0)</f>
        <v>0</v>
      </c>
      <c r="H1292" s="11"/>
      <c r="I1292" s="11"/>
      <c r="J1292" s="78"/>
      <c r="K1292" s="78"/>
      <c r="L1292" s="146">
        <f t="shared" si="62"/>
        <v>1800000</v>
      </c>
      <c r="M1292" s="73"/>
      <c r="N1292" s="73"/>
      <c r="O1292" s="73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14.25" customHeight="1" x14ac:dyDescent="0.35">
      <c r="A1293" s="9">
        <f t="shared" si="61"/>
        <v>1285</v>
      </c>
      <c r="B1293" s="15"/>
      <c r="C1293" s="11">
        <f t="shared" si="60"/>
        <v>1</v>
      </c>
      <c r="D1293" s="11"/>
      <c r="E1293" s="11"/>
      <c r="F1293" s="11"/>
      <c r="G1293" s="89">
        <f>IFERROR(VLOOKUP(F1293,COA!$A$1:$K$26,2,FALSE),0)</f>
        <v>0</v>
      </c>
      <c r="H1293" s="11"/>
      <c r="I1293" s="11"/>
      <c r="J1293" s="78"/>
      <c r="K1293" s="78"/>
      <c r="L1293" s="146">
        <f t="shared" si="62"/>
        <v>1800000</v>
      </c>
      <c r="M1293" s="73"/>
      <c r="N1293" s="73"/>
      <c r="O1293" s="73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14.25" customHeight="1" x14ac:dyDescent="0.35">
      <c r="A1294" s="9">
        <f t="shared" si="61"/>
        <v>1286</v>
      </c>
      <c r="B1294" s="15"/>
      <c r="C1294" s="11">
        <f t="shared" si="60"/>
        <v>1</v>
      </c>
      <c r="D1294" s="11"/>
      <c r="E1294" s="11"/>
      <c r="F1294" s="11"/>
      <c r="G1294" s="89">
        <f>IFERROR(VLOOKUP(F1294,COA!$A$1:$K$26,2,FALSE),0)</f>
        <v>0</v>
      </c>
      <c r="H1294" s="11"/>
      <c r="I1294" s="11"/>
      <c r="J1294" s="78"/>
      <c r="K1294" s="78"/>
      <c r="L1294" s="146">
        <f t="shared" si="62"/>
        <v>1800000</v>
      </c>
      <c r="M1294" s="73"/>
      <c r="N1294" s="73"/>
      <c r="O1294" s="73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14.25" customHeight="1" x14ac:dyDescent="0.35">
      <c r="A1295" s="9">
        <f t="shared" si="61"/>
        <v>1287</v>
      </c>
      <c r="B1295" s="15"/>
      <c r="C1295" s="11">
        <f t="shared" si="60"/>
        <v>1</v>
      </c>
      <c r="D1295" s="11"/>
      <c r="E1295" s="11"/>
      <c r="F1295" s="11"/>
      <c r="G1295" s="89">
        <f>IFERROR(VLOOKUP(F1295,COA!$A$1:$K$26,2,FALSE),0)</f>
        <v>0</v>
      </c>
      <c r="H1295" s="11"/>
      <c r="I1295" s="11"/>
      <c r="J1295" s="78"/>
      <c r="K1295" s="78"/>
      <c r="L1295" s="146">
        <f t="shared" si="62"/>
        <v>1800000</v>
      </c>
      <c r="M1295" s="73"/>
      <c r="N1295" s="73"/>
      <c r="O1295" s="73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14.25" customHeight="1" x14ac:dyDescent="0.35">
      <c r="A1296" s="9">
        <f t="shared" si="61"/>
        <v>1288</v>
      </c>
      <c r="B1296" s="15"/>
      <c r="C1296" s="11">
        <f t="shared" si="60"/>
        <v>1</v>
      </c>
      <c r="D1296" s="11"/>
      <c r="E1296" s="11"/>
      <c r="F1296" s="11"/>
      <c r="G1296" s="89">
        <f>IFERROR(VLOOKUP(F1296,COA!$A$1:$K$26,2,FALSE),0)</f>
        <v>0</v>
      </c>
      <c r="H1296" s="11"/>
      <c r="I1296" s="11"/>
      <c r="J1296" s="78"/>
      <c r="K1296" s="78"/>
      <c r="L1296" s="146">
        <f t="shared" si="62"/>
        <v>1800000</v>
      </c>
      <c r="M1296" s="73"/>
      <c r="N1296" s="73"/>
      <c r="O1296" s="73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14.25" customHeight="1" x14ac:dyDescent="0.35">
      <c r="A1297" s="9">
        <f t="shared" si="61"/>
        <v>1289</v>
      </c>
      <c r="B1297" s="15"/>
      <c r="C1297" s="11">
        <f t="shared" si="60"/>
        <v>1</v>
      </c>
      <c r="D1297" s="11"/>
      <c r="E1297" s="11"/>
      <c r="F1297" s="11"/>
      <c r="G1297" s="89">
        <f>IFERROR(VLOOKUP(F1297,COA!$A$1:$K$26,2,FALSE),0)</f>
        <v>0</v>
      </c>
      <c r="H1297" s="11"/>
      <c r="I1297" s="11"/>
      <c r="J1297" s="78"/>
      <c r="K1297" s="78"/>
      <c r="L1297" s="146">
        <f t="shared" si="62"/>
        <v>1800000</v>
      </c>
      <c r="M1297" s="73"/>
      <c r="N1297" s="73"/>
      <c r="O1297" s="73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14.25" customHeight="1" x14ac:dyDescent="0.35">
      <c r="A1298" s="9">
        <f t="shared" si="61"/>
        <v>1290</v>
      </c>
      <c r="B1298" s="15"/>
      <c r="C1298" s="11">
        <f t="shared" si="60"/>
        <v>1</v>
      </c>
      <c r="D1298" s="11"/>
      <c r="E1298" s="11"/>
      <c r="F1298" s="11"/>
      <c r="G1298" s="89">
        <f>IFERROR(VLOOKUP(F1298,COA!$A$1:$K$26,2,FALSE),0)</f>
        <v>0</v>
      </c>
      <c r="H1298" s="11"/>
      <c r="I1298" s="11"/>
      <c r="J1298" s="78"/>
      <c r="K1298" s="78"/>
      <c r="L1298" s="146">
        <f t="shared" si="62"/>
        <v>1800000</v>
      </c>
      <c r="M1298" s="73"/>
      <c r="N1298" s="73"/>
      <c r="O1298" s="73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14.25" customHeight="1" x14ac:dyDescent="0.35">
      <c r="A1299" s="9">
        <f t="shared" si="61"/>
        <v>1291</v>
      </c>
      <c r="B1299" s="15"/>
      <c r="C1299" s="11">
        <f t="shared" si="60"/>
        <v>1</v>
      </c>
      <c r="D1299" s="11"/>
      <c r="E1299" s="11"/>
      <c r="F1299" s="11"/>
      <c r="G1299" s="89">
        <f>IFERROR(VLOOKUP(F1299,COA!$A$1:$K$26,2,FALSE),0)</f>
        <v>0</v>
      </c>
      <c r="H1299" s="11"/>
      <c r="I1299" s="11"/>
      <c r="J1299" s="78"/>
      <c r="K1299" s="78"/>
      <c r="L1299" s="146">
        <f t="shared" si="62"/>
        <v>1800000</v>
      </c>
      <c r="M1299" s="73"/>
      <c r="N1299" s="73"/>
      <c r="O1299" s="73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14.25" customHeight="1" x14ac:dyDescent="0.35">
      <c r="A1300" s="9">
        <f t="shared" si="61"/>
        <v>1292</v>
      </c>
      <c r="B1300" s="15"/>
      <c r="C1300" s="11">
        <f t="shared" si="60"/>
        <v>1</v>
      </c>
      <c r="D1300" s="11"/>
      <c r="E1300" s="11"/>
      <c r="F1300" s="11"/>
      <c r="G1300" s="89">
        <f>IFERROR(VLOOKUP(F1300,COA!$A$1:$K$26,2,FALSE),0)</f>
        <v>0</v>
      </c>
      <c r="H1300" s="11"/>
      <c r="I1300" s="11"/>
      <c r="J1300" s="78"/>
      <c r="K1300" s="78"/>
      <c r="L1300" s="146">
        <f t="shared" si="62"/>
        <v>1800000</v>
      </c>
      <c r="M1300" s="73"/>
      <c r="N1300" s="73"/>
      <c r="O1300" s="73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14.25" customHeight="1" x14ac:dyDescent="0.35">
      <c r="A1301" s="9">
        <f t="shared" si="61"/>
        <v>1293</v>
      </c>
      <c r="B1301" s="15"/>
      <c r="C1301" s="11">
        <f t="shared" si="60"/>
        <v>1</v>
      </c>
      <c r="D1301" s="11"/>
      <c r="E1301" s="11"/>
      <c r="F1301" s="11"/>
      <c r="G1301" s="89">
        <f>IFERROR(VLOOKUP(F1301,COA!$A$1:$K$26,2,FALSE),0)</f>
        <v>0</v>
      </c>
      <c r="H1301" s="11"/>
      <c r="I1301" s="11"/>
      <c r="J1301" s="78"/>
      <c r="K1301" s="78"/>
      <c r="L1301" s="146">
        <f t="shared" si="62"/>
        <v>1800000</v>
      </c>
      <c r="M1301" s="73"/>
      <c r="N1301" s="73"/>
      <c r="O1301" s="73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14.25" customHeight="1" x14ac:dyDescent="0.35">
      <c r="A1302" s="9">
        <f t="shared" si="61"/>
        <v>1294</v>
      </c>
      <c r="B1302" s="15"/>
      <c r="C1302" s="11">
        <f t="shared" si="60"/>
        <v>1</v>
      </c>
      <c r="D1302" s="11"/>
      <c r="E1302" s="11"/>
      <c r="F1302" s="11"/>
      <c r="G1302" s="89">
        <f>IFERROR(VLOOKUP(F1302,COA!$A$1:$K$26,2,FALSE),0)</f>
        <v>0</v>
      </c>
      <c r="H1302" s="11"/>
      <c r="I1302" s="11"/>
      <c r="J1302" s="78"/>
      <c r="K1302" s="78"/>
      <c r="L1302" s="146">
        <f t="shared" si="62"/>
        <v>1800000</v>
      </c>
      <c r="M1302" s="73"/>
      <c r="N1302" s="73"/>
      <c r="O1302" s="73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14.25" customHeight="1" x14ac:dyDescent="0.35">
      <c r="A1303" s="9">
        <f t="shared" si="61"/>
        <v>1295</v>
      </c>
      <c r="B1303" s="15"/>
      <c r="C1303" s="11">
        <f t="shared" si="60"/>
        <v>1</v>
      </c>
      <c r="D1303" s="11"/>
      <c r="E1303" s="11"/>
      <c r="F1303" s="11"/>
      <c r="G1303" s="89">
        <f>IFERROR(VLOOKUP(F1303,COA!$A$1:$K$26,2,FALSE),0)</f>
        <v>0</v>
      </c>
      <c r="H1303" s="11"/>
      <c r="I1303" s="11"/>
      <c r="J1303" s="78"/>
      <c r="K1303" s="78"/>
      <c r="L1303" s="146">
        <f t="shared" si="62"/>
        <v>1800000</v>
      </c>
      <c r="M1303" s="73"/>
      <c r="N1303" s="73"/>
      <c r="O1303" s="73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14.25" customHeight="1" x14ac:dyDescent="0.35">
      <c r="A1304" s="9">
        <f t="shared" si="61"/>
        <v>1296</v>
      </c>
      <c r="B1304" s="15"/>
      <c r="C1304" s="11">
        <f t="shared" si="60"/>
        <v>1</v>
      </c>
      <c r="D1304" s="11"/>
      <c r="E1304" s="11"/>
      <c r="F1304" s="11"/>
      <c r="G1304" s="89">
        <f>IFERROR(VLOOKUP(F1304,COA!$A$1:$K$26,2,FALSE),0)</f>
        <v>0</v>
      </c>
      <c r="H1304" s="11"/>
      <c r="I1304" s="11"/>
      <c r="J1304" s="78"/>
      <c r="K1304" s="78"/>
      <c r="L1304" s="146">
        <f t="shared" si="62"/>
        <v>1800000</v>
      </c>
      <c r="M1304" s="73"/>
      <c r="N1304" s="73"/>
      <c r="O1304" s="73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14.25" customHeight="1" x14ac:dyDescent="0.35">
      <c r="A1305" s="9">
        <f t="shared" si="61"/>
        <v>1297</v>
      </c>
      <c r="B1305" s="15"/>
      <c r="C1305" s="11">
        <f t="shared" si="60"/>
        <v>1</v>
      </c>
      <c r="D1305" s="11"/>
      <c r="E1305" s="11"/>
      <c r="F1305" s="11"/>
      <c r="G1305" s="89">
        <f>IFERROR(VLOOKUP(F1305,COA!$A$1:$K$26,2,FALSE),0)</f>
        <v>0</v>
      </c>
      <c r="H1305" s="11"/>
      <c r="I1305" s="11"/>
      <c r="J1305" s="78"/>
      <c r="K1305" s="78"/>
      <c r="L1305" s="146">
        <f t="shared" si="62"/>
        <v>1800000</v>
      </c>
      <c r="M1305" s="73"/>
      <c r="N1305" s="73"/>
      <c r="O1305" s="73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14.25" customHeight="1" x14ac:dyDescent="0.35">
      <c r="A1306" s="9">
        <f t="shared" si="61"/>
        <v>1298</v>
      </c>
      <c r="B1306" s="15"/>
      <c r="C1306" s="11">
        <f t="shared" si="60"/>
        <v>1</v>
      </c>
      <c r="D1306" s="11"/>
      <c r="E1306" s="11"/>
      <c r="F1306" s="11"/>
      <c r="G1306" s="89">
        <f>IFERROR(VLOOKUP(F1306,COA!$A$1:$K$26,2,FALSE),0)</f>
        <v>0</v>
      </c>
      <c r="H1306" s="11"/>
      <c r="I1306" s="11"/>
      <c r="J1306" s="78"/>
      <c r="K1306" s="78"/>
      <c r="L1306" s="146">
        <f t="shared" si="62"/>
        <v>1800000</v>
      </c>
      <c r="M1306" s="73"/>
      <c r="N1306" s="73"/>
      <c r="O1306" s="73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14.25" customHeight="1" x14ac:dyDescent="0.35">
      <c r="A1307" s="9">
        <f t="shared" si="61"/>
        <v>1299</v>
      </c>
      <c r="B1307" s="15"/>
      <c r="C1307" s="11">
        <f t="shared" si="60"/>
        <v>1</v>
      </c>
      <c r="D1307" s="11"/>
      <c r="E1307" s="11"/>
      <c r="F1307" s="11"/>
      <c r="G1307" s="89">
        <f>IFERROR(VLOOKUP(F1307,COA!$A$1:$K$26,2,FALSE),0)</f>
        <v>0</v>
      </c>
      <c r="H1307" s="11"/>
      <c r="I1307" s="11"/>
      <c r="J1307" s="78"/>
      <c r="K1307" s="78"/>
      <c r="L1307" s="146">
        <f t="shared" si="62"/>
        <v>1800000</v>
      </c>
      <c r="M1307" s="73"/>
      <c r="N1307" s="73"/>
      <c r="O1307" s="73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14.25" customHeight="1" x14ac:dyDescent="0.35">
      <c r="A1308" s="9">
        <f t="shared" si="61"/>
        <v>1300</v>
      </c>
      <c r="B1308" s="15"/>
      <c r="C1308" s="11">
        <f t="shared" si="60"/>
        <v>1</v>
      </c>
      <c r="D1308" s="11"/>
      <c r="E1308" s="11"/>
      <c r="F1308" s="11"/>
      <c r="G1308" s="89">
        <f>IFERROR(VLOOKUP(F1308,COA!$A$1:$K$26,2,FALSE),0)</f>
        <v>0</v>
      </c>
      <c r="H1308" s="11"/>
      <c r="I1308" s="11"/>
      <c r="J1308" s="78"/>
      <c r="K1308" s="78"/>
      <c r="L1308" s="146">
        <f t="shared" si="62"/>
        <v>1800000</v>
      </c>
      <c r="M1308" s="73"/>
      <c r="N1308" s="73"/>
      <c r="O1308" s="73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14.25" customHeight="1" x14ac:dyDescent="0.35">
      <c r="A1309" s="9">
        <f t="shared" si="61"/>
        <v>1301</v>
      </c>
      <c r="B1309" s="15"/>
      <c r="C1309" s="11">
        <f t="shared" si="60"/>
        <v>1</v>
      </c>
      <c r="D1309" s="11"/>
      <c r="E1309" s="11"/>
      <c r="F1309" s="11"/>
      <c r="G1309" s="89">
        <f>IFERROR(VLOOKUP(F1309,COA!$A$1:$K$26,2,FALSE),0)</f>
        <v>0</v>
      </c>
      <c r="H1309" s="11"/>
      <c r="I1309" s="11"/>
      <c r="J1309" s="78"/>
      <c r="K1309" s="78"/>
      <c r="L1309" s="146">
        <f t="shared" si="62"/>
        <v>1800000</v>
      </c>
      <c r="M1309" s="73"/>
      <c r="N1309" s="73"/>
      <c r="O1309" s="73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14.25" customHeight="1" x14ac:dyDescent="0.35">
      <c r="A1310" s="9">
        <f t="shared" si="61"/>
        <v>1302</v>
      </c>
      <c r="B1310" s="15"/>
      <c r="C1310" s="11">
        <f t="shared" si="60"/>
        <v>1</v>
      </c>
      <c r="D1310" s="11"/>
      <c r="E1310" s="11"/>
      <c r="F1310" s="11"/>
      <c r="G1310" s="89">
        <f>IFERROR(VLOOKUP(F1310,COA!$A$1:$K$26,2,FALSE),0)</f>
        <v>0</v>
      </c>
      <c r="H1310" s="11"/>
      <c r="I1310" s="11"/>
      <c r="J1310" s="78"/>
      <c r="K1310" s="78"/>
      <c r="L1310" s="146">
        <f t="shared" si="62"/>
        <v>1800000</v>
      </c>
      <c r="M1310" s="73"/>
      <c r="N1310" s="73"/>
      <c r="O1310" s="73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14.25" customHeight="1" x14ac:dyDescent="0.35">
      <c r="A1311" s="9">
        <f t="shared" si="61"/>
        <v>1303</v>
      </c>
      <c r="B1311" s="15"/>
      <c r="C1311" s="11">
        <f t="shared" si="60"/>
        <v>1</v>
      </c>
      <c r="D1311" s="11"/>
      <c r="E1311" s="11"/>
      <c r="F1311" s="11"/>
      <c r="G1311" s="89">
        <f>IFERROR(VLOOKUP(F1311,COA!$A$1:$K$26,2,FALSE),0)</f>
        <v>0</v>
      </c>
      <c r="H1311" s="11"/>
      <c r="I1311" s="11"/>
      <c r="J1311" s="78"/>
      <c r="K1311" s="78"/>
      <c r="L1311" s="146">
        <f t="shared" si="62"/>
        <v>1800000</v>
      </c>
      <c r="M1311" s="73"/>
      <c r="N1311" s="73"/>
      <c r="O1311" s="73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14.25" customHeight="1" x14ac:dyDescent="0.35">
      <c r="A1312" s="9">
        <f t="shared" si="61"/>
        <v>1304</v>
      </c>
      <c r="B1312" s="15"/>
      <c r="C1312" s="11">
        <f t="shared" si="60"/>
        <v>1</v>
      </c>
      <c r="D1312" s="11"/>
      <c r="E1312" s="11"/>
      <c r="F1312" s="11"/>
      <c r="G1312" s="89">
        <f>IFERROR(VLOOKUP(F1312,COA!$A$1:$K$26,2,FALSE),0)</f>
        <v>0</v>
      </c>
      <c r="H1312" s="11"/>
      <c r="I1312" s="11"/>
      <c r="J1312" s="78"/>
      <c r="K1312" s="78"/>
      <c r="L1312" s="146">
        <f t="shared" si="62"/>
        <v>1800000</v>
      </c>
      <c r="M1312" s="73"/>
      <c r="N1312" s="73"/>
      <c r="O1312" s="73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14.25" customHeight="1" x14ac:dyDescent="0.35">
      <c r="A1313" s="9">
        <f t="shared" si="61"/>
        <v>1305</v>
      </c>
      <c r="B1313" s="15"/>
      <c r="C1313" s="11">
        <f t="shared" si="60"/>
        <v>1</v>
      </c>
      <c r="D1313" s="11"/>
      <c r="E1313" s="11"/>
      <c r="F1313" s="11"/>
      <c r="G1313" s="89">
        <f>IFERROR(VLOOKUP(F1313,COA!$A$1:$K$26,2,FALSE),0)</f>
        <v>0</v>
      </c>
      <c r="H1313" s="11"/>
      <c r="I1313" s="11"/>
      <c r="J1313" s="78"/>
      <c r="K1313" s="78"/>
      <c r="L1313" s="146">
        <f t="shared" si="62"/>
        <v>1800000</v>
      </c>
      <c r="M1313" s="73"/>
      <c r="N1313" s="73"/>
      <c r="O1313" s="73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14.25" customHeight="1" x14ac:dyDescent="0.35">
      <c r="A1314" s="9">
        <f t="shared" si="61"/>
        <v>1306</v>
      </c>
      <c r="B1314" s="15"/>
      <c r="C1314" s="11">
        <f t="shared" si="60"/>
        <v>1</v>
      </c>
      <c r="D1314" s="11"/>
      <c r="E1314" s="11"/>
      <c r="F1314" s="11"/>
      <c r="G1314" s="89">
        <f>IFERROR(VLOOKUP(F1314,COA!$A$1:$K$26,2,FALSE),0)</f>
        <v>0</v>
      </c>
      <c r="H1314" s="11"/>
      <c r="I1314" s="11"/>
      <c r="J1314" s="78"/>
      <c r="K1314" s="78"/>
      <c r="L1314" s="146">
        <f t="shared" si="62"/>
        <v>1800000</v>
      </c>
      <c r="M1314" s="73"/>
      <c r="N1314" s="73"/>
      <c r="O1314" s="73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14.25" customHeight="1" x14ac:dyDescent="0.35">
      <c r="A1315" s="9">
        <f t="shared" si="61"/>
        <v>1307</v>
      </c>
      <c r="B1315" s="15"/>
      <c r="C1315" s="11">
        <f t="shared" si="60"/>
        <v>1</v>
      </c>
      <c r="D1315" s="11"/>
      <c r="E1315" s="11"/>
      <c r="F1315" s="11"/>
      <c r="G1315" s="89">
        <f>IFERROR(VLOOKUP(F1315,COA!$A$1:$K$26,2,FALSE),0)</f>
        <v>0</v>
      </c>
      <c r="H1315" s="11"/>
      <c r="I1315" s="11"/>
      <c r="J1315" s="78"/>
      <c r="K1315" s="78"/>
      <c r="L1315" s="146">
        <f t="shared" si="62"/>
        <v>1800000</v>
      </c>
      <c r="M1315" s="73"/>
      <c r="N1315" s="73"/>
      <c r="O1315" s="73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14.25" customHeight="1" x14ac:dyDescent="0.35">
      <c r="A1316" s="9">
        <f t="shared" si="61"/>
        <v>1308</v>
      </c>
      <c r="B1316" s="15"/>
      <c r="C1316" s="11">
        <f t="shared" si="60"/>
        <v>1</v>
      </c>
      <c r="D1316" s="11"/>
      <c r="E1316" s="11"/>
      <c r="F1316" s="11"/>
      <c r="G1316" s="89">
        <f>IFERROR(VLOOKUP(F1316,COA!$A$1:$K$26,2,FALSE),0)</f>
        <v>0</v>
      </c>
      <c r="H1316" s="11"/>
      <c r="I1316" s="11"/>
      <c r="J1316" s="78"/>
      <c r="K1316" s="78"/>
      <c r="L1316" s="146">
        <f t="shared" si="62"/>
        <v>1800000</v>
      </c>
      <c r="M1316" s="73"/>
      <c r="N1316" s="73"/>
      <c r="O1316" s="73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14.25" customHeight="1" x14ac:dyDescent="0.35">
      <c r="A1317" s="9">
        <f t="shared" si="61"/>
        <v>1309</v>
      </c>
      <c r="B1317" s="15"/>
      <c r="C1317" s="11">
        <f t="shared" si="60"/>
        <v>1</v>
      </c>
      <c r="D1317" s="11"/>
      <c r="E1317" s="11"/>
      <c r="F1317" s="11"/>
      <c r="G1317" s="89">
        <f>IFERROR(VLOOKUP(F1317,COA!$A$1:$K$26,2,FALSE),0)</f>
        <v>0</v>
      </c>
      <c r="H1317" s="11"/>
      <c r="I1317" s="11"/>
      <c r="J1317" s="78"/>
      <c r="K1317" s="78"/>
      <c r="L1317" s="146">
        <f t="shared" si="62"/>
        <v>1800000</v>
      </c>
      <c r="M1317" s="73"/>
      <c r="N1317" s="73"/>
      <c r="O1317" s="73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14.25" customHeight="1" x14ac:dyDescent="0.35">
      <c r="A1318" s="9">
        <f t="shared" si="61"/>
        <v>1310</v>
      </c>
      <c r="B1318" s="15"/>
      <c r="C1318" s="11">
        <f t="shared" si="60"/>
        <v>1</v>
      </c>
      <c r="D1318" s="11"/>
      <c r="E1318" s="11"/>
      <c r="F1318" s="11"/>
      <c r="G1318" s="89">
        <f>IFERROR(VLOOKUP(F1318,COA!$A$1:$K$26,2,FALSE),0)</f>
        <v>0</v>
      </c>
      <c r="H1318" s="11"/>
      <c r="I1318" s="11"/>
      <c r="J1318" s="78"/>
      <c r="K1318" s="78"/>
      <c r="L1318" s="146">
        <f t="shared" si="62"/>
        <v>1800000</v>
      </c>
      <c r="M1318" s="73"/>
      <c r="N1318" s="73"/>
      <c r="O1318" s="73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14.25" customHeight="1" x14ac:dyDescent="0.35">
      <c r="A1319" s="9">
        <f t="shared" si="61"/>
        <v>1311</v>
      </c>
      <c r="B1319" s="15"/>
      <c r="C1319" s="11">
        <f t="shared" si="60"/>
        <v>1</v>
      </c>
      <c r="D1319" s="11"/>
      <c r="E1319" s="11"/>
      <c r="F1319" s="11"/>
      <c r="G1319" s="89">
        <f>IFERROR(VLOOKUP(F1319,COA!$A$1:$K$26,2,FALSE),0)</f>
        <v>0</v>
      </c>
      <c r="H1319" s="11"/>
      <c r="I1319" s="11"/>
      <c r="J1319" s="78"/>
      <c r="K1319" s="78"/>
      <c r="L1319" s="146">
        <f t="shared" si="62"/>
        <v>1800000</v>
      </c>
      <c r="M1319" s="73"/>
      <c r="N1319" s="73"/>
      <c r="O1319" s="73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14.25" customHeight="1" x14ac:dyDescent="0.35">
      <c r="A1320" s="9">
        <f t="shared" si="61"/>
        <v>1312</v>
      </c>
      <c r="B1320" s="15"/>
      <c r="C1320" s="11">
        <f t="shared" si="60"/>
        <v>1</v>
      </c>
      <c r="D1320" s="11"/>
      <c r="E1320" s="11"/>
      <c r="F1320" s="11"/>
      <c r="G1320" s="89">
        <f>IFERROR(VLOOKUP(F1320,COA!$A$1:$K$26,2,FALSE),0)</f>
        <v>0</v>
      </c>
      <c r="H1320" s="11"/>
      <c r="I1320" s="11"/>
      <c r="J1320" s="78"/>
      <c r="K1320" s="78"/>
      <c r="L1320" s="146">
        <f t="shared" si="62"/>
        <v>1800000</v>
      </c>
      <c r="M1320" s="73"/>
      <c r="N1320" s="73"/>
      <c r="O1320" s="73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14.25" customHeight="1" x14ac:dyDescent="0.35">
      <c r="A1321" s="9">
        <f t="shared" si="61"/>
        <v>1313</v>
      </c>
      <c r="B1321" s="15"/>
      <c r="C1321" s="11">
        <f t="shared" si="60"/>
        <v>1</v>
      </c>
      <c r="D1321" s="11"/>
      <c r="E1321" s="11"/>
      <c r="F1321" s="11"/>
      <c r="G1321" s="89">
        <f>IFERROR(VLOOKUP(F1321,COA!$A$1:$K$26,2,FALSE),0)</f>
        <v>0</v>
      </c>
      <c r="H1321" s="11"/>
      <c r="I1321" s="11"/>
      <c r="J1321" s="78"/>
      <c r="K1321" s="78"/>
      <c r="L1321" s="146">
        <f t="shared" si="62"/>
        <v>1800000</v>
      </c>
      <c r="M1321" s="73"/>
      <c r="N1321" s="73"/>
      <c r="O1321" s="73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14.25" customHeight="1" x14ac:dyDescent="0.35">
      <c r="A1322" s="9">
        <f t="shared" si="61"/>
        <v>1314</v>
      </c>
      <c r="B1322" s="15"/>
      <c r="C1322" s="11">
        <f t="shared" si="60"/>
        <v>1</v>
      </c>
      <c r="D1322" s="11"/>
      <c r="E1322" s="11"/>
      <c r="F1322" s="11"/>
      <c r="G1322" s="89">
        <f>IFERROR(VLOOKUP(F1322,COA!$A$1:$K$26,2,FALSE),0)</f>
        <v>0</v>
      </c>
      <c r="H1322" s="11"/>
      <c r="I1322" s="11"/>
      <c r="J1322" s="78"/>
      <c r="K1322" s="78"/>
      <c r="L1322" s="146">
        <f t="shared" si="62"/>
        <v>1800000</v>
      </c>
      <c r="M1322" s="73"/>
      <c r="N1322" s="73"/>
      <c r="O1322" s="73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14.25" customHeight="1" x14ac:dyDescent="0.35">
      <c r="A1323" s="9">
        <f t="shared" si="61"/>
        <v>1315</v>
      </c>
      <c r="B1323" s="15"/>
      <c r="C1323" s="11">
        <f t="shared" si="60"/>
        <v>1</v>
      </c>
      <c r="D1323" s="11"/>
      <c r="E1323" s="11"/>
      <c r="F1323" s="11"/>
      <c r="G1323" s="89">
        <f>IFERROR(VLOOKUP(F1323,COA!$A$1:$K$26,2,FALSE),0)</f>
        <v>0</v>
      </c>
      <c r="H1323" s="11"/>
      <c r="I1323" s="11"/>
      <c r="J1323" s="78"/>
      <c r="K1323" s="78"/>
      <c r="L1323" s="146">
        <f t="shared" si="62"/>
        <v>1800000</v>
      </c>
      <c r="M1323" s="73"/>
      <c r="N1323" s="73"/>
      <c r="O1323" s="73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14.25" customHeight="1" x14ac:dyDescent="0.35">
      <c r="A1324" s="9">
        <f t="shared" si="61"/>
        <v>1316</v>
      </c>
      <c r="B1324" s="15"/>
      <c r="C1324" s="11">
        <f t="shared" si="60"/>
        <v>1</v>
      </c>
      <c r="D1324" s="11"/>
      <c r="E1324" s="11"/>
      <c r="F1324" s="11"/>
      <c r="G1324" s="89">
        <f>IFERROR(VLOOKUP(F1324,COA!$A$1:$K$26,2,FALSE),0)</f>
        <v>0</v>
      </c>
      <c r="H1324" s="11"/>
      <c r="I1324" s="11"/>
      <c r="J1324" s="78"/>
      <c r="K1324" s="78"/>
      <c r="L1324" s="146">
        <f t="shared" si="62"/>
        <v>1800000</v>
      </c>
      <c r="M1324" s="73"/>
      <c r="N1324" s="73"/>
      <c r="O1324" s="73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14.25" customHeight="1" x14ac:dyDescent="0.35">
      <c r="A1325" s="9">
        <f t="shared" si="61"/>
        <v>1317</v>
      </c>
      <c r="B1325" s="15"/>
      <c r="C1325" s="11">
        <f t="shared" si="60"/>
        <v>1</v>
      </c>
      <c r="D1325" s="11"/>
      <c r="E1325" s="11"/>
      <c r="F1325" s="11"/>
      <c r="G1325" s="89">
        <f>IFERROR(VLOOKUP(F1325,COA!$A$1:$K$26,2,FALSE),0)</f>
        <v>0</v>
      </c>
      <c r="H1325" s="11"/>
      <c r="I1325" s="11"/>
      <c r="J1325" s="78"/>
      <c r="K1325" s="78"/>
      <c r="L1325" s="146">
        <f t="shared" si="62"/>
        <v>1800000</v>
      </c>
      <c r="M1325" s="73"/>
      <c r="N1325" s="73"/>
      <c r="O1325" s="73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14.25" customHeight="1" x14ac:dyDescent="0.35">
      <c r="A1326" s="9">
        <f t="shared" si="61"/>
        <v>1318</v>
      </c>
      <c r="B1326" s="15"/>
      <c r="C1326" s="11">
        <f t="shared" si="60"/>
        <v>1</v>
      </c>
      <c r="D1326" s="11"/>
      <c r="E1326" s="11"/>
      <c r="F1326" s="11"/>
      <c r="G1326" s="89">
        <f>IFERROR(VLOOKUP(F1326,COA!$A$1:$K$26,2,FALSE),0)</f>
        <v>0</v>
      </c>
      <c r="H1326" s="11"/>
      <c r="I1326" s="11"/>
      <c r="J1326" s="78"/>
      <c r="K1326" s="78"/>
      <c r="L1326" s="146">
        <f t="shared" si="62"/>
        <v>1800000</v>
      </c>
      <c r="M1326" s="73"/>
      <c r="N1326" s="73"/>
      <c r="O1326" s="73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14.25" customHeight="1" x14ac:dyDescent="0.35">
      <c r="A1327" s="9">
        <f t="shared" si="61"/>
        <v>1319</v>
      </c>
      <c r="B1327" s="15"/>
      <c r="C1327" s="11">
        <f t="shared" si="60"/>
        <v>1</v>
      </c>
      <c r="D1327" s="11"/>
      <c r="E1327" s="11"/>
      <c r="F1327" s="11"/>
      <c r="G1327" s="89">
        <f>IFERROR(VLOOKUP(F1327,COA!$A$1:$K$26,2,FALSE),0)</f>
        <v>0</v>
      </c>
      <c r="H1327" s="11"/>
      <c r="I1327" s="11"/>
      <c r="J1327" s="78"/>
      <c r="K1327" s="78"/>
      <c r="L1327" s="146">
        <f t="shared" si="62"/>
        <v>1800000</v>
      </c>
      <c r="M1327" s="73"/>
      <c r="N1327" s="73"/>
      <c r="O1327" s="73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14.25" customHeight="1" x14ac:dyDescent="0.35">
      <c r="A1328" s="9">
        <f t="shared" si="61"/>
        <v>1320</v>
      </c>
      <c r="B1328" s="15"/>
      <c r="C1328" s="11">
        <f t="shared" si="60"/>
        <v>1</v>
      </c>
      <c r="D1328" s="11"/>
      <c r="E1328" s="11"/>
      <c r="F1328" s="11"/>
      <c r="G1328" s="89">
        <f>IFERROR(VLOOKUP(F1328,COA!$A$1:$K$26,2,FALSE),0)</f>
        <v>0</v>
      </c>
      <c r="H1328" s="11"/>
      <c r="I1328" s="11"/>
      <c r="J1328" s="78"/>
      <c r="K1328" s="78"/>
      <c r="L1328" s="146">
        <f t="shared" si="62"/>
        <v>1800000</v>
      </c>
      <c r="M1328" s="73"/>
      <c r="N1328" s="73"/>
      <c r="O1328" s="73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14.25" customHeight="1" x14ac:dyDescent="0.35">
      <c r="A1329" s="9">
        <f t="shared" si="61"/>
        <v>1321</v>
      </c>
      <c r="B1329" s="15"/>
      <c r="C1329" s="11">
        <f t="shared" si="60"/>
        <v>1</v>
      </c>
      <c r="D1329" s="11"/>
      <c r="E1329" s="11"/>
      <c r="F1329" s="11"/>
      <c r="G1329" s="89">
        <f>IFERROR(VLOOKUP(F1329,COA!$A$1:$K$26,2,FALSE),0)</f>
        <v>0</v>
      </c>
      <c r="H1329" s="11"/>
      <c r="I1329" s="11"/>
      <c r="J1329" s="78"/>
      <c r="K1329" s="78"/>
      <c r="L1329" s="146">
        <f t="shared" si="62"/>
        <v>1800000</v>
      </c>
      <c r="M1329" s="73"/>
      <c r="N1329" s="73"/>
      <c r="O1329" s="73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14.25" customHeight="1" x14ac:dyDescent="0.35">
      <c r="A1330" s="9">
        <f t="shared" si="61"/>
        <v>1322</v>
      </c>
      <c r="B1330" s="15"/>
      <c r="C1330" s="11">
        <f t="shared" si="60"/>
        <v>1</v>
      </c>
      <c r="D1330" s="11"/>
      <c r="E1330" s="11"/>
      <c r="F1330" s="11"/>
      <c r="G1330" s="89">
        <f>IFERROR(VLOOKUP(F1330,COA!$A$1:$K$26,2,FALSE),0)</f>
        <v>0</v>
      </c>
      <c r="H1330" s="11"/>
      <c r="I1330" s="11"/>
      <c r="J1330" s="78"/>
      <c r="K1330" s="78"/>
      <c r="L1330" s="146">
        <f t="shared" si="62"/>
        <v>1800000</v>
      </c>
      <c r="M1330" s="73"/>
      <c r="N1330" s="73"/>
      <c r="O1330" s="73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14.25" customHeight="1" x14ac:dyDescent="0.35">
      <c r="A1331" s="9">
        <f t="shared" si="61"/>
        <v>1323</v>
      </c>
      <c r="B1331" s="15"/>
      <c r="C1331" s="11">
        <f t="shared" si="60"/>
        <v>1</v>
      </c>
      <c r="D1331" s="11"/>
      <c r="E1331" s="11"/>
      <c r="F1331" s="11"/>
      <c r="G1331" s="89">
        <f>IFERROR(VLOOKUP(F1331,COA!$A$1:$K$26,2,FALSE),0)</f>
        <v>0</v>
      </c>
      <c r="H1331" s="11"/>
      <c r="I1331" s="11"/>
      <c r="J1331" s="78"/>
      <c r="K1331" s="78"/>
      <c r="L1331" s="146">
        <f t="shared" si="62"/>
        <v>1800000</v>
      </c>
      <c r="M1331" s="73"/>
      <c r="N1331" s="73"/>
      <c r="O1331" s="73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14.25" customHeight="1" x14ac:dyDescent="0.35">
      <c r="A1332" s="9">
        <f t="shared" si="61"/>
        <v>1324</v>
      </c>
      <c r="B1332" s="15"/>
      <c r="C1332" s="11">
        <f t="shared" si="60"/>
        <v>1</v>
      </c>
      <c r="D1332" s="11"/>
      <c r="E1332" s="11"/>
      <c r="F1332" s="11"/>
      <c r="G1332" s="89">
        <f>IFERROR(VLOOKUP(F1332,COA!$A$1:$K$26,2,FALSE),0)</f>
        <v>0</v>
      </c>
      <c r="H1332" s="11"/>
      <c r="I1332" s="11"/>
      <c r="J1332" s="78"/>
      <c r="K1332" s="78"/>
      <c r="L1332" s="146">
        <f t="shared" si="62"/>
        <v>1800000</v>
      </c>
      <c r="M1332" s="73"/>
      <c r="N1332" s="73"/>
      <c r="O1332" s="73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14.25" customHeight="1" x14ac:dyDescent="0.35">
      <c r="A1333" s="9">
        <f t="shared" si="61"/>
        <v>1325</v>
      </c>
      <c r="B1333" s="15"/>
      <c r="C1333" s="11">
        <f t="shared" si="60"/>
        <v>1</v>
      </c>
      <c r="D1333" s="11"/>
      <c r="E1333" s="11"/>
      <c r="F1333" s="11"/>
      <c r="G1333" s="89">
        <f>IFERROR(VLOOKUP(F1333,COA!$A$1:$K$26,2,FALSE),0)</f>
        <v>0</v>
      </c>
      <c r="H1333" s="11"/>
      <c r="I1333" s="11"/>
      <c r="J1333" s="78"/>
      <c r="K1333" s="78"/>
      <c r="L1333" s="146">
        <f t="shared" si="62"/>
        <v>1800000</v>
      </c>
      <c r="M1333" s="73"/>
      <c r="N1333" s="73"/>
      <c r="O1333" s="73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14.25" customHeight="1" x14ac:dyDescent="0.35">
      <c r="A1334" s="9">
        <f t="shared" si="61"/>
        <v>1326</v>
      </c>
      <c r="B1334" s="15"/>
      <c r="C1334" s="11">
        <f t="shared" si="60"/>
        <v>1</v>
      </c>
      <c r="D1334" s="11"/>
      <c r="E1334" s="11"/>
      <c r="F1334" s="11"/>
      <c r="G1334" s="89">
        <f>IFERROR(VLOOKUP(F1334,COA!$A$1:$K$26,2,FALSE),0)</f>
        <v>0</v>
      </c>
      <c r="H1334" s="11"/>
      <c r="I1334" s="11"/>
      <c r="J1334" s="78"/>
      <c r="K1334" s="78"/>
      <c r="L1334" s="146">
        <f t="shared" si="62"/>
        <v>1800000</v>
      </c>
      <c r="M1334" s="73"/>
      <c r="N1334" s="73"/>
      <c r="O1334" s="73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14.25" customHeight="1" x14ac:dyDescent="0.35">
      <c r="A1335" s="9">
        <f t="shared" si="61"/>
        <v>1327</v>
      </c>
      <c r="B1335" s="15"/>
      <c r="C1335" s="11">
        <f t="shared" si="60"/>
        <v>1</v>
      </c>
      <c r="D1335" s="11"/>
      <c r="E1335" s="11"/>
      <c r="F1335" s="11"/>
      <c r="G1335" s="89">
        <f>IFERROR(VLOOKUP(F1335,COA!$A$1:$K$26,2,FALSE),0)</f>
        <v>0</v>
      </c>
      <c r="H1335" s="11"/>
      <c r="I1335" s="11"/>
      <c r="J1335" s="78"/>
      <c r="K1335" s="78"/>
      <c r="L1335" s="146">
        <f t="shared" si="62"/>
        <v>1800000</v>
      </c>
      <c r="M1335" s="73"/>
      <c r="N1335" s="73"/>
      <c r="O1335" s="73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14.25" customHeight="1" x14ac:dyDescent="0.35">
      <c r="A1336" s="9">
        <f t="shared" si="61"/>
        <v>1328</v>
      </c>
      <c r="B1336" s="15"/>
      <c r="C1336" s="11">
        <f t="shared" si="60"/>
        <v>1</v>
      </c>
      <c r="D1336" s="11"/>
      <c r="E1336" s="11"/>
      <c r="F1336" s="11"/>
      <c r="G1336" s="89">
        <f>IFERROR(VLOOKUP(F1336,COA!$A$1:$K$26,2,FALSE),0)</f>
        <v>0</v>
      </c>
      <c r="H1336" s="11"/>
      <c r="I1336" s="11"/>
      <c r="J1336" s="78"/>
      <c r="K1336" s="78"/>
      <c r="L1336" s="146">
        <f t="shared" si="62"/>
        <v>1800000</v>
      </c>
      <c r="M1336" s="73"/>
      <c r="N1336" s="73"/>
      <c r="O1336" s="73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14.25" customHeight="1" x14ac:dyDescent="0.35">
      <c r="A1337" s="9">
        <f t="shared" si="61"/>
        <v>1329</v>
      </c>
      <c r="B1337" s="22"/>
      <c r="C1337" s="11">
        <f t="shared" si="60"/>
        <v>1</v>
      </c>
      <c r="D1337" s="11"/>
      <c r="E1337" s="11"/>
      <c r="F1337" s="11"/>
      <c r="G1337" s="89">
        <f>IFERROR(VLOOKUP(F1337,COA!$A$1:$K$26,2,FALSE),0)</f>
        <v>0</v>
      </c>
      <c r="H1337" s="11"/>
      <c r="I1337" s="11"/>
      <c r="J1337" s="78"/>
      <c r="K1337" s="78"/>
      <c r="L1337" s="146">
        <f t="shared" si="62"/>
        <v>1800000</v>
      </c>
      <c r="M1337" s="73"/>
      <c r="N1337" s="73"/>
      <c r="O1337" s="73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14.25" customHeight="1" x14ac:dyDescent="0.35">
      <c r="A1338" s="9">
        <f t="shared" si="61"/>
        <v>1330</v>
      </c>
      <c r="B1338" s="22"/>
      <c r="C1338" s="11">
        <f t="shared" si="60"/>
        <v>1</v>
      </c>
      <c r="D1338" s="11"/>
      <c r="E1338" s="11"/>
      <c r="F1338" s="11"/>
      <c r="G1338" s="89">
        <f>IFERROR(VLOOKUP(F1338,COA!$A$1:$K$26,2,FALSE),0)</f>
        <v>0</v>
      </c>
      <c r="H1338" s="11"/>
      <c r="I1338" s="11"/>
      <c r="J1338" s="78"/>
      <c r="K1338" s="78"/>
      <c r="L1338" s="146">
        <f t="shared" si="62"/>
        <v>1800000</v>
      </c>
      <c r="M1338" s="73"/>
      <c r="N1338" s="73"/>
      <c r="O1338" s="73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14.25" customHeight="1" x14ac:dyDescent="0.35">
      <c r="A1339" s="9">
        <f t="shared" si="61"/>
        <v>1331</v>
      </c>
      <c r="B1339" s="22"/>
      <c r="C1339" s="11">
        <f t="shared" si="60"/>
        <v>1</v>
      </c>
      <c r="D1339" s="11"/>
      <c r="E1339" s="11"/>
      <c r="F1339" s="11"/>
      <c r="G1339" s="89">
        <f>IFERROR(VLOOKUP(F1339,COA!$A$1:$K$26,2,FALSE),0)</f>
        <v>0</v>
      </c>
      <c r="H1339" s="11"/>
      <c r="I1339" s="11"/>
      <c r="J1339" s="78"/>
      <c r="K1339" s="78"/>
      <c r="L1339" s="146">
        <f t="shared" si="62"/>
        <v>1800000</v>
      </c>
      <c r="M1339" s="73"/>
      <c r="N1339" s="73"/>
      <c r="O1339" s="73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14.25" customHeight="1" x14ac:dyDescent="0.35">
      <c r="A1340" s="9">
        <f t="shared" si="61"/>
        <v>1332</v>
      </c>
      <c r="B1340" s="22"/>
      <c r="C1340" s="11">
        <f t="shared" si="60"/>
        <v>1</v>
      </c>
      <c r="D1340" s="11"/>
      <c r="E1340" s="11"/>
      <c r="F1340" s="11"/>
      <c r="G1340" s="89">
        <f>IFERROR(VLOOKUP(F1340,COA!$A$1:$K$26,2,FALSE),0)</f>
        <v>0</v>
      </c>
      <c r="H1340" s="11"/>
      <c r="I1340" s="11"/>
      <c r="J1340" s="78"/>
      <c r="K1340" s="78"/>
      <c r="L1340" s="146">
        <f t="shared" si="62"/>
        <v>1800000</v>
      </c>
      <c r="M1340" s="73"/>
      <c r="N1340" s="73"/>
      <c r="O1340" s="73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14.25" customHeight="1" x14ac:dyDescent="0.35">
      <c r="A1341" s="9">
        <f t="shared" si="61"/>
        <v>1333</v>
      </c>
      <c r="B1341" s="22"/>
      <c r="C1341" s="11">
        <f t="shared" si="60"/>
        <v>1</v>
      </c>
      <c r="D1341" s="11"/>
      <c r="E1341" s="11"/>
      <c r="F1341" s="11"/>
      <c r="G1341" s="89">
        <f>IFERROR(VLOOKUP(F1341,COA!$A$1:$K$26,2,FALSE),0)</f>
        <v>0</v>
      </c>
      <c r="H1341" s="11"/>
      <c r="I1341" s="11"/>
      <c r="J1341" s="78"/>
      <c r="K1341" s="78"/>
      <c r="L1341" s="146">
        <f t="shared" si="62"/>
        <v>1800000</v>
      </c>
      <c r="M1341" s="73"/>
      <c r="N1341" s="73"/>
      <c r="O1341" s="73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14.25" customHeight="1" x14ac:dyDescent="0.35">
      <c r="A1342" s="9">
        <f t="shared" si="61"/>
        <v>1334</v>
      </c>
      <c r="B1342" s="22"/>
      <c r="C1342" s="11">
        <f t="shared" si="60"/>
        <v>1</v>
      </c>
      <c r="D1342" s="11"/>
      <c r="E1342" s="11"/>
      <c r="F1342" s="11"/>
      <c r="G1342" s="89">
        <f>IFERROR(VLOOKUP(F1342,COA!$A$1:$K$26,2,FALSE),0)</f>
        <v>0</v>
      </c>
      <c r="H1342" s="11"/>
      <c r="I1342" s="11"/>
      <c r="J1342" s="78"/>
      <c r="K1342" s="78"/>
      <c r="L1342" s="146">
        <f t="shared" si="62"/>
        <v>1800000</v>
      </c>
      <c r="M1342" s="73"/>
      <c r="N1342" s="73"/>
      <c r="O1342" s="73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14.25" customHeight="1" x14ac:dyDescent="0.35">
      <c r="A1343" s="9">
        <f t="shared" si="61"/>
        <v>1335</v>
      </c>
      <c r="B1343" s="15"/>
      <c r="C1343" s="11">
        <f t="shared" si="60"/>
        <v>1</v>
      </c>
      <c r="D1343" s="11"/>
      <c r="E1343" s="11"/>
      <c r="F1343" s="11"/>
      <c r="G1343" s="89">
        <f>IFERROR(VLOOKUP(F1343,COA!$A$1:$K$26,2,FALSE),0)</f>
        <v>0</v>
      </c>
      <c r="H1343" s="11"/>
      <c r="I1343" s="11"/>
      <c r="J1343" s="78"/>
      <c r="K1343" s="78"/>
      <c r="L1343" s="146">
        <f t="shared" si="62"/>
        <v>1800000</v>
      </c>
      <c r="M1343" s="73"/>
      <c r="N1343" s="73"/>
      <c r="O1343" s="73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14.25" customHeight="1" x14ac:dyDescent="0.35">
      <c r="A1344" s="9">
        <f t="shared" si="61"/>
        <v>1336</v>
      </c>
      <c r="B1344" s="15"/>
      <c r="C1344" s="11">
        <f t="shared" si="60"/>
        <v>1</v>
      </c>
      <c r="D1344" s="11"/>
      <c r="E1344" s="11"/>
      <c r="F1344" s="11"/>
      <c r="G1344" s="89">
        <f>IFERROR(VLOOKUP(F1344,COA!$A$1:$K$26,2,FALSE),0)</f>
        <v>0</v>
      </c>
      <c r="H1344" s="11"/>
      <c r="I1344" s="11"/>
      <c r="J1344" s="78"/>
      <c r="K1344" s="78"/>
      <c r="L1344" s="146">
        <f t="shared" si="62"/>
        <v>1800000</v>
      </c>
      <c r="M1344" s="73"/>
      <c r="N1344" s="73"/>
      <c r="O1344" s="73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14.25" customHeight="1" x14ac:dyDescent="0.35">
      <c r="A1345" s="9">
        <f t="shared" si="61"/>
        <v>1337</v>
      </c>
      <c r="B1345" s="15"/>
      <c r="C1345" s="11">
        <f t="shared" si="60"/>
        <v>1</v>
      </c>
      <c r="D1345" s="11"/>
      <c r="E1345" s="11"/>
      <c r="F1345" s="11"/>
      <c r="G1345" s="89">
        <f>IFERROR(VLOOKUP(F1345,COA!$A$1:$K$26,2,FALSE),0)</f>
        <v>0</v>
      </c>
      <c r="H1345" s="11"/>
      <c r="I1345" s="11"/>
      <c r="J1345" s="78"/>
      <c r="K1345" s="78"/>
      <c r="L1345" s="146">
        <f t="shared" si="62"/>
        <v>1800000</v>
      </c>
      <c r="M1345" s="73"/>
      <c r="N1345" s="73"/>
      <c r="O1345" s="73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14.25" customHeight="1" x14ac:dyDescent="0.35">
      <c r="A1346" s="9">
        <f t="shared" si="61"/>
        <v>1338</v>
      </c>
      <c r="B1346" s="15"/>
      <c r="C1346" s="11">
        <f t="shared" si="60"/>
        <v>1</v>
      </c>
      <c r="D1346" s="11"/>
      <c r="E1346" s="11"/>
      <c r="F1346" s="11"/>
      <c r="G1346" s="89">
        <f>IFERROR(VLOOKUP(F1346,COA!$A$1:$K$26,2,FALSE),0)</f>
        <v>0</v>
      </c>
      <c r="H1346" s="11"/>
      <c r="I1346" s="11"/>
      <c r="J1346" s="78"/>
      <c r="K1346" s="78"/>
      <c r="L1346" s="146">
        <f t="shared" si="62"/>
        <v>1800000</v>
      </c>
      <c r="M1346" s="73"/>
      <c r="N1346" s="73"/>
      <c r="O1346" s="73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14.25" customHeight="1" x14ac:dyDescent="0.35">
      <c r="A1347" s="9">
        <f t="shared" si="61"/>
        <v>1339</v>
      </c>
      <c r="B1347" s="15"/>
      <c r="C1347" s="11">
        <f t="shared" si="60"/>
        <v>1</v>
      </c>
      <c r="D1347" s="11"/>
      <c r="E1347" s="11"/>
      <c r="F1347" s="11"/>
      <c r="G1347" s="89">
        <f>IFERROR(VLOOKUP(F1347,COA!$A$1:$K$26,2,FALSE),0)</f>
        <v>0</v>
      </c>
      <c r="H1347" s="11"/>
      <c r="I1347" s="11"/>
      <c r="J1347" s="78"/>
      <c r="K1347" s="78"/>
      <c r="L1347" s="146">
        <f t="shared" si="62"/>
        <v>1800000</v>
      </c>
      <c r="M1347" s="73"/>
      <c r="N1347" s="73"/>
      <c r="O1347" s="73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14.25" customHeight="1" x14ac:dyDescent="0.35">
      <c r="A1348" s="9">
        <f t="shared" si="61"/>
        <v>1340</v>
      </c>
      <c r="B1348" s="15"/>
      <c r="C1348" s="11">
        <f t="shared" si="60"/>
        <v>1</v>
      </c>
      <c r="D1348" s="11"/>
      <c r="E1348" s="11"/>
      <c r="F1348" s="11"/>
      <c r="G1348" s="89">
        <f>IFERROR(VLOOKUP(F1348,COA!$A$1:$K$26,2,FALSE),0)</f>
        <v>0</v>
      </c>
      <c r="H1348" s="11"/>
      <c r="I1348" s="11"/>
      <c r="J1348" s="78"/>
      <c r="K1348" s="78"/>
      <c r="L1348" s="146">
        <f t="shared" si="62"/>
        <v>1800000</v>
      </c>
      <c r="M1348" s="73"/>
      <c r="N1348" s="73"/>
      <c r="O1348" s="73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14.25" customHeight="1" x14ac:dyDescent="0.35">
      <c r="A1349" s="9">
        <f t="shared" si="61"/>
        <v>1341</v>
      </c>
      <c r="B1349" s="15"/>
      <c r="C1349" s="11">
        <f t="shared" si="60"/>
        <v>1</v>
      </c>
      <c r="D1349" s="11"/>
      <c r="E1349" s="11"/>
      <c r="F1349" s="11"/>
      <c r="G1349" s="89">
        <f>IFERROR(VLOOKUP(F1349,COA!$A$1:$K$26,2,FALSE),0)</f>
        <v>0</v>
      </c>
      <c r="H1349" s="11"/>
      <c r="I1349" s="11"/>
      <c r="J1349" s="78"/>
      <c r="K1349" s="78"/>
      <c r="L1349" s="146">
        <f t="shared" si="62"/>
        <v>1800000</v>
      </c>
      <c r="M1349" s="73"/>
      <c r="N1349" s="73"/>
      <c r="O1349" s="73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14.25" customHeight="1" x14ac:dyDescent="0.35">
      <c r="A1350" s="9">
        <f t="shared" si="61"/>
        <v>1342</v>
      </c>
      <c r="B1350" s="15"/>
      <c r="C1350" s="11">
        <f t="shared" si="60"/>
        <v>1</v>
      </c>
      <c r="D1350" s="11"/>
      <c r="E1350" s="11"/>
      <c r="F1350" s="11"/>
      <c r="G1350" s="89">
        <f>IFERROR(VLOOKUP(F1350,COA!$A$1:$K$26,2,FALSE),0)</f>
        <v>0</v>
      </c>
      <c r="H1350" s="11"/>
      <c r="I1350" s="11"/>
      <c r="J1350" s="78"/>
      <c r="K1350" s="78"/>
      <c r="L1350" s="146">
        <f t="shared" si="62"/>
        <v>1800000</v>
      </c>
      <c r="M1350" s="73"/>
      <c r="N1350" s="73"/>
      <c r="O1350" s="73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14.25" customHeight="1" x14ac:dyDescent="0.35">
      <c r="A1351" s="9">
        <f t="shared" si="61"/>
        <v>1343</v>
      </c>
      <c r="B1351" s="15"/>
      <c r="C1351" s="11">
        <f t="shared" si="60"/>
        <v>1</v>
      </c>
      <c r="D1351" s="11"/>
      <c r="E1351" s="11"/>
      <c r="F1351" s="11"/>
      <c r="G1351" s="89">
        <f>IFERROR(VLOOKUP(F1351,COA!$A$1:$K$26,2,FALSE),0)</f>
        <v>0</v>
      </c>
      <c r="H1351" s="11"/>
      <c r="I1351" s="11"/>
      <c r="J1351" s="78"/>
      <c r="K1351" s="78"/>
      <c r="L1351" s="146">
        <f t="shared" si="62"/>
        <v>1800000</v>
      </c>
      <c r="M1351" s="73"/>
      <c r="N1351" s="73"/>
      <c r="O1351" s="73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14.25" customHeight="1" x14ac:dyDescent="0.35">
      <c r="A1352" s="9">
        <f t="shared" si="61"/>
        <v>1344</v>
      </c>
      <c r="B1352" s="15"/>
      <c r="C1352" s="11">
        <f t="shared" ref="C1352:C1415" si="63">MONTH(B1352)</f>
        <v>1</v>
      </c>
      <c r="D1352" s="11"/>
      <c r="E1352" s="11"/>
      <c r="F1352" s="11"/>
      <c r="G1352" s="89">
        <f>IFERROR(VLOOKUP(F1352,COA!$A$1:$K$26,2,FALSE),0)</f>
        <v>0</v>
      </c>
      <c r="H1352" s="11"/>
      <c r="I1352" s="11"/>
      <c r="J1352" s="78"/>
      <c r="K1352" s="78"/>
      <c r="L1352" s="146">
        <f t="shared" si="62"/>
        <v>1800000</v>
      </c>
      <c r="M1352" s="73"/>
      <c r="N1352" s="73"/>
      <c r="O1352" s="73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14.25" customHeight="1" x14ac:dyDescent="0.35">
      <c r="A1353" s="9">
        <f t="shared" si="61"/>
        <v>1345</v>
      </c>
      <c r="B1353" s="15"/>
      <c r="C1353" s="11">
        <f t="shared" si="63"/>
        <v>1</v>
      </c>
      <c r="D1353" s="11"/>
      <c r="E1353" s="11"/>
      <c r="F1353" s="11"/>
      <c r="G1353" s="89">
        <f>IFERROR(VLOOKUP(F1353,COA!$A$1:$K$26,2,FALSE),0)</f>
        <v>0</v>
      </c>
      <c r="H1353" s="11"/>
      <c r="I1353" s="11"/>
      <c r="J1353" s="78"/>
      <c r="K1353" s="78"/>
      <c r="L1353" s="146">
        <f t="shared" si="62"/>
        <v>1800000</v>
      </c>
      <c r="M1353" s="73"/>
      <c r="N1353" s="73"/>
      <c r="O1353" s="73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14.25" customHeight="1" x14ac:dyDescent="0.35">
      <c r="A1354" s="9">
        <f t="shared" si="61"/>
        <v>1346</v>
      </c>
      <c r="B1354" s="15"/>
      <c r="C1354" s="11">
        <f t="shared" si="63"/>
        <v>1</v>
      </c>
      <c r="D1354" s="11"/>
      <c r="E1354" s="11"/>
      <c r="F1354" s="11"/>
      <c r="G1354" s="89">
        <f>IFERROR(VLOOKUP(F1354,COA!$A$1:$K$26,2,FALSE),0)</f>
        <v>0</v>
      </c>
      <c r="H1354" s="11"/>
      <c r="I1354" s="11"/>
      <c r="J1354" s="78"/>
      <c r="K1354" s="78"/>
      <c r="L1354" s="146">
        <f t="shared" si="62"/>
        <v>1800000</v>
      </c>
      <c r="M1354" s="73"/>
      <c r="N1354" s="73"/>
      <c r="O1354" s="73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14.25" customHeight="1" x14ac:dyDescent="0.35">
      <c r="A1355" s="9">
        <f t="shared" ref="A1355:A1418" si="64">A1354+1</f>
        <v>1347</v>
      </c>
      <c r="B1355" s="15"/>
      <c r="C1355" s="11">
        <f t="shared" si="63"/>
        <v>1</v>
      </c>
      <c r="D1355" s="11"/>
      <c r="E1355" s="11"/>
      <c r="F1355" s="11"/>
      <c r="G1355" s="89">
        <f>IFERROR(VLOOKUP(F1355,COA!$A$1:$K$26,2,FALSE),0)</f>
        <v>0</v>
      </c>
      <c r="H1355" s="11"/>
      <c r="I1355" s="11"/>
      <c r="J1355" s="78"/>
      <c r="K1355" s="78"/>
      <c r="L1355" s="146">
        <f t="shared" ref="L1355:L1418" si="65">L1354+J1355-K1355</f>
        <v>1800000</v>
      </c>
      <c r="M1355" s="73"/>
      <c r="N1355" s="73"/>
      <c r="O1355" s="73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14.25" customHeight="1" x14ac:dyDescent="0.35">
      <c r="A1356" s="9">
        <f t="shared" si="64"/>
        <v>1348</v>
      </c>
      <c r="B1356" s="15"/>
      <c r="C1356" s="11">
        <f t="shared" si="63"/>
        <v>1</v>
      </c>
      <c r="D1356" s="11"/>
      <c r="E1356" s="11"/>
      <c r="F1356" s="11"/>
      <c r="G1356" s="89">
        <f>IFERROR(VLOOKUP(F1356,COA!$A$1:$K$26,2,FALSE),0)</f>
        <v>0</v>
      </c>
      <c r="H1356" s="11"/>
      <c r="I1356" s="11"/>
      <c r="J1356" s="78"/>
      <c r="K1356" s="78"/>
      <c r="L1356" s="146">
        <f t="shared" si="65"/>
        <v>1800000</v>
      </c>
      <c r="M1356" s="73"/>
      <c r="N1356" s="73"/>
      <c r="O1356" s="73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14.25" customHeight="1" x14ac:dyDescent="0.35">
      <c r="A1357" s="9">
        <f t="shared" si="64"/>
        <v>1349</v>
      </c>
      <c r="B1357" s="15"/>
      <c r="C1357" s="11">
        <f t="shared" si="63"/>
        <v>1</v>
      </c>
      <c r="D1357" s="11"/>
      <c r="E1357" s="11"/>
      <c r="F1357" s="11"/>
      <c r="G1357" s="89">
        <f>IFERROR(VLOOKUP(F1357,COA!$A$1:$K$26,2,FALSE),0)</f>
        <v>0</v>
      </c>
      <c r="H1357" s="11"/>
      <c r="I1357" s="11"/>
      <c r="J1357" s="78"/>
      <c r="K1357" s="78"/>
      <c r="L1357" s="146">
        <f t="shared" si="65"/>
        <v>1800000</v>
      </c>
      <c r="M1357" s="73"/>
      <c r="N1357" s="73"/>
      <c r="O1357" s="73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14.25" customHeight="1" x14ac:dyDescent="0.35">
      <c r="A1358" s="9">
        <f t="shared" si="64"/>
        <v>1350</v>
      </c>
      <c r="B1358" s="15"/>
      <c r="C1358" s="11">
        <f t="shared" si="63"/>
        <v>1</v>
      </c>
      <c r="D1358" s="11"/>
      <c r="E1358" s="11"/>
      <c r="F1358" s="11"/>
      <c r="G1358" s="89">
        <f>IFERROR(VLOOKUP(F1358,COA!$A$1:$K$26,2,FALSE),0)</f>
        <v>0</v>
      </c>
      <c r="H1358" s="11"/>
      <c r="I1358" s="11"/>
      <c r="J1358" s="78"/>
      <c r="K1358" s="78"/>
      <c r="L1358" s="146">
        <f t="shared" si="65"/>
        <v>1800000</v>
      </c>
      <c r="M1358" s="73"/>
      <c r="N1358" s="73"/>
      <c r="O1358" s="73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14.25" customHeight="1" x14ac:dyDescent="0.35">
      <c r="A1359" s="9">
        <f t="shared" si="64"/>
        <v>1351</v>
      </c>
      <c r="B1359" s="15"/>
      <c r="C1359" s="11">
        <f t="shared" si="63"/>
        <v>1</v>
      </c>
      <c r="D1359" s="11"/>
      <c r="E1359" s="11"/>
      <c r="F1359" s="11"/>
      <c r="G1359" s="89">
        <f>IFERROR(VLOOKUP(F1359,COA!$A$1:$K$26,2,FALSE),0)</f>
        <v>0</v>
      </c>
      <c r="H1359" s="11"/>
      <c r="I1359" s="11"/>
      <c r="J1359" s="78"/>
      <c r="K1359" s="78"/>
      <c r="L1359" s="146">
        <f t="shared" si="65"/>
        <v>1800000</v>
      </c>
      <c r="M1359" s="73"/>
      <c r="N1359" s="73"/>
      <c r="O1359" s="73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14.25" customHeight="1" x14ac:dyDescent="0.35">
      <c r="A1360" s="9">
        <f t="shared" si="64"/>
        <v>1352</v>
      </c>
      <c r="B1360" s="15"/>
      <c r="C1360" s="11">
        <f t="shared" si="63"/>
        <v>1</v>
      </c>
      <c r="D1360" s="11"/>
      <c r="E1360" s="11"/>
      <c r="F1360" s="11"/>
      <c r="G1360" s="89">
        <f>IFERROR(VLOOKUP(F1360,COA!$A$1:$K$26,2,FALSE),0)</f>
        <v>0</v>
      </c>
      <c r="H1360" s="11"/>
      <c r="I1360" s="11"/>
      <c r="J1360" s="78"/>
      <c r="K1360" s="78"/>
      <c r="L1360" s="146">
        <f t="shared" si="65"/>
        <v>1800000</v>
      </c>
      <c r="M1360" s="73"/>
      <c r="N1360" s="73"/>
      <c r="O1360" s="73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14.25" customHeight="1" x14ac:dyDescent="0.35">
      <c r="A1361" s="9">
        <f t="shared" si="64"/>
        <v>1353</v>
      </c>
      <c r="B1361" s="15"/>
      <c r="C1361" s="11">
        <f t="shared" si="63"/>
        <v>1</v>
      </c>
      <c r="D1361" s="11"/>
      <c r="E1361" s="11"/>
      <c r="F1361" s="11"/>
      <c r="G1361" s="89">
        <f>IFERROR(VLOOKUP(F1361,COA!$A$1:$K$26,2,FALSE),0)</f>
        <v>0</v>
      </c>
      <c r="H1361" s="11"/>
      <c r="I1361" s="11"/>
      <c r="J1361" s="78"/>
      <c r="K1361" s="78"/>
      <c r="L1361" s="146">
        <f t="shared" si="65"/>
        <v>1800000</v>
      </c>
      <c r="M1361" s="73"/>
      <c r="N1361" s="73"/>
      <c r="O1361" s="73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14.25" customHeight="1" x14ac:dyDescent="0.35">
      <c r="A1362" s="9">
        <f t="shared" si="64"/>
        <v>1354</v>
      </c>
      <c r="B1362" s="15"/>
      <c r="C1362" s="11">
        <f t="shared" si="63"/>
        <v>1</v>
      </c>
      <c r="D1362" s="11"/>
      <c r="E1362" s="11"/>
      <c r="F1362" s="11"/>
      <c r="G1362" s="89">
        <f>IFERROR(VLOOKUP(F1362,COA!$A$1:$K$26,2,FALSE),0)</f>
        <v>0</v>
      </c>
      <c r="H1362" s="11"/>
      <c r="I1362" s="11"/>
      <c r="J1362" s="78"/>
      <c r="K1362" s="78"/>
      <c r="L1362" s="146">
        <f t="shared" si="65"/>
        <v>1800000</v>
      </c>
      <c r="M1362" s="73"/>
      <c r="N1362" s="73"/>
      <c r="O1362" s="73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14.25" customHeight="1" x14ac:dyDescent="0.35">
      <c r="A1363" s="9">
        <f t="shared" si="64"/>
        <v>1355</v>
      </c>
      <c r="B1363" s="15"/>
      <c r="C1363" s="11">
        <f t="shared" si="63"/>
        <v>1</v>
      </c>
      <c r="D1363" s="11"/>
      <c r="E1363" s="11"/>
      <c r="F1363" s="11"/>
      <c r="G1363" s="89">
        <f>IFERROR(VLOOKUP(F1363,COA!$A$1:$K$26,2,FALSE),0)</f>
        <v>0</v>
      </c>
      <c r="H1363" s="11"/>
      <c r="I1363" s="11"/>
      <c r="J1363" s="78"/>
      <c r="K1363" s="78"/>
      <c r="L1363" s="146">
        <f t="shared" si="65"/>
        <v>1800000</v>
      </c>
      <c r="M1363" s="73"/>
      <c r="N1363" s="73"/>
      <c r="O1363" s="73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14.25" customHeight="1" x14ac:dyDescent="0.35">
      <c r="A1364" s="9">
        <f t="shared" si="64"/>
        <v>1356</v>
      </c>
      <c r="B1364" s="15"/>
      <c r="C1364" s="11">
        <f t="shared" si="63"/>
        <v>1</v>
      </c>
      <c r="D1364" s="11"/>
      <c r="E1364" s="11"/>
      <c r="F1364" s="11"/>
      <c r="G1364" s="89">
        <f>IFERROR(VLOOKUP(F1364,COA!$A$1:$K$26,2,FALSE),0)</f>
        <v>0</v>
      </c>
      <c r="H1364" s="11"/>
      <c r="I1364" s="11"/>
      <c r="J1364" s="78"/>
      <c r="K1364" s="78"/>
      <c r="L1364" s="146">
        <f t="shared" si="65"/>
        <v>1800000</v>
      </c>
      <c r="M1364" s="73"/>
      <c r="N1364" s="73"/>
      <c r="O1364" s="73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14.25" customHeight="1" x14ac:dyDescent="0.35">
      <c r="A1365" s="9">
        <f t="shared" si="64"/>
        <v>1357</v>
      </c>
      <c r="B1365" s="15"/>
      <c r="C1365" s="11">
        <f t="shared" si="63"/>
        <v>1</v>
      </c>
      <c r="D1365" s="11"/>
      <c r="E1365" s="11"/>
      <c r="F1365" s="11"/>
      <c r="G1365" s="89">
        <f>IFERROR(VLOOKUP(F1365,COA!$A$1:$K$26,2,FALSE),0)</f>
        <v>0</v>
      </c>
      <c r="H1365" s="11"/>
      <c r="I1365" s="11"/>
      <c r="J1365" s="78"/>
      <c r="K1365" s="78"/>
      <c r="L1365" s="146">
        <f t="shared" si="65"/>
        <v>1800000</v>
      </c>
      <c r="M1365" s="73"/>
      <c r="N1365" s="73"/>
      <c r="O1365" s="73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14.25" customHeight="1" x14ac:dyDescent="0.35">
      <c r="A1366" s="9">
        <f t="shared" si="64"/>
        <v>1358</v>
      </c>
      <c r="B1366" s="15"/>
      <c r="C1366" s="11">
        <f t="shared" si="63"/>
        <v>1</v>
      </c>
      <c r="D1366" s="11"/>
      <c r="E1366" s="11"/>
      <c r="F1366" s="11"/>
      <c r="G1366" s="89">
        <f>IFERROR(VLOOKUP(F1366,COA!$A$1:$K$26,2,FALSE),0)</f>
        <v>0</v>
      </c>
      <c r="H1366" s="11"/>
      <c r="I1366" s="11"/>
      <c r="J1366" s="78"/>
      <c r="K1366" s="78"/>
      <c r="L1366" s="146">
        <f t="shared" si="65"/>
        <v>1800000</v>
      </c>
      <c r="M1366" s="73"/>
      <c r="N1366" s="73"/>
      <c r="O1366" s="73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14.25" customHeight="1" x14ac:dyDescent="0.35">
      <c r="A1367" s="9">
        <f t="shared" si="64"/>
        <v>1359</v>
      </c>
      <c r="B1367" s="15"/>
      <c r="C1367" s="11">
        <f t="shared" si="63"/>
        <v>1</v>
      </c>
      <c r="D1367" s="11"/>
      <c r="E1367" s="11"/>
      <c r="F1367" s="11"/>
      <c r="G1367" s="89">
        <f>IFERROR(VLOOKUP(F1367,COA!$A$1:$K$26,2,FALSE),0)</f>
        <v>0</v>
      </c>
      <c r="H1367" s="11"/>
      <c r="I1367" s="11"/>
      <c r="J1367" s="78"/>
      <c r="K1367" s="78"/>
      <c r="L1367" s="146">
        <f t="shared" si="65"/>
        <v>1800000</v>
      </c>
      <c r="M1367" s="73"/>
      <c r="N1367" s="73"/>
      <c r="O1367" s="73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14.25" customHeight="1" x14ac:dyDescent="0.35">
      <c r="A1368" s="9">
        <f t="shared" si="64"/>
        <v>1360</v>
      </c>
      <c r="B1368" s="15"/>
      <c r="C1368" s="11">
        <f t="shared" si="63"/>
        <v>1</v>
      </c>
      <c r="D1368" s="11"/>
      <c r="E1368" s="11"/>
      <c r="F1368" s="11"/>
      <c r="G1368" s="89">
        <f>IFERROR(VLOOKUP(F1368,COA!$A$1:$K$26,2,FALSE),0)</f>
        <v>0</v>
      </c>
      <c r="H1368" s="11"/>
      <c r="I1368" s="11"/>
      <c r="J1368" s="78"/>
      <c r="K1368" s="78"/>
      <c r="L1368" s="146">
        <f t="shared" si="65"/>
        <v>1800000</v>
      </c>
      <c r="M1368" s="73"/>
      <c r="N1368" s="73"/>
      <c r="O1368" s="73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14.25" customHeight="1" x14ac:dyDescent="0.35">
      <c r="A1369" s="9">
        <f t="shared" si="64"/>
        <v>1361</v>
      </c>
      <c r="B1369" s="15"/>
      <c r="C1369" s="11">
        <f t="shared" si="63"/>
        <v>1</v>
      </c>
      <c r="D1369" s="11"/>
      <c r="E1369" s="11"/>
      <c r="F1369" s="11"/>
      <c r="G1369" s="89">
        <f>IFERROR(VLOOKUP(F1369,COA!$A$1:$K$26,2,FALSE),0)</f>
        <v>0</v>
      </c>
      <c r="H1369" s="11"/>
      <c r="I1369" s="11"/>
      <c r="J1369" s="78"/>
      <c r="K1369" s="78"/>
      <c r="L1369" s="146">
        <f t="shared" si="65"/>
        <v>1800000</v>
      </c>
      <c r="M1369" s="73"/>
      <c r="N1369" s="73"/>
      <c r="O1369" s="73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14.25" customHeight="1" x14ac:dyDescent="0.35">
      <c r="A1370" s="9">
        <f t="shared" si="64"/>
        <v>1362</v>
      </c>
      <c r="B1370" s="15"/>
      <c r="C1370" s="11">
        <f t="shared" si="63"/>
        <v>1</v>
      </c>
      <c r="D1370" s="11"/>
      <c r="E1370" s="11"/>
      <c r="F1370" s="11"/>
      <c r="G1370" s="89">
        <f>IFERROR(VLOOKUP(F1370,COA!$A$1:$K$26,2,FALSE),0)</f>
        <v>0</v>
      </c>
      <c r="H1370" s="11"/>
      <c r="I1370" s="11"/>
      <c r="J1370" s="78"/>
      <c r="K1370" s="78"/>
      <c r="L1370" s="146">
        <f t="shared" si="65"/>
        <v>1800000</v>
      </c>
      <c r="M1370" s="73"/>
      <c r="N1370" s="73"/>
      <c r="O1370" s="73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14.25" customHeight="1" x14ac:dyDescent="0.35">
      <c r="A1371" s="9">
        <f t="shared" si="64"/>
        <v>1363</v>
      </c>
      <c r="B1371" s="15"/>
      <c r="C1371" s="11">
        <f t="shared" si="63"/>
        <v>1</v>
      </c>
      <c r="D1371" s="11"/>
      <c r="E1371" s="11"/>
      <c r="F1371" s="11"/>
      <c r="G1371" s="89">
        <f>IFERROR(VLOOKUP(F1371,COA!$A$1:$K$26,2,FALSE),0)</f>
        <v>0</v>
      </c>
      <c r="H1371" s="11"/>
      <c r="I1371" s="11"/>
      <c r="J1371" s="78"/>
      <c r="K1371" s="78"/>
      <c r="L1371" s="146">
        <f t="shared" si="65"/>
        <v>1800000</v>
      </c>
      <c r="M1371" s="73"/>
      <c r="N1371" s="73"/>
      <c r="O1371" s="73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14.25" customHeight="1" x14ac:dyDescent="0.35">
      <c r="A1372" s="9">
        <f t="shared" si="64"/>
        <v>1364</v>
      </c>
      <c r="B1372" s="15"/>
      <c r="C1372" s="11">
        <f t="shared" si="63"/>
        <v>1</v>
      </c>
      <c r="D1372" s="11"/>
      <c r="E1372" s="11"/>
      <c r="F1372" s="11"/>
      <c r="G1372" s="89">
        <f>IFERROR(VLOOKUP(F1372,COA!$A$1:$K$26,2,FALSE),0)</f>
        <v>0</v>
      </c>
      <c r="H1372" s="11"/>
      <c r="I1372" s="11"/>
      <c r="J1372" s="78"/>
      <c r="K1372" s="78"/>
      <c r="L1372" s="146">
        <f t="shared" si="65"/>
        <v>1800000</v>
      </c>
      <c r="M1372" s="73"/>
      <c r="N1372" s="73"/>
      <c r="O1372" s="73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14.25" customHeight="1" x14ac:dyDescent="0.35">
      <c r="A1373" s="9">
        <f t="shared" si="64"/>
        <v>1365</v>
      </c>
      <c r="B1373" s="15"/>
      <c r="C1373" s="11">
        <f t="shared" si="63"/>
        <v>1</v>
      </c>
      <c r="D1373" s="11"/>
      <c r="E1373" s="11"/>
      <c r="F1373" s="11"/>
      <c r="G1373" s="89">
        <f>IFERROR(VLOOKUP(F1373,COA!$A$1:$K$26,2,FALSE),0)</f>
        <v>0</v>
      </c>
      <c r="H1373" s="11"/>
      <c r="I1373" s="11"/>
      <c r="J1373" s="78"/>
      <c r="K1373" s="78"/>
      <c r="L1373" s="146">
        <f t="shared" si="65"/>
        <v>1800000</v>
      </c>
      <c r="M1373" s="73"/>
      <c r="N1373" s="73"/>
      <c r="O1373" s="73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14.25" customHeight="1" x14ac:dyDescent="0.35">
      <c r="A1374" s="9">
        <f t="shared" si="64"/>
        <v>1366</v>
      </c>
      <c r="B1374" s="15"/>
      <c r="C1374" s="11">
        <f t="shared" si="63"/>
        <v>1</v>
      </c>
      <c r="D1374" s="11"/>
      <c r="E1374" s="11"/>
      <c r="F1374" s="11"/>
      <c r="G1374" s="89">
        <f>IFERROR(VLOOKUP(F1374,COA!$A$1:$K$26,2,FALSE),0)</f>
        <v>0</v>
      </c>
      <c r="H1374" s="11"/>
      <c r="I1374" s="11"/>
      <c r="J1374" s="78"/>
      <c r="K1374" s="78"/>
      <c r="L1374" s="146">
        <f t="shared" si="65"/>
        <v>1800000</v>
      </c>
      <c r="M1374" s="73"/>
      <c r="N1374" s="73"/>
      <c r="O1374" s="73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14.25" customHeight="1" x14ac:dyDescent="0.35">
      <c r="A1375" s="9">
        <f t="shared" si="64"/>
        <v>1367</v>
      </c>
      <c r="B1375" s="15"/>
      <c r="C1375" s="11">
        <f t="shared" si="63"/>
        <v>1</v>
      </c>
      <c r="D1375" s="11"/>
      <c r="E1375" s="11"/>
      <c r="F1375" s="11"/>
      <c r="G1375" s="89">
        <f>IFERROR(VLOOKUP(F1375,COA!$A$1:$K$26,2,FALSE),0)</f>
        <v>0</v>
      </c>
      <c r="H1375" s="11"/>
      <c r="I1375" s="11"/>
      <c r="J1375" s="78"/>
      <c r="K1375" s="78"/>
      <c r="L1375" s="146">
        <f t="shared" si="65"/>
        <v>1800000</v>
      </c>
      <c r="M1375" s="73"/>
      <c r="N1375" s="73"/>
      <c r="O1375" s="73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14.25" customHeight="1" x14ac:dyDescent="0.35">
      <c r="A1376" s="9">
        <f t="shared" si="64"/>
        <v>1368</v>
      </c>
      <c r="B1376" s="15"/>
      <c r="C1376" s="11">
        <f t="shared" si="63"/>
        <v>1</v>
      </c>
      <c r="D1376" s="11"/>
      <c r="E1376" s="11"/>
      <c r="F1376" s="11"/>
      <c r="G1376" s="89">
        <f>IFERROR(VLOOKUP(F1376,COA!$A$1:$K$26,2,FALSE),0)</f>
        <v>0</v>
      </c>
      <c r="H1376" s="11"/>
      <c r="I1376" s="11"/>
      <c r="J1376" s="78"/>
      <c r="K1376" s="78"/>
      <c r="L1376" s="146">
        <f t="shared" si="65"/>
        <v>1800000</v>
      </c>
      <c r="M1376" s="73"/>
      <c r="N1376" s="73"/>
      <c r="O1376" s="73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14.25" customHeight="1" x14ac:dyDescent="0.35">
      <c r="A1377" s="9">
        <f t="shared" si="64"/>
        <v>1369</v>
      </c>
      <c r="B1377" s="15"/>
      <c r="C1377" s="11">
        <f t="shared" si="63"/>
        <v>1</v>
      </c>
      <c r="D1377" s="11"/>
      <c r="E1377" s="11"/>
      <c r="F1377" s="11"/>
      <c r="G1377" s="89">
        <f>IFERROR(VLOOKUP(F1377,COA!$A$1:$K$26,2,FALSE),0)</f>
        <v>0</v>
      </c>
      <c r="H1377" s="11"/>
      <c r="I1377" s="11"/>
      <c r="J1377" s="78"/>
      <c r="K1377" s="78"/>
      <c r="L1377" s="146">
        <f t="shared" si="65"/>
        <v>1800000</v>
      </c>
      <c r="M1377" s="73"/>
      <c r="N1377" s="73"/>
      <c r="O1377" s="73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14.25" customHeight="1" x14ac:dyDescent="0.35">
      <c r="A1378" s="9">
        <f t="shared" si="64"/>
        <v>1370</v>
      </c>
      <c r="B1378" s="15"/>
      <c r="C1378" s="11">
        <f t="shared" si="63"/>
        <v>1</v>
      </c>
      <c r="D1378" s="11"/>
      <c r="E1378" s="11"/>
      <c r="F1378" s="11"/>
      <c r="G1378" s="89">
        <f>IFERROR(VLOOKUP(F1378,COA!$A$1:$K$26,2,FALSE),0)</f>
        <v>0</v>
      </c>
      <c r="H1378" s="11"/>
      <c r="I1378" s="11"/>
      <c r="J1378" s="78"/>
      <c r="K1378" s="78"/>
      <c r="L1378" s="146">
        <f t="shared" si="65"/>
        <v>1800000</v>
      </c>
      <c r="M1378" s="73"/>
      <c r="N1378" s="73"/>
      <c r="O1378" s="73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14.25" customHeight="1" x14ac:dyDescent="0.35">
      <c r="A1379" s="9">
        <f t="shared" si="64"/>
        <v>1371</v>
      </c>
      <c r="B1379" s="15"/>
      <c r="C1379" s="11">
        <f t="shared" si="63"/>
        <v>1</v>
      </c>
      <c r="D1379" s="11"/>
      <c r="E1379" s="11"/>
      <c r="F1379" s="11"/>
      <c r="G1379" s="89">
        <f>IFERROR(VLOOKUP(F1379,COA!$A$1:$K$26,2,FALSE),0)</f>
        <v>0</v>
      </c>
      <c r="H1379" s="11"/>
      <c r="I1379" s="11"/>
      <c r="J1379" s="78"/>
      <c r="K1379" s="78"/>
      <c r="L1379" s="146">
        <f t="shared" si="65"/>
        <v>1800000</v>
      </c>
      <c r="M1379" s="73"/>
      <c r="N1379" s="73"/>
      <c r="O1379" s="73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14.25" customHeight="1" x14ac:dyDescent="0.35">
      <c r="A1380" s="9">
        <f t="shared" si="64"/>
        <v>1372</v>
      </c>
      <c r="B1380" s="15"/>
      <c r="C1380" s="11">
        <f t="shared" si="63"/>
        <v>1</v>
      </c>
      <c r="D1380" s="11"/>
      <c r="E1380" s="11"/>
      <c r="F1380" s="11"/>
      <c r="G1380" s="89">
        <f>IFERROR(VLOOKUP(F1380,COA!$A$1:$K$26,2,FALSE),0)</f>
        <v>0</v>
      </c>
      <c r="H1380" s="11"/>
      <c r="I1380" s="11"/>
      <c r="J1380" s="78"/>
      <c r="K1380" s="78"/>
      <c r="L1380" s="146">
        <f t="shared" si="65"/>
        <v>1800000</v>
      </c>
      <c r="M1380" s="73"/>
      <c r="N1380" s="73"/>
      <c r="O1380" s="73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14.25" customHeight="1" x14ac:dyDescent="0.35">
      <c r="A1381" s="9">
        <f t="shared" si="64"/>
        <v>1373</v>
      </c>
      <c r="B1381" s="15"/>
      <c r="C1381" s="11">
        <f t="shared" si="63"/>
        <v>1</v>
      </c>
      <c r="D1381" s="11"/>
      <c r="E1381" s="11"/>
      <c r="F1381" s="11"/>
      <c r="G1381" s="89">
        <f>IFERROR(VLOOKUP(F1381,COA!$A$1:$K$26,2,FALSE),0)</f>
        <v>0</v>
      </c>
      <c r="H1381" s="11"/>
      <c r="I1381" s="11"/>
      <c r="J1381" s="78"/>
      <c r="K1381" s="78"/>
      <c r="L1381" s="146">
        <f t="shared" si="65"/>
        <v>1800000</v>
      </c>
      <c r="M1381" s="73"/>
      <c r="N1381" s="73"/>
      <c r="O1381" s="73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14.25" customHeight="1" x14ac:dyDescent="0.35">
      <c r="A1382" s="9">
        <f t="shared" si="64"/>
        <v>1374</v>
      </c>
      <c r="B1382" s="15"/>
      <c r="C1382" s="11">
        <f t="shared" si="63"/>
        <v>1</v>
      </c>
      <c r="D1382" s="11"/>
      <c r="E1382" s="11"/>
      <c r="F1382" s="11"/>
      <c r="G1382" s="89">
        <f>IFERROR(VLOOKUP(F1382,COA!$A$1:$K$26,2,FALSE),0)</f>
        <v>0</v>
      </c>
      <c r="H1382" s="11"/>
      <c r="I1382" s="11"/>
      <c r="J1382" s="78"/>
      <c r="K1382" s="78"/>
      <c r="L1382" s="146">
        <f t="shared" si="65"/>
        <v>1800000</v>
      </c>
      <c r="M1382" s="73"/>
      <c r="N1382" s="73"/>
      <c r="O1382" s="73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14.25" customHeight="1" x14ac:dyDescent="0.35">
      <c r="A1383" s="9">
        <f t="shared" si="64"/>
        <v>1375</v>
      </c>
      <c r="B1383" s="15"/>
      <c r="C1383" s="11">
        <f t="shared" si="63"/>
        <v>1</v>
      </c>
      <c r="D1383" s="11"/>
      <c r="E1383" s="11"/>
      <c r="F1383" s="11"/>
      <c r="G1383" s="89">
        <f>IFERROR(VLOOKUP(F1383,COA!$A$1:$K$26,2,FALSE),0)</f>
        <v>0</v>
      </c>
      <c r="H1383" s="11"/>
      <c r="I1383" s="11"/>
      <c r="J1383" s="78"/>
      <c r="K1383" s="78"/>
      <c r="L1383" s="146">
        <f t="shared" si="65"/>
        <v>1800000</v>
      </c>
      <c r="M1383" s="73"/>
      <c r="N1383" s="73"/>
      <c r="O1383" s="73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14.25" customHeight="1" x14ac:dyDescent="0.35">
      <c r="A1384" s="9">
        <f t="shared" si="64"/>
        <v>1376</v>
      </c>
      <c r="B1384" s="15"/>
      <c r="C1384" s="11">
        <f t="shared" si="63"/>
        <v>1</v>
      </c>
      <c r="D1384" s="11"/>
      <c r="E1384" s="11"/>
      <c r="F1384" s="11"/>
      <c r="G1384" s="89">
        <f>IFERROR(VLOOKUP(F1384,COA!$A$1:$K$26,2,FALSE),0)</f>
        <v>0</v>
      </c>
      <c r="H1384" s="11"/>
      <c r="I1384" s="11"/>
      <c r="J1384" s="78"/>
      <c r="K1384" s="78"/>
      <c r="L1384" s="146">
        <f t="shared" si="65"/>
        <v>1800000</v>
      </c>
      <c r="M1384" s="73"/>
      <c r="N1384" s="73"/>
      <c r="O1384" s="73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14.25" customHeight="1" x14ac:dyDescent="0.35">
      <c r="A1385" s="9">
        <f t="shared" si="64"/>
        <v>1377</v>
      </c>
      <c r="B1385" s="15"/>
      <c r="C1385" s="11">
        <f t="shared" si="63"/>
        <v>1</v>
      </c>
      <c r="D1385" s="11"/>
      <c r="E1385" s="11"/>
      <c r="F1385" s="11"/>
      <c r="G1385" s="89">
        <f>IFERROR(VLOOKUP(F1385,COA!$A$1:$K$26,2,FALSE),0)</f>
        <v>0</v>
      </c>
      <c r="H1385" s="11"/>
      <c r="I1385" s="11"/>
      <c r="J1385" s="78"/>
      <c r="K1385" s="78"/>
      <c r="L1385" s="146">
        <f t="shared" si="65"/>
        <v>1800000</v>
      </c>
      <c r="M1385" s="73"/>
      <c r="N1385" s="73"/>
      <c r="O1385" s="73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14.25" customHeight="1" x14ac:dyDescent="0.35">
      <c r="A1386" s="9">
        <f t="shared" si="64"/>
        <v>1378</v>
      </c>
      <c r="B1386" s="15"/>
      <c r="C1386" s="11">
        <f t="shared" si="63"/>
        <v>1</v>
      </c>
      <c r="D1386" s="11"/>
      <c r="E1386" s="11"/>
      <c r="F1386" s="11"/>
      <c r="G1386" s="89">
        <f>IFERROR(VLOOKUP(F1386,COA!$A$1:$K$26,2,FALSE),0)</f>
        <v>0</v>
      </c>
      <c r="H1386" s="11"/>
      <c r="I1386" s="11"/>
      <c r="J1386" s="78"/>
      <c r="K1386" s="78"/>
      <c r="L1386" s="146">
        <f t="shared" si="65"/>
        <v>1800000</v>
      </c>
      <c r="M1386" s="73"/>
      <c r="N1386" s="73"/>
      <c r="O1386" s="73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14.25" customHeight="1" x14ac:dyDescent="0.35">
      <c r="A1387" s="9">
        <f t="shared" si="64"/>
        <v>1379</v>
      </c>
      <c r="B1387" s="15"/>
      <c r="C1387" s="11">
        <f t="shared" si="63"/>
        <v>1</v>
      </c>
      <c r="D1387" s="11"/>
      <c r="E1387" s="11"/>
      <c r="F1387" s="11"/>
      <c r="G1387" s="89">
        <f>IFERROR(VLOOKUP(F1387,COA!$A$1:$K$26,2,FALSE),0)</f>
        <v>0</v>
      </c>
      <c r="H1387" s="11"/>
      <c r="I1387" s="11"/>
      <c r="J1387" s="78"/>
      <c r="K1387" s="78"/>
      <c r="L1387" s="146">
        <f t="shared" si="65"/>
        <v>1800000</v>
      </c>
      <c r="M1387" s="73"/>
      <c r="N1387" s="73"/>
      <c r="O1387" s="73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14.25" customHeight="1" x14ac:dyDescent="0.35">
      <c r="A1388" s="9">
        <f t="shared" si="64"/>
        <v>1380</v>
      </c>
      <c r="B1388" s="15"/>
      <c r="C1388" s="11">
        <f t="shared" si="63"/>
        <v>1</v>
      </c>
      <c r="D1388" s="11"/>
      <c r="E1388" s="11"/>
      <c r="F1388" s="11"/>
      <c r="G1388" s="89">
        <f>IFERROR(VLOOKUP(F1388,COA!$A$1:$K$26,2,FALSE),0)</f>
        <v>0</v>
      </c>
      <c r="H1388" s="11"/>
      <c r="I1388" s="11"/>
      <c r="J1388" s="78"/>
      <c r="K1388" s="78"/>
      <c r="L1388" s="146">
        <f t="shared" si="65"/>
        <v>1800000</v>
      </c>
      <c r="M1388" s="73"/>
      <c r="N1388" s="73"/>
      <c r="O1388" s="73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14.25" customHeight="1" x14ac:dyDescent="0.35">
      <c r="A1389" s="9">
        <f t="shared" si="64"/>
        <v>1381</v>
      </c>
      <c r="B1389" s="15"/>
      <c r="C1389" s="11">
        <f t="shared" si="63"/>
        <v>1</v>
      </c>
      <c r="D1389" s="11"/>
      <c r="E1389" s="11"/>
      <c r="F1389" s="11"/>
      <c r="G1389" s="89">
        <f>IFERROR(VLOOKUP(F1389,COA!$A$1:$K$26,2,FALSE),0)</f>
        <v>0</v>
      </c>
      <c r="H1389" s="11"/>
      <c r="I1389" s="11"/>
      <c r="J1389" s="78"/>
      <c r="K1389" s="78"/>
      <c r="L1389" s="146">
        <f t="shared" si="65"/>
        <v>1800000</v>
      </c>
      <c r="M1389" s="73"/>
      <c r="N1389" s="73"/>
      <c r="O1389" s="73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14.25" customHeight="1" x14ac:dyDescent="0.35">
      <c r="A1390" s="9">
        <f t="shared" si="64"/>
        <v>1382</v>
      </c>
      <c r="B1390" s="15"/>
      <c r="C1390" s="11">
        <f t="shared" si="63"/>
        <v>1</v>
      </c>
      <c r="D1390" s="11"/>
      <c r="E1390" s="11"/>
      <c r="F1390" s="11"/>
      <c r="G1390" s="89">
        <f>IFERROR(VLOOKUP(F1390,COA!$A$1:$K$26,2,FALSE),0)</f>
        <v>0</v>
      </c>
      <c r="H1390" s="11"/>
      <c r="I1390" s="11"/>
      <c r="J1390" s="78"/>
      <c r="K1390" s="78"/>
      <c r="L1390" s="146">
        <f t="shared" si="65"/>
        <v>1800000</v>
      </c>
      <c r="M1390" s="73"/>
      <c r="N1390" s="73"/>
      <c r="O1390" s="73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14.25" customHeight="1" x14ac:dyDescent="0.35">
      <c r="A1391" s="9">
        <f t="shared" si="64"/>
        <v>1383</v>
      </c>
      <c r="B1391" s="15"/>
      <c r="C1391" s="11">
        <f t="shared" si="63"/>
        <v>1</v>
      </c>
      <c r="D1391" s="11"/>
      <c r="E1391" s="11"/>
      <c r="F1391" s="11"/>
      <c r="G1391" s="89">
        <f>IFERROR(VLOOKUP(F1391,COA!$A$1:$K$26,2,FALSE),0)</f>
        <v>0</v>
      </c>
      <c r="H1391" s="11"/>
      <c r="I1391" s="11"/>
      <c r="J1391" s="78"/>
      <c r="K1391" s="78"/>
      <c r="L1391" s="146">
        <f t="shared" si="65"/>
        <v>1800000</v>
      </c>
      <c r="M1391" s="73"/>
      <c r="N1391" s="73"/>
      <c r="O1391" s="73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14.25" customHeight="1" x14ac:dyDescent="0.35">
      <c r="A1392" s="9">
        <f t="shared" si="64"/>
        <v>1384</v>
      </c>
      <c r="B1392" s="15"/>
      <c r="C1392" s="11">
        <f t="shared" si="63"/>
        <v>1</v>
      </c>
      <c r="D1392" s="11"/>
      <c r="E1392" s="11"/>
      <c r="F1392" s="11"/>
      <c r="G1392" s="89">
        <f>IFERROR(VLOOKUP(F1392,COA!$A$1:$K$26,2,FALSE),0)</f>
        <v>0</v>
      </c>
      <c r="H1392" s="11"/>
      <c r="I1392" s="11"/>
      <c r="J1392" s="78"/>
      <c r="K1392" s="78"/>
      <c r="L1392" s="146">
        <f t="shared" si="65"/>
        <v>1800000</v>
      </c>
      <c r="M1392" s="73"/>
      <c r="N1392" s="73"/>
      <c r="O1392" s="73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14.25" customHeight="1" x14ac:dyDescent="0.35">
      <c r="A1393" s="9">
        <f t="shared" si="64"/>
        <v>1385</v>
      </c>
      <c r="B1393" s="15"/>
      <c r="C1393" s="11">
        <f t="shared" si="63"/>
        <v>1</v>
      </c>
      <c r="D1393" s="11"/>
      <c r="E1393" s="11"/>
      <c r="F1393" s="11"/>
      <c r="G1393" s="89">
        <f>IFERROR(VLOOKUP(F1393,COA!$A$1:$K$26,2,FALSE),0)</f>
        <v>0</v>
      </c>
      <c r="H1393" s="11"/>
      <c r="I1393" s="11"/>
      <c r="J1393" s="78"/>
      <c r="K1393" s="78"/>
      <c r="L1393" s="146">
        <f t="shared" si="65"/>
        <v>1800000</v>
      </c>
      <c r="M1393" s="73"/>
      <c r="N1393" s="73"/>
      <c r="O1393" s="73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14.25" customHeight="1" x14ac:dyDescent="0.35">
      <c r="A1394" s="9">
        <f t="shared" si="64"/>
        <v>1386</v>
      </c>
      <c r="B1394" s="15"/>
      <c r="C1394" s="11">
        <f t="shared" si="63"/>
        <v>1</v>
      </c>
      <c r="D1394" s="11"/>
      <c r="E1394" s="11"/>
      <c r="F1394" s="11"/>
      <c r="G1394" s="89">
        <f>IFERROR(VLOOKUP(F1394,COA!$A$1:$K$26,2,FALSE),0)</f>
        <v>0</v>
      </c>
      <c r="H1394" s="11"/>
      <c r="I1394" s="11"/>
      <c r="J1394" s="78"/>
      <c r="K1394" s="78"/>
      <c r="L1394" s="146">
        <f t="shared" si="65"/>
        <v>1800000</v>
      </c>
      <c r="M1394" s="73"/>
      <c r="N1394" s="73"/>
      <c r="O1394" s="73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14.25" customHeight="1" x14ac:dyDescent="0.35">
      <c r="A1395" s="9">
        <f t="shared" si="64"/>
        <v>1387</v>
      </c>
      <c r="B1395" s="15"/>
      <c r="C1395" s="11">
        <f t="shared" si="63"/>
        <v>1</v>
      </c>
      <c r="D1395" s="11"/>
      <c r="E1395" s="11"/>
      <c r="F1395" s="11"/>
      <c r="G1395" s="89">
        <f>IFERROR(VLOOKUP(F1395,COA!$A$1:$K$26,2,FALSE),0)</f>
        <v>0</v>
      </c>
      <c r="H1395" s="11"/>
      <c r="I1395" s="11"/>
      <c r="J1395" s="78"/>
      <c r="K1395" s="78"/>
      <c r="L1395" s="146">
        <f t="shared" si="65"/>
        <v>1800000</v>
      </c>
      <c r="M1395" s="73"/>
      <c r="N1395" s="73"/>
      <c r="O1395" s="73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14.25" customHeight="1" x14ac:dyDescent="0.35">
      <c r="A1396" s="9">
        <f t="shared" si="64"/>
        <v>1388</v>
      </c>
      <c r="B1396" s="15"/>
      <c r="C1396" s="11">
        <f t="shared" si="63"/>
        <v>1</v>
      </c>
      <c r="D1396" s="11"/>
      <c r="E1396" s="11"/>
      <c r="F1396" s="11"/>
      <c r="G1396" s="89">
        <f>IFERROR(VLOOKUP(F1396,COA!$A$1:$K$26,2,FALSE),0)</f>
        <v>0</v>
      </c>
      <c r="H1396" s="11"/>
      <c r="I1396" s="11"/>
      <c r="J1396" s="78"/>
      <c r="K1396" s="78"/>
      <c r="L1396" s="146">
        <f t="shared" si="65"/>
        <v>1800000</v>
      </c>
      <c r="M1396" s="73"/>
      <c r="N1396" s="73"/>
      <c r="O1396" s="73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14.25" customHeight="1" x14ac:dyDescent="0.35">
      <c r="A1397" s="9">
        <f t="shared" si="64"/>
        <v>1389</v>
      </c>
      <c r="B1397" s="15"/>
      <c r="C1397" s="11">
        <f t="shared" si="63"/>
        <v>1</v>
      </c>
      <c r="D1397" s="11"/>
      <c r="E1397" s="11"/>
      <c r="F1397" s="11"/>
      <c r="G1397" s="89">
        <f>IFERROR(VLOOKUP(F1397,COA!$A$1:$K$26,2,FALSE),0)</f>
        <v>0</v>
      </c>
      <c r="H1397" s="11"/>
      <c r="I1397" s="11"/>
      <c r="J1397" s="78"/>
      <c r="K1397" s="78"/>
      <c r="L1397" s="146">
        <f t="shared" si="65"/>
        <v>1800000</v>
      </c>
      <c r="M1397" s="73"/>
      <c r="N1397" s="73"/>
      <c r="O1397" s="73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14.25" customHeight="1" x14ac:dyDescent="0.35">
      <c r="A1398" s="9">
        <f t="shared" si="64"/>
        <v>1390</v>
      </c>
      <c r="B1398" s="15"/>
      <c r="C1398" s="11">
        <f t="shared" si="63"/>
        <v>1</v>
      </c>
      <c r="D1398" s="11"/>
      <c r="E1398" s="11"/>
      <c r="F1398" s="11"/>
      <c r="G1398" s="89">
        <f>IFERROR(VLOOKUP(F1398,COA!$A$1:$K$26,2,FALSE),0)</f>
        <v>0</v>
      </c>
      <c r="H1398" s="11"/>
      <c r="I1398" s="11"/>
      <c r="J1398" s="78"/>
      <c r="K1398" s="78"/>
      <c r="L1398" s="146">
        <f t="shared" si="65"/>
        <v>1800000</v>
      </c>
      <c r="M1398" s="73"/>
      <c r="N1398" s="73"/>
      <c r="O1398" s="73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14.25" customHeight="1" x14ac:dyDescent="0.35">
      <c r="A1399" s="9">
        <f t="shared" si="64"/>
        <v>1391</v>
      </c>
      <c r="B1399" s="15"/>
      <c r="C1399" s="11">
        <f t="shared" si="63"/>
        <v>1</v>
      </c>
      <c r="D1399" s="11"/>
      <c r="E1399" s="11"/>
      <c r="F1399" s="11"/>
      <c r="G1399" s="89">
        <f>IFERROR(VLOOKUP(F1399,COA!$A$1:$K$26,2,FALSE),0)</f>
        <v>0</v>
      </c>
      <c r="H1399" s="11"/>
      <c r="I1399" s="11"/>
      <c r="J1399" s="78"/>
      <c r="K1399" s="78"/>
      <c r="L1399" s="146">
        <f t="shared" si="65"/>
        <v>1800000</v>
      </c>
      <c r="M1399" s="73"/>
      <c r="N1399" s="73"/>
      <c r="O1399" s="73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14.25" customHeight="1" x14ac:dyDescent="0.35">
      <c r="A1400" s="9">
        <f t="shared" si="64"/>
        <v>1392</v>
      </c>
      <c r="B1400" s="15"/>
      <c r="C1400" s="11">
        <f t="shared" si="63"/>
        <v>1</v>
      </c>
      <c r="D1400" s="11"/>
      <c r="E1400" s="11"/>
      <c r="F1400" s="11"/>
      <c r="G1400" s="89">
        <f>IFERROR(VLOOKUP(F1400,COA!$A$1:$K$26,2,FALSE),0)</f>
        <v>0</v>
      </c>
      <c r="H1400" s="11"/>
      <c r="I1400" s="11"/>
      <c r="J1400" s="78"/>
      <c r="K1400" s="78"/>
      <c r="L1400" s="146">
        <f t="shared" si="65"/>
        <v>1800000</v>
      </c>
      <c r="M1400" s="73"/>
      <c r="N1400" s="73"/>
      <c r="O1400" s="73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14.25" customHeight="1" x14ac:dyDescent="0.35">
      <c r="A1401" s="9">
        <f t="shared" si="64"/>
        <v>1393</v>
      </c>
      <c r="B1401" s="15"/>
      <c r="C1401" s="11">
        <f t="shared" si="63"/>
        <v>1</v>
      </c>
      <c r="D1401" s="11"/>
      <c r="E1401" s="11"/>
      <c r="F1401" s="11"/>
      <c r="G1401" s="89">
        <f>IFERROR(VLOOKUP(F1401,COA!$A$1:$K$26,2,FALSE),0)</f>
        <v>0</v>
      </c>
      <c r="H1401" s="11"/>
      <c r="I1401" s="11"/>
      <c r="J1401" s="78"/>
      <c r="K1401" s="78"/>
      <c r="L1401" s="146">
        <f t="shared" si="65"/>
        <v>1800000</v>
      </c>
      <c r="M1401" s="73"/>
      <c r="N1401" s="73"/>
      <c r="O1401" s="73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14.25" customHeight="1" x14ac:dyDescent="0.35">
      <c r="A1402" s="9">
        <f t="shared" si="64"/>
        <v>1394</v>
      </c>
      <c r="B1402" s="15"/>
      <c r="C1402" s="11">
        <f t="shared" si="63"/>
        <v>1</v>
      </c>
      <c r="D1402" s="11"/>
      <c r="E1402" s="11"/>
      <c r="F1402" s="11"/>
      <c r="G1402" s="89">
        <f>IFERROR(VLOOKUP(F1402,COA!$A$1:$K$26,2,FALSE),0)</f>
        <v>0</v>
      </c>
      <c r="H1402" s="11"/>
      <c r="I1402" s="11"/>
      <c r="J1402" s="78"/>
      <c r="K1402" s="78"/>
      <c r="L1402" s="146">
        <f t="shared" si="65"/>
        <v>1800000</v>
      </c>
      <c r="M1402" s="73"/>
      <c r="N1402" s="73"/>
      <c r="O1402" s="73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14.25" customHeight="1" x14ac:dyDescent="0.35">
      <c r="A1403" s="9">
        <f t="shared" si="64"/>
        <v>1395</v>
      </c>
      <c r="B1403" s="15"/>
      <c r="C1403" s="11">
        <f t="shared" si="63"/>
        <v>1</v>
      </c>
      <c r="D1403" s="11"/>
      <c r="E1403" s="11"/>
      <c r="F1403" s="11"/>
      <c r="G1403" s="89">
        <f>IFERROR(VLOOKUP(F1403,COA!$A$1:$K$26,2,FALSE),0)</f>
        <v>0</v>
      </c>
      <c r="H1403" s="11"/>
      <c r="I1403" s="11"/>
      <c r="J1403" s="78"/>
      <c r="K1403" s="78"/>
      <c r="L1403" s="146">
        <f t="shared" si="65"/>
        <v>1800000</v>
      </c>
      <c r="M1403" s="73"/>
      <c r="N1403" s="73"/>
      <c r="O1403" s="73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14.25" customHeight="1" x14ac:dyDescent="0.35">
      <c r="A1404" s="9">
        <f t="shared" si="64"/>
        <v>1396</v>
      </c>
      <c r="B1404" s="15"/>
      <c r="C1404" s="11">
        <f t="shared" si="63"/>
        <v>1</v>
      </c>
      <c r="D1404" s="11"/>
      <c r="E1404" s="11"/>
      <c r="F1404" s="11"/>
      <c r="G1404" s="89">
        <f>IFERROR(VLOOKUP(F1404,COA!$A$1:$K$26,2,FALSE),0)</f>
        <v>0</v>
      </c>
      <c r="H1404" s="11"/>
      <c r="I1404" s="11"/>
      <c r="J1404" s="78"/>
      <c r="K1404" s="78"/>
      <c r="L1404" s="146">
        <f t="shared" si="65"/>
        <v>1800000</v>
      </c>
      <c r="M1404" s="73"/>
      <c r="N1404" s="73"/>
      <c r="O1404" s="73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14.25" customHeight="1" x14ac:dyDescent="0.35">
      <c r="A1405" s="9">
        <f t="shared" si="64"/>
        <v>1397</v>
      </c>
      <c r="B1405" s="15"/>
      <c r="C1405" s="11">
        <f t="shared" si="63"/>
        <v>1</v>
      </c>
      <c r="D1405" s="11"/>
      <c r="E1405" s="11"/>
      <c r="F1405" s="11"/>
      <c r="G1405" s="89">
        <f>IFERROR(VLOOKUP(F1405,COA!$A$1:$K$26,2,FALSE),0)</f>
        <v>0</v>
      </c>
      <c r="H1405" s="11"/>
      <c r="I1405" s="11"/>
      <c r="J1405" s="78"/>
      <c r="K1405" s="78"/>
      <c r="L1405" s="146">
        <f t="shared" si="65"/>
        <v>1800000</v>
      </c>
      <c r="M1405" s="73"/>
      <c r="N1405" s="73"/>
      <c r="O1405" s="73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14.25" customHeight="1" x14ac:dyDescent="0.35">
      <c r="A1406" s="9">
        <f t="shared" si="64"/>
        <v>1398</v>
      </c>
      <c r="B1406" s="15"/>
      <c r="C1406" s="11">
        <f t="shared" si="63"/>
        <v>1</v>
      </c>
      <c r="D1406" s="11"/>
      <c r="E1406" s="11"/>
      <c r="F1406" s="11"/>
      <c r="G1406" s="89">
        <f>IFERROR(VLOOKUP(F1406,COA!$A$1:$K$26,2,FALSE),0)</f>
        <v>0</v>
      </c>
      <c r="H1406" s="11"/>
      <c r="I1406" s="11"/>
      <c r="J1406" s="78"/>
      <c r="K1406" s="78"/>
      <c r="L1406" s="146">
        <f t="shared" si="65"/>
        <v>1800000</v>
      </c>
      <c r="M1406" s="73"/>
      <c r="N1406" s="73"/>
      <c r="O1406" s="73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14.25" customHeight="1" x14ac:dyDescent="0.35">
      <c r="A1407" s="9">
        <f t="shared" si="64"/>
        <v>1399</v>
      </c>
      <c r="B1407" s="15"/>
      <c r="C1407" s="11">
        <f t="shared" si="63"/>
        <v>1</v>
      </c>
      <c r="D1407" s="11"/>
      <c r="E1407" s="11"/>
      <c r="F1407" s="11"/>
      <c r="G1407" s="89">
        <f>IFERROR(VLOOKUP(F1407,COA!$A$1:$K$26,2,FALSE),0)</f>
        <v>0</v>
      </c>
      <c r="H1407" s="11"/>
      <c r="I1407" s="11"/>
      <c r="J1407" s="78"/>
      <c r="K1407" s="78"/>
      <c r="L1407" s="146">
        <f t="shared" si="65"/>
        <v>1800000</v>
      </c>
      <c r="M1407" s="73"/>
      <c r="N1407" s="73"/>
      <c r="O1407" s="73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14.25" customHeight="1" x14ac:dyDescent="0.35">
      <c r="A1408" s="9">
        <f t="shared" si="64"/>
        <v>1400</v>
      </c>
      <c r="B1408" s="15"/>
      <c r="C1408" s="11">
        <f t="shared" si="63"/>
        <v>1</v>
      </c>
      <c r="D1408" s="11"/>
      <c r="E1408" s="11"/>
      <c r="F1408" s="11"/>
      <c r="G1408" s="89">
        <f>IFERROR(VLOOKUP(F1408,COA!$A$1:$K$26,2,FALSE),0)</f>
        <v>0</v>
      </c>
      <c r="H1408" s="11"/>
      <c r="I1408" s="11"/>
      <c r="J1408" s="78"/>
      <c r="K1408" s="78"/>
      <c r="L1408" s="146">
        <f t="shared" si="65"/>
        <v>1800000</v>
      </c>
      <c r="M1408" s="73"/>
      <c r="N1408" s="73"/>
      <c r="O1408" s="73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14.25" customHeight="1" x14ac:dyDescent="0.35">
      <c r="A1409" s="9">
        <f t="shared" si="64"/>
        <v>1401</v>
      </c>
      <c r="B1409" s="15"/>
      <c r="C1409" s="11">
        <f t="shared" si="63"/>
        <v>1</v>
      </c>
      <c r="D1409" s="11"/>
      <c r="E1409" s="11"/>
      <c r="F1409" s="11"/>
      <c r="G1409" s="89">
        <f>IFERROR(VLOOKUP(F1409,COA!$A$1:$K$26,2,FALSE),0)</f>
        <v>0</v>
      </c>
      <c r="H1409" s="11"/>
      <c r="I1409" s="11"/>
      <c r="J1409" s="78"/>
      <c r="K1409" s="78"/>
      <c r="L1409" s="146">
        <f t="shared" si="65"/>
        <v>1800000</v>
      </c>
      <c r="M1409" s="73"/>
      <c r="N1409" s="73"/>
      <c r="O1409" s="73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14.25" customHeight="1" x14ac:dyDescent="0.35">
      <c r="A1410" s="9">
        <f t="shared" si="64"/>
        <v>1402</v>
      </c>
      <c r="B1410" s="15"/>
      <c r="C1410" s="11">
        <f t="shared" si="63"/>
        <v>1</v>
      </c>
      <c r="D1410" s="11"/>
      <c r="E1410" s="11"/>
      <c r="F1410" s="11"/>
      <c r="G1410" s="89">
        <f>IFERROR(VLOOKUP(F1410,COA!$A$1:$K$26,2,FALSE),0)</f>
        <v>0</v>
      </c>
      <c r="H1410" s="11"/>
      <c r="I1410" s="11"/>
      <c r="J1410" s="78"/>
      <c r="K1410" s="78"/>
      <c r="L1410" s="146">
        <f t="shared" si="65"/>
        <v>1800000</v>
      </c>
      <c r="M1410" s="73"/>
      <c r="N1410" s="73"/>
      <c r="O1410" s="73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14.25" customHeight="1" x14ac:dyDescent="0.35">
      <c r="A1411" s="9">
        <f t="shared" si="64"/>
        <v>1403</v>
      </c>
      <c r="B1411" s="15"/>
      <c r="C1411" s="11">
        <f t="shared" si="63"/>
        <v>1</v>
      </c>
      <c r="D1411" s="11"/>
      <c r="E1411" s="11"/>
      <c r="F1411" s="11"/>
      <c r="G1411" s="89">
        <f>IFERROR(VLOOKUP(F1411,COA!$A$1:$K$26,2,FALSE),0)</f>
        <v>0</v>
      </c>
      <c r="H1411" s="11"/>
      <c r="I1411" s="11"/>
      <c r="J1411" s="78"/>
      <c r="K1411" s="78"/>
      <c r="L1411" s="146">
        <f t="shared" si="65"/>
        <v>1800000</v>
      </c>
      <c r="M1411" s="73"/>
      <c r="N1411" s="73"/>
      <c r="O1411" s="73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14.25" customHeight="1" x14ac:dyDescent="0.35">
      <c r="A1412" s="9">
        <f t="shared" si="64"/>
        <v>1404</v>
      </c>
      <c r="B1412" s="15"/>
      <c r="C1412" s="11">
        <f t="shared" si="63"/>
        <v>1</v>
      </c>
      <c r="D1412" s="11"/>
      <c r="E1412" s="11"/>
      <c r="F1412" s="11"/>
      <c r="G1412" s="89">
        <f>IFERROR(VLOOKUP(F1412,COA!$A$1:$K$26,2,FALSE),0)</f>
        <v>0</v>
      </c>
      <c r="H1412" s="11"/>
      <c r="I1412" s="11"/>
      <c r="J1412" s="78"/>
      <c r="K1412" s="78"/>
      <c r="L1412" s="146">
        <f t="shared" si="65"/>
        <v>1800000</v>
      </c>
      <c r="M1412" s="73"/>
      <c r="N1412" s="73"/>
      <c r="O1412" s="73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14.25" customHeight="1" x14ac:dyDescent="0.35">
      <c r="A1413" s="9">
        <f t="shared" si="64"/>
        <v>1405</v>
      </c>
      <c r="B1413" s="15"/>
      <c r="C1413" s="11">
        <f t="shared" si="63"/>
        <v>1</v>
      </c>
      <c r="D1413" s="11"/>
      <c r="E1413" s="11"/>
      <c r="F1413" s="11"/>
      <c r="G1413" s="89">
        <f>IFERROR(VLOOKUP(F1413,COA!$A$1:$K$26,2,FALSE),0)</f>
        <v>0</v>
      </c>
      <c r="H1413" s="11"/>
      <c r="I1413" s="11"/>
      <c r="J1413" s="78"/>
      <c r="K1413" s="78"/>
      <c r="L1413" s="146">
        <f t="shared" si="65"/>
        <v>1800000</v>
      </c>
      <c r="M1413" s="73"/>
      <c r="N1413" s="73"/>
      <c r="O1413" s="73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14.25" customHeight="1" x14ac:dyDescent="0.35">
      <c r="A1414" s="9">
        <f t="shared" si="64"/>
        <v>1406</v>
      </c>
      <c r="B1414" s="15"/>
      <c r="C1414" s="11">
        <f t="shared" si="63"/>
        <v>1</v>
      </c>
      <c r="D1414" s="11"/>
      <c r="E1414" s="11"/>
      <c r="F1414" s="11"/>
      <c r="G1414" s="89">
        <f>IFERROR(VLOOKUP(F1414,COA!$A$1:$K$26,2,FALSE),0)</f>
        <v>0</v>
      </c>
      <c r="H1414" s="11"/>
      <c r="I1414" s="11"/>
      <c r="J1414" s="78"/>
      <c r="K1414" s="78"/>
      <c r="L1414" s="146">
        <f t="shared" si="65"/>
        <v>1800000</v>
      </c>
      <c r="M1414" s="73"/>
      <c r="N1414" s="73"/>
      <c r="O1414" s="73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14.25" customHeight="1" x14ac:dyDescent="0.35">
      <c r="A1415" s="9">
        <f t="shared" si="64"/>
        <v>1407</v>
      </c>
      <c r="B1415" s="15"/>
      <c r="C1415" s="11">
        <f t="shared" si="63"/>
        <v>1</v>
      </c>
      <c r="D1415" s="11"/>
      <c r="E1415" s="11"/>
      <c r="F1415" s="11"/>
      <c r="G1415" s="89">
        <f>IFERROR(VLOOKUP(F1415,COA!$A$1:$K$26,2,FALSE),0)</f>
        <v>0</v>
      </c>
      <c r="H1415" s="11"/>
      <c r="I1415" s="11"/>
      <c r="J1415" s="78"/>
      <c r="K1415" s="78"/>
      <c r="L1415" s="146">
        <f t="shared" si="65"/>
        <v>1800000</v>
      </c>
      <c r="M1415" s="73"/>
      <c r="N1415" s="73"/>
      <c r="O1415" s="73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14.25" customHeight="1" x14ac:dyDescent="0.35">
      <c r="A1416" s="9">
        <f t="shared" si="64"/>
        <v>1408</v>
      </c>
      <c r="B1416" s="15"/>
      <c r="C1416" s="11">
        <f t="shared" ref="C1416:C1479" si="66">MONTH(B1416)</f>
        <v>1</v>
      </c>
      <c r="D1416" s="11"/>
      <c r="E1416" s="11"/>
      <c r="F1416" s="11"/>
      <c r="G1416" s="89">
        <f>IFERROR(VLOOKUP(F1416,COA!$A$1:$K$26,2,FALSE),0)</f>
        <v>0</v>
      </c>
      <c r="H1416" s="11"/>
      <c r="I1416" s="11"/>
      <c r="J1416" s="78"/>
      <c r="K1416" s="78"/>
      <c r="L1416" s="146">
        <f t="shared" si="65"/>
        <v>1800000</v>
      </c>
      <c r="M1416" s="73"/>
      <c r="N1416" s="73"/>
      <c r="O1416" s="73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14.25" customHeight="1" x14ac:dyDescent="0.35">
      <c r="A1417" s="9">
        <f t="shared" si="64"/>
        <v>1409</v>
      </c>
      <c r="B1417" s="15"/>
      <c r="C1417" s="11">
        <f t="shared" si="66"/>
        <v>1</v>
      </c>
      <c r="D1417" s="11"/>
      <c r="E1417" s="11"/>
      <c r="F1417" s="11"/>
      <c r="G1417" s="89">
        <f>IFERROR(VLOOKUP(F1417,COA!$A$1:$K$26,2,FALSE),0)</f>
        <v>0</v>
      </c>
      <c r="H1417" s="11"/>
      <c r="I1417" s="11"/>
      <c r="J1417" s="78"/>
      <c r="K1417" s="78"/>
      <c r="L1417" s="146">
        <f t="shared" si="65"/>
        <v>1800000</v>
      </c>
      <c r="M1417" s="73"/>
      <c r="N1417" s="73"/>
      <c r="O1417" s="73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14.25" customHeight="1" x14ac:dyDescent="0.35">
      <c r="A1418" s="9">
        <f t="shared" si="64"/>
        <v>1410</v>
      </c>
      <c r="B1418" s="15"/>
      <c r="C1418" s="11">
        <f t="shared" si="66"/>
        <v>1</v>
      </c>
      <c r="D1418" s="11"/>
      <c r="E1418" s="11"/>
      <c r="F1418" s="11"/>
      <c r="G1418" s="89">
        <f>IFERROR(VLOOKUP(F1418,COA!$A$1:$K$26,2,FALSE),0)</f>
        <v>0</v>
      </c>
      <c r="H1418" s="11"/>
      <c r="I1418" s="11"/>
      <c r="J1418" s="78"/>
      <c r="K1418" s="78"/>
      <c r="L1418" s="146">
        <f t="shared" si="65"/>
        <v>1800000</v>
      </c>
      <c r="M1418" s="73"/>
      <c r="N1418" s="73"/>
      <c r="O1418" s="73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14.25" customHeight="1" x14ac:dyDescent="0.35">
      <c r="A1419" s="9">
        <f t="shared" ref="A1419:A1482" si="67">A1418+1</f>
        <v>1411</v>
      </c>
      <c r="B1419" s="15"/>
      <c r="C1419" s="11">
        <f t="shared" si="66"/>
        <v>1</v>
      </c>
      <c r="D1419" s="11"/>
      <c r="E1419" s="11"/>
      <c r="F1419" s="11"/>
      <c r="G1419" s="89">
        <f>IFERROR(VLOOKUP(F1419,COA!$A$1:$K$26,2,FALSE),0)</f>
        <v>0</v>
      </c>
      <c r="H1419" s="11"/>
      <c r="I1419" s="11"/>
      <c r="J1419" s="78"/>
      <c r="K1419" s="78"/>
      <c r="L1419" s="146">
        <f t="shared" ref="L1419:L1482" si="68">L1418+J1419-K1419</f>
        <v>1800000</v>
      </c>
      <c r="M1419" s="73"/>
      <c r="N1419" s="73"/>
      <c r="O1419" s="73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14.25" customHeight="1" x14ac:dyDescent="0.35">
      <c r="A1420" s="9">
        <f t="shared" si="67"/>
        <v>1412</v>
      </c>
      <c r="B1420" s="15"/>
      <c r="C1420" s="11">
        <f t="shared" si="66"/>
        <v>1</v>
      </c>
      <c r="D1420" s="11"/>
      <c r="E1420" s="11"/>
      <c r="F1420" s="11"/>
      <c r="G1420" s="89">
        <f>IFERROR(VLOOKUP(F1420,COA!$A$1:$K$26,2,FALSE),0)</f>
        <v>0</v>
      </c>
      <c r="H1420" s="11"/>
      <c r="I1420" s="11"/>
      <c r="J1420" s="78"/>
      <c r="K1420" s="78"/>
      <c r="L1420" s="146">
        <f t="shared" si="68"/>
        <v>1800000</v>
      </c>
      <c r="M1420" s="73"/>
      <c r="N1420" s="73"/>
      <c r="O1420" s="73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14.25" customHeight="1" x14ac:dyDescent="0.35">
      <c r="A1421" s="9">
        <f t="shared" si="67"/>
        <v>1413</v>
      </c>
      <c r="B1421" s="15"/>
      <c r="C1421" s="11">
        <f t="shared" si="66"/>
        <v>1</v>
      </c>
      <c r="D1421" s="11"/>
      <c r="E1421" s="11"/>
      <c r="F1421" s="11"/>
      <c r="G1421" s="89">
        <f>IFERROR(VLOOKUP(F1421,COA!$A$1:$K$26,2,FALSE),0)</f>
        <v>0</v>
      </c>
      <c r="H1421" s="11"/>
      <c r="I1421" s="11"/>
      <c r="J1421" s="78"/>
      <c r="K1421" s="78"/>
      <c r="L1421" s="146">
        <f t="shared" si="68"/>
        <v>1800000</v>
      </c>
      <c r="M1421" s="73"/>
      <c r="N1421" s="73"/>
      <c r="O1421" s="73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14.25" customHeight="1" x14ac:dyDescent="0.35">
      <c r="A1422" s="9">
        <f t="shared" si="67"/>
        <v>1414</v>
      </c>
      <c r="B1422" s="15"/>
      <c r="C1422" s="11">
        <f t="shared" si="66"/>
        <v>1</v>
      </c>
      <c r="D1422" s="11"/>
      <c r="E1422" s="11"/>
      <c r="F1422" s="11"/>
      <c r="G1422" s="89">
        <f>IFERROR(VLOOKUP(F1422,COA!$A$1:$K$26,2,FALSE),0)</f>
        <v>0</v>
      </c>
      <c r="H1422" s="11"/>
      <c r="I1422" s="11"/>
      <c r="J1422" s="78"/>
      <c r="K1422" s="78"/>
      <c r="L1422" s="146">
        <f t="shared" si="68"/>
        <v>1800000</v>
      </c>
      <c r="M1422" s="73"/>
      <c r="N1422" s="73"/>
      <c r="O1422" s="73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14.25" customHeight="1" x14ac:dyDescent="0.35">
      <c r="A1423" s="9">
        <f t="shared" si="67"/>
        <v>1415</v>
      </c>
      <c r="B1423" s="15"/>
      <c r="C1423" s="11">
        <f t="shared" si="66"/>
        <v>1</v>
      </c>
      <c r="D1423" s="11"/>
      <c r="E1423" s="11"/>
      <c r="F1423" s="11"/>
      <c r="G1423" s="89">
        <f>IFERROR(VLOOKUP(F1423,COA!$A$1:$K$26,2,FALSE),0)</f>
        <v>0</v>
      </c>
      <c r="H1423" s="11"/>
      <c r="I1423" s="11"/>
      <c r="J1423" s="78"/>
      <c r="K1423" s="78"/>
      <c r="L1423" s="146">
        <f t="shared" si="68"/>
        <v>1800000</v>
      </c>
      <c r="M1423" s="73"/>
      <c r="N1423" s="73"/>
      <c r="O1423" s="73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14.25" customHeight="1" x14ac:dyDescent="0.35">
      <c r="A1424" s="9">
        <f t="shared" si="67"/>
        <v>1416</v>
      </c>
      <c r="B1424" s="15"/>
      <c r="C1424" s="11">
        <f t="shared" si="66"/>
        <v>1</v>
      </c>
      <c r="D1424" s="11"/>
      <c r="E1424" s="11"/>
      <c r="F1424" s="11"/>
      <c r="G1424" s="89">
        <f>IFERROR(VLOOKUP(F1424,COA!$A$1:$K$26,2,FALSE),0)</f>
        <v>0</v>
      </c>
      <c r="H1424" s="11"/>
      <c r="I1424" s="11"/>
      <c r="J1424" s="78"/>
      <c r="K1424" s="78"/>
      <c r="L1424" s="146">
        <f t="shared" si="68"/>
        <v>1800000</v>
      </c>
      <c r="M1424" s="73"/>
      <c r="N1424" s="73"/>
      <c r="O1424" s="73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14.25" customHeight="1" x14ac:dyDescent="0.35">
      <c r="A1425" s="9">
        <f t="shared" si="67"/>
        <v>1417</v>
      </c>
      <c r="B1425" s="15"/>
      <c r="C1425" s="11">
        <f t="shared" si="66"/>
        <v>1</v>
      </c>
      <c r="D1425" s="11"/>
      <c r="E1425" s="11"/>
      <c r="F1425" s="11"/>
      <c r="G1425" s="89">
        <f>IFERROR(VLOOKUP(F1425,COA!$A$1:$K$26,2,FALSE),0)</f>
        <v>0</v>
      </c>
      <c r="H1425" s="11"/>
      <c r="I1425" s="11"/>
      <c r="J1425" s="78"/>
      <c r="K1425" s="78"/>
      <c r="L1425" s="146">
        <f t="shared" si="68"/>
        <v>1800000</v>
      </c>
      <c r="M1425" s="73"/>
      <c r="N1425" s="73"/>
      <c r="O1425" s="73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14.25" customHeight="1" x14ac:dyDescent="0.35">
      <c r="A1426" s="9">
        <f t="shared" si="67"/>
        <v>1418</v>
      </c>
      <c r="B1426" s="15"/>
      <c r="C1426" s="11">
        <f t="shared" si="66"/>
        <v>1</v>
      </c>
      <c r="D1426" s="11"/>
      <c r="E1426" s="11"/>
      <c r="F1426" s="11"/>
      <c r="G1426" s="89">
        <f>IFERROR(VLOOKUP(F1426,COA!$A$1:$K$26,2,FALSE),0)</f>
        <v>0</v>
      </c>
      <c r="H1426" s="11"/>
      <c r="I1426" s="11"/>
      <c r="J1426" s="78"/>
      <c r="K1426" s="78"/>
      <c r="L1426" s="146">
        <f t="shared" si="68"/>
        <v>1800000</v>
      </c>
      <c r="M1426" s="73"/>
      <c r="N1426" s="73"/>
      <c r="O1426" s="73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14.25" customHeight="1" x14ac:dyDescent="0.35">
      <c r="A1427" s="9">
        <f t="shared" si="67"/>
        <v>1419</v>
      </c>
      <c r="B1427" s="15"/>
      <c r="C1427" s="11">
        <f t="shared" si="66"/>
        <v>1</v>
      </c>
      <c r="D1427" s="11"/>
      <c r="E1427" s="11"/>
      <c r="F1427" s="11"/>
      <c r="G1427" s="89">
        <f>IFERROR(VLOOKUP(F1427,COA!$A$1:$K$26,2,FALSE),0)</f>
        <v>0</v>
      </c>
      <c r="H1427" s="11"/>
      <c r="I1427" s="11"/>
      <c r="J1427" s="78"/>
      <c r="K1427" s="78"/>
      <c r="L1427" s="146">
        <f t="shared" si="68"/>
        <v>1800000</v>
      </c>
      <c r="M1427" s="73"/>
      <c r="N1427" s="73"/>
      <c r="O1427" s="73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14.25" customHeight="1" x14ac:dyDescent="0.35">
      <c r="A1428" s="9">
        <f t="shared" si="67"/>
        <v>1420</v>
      </c>
      <c r="B1428" s="15"/>
      <c r="C1428" s="11">
        <f t="shared" si="66"/>
        <v>1</v>
      </c>
      <c r="D1428" s="11"/>
      <c r="E1428" s="11"/>
      <c r="F1428" s="11"/>
      <c r="G1428" s="89">
        <f>IFERROR(VLOOKUP(F1428,COA!$A$1:$K$26,2,FALSE),0)</f>
        <v>0</v>
      </c>
      <c r="H1428" s="11"/>
      <c r="I1428" s="11"/>
      <c r="J1428" s="78"/>
      <c r="K1428" s="78"/>
      <c r="L1428" s="146">
        <f t="shared" si="68"/>
        <v>1800000</v>
      </c>
      <c r="M1428" s="73"/>
      <c r="N1428" s="73"/>
      <c r="O1428" s="73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14.25" customHeight="1" x14ac:dyDescent="0.35">
      <c r="A1429" s="9">
        <f t="shared" si="67"/>
        <v>1421</v>
      </c>
      <c r="B1429" s="15"/>
      <c r="C1429" s="11">
        <f t="shared" si="66"/>
        <v>1</v>
      </c>
      <c r="D1429" s="11"/>
      <c r="E1429" s="11"/>
      <c r="F1429" s="11"/>
      <c r="G1429" s="89">
        <f>IFERROR(VLOOKUP(F1429,COA!$A$1:$K$26,2,FALSE),0)</f>
        <v>0</v>
      </c>
      <c r="H1429" s="11"/>
      <c r="I1429" s="11"/>
      <c r="J1429" s="78"/>
      <c r="K1429" s="78"/>
      <c r="L1429" s="146">
        <f t="shared" si="68"/>
        <v>1800000</v>
      </c>
      <c r="M1429" s="73"/>
      <c r="N1429" s="73"/>
      <c r="O1429" s="73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14.25" customHeight="1" x14ac:dyDescent="0.35">
      <c r="A1430" s="9">
        <f t="shared" si="67"/>
        <v>1422</v>
      </c>
      <c r="B1430" s="15"/>
      <c r="C1430" s="11">
        <f t="shared" si="66"/>
        <v>1</v>
      </c>
      <c r="D1430" s="11"/>
      <c r="E1430" s="11"/>
      <c r="F1430" s="11"/>
      <c r="G1430" s="89">
        <f>IFERROR(VLOOKUP(F1430,COA!$A$1:$K$26,2,FALSE),0)</f>
        <v>0</v>
      </c>
      <c r="H1430" s="11"/>
      <c r="I1430" s="11"/>
      <c r="J1430" s="78"/>
      <c r="K1430" s="78"/>
      <c r="L1430" s="146">
        <f t="shared" si="68"/>
        <v>1800000</v>
      </c>
      <c r="M1430" s="73"/>
      <c r="N1430" s="73"/>
      <c r="O1430" s="73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14.25" customHeight="1" x14ac:dyDescent="0.35">
      <c r="A1431" s="9">
        <f t="shared" si="67"/>
        <v>1423</v>
      </c>
      <c r="B1431" s="15"/>
      <c r="C1431" s="11">
        <f t="shared" si="66"/>
        <v>1</v>
      </c>
      <c r="D1431" s="11"/>
      <c r="E1431" s="11"/>
      <c r="F1431" s="11"/>
      <c r="G1431" s="89">
        <f>IFERROR(VLOOKUP(F1431,COA!$A$1:$K$26,2,FALSE),0)</f>
        <v>0</v>
      </c>
      <c r="H1431" s="11"/>
      <c r="I1431" s="11"/>
      <c r="J1431" s="78"/>
      <c r="K1431" s="78"/>
      <c r="L1431" s="146">
        <f t="shared" si="68"/>
        <v>1800000</v>
      </c>
      <c r="M1431" s="73"/>
      <c r="N1431" s="73"/>
      <c r="O1431" s="73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14.25" customHeight="1" x14ac:dyDescent="0.35">
      <c r="A1432" s="9">
        <f t="shared" si="67"/>
        <v>1424</v>
      </c>
      <c r="B1432" s="15"/>
      <c r="C1432" s="11">
        <f t="shared" si="66"/>
        <v>1</v>
      </c>
      <c r="D1432" s="11"/>
      <c r="E1432" s="11"/>
      <c r="F1432" s="11"/>
      <c r="G1432" s="89">
        <f>IFERROR(VLOOKUP(F1432,COA!$A$1:$K$26,2,FALSE),0)</f>
        <v>0</v>
      </c>
      <c r="H1432" s="11"/>
      <c r="I1432" s="11"/>
      <c r="J1432" s="78"/>
      <c r="K1432" s="78"/>
      <c r="L1432" s="146">
        <f t="shared" si="68"/>
        <v>1800000</v>
      </c>
      <c r="M1432" s="73"/>
      <c r="N1432" s="73"/>
      <c r="O1432" s="73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14.25" customHeight="1" x14ac:dyDescent="0.35">
      <c r="A1433" s="9">
        <f t="shared" si="67"/>
        <v>1425</v>
      </c>
      <c r="B1433" s="15"/>
      <c r="C1433" s="11">
        <f t="shared" si="66"/>
        <v>1</v>
      </c>
      <c r="D1433" s="11"/>
      <c r="E1433" s="11"/>
      <c r="F1433" s="11"/>
      <c r="G1433" s="89">
        <f>IFERROR(VLOOKUP(F1433,COA!$A$1:$K$26,2,FALSE),0)</f>
        <v>0</v>
      </c>
      <c r="H1433" s="11"/>
      <c r="I1433" s="11"/>
      <c r="J1433" s="78"/>
      <c r="K1433" s="78"/>
      <c r="L1433" s="146">
        <f t="shared" si="68"/>
        <v>1800000</v>
      </c>
      <c r="M1433" s="73"/>
      <c r="N1433" s="73"/>
      <c r="O1433" s="73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14.25" customHeight="1" x14ac:dyDescent="0.35">
      <c r="A1434" s="9">
        <f t="shared" si="67"/>
        <v>1426</v>
      </c>
      <c r="B1434" s="15"/>
      <c r="C1434" s="11">
        <f t="shared" si="66"/>
        <v>1</v>
      </c>
      <c r="D1434" s="11"/>
      <c r="E1434" s="11"/>
      <c r="F1434" s="11"/>
      <c r="G1434" s="89">
        <f>IFERROR(VLOOKUP(F1434,COA!$A$1:$K$26,2,FALSE),0)</f>
        <v>0</v>
      </c>
      <c r="H1434" s="11"/>
      <c r="I1434" s="11"/>
      <c r="J1434" s="78"/>
      <c r="K1434" s="78"/>
      <c r="L1434" s="146">
        <f t="shared" si="68"/>
        <v>1800000</v>
      </c>
      <c r="M1434" s="73"/>
      <c r="N1434" s="73"/>
      <c r="O1434" s="73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14.25" customHeight="1" x14ac:dyDescent="0.35">
      <c r="A1435" s="9">
        <f t="shared" si="67"/>
        <v>1427</v>
      </c>
      <c r="B1435" s="15"/>
      <c r="C1435" s="11">
        <f t="shared" si="66"/>
        <v>1</v>
      </c>
      <c r="D1435" s="11"/>
      <c r="E1435" s="11"/>
      <c r="F1435" s="11"/>
      <c r="G1435" s="89">
        <f>IFERROR(VLOOKUP(F1435,COA!$A$1:$K$26,2,FALSE),0)</f>
        <v>0</v>
      </c>
      <c r="H1435" s="11"/>
      <c r="I1435" s="11"/>
      <c r="J1435" s="78"/>
      <c r="K1435" s="78"/>
      <c r="L1435" s="146">
        <f t="shared" si="68"/>
        <v>1800000</v>
      </c>
      <c r="M1435" s="73"/>
      <c r="N1435" s="73"/>
      <c r="O1435" s="73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14.25" customHeight="1" x14ac:dyDescent="0.35">
      <c r="A1436" s="9">
        <f t="shared" si="67"/>
        <v>1428</v>
      </c>
      <c r="B1436" s="15"/>
      <c r="C1436" s="11">
        <f t="shared" si="66"/>
        <v>1</v>
      </c>
      <c r="D1436" s="11"/>
      <c r="E1436" s="11"/>
      <c r="F1436" s="11"/>
      <c r="G1436" s="89">
        <f>IFERROR(VLOOKUP(F1436,COA!$A$1:$K$26,2,FALSE),0)</f>
        <v>0</v>
      </c>
      <c r="H1436" s="11"/>
      <c r="I1436" s="11"/>
      <c r="J1436" s="78"/>
      <c r="K1436" s="78"/>
      <c r="L1436" s="146">
        <f t="shared" si="68"/>
        <v>1800000</v>
      </c>
      <c r="M1436" s="73"/>
      <c r="N1436" s="73"/>
      <c r="O1436" s="73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14.25" customHeight="1" x14ac:dyDescent="0.35">
      <c r="A1437" s="9">
        <f t="shared" si="67"/>
        <v>1429</v>
      </c>
      <c r="B1437" s="15"/>
      <c r="C1437" s="11">
        <f t="shared" si="66"/>
        <v>1</v>
      </c>
      <c r="D1437" s="11"/>
      <c r="E1437" s="11"/>
      <c r="F1437" s="11"/>
      <c r="G1437" s="89">
        <f>IFERROR(VLOOKUP(F1437,COA!$A$1:$K$26,2,FALSE),0)</f>
        <v>0</v>
      </c>
      <c r="H1437" s="11"/>
      <c r="I1437" s="11"/>
      <c r="J1437" s="78"/>
      <c r="K1437" s="78"/>
      <c r="L1437" s="146">
        <f t="shared" si="68"/>
        <v>1800000</v>
      </c>
      <c r="M1437" s="73"/>
      <c r="N1437" s="73"/>
      <c r="O1437" s="73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14.25" customHeight="1" x14ac:dyDescent="0.35">
      <c r="A1438" s="9">
        <f t="shared" si="67"/>
        <v>1430</v>
      </c>
      <c r="B1438" s="15"/>
      <c r="C1438" s="11">
        <f t="shared" si="66"/>
        <v>1</v>
      </c>
      <c r="D1438" s="11"/>
      <c r="E1438" s="11"/>
      <c r="F1438" s="11"/>
      <c r="G1438" s="89">
        <f>IFERROR(VLOOKUP(F1438,COA!$A$1:$K$26,2,FALSE),0)</f>
        <v>0</v>
      </c>
      <c r="H1438" s="11"/>
      <c r="I1438" s="11"/>
      <c r="J1438" s="78"/>
      <c r="K1438" s="78"/>
      <c r="L1438" s="146">
        <f t="shared" si="68"/>
        <v>1800000</v>
      </c>
      <c r="M1438" s="73"/>
      <c r="N1438" s="73"/>
      <c r="O1438" s="73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14.25" customHeight="1" x14ac:dyDescent="0.35">
      <c r="A1439" s="9">
        <f t="shared" si="67"/>
        <v>1431</v>
      </c>
      <c r="B1439" s="15"/>
      <c r="C1439" s="11">
        <f t="shared" si="66"/>
        <v>1</v>
      </c>
      <c r="D1439" s="11"/>
      <c r="E1439" s="11"/>
      <c r="F1439" s="11"/>
      <c r="G1439" s="89">
        <f>IFERROR(VLOOKUP(F1439,COA!$A$1:$K$26,2,FALSE),0)</f>
        <v>0</v>
      </c>
      <c r="H1439" s="11"/>
      <c r="I1439" s="11"/>
      <c r="J1439" s="78"/>
      <c r="K1439" s="78"/>
      <c r="L1439" s="146">
        <f t="shared" si="68"/>
        <v>1800000</v>
      </c>
      <c r="M1439" s="73"/>
      <c r="N1439" s="73"/>
      <c r="O1439" s="73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14.25" customHeight="1" x14ac:dyDescent="0.35">
      <c r="A1440" s="9">
        <f t="shared" si="67"/>
        <v>1432</v>
      </c>
      <c r="B1440" s="15"/>
      <c r="C1440" s="11">
        <f t="shared" si="66"/>
        <v>1</v>
      </c>
      <c r="D1440" s="11"/>
      <c r="E1440" s="11"/>
      <c r="F1440" s="11"/>
      <c r="G1440" s="89">
        <f>IFERROR(VLOOKUP(F1440,COA!$A$1:$K$26,2,FALSE),0)</f>
        <v>0</v>
      </c>
      <c r="H1440" s="11"/>
      <c r="I1440" s="11"/>
      <c r="J1440" s="78"/>
      <c r="K1440" s="78"/>
      <c r="L1440" s="146">
        <f t="shared" si="68"/>
        <v>1800000</v>
      </c>
      <c r="M1440" s="73"/>
      <c r="N1440" s="73"/>
      <c r="O1440" s="73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14.25" customHeight="1" x14ac:dyDescent="0.35">
      <c r="A1441" s="9">
        <f t="shared" si="67"/>
        <v>1433</v>
      </c>
      <c r="B1441" s="15"/>
      <c r="C1441" s="11">
        <f t="shared" si="66"/>
        <v>1</v>
      </c>
      <c r="D1441" s="11"/>
      <c r="E1441" s="11"/>
      <c r="F1441" s="11"/>
      <c r="G1441" s="89">
        <f>IFERROR(VLOOKUP(F1441,COA!$A$1:$K$26,2,FALSE),0)</f>
        <v>0</v>
      </c>
      <c r="H1441" s="11"/>
      <c r="I1441" s="11"/>
      <c r="J1441" s="78"/>
      <c r="K1441" s="78"/>
      <c r="L1441" s="146">
        <f t="shared" si="68"/>
        <v>1800000</v>
      </c>
      <c r="M1441" s="73"/>
      <c r="N1441" s="73"/>
      <c r="O1441" s="73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14.25" customHeight="1" x14ac:dyDescent="0.35">
      <c r="A1442" s="9">
        <f t="shared" si="67"/>
        <v>1434</v>
      </c>
      <c r="B1442" s="15"/>
      <c r="C1442" s="11">
        <f t="shared" si="66"/>
        <v>1</v>
      </c>
      <c r="D1442" s="11"/>
      <c r="E1442" s="11"/>
      <c r="F1442" s="11"/>
      <c r="G1442" s="89">
        <f>IFERROR(VLOOKUP(F1442,COA!$A$1:$K$26,2,FALSE),0)</f>
        <v>0</v>
      </c>
      <c r="H1442" s="11"/>
      <c r="I1442" s="11"/>
      <c r="J1442" s="78"/>
      <c r="K1442" s="78"/>
      <c r="L1442" s="146">
        <f t="shared" si="68"/>
        <v>1800000</v>
      </c>
      <c r="M1442" s="73"/>
      <c r="N1442" s="73"/>
      <c r="O1442" s="73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14.25" customHeight="1" x14ac:dyDescent="0.35">
      <c r="A1443" s="9">
        <f t="shared" si="67"/>
        <v>1435</v>
      </c>
      <c r="B1443" s="15"/>
      <c r="C1443" s="11">
        <f t="shared" si="66"/>
        <v>1</v>
      </c>
      <c r="D1443" s="11"/>
      <c r="E1443" s="11"/>
      <c r="F1443" s="11"/>
      <c r="G1443" s="89">
        <f>IFERROR(VLOOKUP(F1443,COA!$A$1:$K$26,2,FALSE),0)</f>
        <v>0</v>
      </c>
      <c r="H1443" s="11"/>
      <c r="I1443" s="11"/>
      <c r="J1443" s="78"/>
      <c r="K1443" s="78"/>
      <c r="L1443" s="146">
        <f t="shared" si="68"/>
        <v>1800000</v>
      </c>
      <c r="M1443" s="73"/>
      <c r="N1443" s="73"/>
      <c r="O1443" s="73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14.25" customHeight="1" x14ac:dyDescent="0.35">
      <c r="A1444" s="9">
        <f t="shared" si="67"/>
        <v>1436</v>
      </c>
      <c r="B1444" s="15"/>
      <c r="C1444" s="11">
        <f t="shared" si="66"/>
        <v>1</v>
      </c>
      <c r="D1444" s="11"/>
      <c r="E1444" s="11"/>
      <c r="F1444" s="11"/>
      <c r="G1444" s="89">
        <f>IFERROR(VLOOKUP(F1444,COA!$A$1:$K$26,2,FALSE),0)</f>
        <v>0</v>
      </c>
      <c r="H1444" s="11"/>
      <c r="I1444" s="11"/>
      <c r="J1444" s="78"/>
      <c r="K1444" s="78"/>
      <c r="L1444" s="146">
        <f t="shared" si="68"/>
        <v>1800000</v>
      </c>
      <c r="M1444" s="73"/>
      <c r="N1444" s="73"/>
      <c r="O1444" s="73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14.25" customHeight="1" x14ac:dyDescent="0.35">
      <c r="A1445" s="9">
        <f t="shared" si="67"/>
        <v>1437</v>
      </c>
      <c r="B1445" s="15"/>
      <c r="C1445" s="11">
        <f t="shared" si="66"/>
        <v>1</v>
      </c>
      <c r="D1445" s="11"/>
      <c r="E1445" s="11"/>
      <c r="F1445" s="11"/>
      <c r="G1445" s="89">
        <f>IFERROR(VLOOKUP(F1445,COA!$A$1:$K$26,2,FALSE),0)</f>
        <v>0</v>
      </c>
      <c r="H1445" s="11"/>
      <c r="I1445" s="11"/>
      <c r="J1445" s="78"/>
      <c r="K1445" s="78"/>
      <c r="L1445" s="146">
        <f t="shared" si="68"/>
        <v>1800000</v>
      </c>
      <c r="M1445" s="73"/>
      <c r="N1445" s="73"/>
      <c r="O1445" s="73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14.25" customHeight="1" x14ac:dyDescent="0.35">
      <c r="A1446" s="9">
        <f t="shared" si="67"/>
        <v>1438</v>
      </c>
      <c r="B1446" s="15"/>
      <c r="C1446" s="11">
        <f t="shared" si="66"/>
        <v>1</v>
      </c>
      <c r="D1446" s="11"/>
      <c r="E1446" s="11"/>
      <c r="F1446" s="11"/>
      <c r="G1446" s="89">
        <f>IFERROR(VLOOKUP(F1446,COA!$A$1:$K$26,2,FALSE),0)</f>
        <v>0</v>
      </c>
      <c r="H1446" s="11"/>
      <c r="I1446" s="11"/>
      <c r="J1446" s="78"/>
      <c r="K1446" s="78"/>
      <c r="L1446" s="146">
        <f t="shared" si="68"/>
        <v>1800000</v>
      </c>
      <c r="M1446" s="73"/>
      <c r="N1446" s="73"/>
      <c r="O1446" s="73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14.25" customHeight="1" x14ac:dyDescent="0.35">
      <c r="A1447" s="9">
        <f t="shared" si="67"/>
        <v>1439</v>
      </c>
      <c r="B1447" s="15"/>
      <c r="C1447" s="11">
        <f t="shared" si="66"/>
        <v>1</v>
      </c>
      <c r="D1447" s="11"/>
      <c r="E1447" s="11"/>
      <c r="F1447" s="11"/>
      <c r="G1447" s="89">
        <f>IFERROR(VLOOKUP(F1447,COA!$A$1:$K$26,2,FALSE),0)</f>
        <v>0</v>
      </c>
      <c r="H1447" s="11"/>
      <c r="I1447" s="11"/>
      <c r="J1447" s="78"/>
      <c r="K1447" s="78"/>
      <c r="L1447" s="146">
        <f t="shared" si="68"/>
        <v>1800000</v>
      </c>
      <c r="M1447" s="73"/>
      <c r="N1447" s="73"/>
      <c r="O1447" s="73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14.25" customHeight="1" x14ac:dyDescent="0.35">
      <c r="A1448" s="9">
        <f t="shared" si="67"/>
        <v>1440</v>
      </c>
      <c r="B1448" s="15"/>
      <c r="C1448" s="11">
        <f t="shared" si="66"/>
        <v>1</v>
      </c>
      <c r="D1448" s="11"/>
      <c r="E1448" s="11"/>
      <c r="F1448" s="11"/>
      <c r="G1448" s="89">
        <f>IFERROR(VLOOKUP(F1448,COA!$A$1:$K$26,2,FALSE),0)</f>
        <v>0</v>
      </c>
      <c r="H1448" s="11"/>
      <c r="I1448" s="11"/>
      <c r="J1448" s="78"/>
      <c r="K1448" s="78"/>
      <c r="L1448" s="146">
        <f t="shared" si="68"/>
        <v>1800000</v>
      </c>
      <c r="M1448" s="73"/>
      <c r="N1448" s="73"/>
      <c r="O1448" s="73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14.25" customHeight="1" x14ac:dyDescent="0.35">
      <c r="A1449" s="9">
        <f t="shared" si="67"/>
        <v>1441</v>
      </c>
      <c r="B1449" s="15"/>
      <c r="C1449" s="11">
        <f t="shared" si="66"/>
        <v>1</v>
      </c>
      <c r="D1449" s="11"/>
      <c r="E1449" s="11"/>
      <c r="F1449" s="11"/>
      <c r="G1449" s="89">
        <f>IFERROR(VLOOKUP(F1449,COA!$A$1:$K$26,2,FALSE),0)</f>
        <v>0</v>
      </c>
      <c r="H1449" s="11"/>
      <c r="I1449" s="11"/>
      <c r="J1449" s="78"/>
      <c r="K1449" s="78"/>
      <c r="L1449" s="146">
        <f t="shared" si="68"/>
        <v>1800000</v>
      </c>
      <c r="M1449" s="73"/>
      <c r="N1449" s="73"/>
      <c r="O1449" s="73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14.25" customHeight="1" x14ac:dyDescent="0.35">
      <c r="A1450" s="9">
        <f t="shared" si="67"/>
        <v>1442</v>
      </c>
      <c r="B1450" s="15"/>
      <c r="C1450" s="11">
        <f t="shared" si="66"/>
        <v>1</v>
      </c>
      <c r="D1450" s="11"/>
      <c r="E1450" s="11"/>
      <c r="F1450" s="11"/>
      <c r="G1450" s="89">
        <f>IFERROR(VLOOKUP(F1450,COA!$A$1:$K$26,2,FALSE),0)</f>
        <v>0</v>
      </c>
      <c r="H1450" s="11"/>
      <c r="I1450" s="11"/>
      <c r="J1450" s="78"/>
      <c r="K1450" s="78"/>
      <c r="L1450" s="146">
        <f t="shared" si="68"/>
        <v>1800000</v>
      </c>
      <c r="M1450" s="73"/>
      <c r="N1450" s="73"/>
      <c r="O1450" s="73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14.25" customHeight="1" x14ac:dyDescent="0.35">
      <c r="A1451" s="9">
        <f t="shared" si="67"/>
        <v>1443</v>
      </c>
      <c r="B1451" s="15"/>
      <c r="C1451" s="11">
        <f t="shared" si="66"/>
        <v>1</v>
      </c>
      <c r="D1451" s="11"/>
      <c r="E1451" s="11"/>
      <c r="F1451" s="11"/>
      <c r="G1451" s="89">
        <f>IFERROR(VLOOKUP(F1451,COA!$A$1:$K$26,2,FALSE),0)</f>
        <v>0</v>
      </c>
      <c r="H1451" s="11"/>
      <c r="I1451" s="11"/>
      <c r="J1451" s="78"/>
      <c r="K1451" s="78"/>
      <c r="L1451" s="146">
        <f t="shared" si="68"/>
        <v>1800000</v>
      </c>
      <c r="M1451" s="73"/>
      <c r="N1451" s="73"/>
      <c r="O1451" s="73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14.25" customHeight="1" x14ac:dyDescent="0.35">
      <c r="A1452" s="9">
        <f t="shared" si="67"/>
        <v>1444</v>
      </c>
      <c r="B1452" s="15"/>
      <c r="C1452" s="11">
        <f t="shared" si="66"/>
        <v>1</v>
      </c>
      <c r="D1452" s="11"/>
      <c r="E1452" s="11"/>
      <c r="F1452" s="11"/>
      <c r="G1452" s="89">
        <f>IFERROR(VLOOKUP(F1452,COA!$A$1:$K$26,2,FALSE),0)</f>
        <v>0</v>
      </c>
      <c r="H1452" s="11"/>
      <c r="I1452" s="11"/>
      <c r="J1452" s="78"/>
      <c r="K1452" s="78"/>
      <c r="L1452" s="146">
        <f t="shared" si="68"/>
        <v>1800000</v>
      </c>
      <c r="M1452" s="73"/>
      <c r="N1452" s="73"/>
      <c r="O1452" s="73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14.25" customHeight="1" x14ac:dyDescent="0.35">
      <c r="A1453" s="9">
        <f t="shared" si="67"/>
        <v>1445</v>
      </c>
      <c r="B1453" s="15"/>
      <c r="C1453" s="11">
        <f t="shared" si="66"/>
        <v>1</v>
      </c>
      <c r="D1453" s="11"/>
      <c r="E1453" s="11"/>
      <c r="F1453" s="11"/>
      <c r="G1453" s="89">
        <f>IFERROR(VLOOKUP(F1453,COA!$A$1:$K$26,2,FALSE),0)</f>
        <v>0</v>
      </c>
      <c r="H1453" s="11"/>
      <c r="I1453" s="11"/>
      <c r="J1453" s="78"/>
      <c r="K1453" s="78"/>
      <c r="L1453" s="146">
        <f t="shared" si="68"/>
        <v>1800000</v>
      </c>
      <c r="M1453" s="73"/>
      <c r="N1453" s="73"/>
      <c r="O1453" s="73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14.25" customHeight="1" x14ac:dyDescent="0.35">
      <c r="A1454" s="9">
        <f t="shared" si="67"/>
        <v>1446</v>
      </c>
      <c r="B1454" s="15"/>
      <c r="C1454" s="11">
        <f t="shared" si="66"/>
        <v>1</v>
      </c>
      <c r="D1454" s="11"/>
      <c r="E1454" s="11"/>
      <c r="F1454" s="11"/>
      <c r="G1454" s="89">
        <f>IFERROR(VLOOKUP(F1454,COA!$A$1:$K$26,2,FALSE),0)</f>
        <v>0</v>
      </c>
      <c r="H1454" s="11"/>
      <c r="I1454" s="11"/>
      <c r="J1454" s="78"/>
      <c r="K1454" s="78"/>
      <c r="L1454" s="146">
        <f t="shared" si="68"/>
        <v>1800000</v>
      </c>
      <c r="M1454" s="73"/>
      <c r="N1454" s="73"/>
      <c r="O1454" s="73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14.25" customHeight="1" x14ac:dyDescent="0.35">
      <c r="A1455" s="9">
        <f t="shared" si="67"/>
        <v>1447</v>
      </c>
      <c r="B1455" s="22"/>
      <c r="C1455" s="11">
        <f t="shared" si="66"/>
        <v>1</v>
      </c>
      <c r="D1455" s="11"/>
      <c r="E1455" s="11"/>
      <c r="F1455" s="11"/>
      <c r="G1455" s="89">
        <f>IFERROR(VLOOKUP(F1455,COA!$A$1:$K$26,2,FALSE),0)</f>
        <v>0</v>
      </c>
      <c r="H1455" s="11"/>
      <c r="I1455" s="11"/>
      <c r="J1455" s="78"/>
      <c r="K1455" s="78"/>
      <c r="L1455" s="146">
        <f t="shared" si="68"/>
        <v>1800000</v>
      </c>
      <c r="M1455" s="73"/>
      <c r="N1455" s="73"/>
      <c r="O1455" s="73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14.25" customHeight="1" x14ac:dyDescent="0.35">
      <c r="A1456" s="9">
        <f t="shared" si="67"/>
        <v>1448</v>
      </c>
      <c r="B1456" s="22"/>
      <c r="C1456" s="11">
        <f t="shared" si="66"/>
        <v>1</v>
      </c>
      <c r="D1456" s="11"/>
      <c r="E1456" s="11"/>
      <c r="F1456" s="11"/>
      <c r="G1456" s="89">
        <f>IFERROR(VLOOKUP(F1456,COA!$A$1:$K$26,2,FALSE),0)</f>
        <v>0</v>
      </c>
      <c r="H1456" s="11"/>
      <c r="I1456" s="11"/>
      <c r="J1456" s="78"/>
      <c r="K1456" s="78"/>
      <c r="L1456" s="146">
        <f t="shared" si="68"/>
        <v>1800000</v>
      </c>
      <c r="M1456" s="73"/>
      <c r="N1456" s="73"/>
      <c r="O1456" s="73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14.25" customHeight="1" x14ac:dyDescent="0.35">
      <c r="A1457" s="9">
        <f t="shared" si="67"/>
        <v>1449</v>
      </c>
      <c r="B1457" s="22"/>
      <c r="C1457" s="11">
        <f t="shared" si="66"/>
        <v>1</v>
      </c>
      <c r="D1457" s="11"/>
      <c r="E1457" s="11"/>
      <c r="F1457" s="11"/>
      <c r="G1457" s="89">
        <f>IFERROR(VLOOKUP(F1457,COA!$A$1:$K$26,2,FALSE),0)</f>
        <v>0</v>
      </c>
      <c r="H1457" s="11"/>
      <c r="I1457" s="11"/>
      <c r="J1457" s="78"/>
      <c r="K1457" s="78"/>
      <c r="L1457" s="146">
        <f t="shared" si="68"/>
        <v>1800000</v>
      </c>
      <c r="M1457" s="73"/>
      <c r="N1457" s="73"/>
      <c r="O1457" s="73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14.25" customHeight="1" x14ac:dyDescent="0.35">
      <c r="A1458" s="9">
        <f t="shared" si="67"/>
        <v>1450</v>
      </c>
      <c r="B1458" s="22"/>
      <c r="C1458" s="11">
        <f t="shared" si="66"/>
        <v>1</v>
      </c>
      <c r="D1458" s="11"/>
      <c r="E1458" s="11"/>
      <c r="F1458" s="11"/>
      <c r="G1458" s="89">
        <f>IFERROR(VLOOKUP(F1458,COA!$A$1:$K$26,2,FALSE),0)</f>
        <v>0</v>
      </c>
      <c r="H1458" s="11"/>
      <c r="I1458" s="11"/>
      <c r="J1458" s="78"/>
      <c r="K1458" s="78"/>
      <c r="L1458" s="146">
        <f t="shared" si="68"/>
        <v>1800000</v>
      </c>
      <c r="M1458" s="73"/>
      <c r="N1458" s="73"/>
      <c r="O1458" s="73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14.25" customHeight="1" x14ac:dyDescent="0.35">
      <c r="A1459" s="9">
        <f t="shared" si="67"/>
        <v>1451</v>
      </c>
      <c r="B1459" s="22"/>
      <c r="C1459" s="11">
        <f t="shared" si="66"/>
        <v>1</v>
      </c>
      <c r="D1459" s="11"/>
      <c r="E1459" s="11"/>
      <c r="F1459" s="11"/>
      <c r="G1459" s="89">
        <f>IFERROR(VLOOKUP(F1459,COA!$A$1:$K$26,2,FALSE),0)</f>
        <v>0</v>
      </c>
      <c r="H1459" s="11"/>
      <c r="I1459" s="11"/>
      <c r="J1459" s="78"/>
      <c r="K1459" s="78"/>
      <c r="L1459" s="146">
        <f t="shared" si="68"/>
        <v>1800000</v>
      </c>
      <c r="M1459" s="73"/>
      <c r="N1459" s="73"/>
      <c r="O1459" s="73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14.25" customHeight="1" x14ac:dyDescent="0.35">
      <c r="A1460" s="9">
        <f t="shared" si="67"/>
        <v>1452</v>
      </c>
      <c r="B1460" s="22"/>
      <c r="C1460" s="11">
        <f t="shared" si="66"/>
        <v>1</v>
      </c>
      <c r="D1460" s="11"/>
      <c r="E1460" s="11"/>
      <c r="F1460" s="11"/>
      <c r="G1460" s="89">
        <f>IFERROR(VLOOKUP(F1460,COA!$A$1:$K$26,2,FALSE),0)</f>
        <v>0</v>
      </c>
      <c r="H1460" s="11"/>
      <c r="I1460" s="11"/>
      <c r="J1460" s="78"/>
      <c r="K1460" s="78"/>
      <c r="L1460" s="146">
        <f t="shared" si="68"/>
        <v>1800000</v>
      </c>
      <c r="M1460" s="73"/>
      <c r="N1460" s="73"/>
      <c r="O1460" s="73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14.25" customHeight="1" x14ac:dyDescent="0.35">
      <c r="A1461" s="9">
        <f t="shared" si="67"/>
        <v>1453</v>
      </c>
      <c r="B1461" s="15"/>
      <c r="C1461" s="11">
        <f t="shared" si="66"/>
        <v>1</v>
      </c>
      <c r="D1461" s="11"/>
      <c r="E1461" s="11"/>
      <c r="F1461" s="11"/>
      <c r="G1461" s="89">
        <f>IFERROR(VLOOKUP(F1461,COA!$A$1:$K$26,2,FALSE),0)</f>
        <v>0</v>
      </c>
      <c r="H1461" s="11"/>
      <c r="I1461" s="11"/>
      <c r="J1461" s="78"/>
      <c r="K1461" s="78"/>
      <c r="L1461" s="146">
        <f t="shared" si="68"/>
        <v>1800000</v>
      </c>
      <c r="M1461" s="73"/>
      <c r="N1461" s="73"/>
      <c r="O1461" s="73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14.25" customHeight="1" x14ac:dyDescent="0.35">
      <c r="A1462" s="9">
        <f t="shared" si="67"/>
        <v>1454</v>
      </c>
      <c r="B1462" s="15"/>
      <c r="C1462" s="11">
        <f t="shared" si="66"/>
        <v>1</v>
      </c>
      <c r="D1462" s="11"/>
      <c r="E1462" s="11"/>
      <c r="F1462" s="11"/>
      <c r="G1462" s="89">
        <f>IFERROR(VLOOKUP(F1462,COA!$A$1:$K$26,2,FALSE),0)</f>
        <v>0</v>
      </c>
      <c r="H1462" s="11"/>
      <c r="I1462" s="11"/>
      <c r="J1462" s="78"/>
      <c r="K1462" s="78"/>
      <c r="L1462" s="146">
        <f t="shared" si="68"/>
        <v>1800000</v>
      </c>
      <c r="M1462" s="73"/>
      <c r="N1462" s="73"/>
      <c r="O1462" s="73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14.25" customHeight="1" x14ac:dyDescent="0.35">
      <c r="A1463" s="9">
        <f t="shared" si="67"/>
        <v>1455</v>
      </c>
      <c r="B1463" s="15"/>
      <c r="C1463" s="11">
        <f t="shared" si="66"/>
        <v>1</v>
      </c>
      <c r="D1463" s="11"/>
      <c r="E1463" s="11"/>
      <c r="F1463" s="11"/>
      <c r="G1463" s="89">
        <f>IFERROR(VLOOKUP(F1463,COA!$A$1:$K$26,2,FALSE),0)</f>
        <v>0</v>
      </c>
      <c r="H1463" s="11"/>
      <c r="I1463" s="11"/>
      <c r="J1463" s="78"/>
      <c r="K1463" s="78"/>
      <c r="L1463" s="146">
        <f t="shared" si="68"/>
        <v>1800000</v>
      </c>
      <c r="M1463" s="73"/>
      <c r="N1463" s="73"/>
      <c r="O1463" s="73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14.25" customHeight="1" x14ac:dyDescent="0.35">
      <c r="A1464" s="9">
        <f t="shared" si="67"/>
        <v>1456</v>
      </c>
      <c r="B1464" s="15"/>
      <c r="C1464" s="11">
        <f t="shared" si="66"/>
        <v>1</v>
      </c>
      <c r="D1464" s="11"/>
      <c r="E1464" s="11"/>
      <c r="F1464" s="11"/>
      <c r="G1464" s="89">
        <f>IFERROR(VLOOKUP(F1464,COA!$A$1:$K$26,2,FALSE),0)</f>
        <v>0</v>
      </c>
      <c r="H1464" s="11"/>
      <c r="I1464" s="11"/>
      <c r="J1464" s="78"/>
      <c r="K1464" s="78"/>
      <c r="L1464" s="146">
        <f t="shared" si="68"/>
        <v>1800000</v>
      </c>
      <c r="M1464" s="73"/>
      <c r="N1464" s="73"/>
      <c r="O1464" s="73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14.25" customHeight="1" x14ac:dyDescent="0.35">
      <c r="A1465" s="9">
        <f t="shared" si="67"/>
        <v>1457</v>
      </c>
      <c r="B1465" s="15"/>
      <c r="C1465" s="11">
        <f t="shared" si="66"/>
        <v>1</v>
      </c>
      <c r="D1465" s="11"/>
      <c r="E1465" s="11"/>
      <c r="F1465" s="11"/>
      <c r="G1465" s="89">
        <f>IFERROR(VLOOKUP(F1465,COA!$A$1:$K$26,2,FALSE),0)</f>
        <v>0</v>
      </c>
      <c r="H1465" s="11"/>
      <c r="I1465" s="11"/>
      <c r="J1465" s="78"/>
      <c r="K1465" s="78"/>
      <c r="L1465" s="146">
        <f t="shared" si="68"/>
        <v>1800000</v>
      </c>
      <c r="M1465" s="73"/>
      <c r="N1465" s="73"/>
      <c r="O1465" s="73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14.25" customHeight="1" x14ac:dyDescent="0.35">
      <c r="A1466" s="9">
        <f t="shared" si="67"/>
        <v>1458</v>
      </c>
      <c r="B1466" s="15"/>
      <c r="C1466" s="11">
        <f t="shared" si="66"/>
        <v>1</v>
      </c>
      <c r="D1466" s="11"/>
      <c r="E1466" s="11"/>
      <c r="F1466" s="11"/>
      <c r="G1466" s="89">
        <f>IFERROR(VLOOKUP(F1466,COA!$A$1:$K$26,2,FALSE),0)</f>
        <v>0</v>
      </c>
      <c r="H1466" s="11"/>
      <c r="I1466" s="11"/>
      <c r="J1466" s="78"/>
      <c r="K1466" s="78"/>
      <c r="L1466" s="146">
        <f t="shared" si="68"/>
        <v>1800000</v>
      </c>
      <c r="M1466" s="73"/>
      <c r="N1466" s="73"/>
      <c r="O1466" s="73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14.25" customHeight="1" x14ac:dyDescent="0.35">
      <c r="A1467" s="9">
        <f t="shared" si="67"/>
        <v>1459</v>
      </c>
      <c r="B1467" s="15"/>
      <c r="C1467" s="11">
        <f t="shared" si="66"/>
        <v>1</v>
      </c>
      <c r="D1467" s="11"/>
      <c r="E1467" s="11"/>
      <c r="F1467" s="11"/>
      <c r="G1467" s="89">
        <f>IFERROR(VLOOKUP(F1467,COA!$A$1:$K$26,2,FALSE),0)</f>
        <v>0</v>
      </c>
      <c r="H1467" s="11"/>
      <c r="I1467" s="11"/>
      <c r="J1467" s="78"/>
      <c r="K1467" s="78"/>
      <c r="L1467" s="146">
        <f t="shared" si="68"/>
        <v>1800000</v>
      </c>
      <c r="M1467" s="73"/>
      <c r="N1467" s="73"/>
      <c r="O1467" s="73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14.25" customHeight="1" x14ac:dyDescent="0.35">
      <c r="A1468" s="9">
        <f t="shared" si="67"/>
        <v>1460</v>
      </c>
      <c r="B1468" s="15"/>
      <c r="C1468" s="11">
        <f t="shared" si="66"/>
        <v>1</v>
      </c>
      <c r="D1468" s="11"/>
      <c r="E1468" s="11"/>
      <c r="F1468" s="11"/>
      <c r="G1468" s="89">
        <f>IFERROR(VLOOKUP(F1468,COA!$A$1:$K$26,2,FALSE),0)</f>
        <v>0</v>
      </c>
      <c r="H1468" s="11"/>
      <c r="I1468" s="11"/>
      <c r="J1468" s="78"/>
      <c r="K1468" s="78"/>
      <c r="L1468" s="146">
        <f t="shared" si="68"/>
        <v>1800000</v>
      </c>
      <c r="M1468" s="73"/>
      <c r="N1468" s="73"/>
      <c r="O1468" s="73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14.25" customHeight="1" x14ac:dyDescent="0.35">
      <c r="A1469" s="9">
        <f t="shared" si="67"/>
        <v>1461</v>
      </c>
      <c r="B1469" s="15"/>
      <c r="C1469" s="11">
        <f t="shared" si="66"/>
        <v>1</v>
      </c>
      <c r="D1469" s="11"/>
      <c r="E1469" s="11"/>
      <c r="F1469" s="11"/>
      <c r="G1469" s="89">
        <f>IFERROR(VLOOKUP(F1469,COA!$A$1:$K$26,2,FALSE),0)</f>
        <v>0</v>
      </c>
      <c r="H1469" s="11"/>
      <c r="I1469" s="11"/>
      <c r="J1469" s="78"/>
      <c r="K1469" s="78"/>
      <c r="L1469" s="146">
        <f t="shared" si="68"/>
        <v>1800000</v>
      </c>
      <c r="M1469" s="73"/>
      <c r="N1469" s="73"/>
      <c r="O1469" s="73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14.25" customHeight="1" x14ac:dyDescent="0.35">
      <c r="A1470" s="9">
        <f t="shared" si="67"/>
        <v>1462</v>
      </c>
      <c r="B1470" s="15"/>
      <c r="C1470" s="11">
        <f t="shared" si="66"/>
        <v>1</v>
      </c>
      <c r="D1470" s="11"/>
      <c r="E1470" s="11"/>
      <c r="F1470" s="11"/>
      <c r="G1470" s="89">
        <f>IFERROR(VLOOKUP(F1470,COA!$A$1:$K$26,2,FALSE),0)</f>
        <v>0</v>
      </c>
      <c r="H1470" s="11"/>
      <c r="I1470" s="11"/>
      <c r="J1470" s="78"/>
      <c r="K1470" s="78"/>
      <c r="L1470" s="146">
        <f t="shared" si="68"/>
        <v>1800000</v>
      </c>
      <c r="M1470" s="73"/>
      <c r="N1470" s="73"/>
      <c r="O1470" s="73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14.25" customHeight="1" x14ac:dyDescent="0.35">
      <c r="A1471" s="9">
        <f t="shared" si="67"/>
        <v>1463</v>
      </c>
      <c r="B1471" s="15"/>
      <c r="C1471" s="11">
        <f t="shared" si="66"/>
        <v>1</v>
      </c>
      <c r="D1471" s="11"/>
      <c r="E1471" s="11"/>
      <c r="F1471" s="11"/>
      <c r="G1471" s="89">
        <f>IFERROR(VLOOKUP(F1471,COA!$A$1:$K$26,2,FALSE),0)</f>
        <v>0</v>
      </c>
      <c r="H1471" s="11"/>
      <c r="I1471" s="11"/>
      <c r="J1471" s="78"/>
      <c r="K1471" s="78"/>
      <c r="L1471" s="146">
        <f t="shared" si="68"/>
        <v>1800000</v>
      </c>
      <c r="M1471" s="73"/>
      <c r="N1471" s="73"/>
      <c r="O1471" s="73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14.25" customHeight="1" x14ac:dyDescent="0.35">
      <c r="A1472" s="9">
        <f t="shared" si="67"/>
        <v>1464</v>
      </c>
      <c r="B1472" s="15"/>
      <c r="C1472" s="11">
        <f t="shared" si="66"/>
        <v>1</v>
      </c>
      <c r="D1472" s="11"/>
      <c r="E1472" s="11"/>
      <c r="F1472" s="11"/>
      <c r="G1472" s="89">
        <f>IFERROR(VLOOKUP(F1472,COA!$A$1:$K$26,2,FALSE),0)</f>
        <v>0</v>
      </c>
      <c r="H1472" s="11"/>
      <c r="I1472" s="11"/>
      <c r="J1472" s="78"/>
      <c r="K1472" s="78"/>
      <c r="L1472" s="146">
        <f t="shared" si="68"/>
        <v>1800000</v>
      </c>
      <c r="M1472" s="73"/>
      <c r="N1472" s="73"/>
      <c r="O1472" s="73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14.25" customHeight="1" x14ac:dyDescent="0.35">
      <c r="A1473" s="9">
        <f t="shared" si="67"/>
        <v>1465</v>
      </c>
      <c r="B1473" s="15"/>
      <c r="C1473" s="11">
        <f t="shared" si="66"/>
        <v>1</v>
      </c>
      <c r="D1473" s="11"/>
      <c r="E1473" s="11"/>
      <c r="F1473" s="11"/>
      <c r="G1473" s="89">
        <f>IFERROR(VLOOKUP(F1473,COA!$A$1:$K$26,2,FALSE),0)</f>
        <v>0</v>
      </c>
      <c r="H1473" s="11"/>
      <c r="I1473" s="11"/>
      <c r="J1473" s="78"/>
      <c r="K1473" s="78"/>
      <c r="L1473" s="146">
        <f t="shared" si="68"/>
        <v>1800000</v>
      </c>
      <c r="M1473" s="73"/>
      <c r="N1473" s="73"/>
      <c r="O1473" s="73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14.25" customHeight="1" x14ac:dyDescent="0.35">
      <c r="A1474" s="9">
        <f t="shared" si="67"/>
        <v>1466</v>
      </c>
      <c r="B1474" s="15"/>
      <c r="C1474" s="11">
        <f t="shared" si="66"/>
        <v>1</v>
      </c>
      <c r="D1474" s="11"/>
      <c r="E1474" s="11"/>
      <c r="F1474" s="11"/>
      <c r="G1474" s="89">
        <f>IFERROR(VLOOKUP(F1474,COA!$A$1:$K$26,2,FALSE),0)</f>
        <v>0</v>
      </c>
      <c r="H1474" s="11"/>
      <c r="I1474" s="11"/>
      <c r="J1474" s="78"/>
      <c r="K1474" s="78"/>
      <c r="L1474" s="146">
        <f t="shared" si="68"/>
        <v>1800000</v>
      </c>
      <c r="M1474" s="73"/>
      <c r="N1474" s="73"/>
      <c r="O1474" s="73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14.25" customHeight="1" x14ac:dyDescent="0.35">
      <c r="A1475" s="9">
        <f t="shared" si="67"/>
        <v>1467</v>
      </c>
      <c r="B1475" s="15"/>
      <c r="C1475" s="11">
        <f t="shared" si="66"/>
        <v>1</v>
      </c>
      <c r="D1475" s="11"/>
      <c r="E1475" s="11"/>
      <c r="F1475" s="11"/>
      <c r="G1475" s="89">
        <f>IFERROR(VLOOKUP(F1475,COA!$A$1:$K$26,2,FALSE),0)</f>
        <v>0</v>
      </c>
      <c r="H1475" s="11"/>
      <c r="I1475" s="11"/>
      <c r="J1475" s="78"/>
      <c r="K1475" s="78"/>
      <c r="L1475" s="146">
        <f t="shared" si="68"/>
        <v>1800000</v>
      </c>
      <c r="M1475" s="73"/>
      <c r="N1475" s="73"/>
      <c r="O1475" s="73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14.25" customHeight="1" x14ac:dyDescent="0.35">
      <c r="A1476" s="9">
        <f t="shared" si="67"/>
        <v>1468</v>
      </c>
      <c r="B1476" s="15"/>
      <c r="C1476" s="11">
        <f t="shared" si="66"/>
        <v>1</v>
      </c>
      <c r="D1476" s="11"/>
      <c r="E1476" s="11"/>
      <c r="F1476" s="11"/>
      <c r="G1476" s="89">
        <f>IFERROR(VLOOKUP(F1476,COA!$A$1:$K$26,2,FALSE),0)</f>
        <v>0</v>
      </c>
      <c r="H1476" s="11"/>
      <c r="I1476" s="11"/>
      <c r="J1476" s="78"/>
      <c r="K1476" s="78"/>
      <c r="L1476" s="146">
        <f t="shared" si="68"/>
        <v>1800000</v>
      </c>
      <c r="M1476" s="73"/>
      <c r="N1476" s="73"/>
      <c r="O1476" s="73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14.25" customHeight="1" x14ac:dyDescent="0.35">
      <c r="A1477" s="9">
        <f t="shared" si="67"/>
        <v>1469</v>
      </c>
      <c r="B1477" s="15"/>
      <c r="C1477" s="11">
        <f t="shared" si="66"/>
        <v>1</v>
      </c>
      <c r="D1477" s="11"/>
      <c r="E1477" s="11"/>
      <c r="F1477" s="11"/>
      <c r="G1477" s="89">
        <f>IFERROR(VLOOKUP(F1477,COA!$A$1:$K$26,2,FALSE),0)</f>
        <v>0</v>
      </c>
      <c r="H1477" s="11"/>
      <c r="I1477" s="11"/>
      <c r="J1477" s="78"/>
      <c r="K1477" s="78"/>
      <c r="L1477" s="146">
        <f t="shared" si="68"/>
        <v>1800000</v>
      </c>
      <c r="M1477" s="73"/>
      <c r="N1477" s="73"/>
      <c r="O1477" s="73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14.25" customHeight="1" x14ac:dyDescent="0.35">
      <c r="A1478" s="9">
        <f t="shared" si="67"/>
        <v>1470</v>
      </c>
      <c r="B1478" s="15"/>
      <c r="C1478" s="11">
        <f t="shared" si="66"/>
        <v>1</v>
      </c>
      <c r="D1478" s="11"/>
      <c r="E1478" s="11"/>
      <c r="F1478" s="11"/>
      <c r="G1478" s="89">
        <f>IFERROR(VLOOKUP(F1478,COA!$A$1:$K$26,2,FALSE),0)</f>
        <v>0</v>
      </c>
      <c r="H1478" s="11"/>
      <c r="I1478" s="11"/>
      <c r="J1478" s="78"/>
      <c r="K1478" s="78"/>
      <c r="L1478" s="146">
        <f t="shared" si="68"/>
        <v>1800000</v>
      </c>
      <c r="M1478" s="73"/>
      <c r="N1478" s="73"/>
      <c r="O1478" s="73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14.25" customHeight="1" x14ac:dyDescent="0.35">
      <c r="A1479" s="9">
        <f t="shared" si="67"/>
        <v>1471</v>
      </c>
      <c r="B1479" s="15"/>
      <c r="C1479" s="11">
        <f t="shared" si="66"/>
        <v>1</v>
      </c>
      <c r="D1479" s="11"/>
      <c r="E1479" s="11"/>
      <c r="F1479" s="11"/>
      <c r="G1479" s="89">
        <f>IFERROR(VLOOKUP(F1479,COA!$A$1:$K$26,2,FALSE),0)</f>
        <v>0</v>
      </c>
      <c r="H1479" s="11"/>
      <c r="I1479" s="11"/>
      <c r="J1479" s="78"/>
      <c r="K1479" s="78"/>
      <c r="L1479" s="146">
        <f t="shared" si="68"/>
        <v>1800000</v>
      </c>
      <c r="M1479" s="73"/>
      <c r="N1479" s="73"/>
      <c r="O1479" s="73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14.25" customHeight="1" x14ac:dyDescent="0.35">
      <c r="A1480" s="9">
        <f t="shared" si="67"/>
        <v>1472</v>
      </c>
      <c r="B1480" s="15"/>
      <c r="C1480" s="11">
        <f t="shared" ref="C1480:C1543" si="69">MONTH(B1480)</f>
        <v>1</v>
      </c>
      <c r="D1480" s="11"/>
      <c r="E1480" s="11"/>
      <c r="F1480" s="11"/>
      <c r="G1480" s="89">
        <f>IFERROR(VLOOKUP(F1480,COA!$A$1:$K$26,2,FALSE),0)</f>
        <v>0</v>
      </c>
      <c r="H1480" s="11"/>
      <c r="I1480" s="11"/>
      <c r="J1480" s="78"/>
      <c r="K1480" s="78"/>
      <c r="L1480" s="146">
        <f t="shared" si="68"/>
        <v>1800000</v>
      </c>
      <c r="M1480" s="73"/>
      <c r="N1480" s="73"/>
      <c r="O1480" s="73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14.25" customHeight="1" x14ac:dyDescent="0.35">
      <c r="A1481" s="9">
        <f t="shared" si="67"/>
        <v>1473</v>
      </c>
      <c r="B1481" s="15"/>
      <c r="C1481" s="11">
        <f t="shared" si="69"/>
        <v>1</v>
      </c>
      <c r="D1481" s="11"/>
      <c r="E1481" s="11"/>
      <c r="F1481" s="11"/>
      <c r="G1481" s="89">
        <f>IFERROR(VLOOKUP(F1481,COA!$A$1:$K$26,2,FALSE),0)</f>
        <v>0</v>
      </c>
      <c r="H1481" s="11"/>
      <c r="I1481" s="11"/>
      <c r="J1481" s="78"/>
      <c r="K1481" s="78"/>
      <c r="L1481" s="146">
        <f t="shared" si="68"/>
        <v>1800000</v>
      </c>
      <c r="M1481" s="73"/>
      <c r="N1481" s="73"/>
      <c r="O1481" s="73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14.25" customHeight="1" x14ac:dyDescent="0.35">
      <c r="A1482" s="9">
        <f t="shared" si="67"/>
        <v>1474</v>
      </c>
      <c r="B1482" s="15"/>
      <c r="C1482" s="11">
        <f t="shared" si="69"/>
        <v>1</v>
      </c>
      <c r="D1482" s="11"/>
      <c r="E1482" s="11"/>
      <c r="F1482" s="11"/>
      <c r="G1482" s="89">
        <f>IFERROR(VLOOKUP(F1482,COA!$A$1:$K$26,2,FALSE),0)</f>
        <v>0</v>
      </c>
      <c r="H1482" s="11"/>
      <c r="I1482" s="11"/>
      <c r="J1482" s="78"/>
      <c r="K1482" s="78"/>
      <c r="L1482" s="146">
        <f t="shared" si="68"/>
        <v>1800000</v>
      </c>
      <c r="M1482" s="73"/>
      <c r="N1482" s="73"/>
      <c r="O1482" s="73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14.25" customHeight="1" x14ac:dyDescent="0.35">
      <c r="A1483" s="9">
        <f t="shared" ref="A1483:A1546" si="70">A1482+1</f>
        <v>1475</v>
      </c>
      <c r="B1483" s="15"/>
      <c r="C1483" s="11">
        <f t="shared" si="69"/>
        <v>1</v>
      </c>
      <c r="D1483" s="11"/>
      <c r="E1483" s="11"/>
      <c r="F1483" s="11"/>
      <c r="G1483" s="89">
        <f>IFERROR(VLOOKUP(F1483,COA!$A$1:$K$26,2,FALSE),0)</f>
        <v>0</v>
      </c>
      <c r="H1483" s="11"/>
      <c r="I1483" s="11"/>
      <c r="J1483" s="78"/>
      <c r="K1483" s="78"/>
      <c r="L1483" s="146">
        <f t="shared" ref="L1483:L1546" si="71">L1482+J1483-K1483</f>
        <v>1800000</v>
      </c>
      <c r="M1483" s="73"/>
      <c r="N1483" s="73"/>
      <c r="O1483" s="73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14.25" customHeight="1" x14ac:dyDescent="0.35">
      <c r="A1484" s="9">
        <f t="shared" si="70"/>
        <v>1476</v>
      </c>
      <c r="B1484" s="15"/>
      <c r="C1484" s="11">
        <f t="shared" si="69"/>
        <v>1</v>
      </c>
      <c r="D1484" s="11"/>
      <c r="E1484" s="11"/>
      <c r="F1484" s="11"/>
      <c r="G1484" s="89">
        <f>IFERROR(VLOOKUP(F1484,COA!$A$1:$K$26,2,FALSE),0)</f>
        <v>0</v>
      </c>
      <c r="H1484" s="11"/>
      <c r="I1484" s="11"/>
      <c r="J1484" s="78"/>
      <c r="K1484" s="78"/>
      <c r="L1484" s="146">
        <f t="shared" si="71"/>
        <v>1800000</v>
      </c>
      <c r="M1484" s="73"/>
      <c r="N1484" s="73"/>
      <c r="O1484" s="73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14.25" customHeight="1" x14ac:dyDescent="0.35">
      <c r="A1485" s="9">
        <f t="shared" si="70"/>
        <v>1477</v>
      </c>
      <c r="B1485" s="15"/>
      <c r="C1485" s="11">
        <f t="shared" si="69"/>
        <v>1</v>
      </c>
      <c r="D1485" s="11"/>
      <c r="E1485" s="11"/>
      <c r="F1485" s="11"/>
      <c r="G1485" s="89">
        <f>IFERROR(VLOOKUP(F1485,COA!$A$1:$K$26,2,FALSE),0)</f>
        <v>0</v>
      </c>
      <c r="H1485" s="11"/>
      <c r="I1485" s="11"/>
      <c r="J1485" s="78"/>
      <c r="K1485" s="78"/>
      <c r="L1485" s="146">
        <f t="shared" si="71"/>
        <v>1800000</v>
      </c>
      <c r="M1485" s="73"/>
      <c r="N1485" s="73"/>
      <c r="O1485" s="73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14.25" customHeight="1" x14ac:dyDescent="0.35">
      <c r="A1486" s="9">
        <f t="shared" si="70"/>
        <v>1478</v>
      </c>
      <c r="B1486" s="15"/>
      <c r="C1486" s="11">
        <f t="shared" si="69"/>
        <v>1</v>
      </c>
      <c r="D1486" s="11"/>
      <c r="E1486" s="11"/>
      <c r="F1486" s="11"/>
      <c r="G1486" s="89">
        <f>IFERROR(VLOOKUP(F1486,COA!$A$1:$K$26,2,FALSE),0)</f>
        <v>0</v>
      </c>
      <c r="H1486" s="11"/>
      <c r="I1486" s="11"/>
      <c r="J1486" s="78"/>
      <c r="K1486" s="78"/>
      <c r="L1486" s="146">
        <f t="shared" si="71"/>
        <v>1800000</v>
      </c>
      <c r="M1486" s="73"/>
      <c r="N1486" s="73"/>
      <c r="O1486" s="73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14.25" customHeight="1" x14ac:dyDescent="0.35">
      <c r="A1487" s="9">
        <f t="shared" si="70"/>
        <v>1479</v>
      </c>
      <c r="B1487" s="15"/>
      <c r="C1487" s="11">
        <f t="shared" si="69"/>
        <v>1</v>
      </c>
      <c r="D1487" s="11"/>
      <c r="E1487" s="11"/>
      <c r="F1487" s="11"/>
      <c r="G1487" s="89">
        <f>IFERROR(VLOOKUP(F1487,COA!$A$1:$K$26,2,FALSE),0)</f>
        <v>0</v>
      </c>
      <c r="H1487" s="11"/>
      <c r="I1487" s="11"/>
      <c r="J1487" s="78"/>
      <c r="K1487" s="78"/>
      <c r="L1487" s="146">
        <f t="shared" si="71"/>
        <v>1800000</v>
      </c>
      <c r="M1487" s="73"/>
      <c r="N1487" s="73"/>
      <c r="O1487" s="73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14.25" customHeight="1" x14ac:dyDescent="0.35">
      <c r="A1488" s="9">
        <f t="shared" si="70"/>
        <v>1480</v>
      </c>
      <c r="B1488" s="15"/>
      <c r="C1488" s="11">
        <f t="shared" si="69"/>
        <v>1</v>
      </c>
      <c r="D1488" s="11"/>
      <c r="E1488" s="11"/>
      <c r="F1488" s="11"/>
      <c r="G1488" s="89">
        <f>IFERROR(VLOOKUP(F1488,COA!$A$1:$K$26,2,FALSE),0)</f>
        <v>0</v>
      </c>
      <c r="H1488" s="11"/>
      <c r="I1488" s="11"/>
      <c r="J1488" s="78"/>
      <c r="K1488" s="78"/>
      <c r="L1488" s="146">
        <f t="shared" si="71"/>
        <v>1800000</v>
      </c>
      <c r="M1488" s="73"/>
      <c r="N1488" s="73"/>
      <c r="O1488" s="73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14.25" customHeight="1" x14ac:dyDescent="0.35">
      <c r="A1489" s="9">
        <f t="shared" si="70"/>
        <v>1481</v>
      </c>
      <c r="B1489" s="15"/>
      <c r="C1489" s="11">
        <f t="shared" si="69"/>
        <v>1</v>
      </c>
      <c r="D1489" s="11"/>
      <c r="E1489" s="11"/>
      <c r="F1489" s="11"/>
      <c r="G1489" s="89">
        <f>IFERROR(VLOOKUP(F1489,COA!$A$1:$K$26,2,FALSE),0)</f>
        <v>0</v>
      </c>
      <c r="H1489" s="11"/>
      <c r="I1489" s="11"/>
      <c r="J1489" s="78"/>
      <c r="K1489" s="78"/>
      <c r="L1489" s="146">
        <f t="shared" si="71"/>
        <v>1800000</v>
      </c>
      <c r="M1489" s="73"/>
      <c r="N1489" s="73"/>
      <c r="O1489" s="73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14.25" customHeight="1" x14ac:dyDescent="0.35">
      <c r="A1490" s="9">
        <f t="shared" si="70"/>
        <v>1482</v>
      </c>
      <c r="B1490" s="15"/>
      <c r="C1490" s="11">
        <f t="shared" si="69"/>
        <v>1</v>
      </c>
      <c r="D1490" s="11"/>
      <c r="E1490" s="11"/>
      <c r="F1490" s="11"/>
      <c r="G1490" s="89">
        <f>IFERROR(VLOOKUP(F1490,COA!$A$1:$K$26,2,FALSE),0)</f>
        <v>0</v>
      </c>
      <c r="H1490" s="11"/>
      <c r="I1490" s="11"/>
      <c r="J1490" s="78"/>
      <c r="K1490" s="78"/>
      <c r="L1490" s="146">
        <f t="shared" si="71"/>
        <v>1800000</v>
      </c>
      <c r="M1490" s="73"/>
      <c r="N1490" s="73"/>
      <c r="O1490" s="73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14.25" customHeight="1" x14ac:dyDescent="0.35">
      <c r="A1491" s="9">
        <f t="shared" si="70"/>
        <v>1483</v>
      </c>
      <c r="B1491" s="15"/>
      <c r="C1491" s="11">
        <f t="shared" si="69"/>
        <v>1</v>
      </c>
      <c r="D1491" s="11"/>
      <c r="E1491" s="11"/>
      <c r="F1491" s="11"/>
      <c r="G1491" s="89">
        <f>IFERROR(VLOOKUP(F1491,COA!$A$1:$K$26,2,FALSE),0)</f>
        <v>0</v>
      </c>
      <c r="H1491" s="11"/>
      <c r="I1491" s="11"/>
      <c r="J1491" s="78"/>
      <c r="K1491" s="78"/>
      <c r="L1491" s="146">
        <f t="shared" si="71"/>
        <v>1800000</v>
      </c>
      <c r="M1491" s="73"/>
      <c r="N1491" s="73"/>
      <c r="O1491" s="73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14.25" customHeight="1" x14ac:dyDescent="0.35">
      <c r="A1492" s="9">
        <f t="shared" si="70"/>
        <v>1484</v>
      </c>
      <c r="B1492" s="15"/>
      <c r="C1492" s="11">
        <f t="shared" si="69"/>
        <v>1</v>
      </c>
      <c r="D1492" s="11"/>
      <c r="E1492" s="11"/>
      <c r="F1492" s="11"/>
      <c r="G1492" s="89">
        <f>IFERROR(VLOOKUP(F1492,COA!$A$1:$K$26,2,FALSE),0)</f>
        <v>0</v>
      </c>
      <c r="H1492" s="11"/>
      <c r="I1492" s="11"/>
      <c r="J1492" s="78"/>
      <c r="K1492" s="78"/>
      <c r="L1492" s="146">
        <f t="shared" si="71"/>
        <v>1800000</v>
      </c>
      <c r="M1492" s="73"/>
      <c r="N1492" s="73"/>
      <c r="O1492" s="73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14.25" customHeight="1" x14ac:dyDescent="0.35">
      <c r="A1493" s="9">
        <f t="shared" si="70"/>
        <v>1485</v>
      </c>
      <c r="B1493" s="15"/>
      <c r="C1493" s="11">
        <f t="shared" si="69"/>
        <v>1</v>
      </c>
      <c r="D1493" s="11"/>
      <c r="E1493" s="11"/>
      <c r="F1493" s="11"/>
      <c r="G1493" s="89">
        <f>IFERROR(VLOOKUP(F1493,COA!$A$1:$K$26,2,FALSE),0)</f>
        <v>0</v>
      </c>
      <c r="H1493" s="11"/>
      <c r="I1493" s="11"/>
      <c r="J1493" s="78"/>
      <c r="K1493" s="78"/>
      <c r="L1493" s="146">
        <f t="shared" si="71"/>
        <v>1800000</v>
      </c>
      <c r="M1493" s="73"/>
      <c r="N1493" s="73"/>
      <c r="O1493" s="73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14.25" customHeight="1" x14ac:dyDescent="0.35">
      <c r="A1494" s="9">
        <f t="shared" si="70"/>
        <v>1486</v>
      </c>
      <c r="B1494" s="15"/>
      <c r="C1494" s="11">
        <f t="shared" si="69"/>
        <v>1</v>
      </c>
      <c r="D1494" s="11"/>
      <c r="E1494" s="11"/>
      <c r="F1494" s="11"/>
      <c r="G1494" s="89">
        <f>IFERROR(VLOOKUP(F1494,COA!$A$1:$K$26,2,FALSE),0)</f>
        <v>0</v>
      </c>
      <c r="H1494" s="11"/>
      <c r="I1494" s="11"/>
      <c r="J1494" s="78"/>
      <c r="K1494" s="78"/>
      <c r="L1494" s="146">
        <f t="shared" si="71"/>
        <v>1800000</v>
      </c>
      <c r="M1494" s="73"/>
      <c r="N1494" s="73"/>
      <c r="O1494" s="73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14.25" customHeight="1" x14ac:dyDescent="0.35">
      <c r="A1495" s="9">
        <f t="shared" si="70"/>
        <v>1487</v>
      </c>
      <c r="B1495" s="15"/>
      <c r="C1495" s="11">
        <f t="shared" si="69"/>
        <v>1</v>
      </c>
      <c r="D1495" s="11"/>
      <c r="E1495" s="11"/>
      <c r="F1495" s="11"/>
      <c r="G1495" s="89">
        <f>IFERROR(VLOOKUP(F1495,COA!$A$1:$K$26,2,FALSE),0)</f>
        <v>0</v>
      </c>
      <c r="H1495" s="11"/>
      <c r="I1495" s="11"/>
      <c r="J1495" s="78"/>
      <c r="K1495" s="78"/>
      <c r="L1495" s="146">
        <f t="shared" si="71"/>
        <v>1800000</v>
      </c>
      <c r="M1495" s="73"/>
      <c r="N1495" s="73"/>
      <c r="O1495" s="73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14.25" customHeight="1" x14ac:dyDescent="0.35">
      <c r="A1496" s="9">
        <f t="shared" si="70"/>
        <v>1488</v>
      </c>
      <c r="B1496" s="15"/>
      <c r="C1496" s="11">
        <f t="shared" si="69"/>
        <v>1</v>
      </c>
      <c r="D1496" s="11"/>
      <c r="E1496" s="11"/>
      <c r="F1496" s="11"/>
      <c r="G1496" s="89">
        <f>IFERROR(VLOOKUP(F1496,COA!$A$1:$K$26,2,FALSE),0)</f>
        <v>0</v>
      </c>
      <c r="H1496" s="11"/>
      <c r="I1496" s="11"/>
      <c r="J1496" s="78"/>
      <c r="K1496" s="78"/>
      <c r="L1496" s="146">
        <f t="shared" si="71"/>
        <v>1800000</v>
      </c>
      <c r="M1496" s="73"/>
      <c r="N1496" s="73"/>
      <c r="O1496" s="73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14.25" customHeight="1" x14ac:dyDescent="0.35">
      <c r="A1497" s="9">
        <f t="shared" si="70"/>
        <v>1489</v>
      </c>
      <c r="B1497" s="15"/>
      <c r="C1497" s="11">
        <f t="shared" si="69"/>
        <v>1</v>
      </c>
      <c r="D1497" s="11"/>
      <c r="E1497" s="11"/>
      <c r="F1497" s="11"/>
      <c r="G1497" s="89">
        <f>IFERROR(VLOOKUP(F1497,COA!$A$1:$K$26,2,FALSE),0)</f>
        <v>0</v>
      </c>
      <c r="H1497" s="11"/>
      <c r="I1497" s="11"/>
      <c r="J1497" s="78"/>
      <c r="K1497" s="78"/>
      <c r="L1497" s="146">
        <f t="shared" si="71"/>
        <v>1800000</v>
      </c>
      <c r="M1497" s="73"/>
      <c r="N1497" s="73"/>
      <c r="O1497" s="73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14.25" customHeight="1" x14ac:dyDescent="0.35">
      <c r="A1498" s="9">
        <f t="shared" si="70"/>
        <v>1490</v>
      </c>
      <c r="B1498" s="15"/>
      <c r="C1498" s="11">
        <f t="shared" si="69"/>
        <v>1</v>
      </c>
      <c r="D1498" s="11"/>
      <c r="E1498" s="11"/>
      <c r="F1498" s="11"/>
      <c r="G1498" s="89">
        <f>IFERROR(VLOOKUP(F1498,COA!$A$1:$K$26,2,FALSE),0)</f>
        <v>0</v>
      </c>
      <c r="H1498" s="11"/>
      <c r="I1498" s="11"/>
      <c r="J1498" s="78"/>
      <c r="K1498" s="78"/>
      <c r="L1498" s="146">
        <f t="shared" si="71"/>
        <v>1800000</v>
      </c>
      <c r="M1498" s="73"/>
      <c r="N1498" s="73"/>
      <c r="O1498" s="73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14.25" customHeight="1" x14ac:dyDescent="0.35">
      <c r="A1499" s="9">
        <f t="shared" si="70"/>
        <v>1491</v>
      </c>
      <c r="B1499" s="15"/>
      <c r="C1499" s="11">
        <f t="shared" si="69"/>
        <v>1</v>
      </c>
      <c r="D1499" s="11"/>
      <c r="E1499" s="11"/>
      <c r="F1499" s="11"/>
      <c r="G1499" s="89">
        <f>IFERROR(VLOOKUP(F1499,COA!$A$1:$K$26,2,FALSE),0)</f>
        <v>0</v>
      </c>
      <c r="H1499" s="11"/>
      <c r="I1499" s="11"/>
      <c r="J1499" s="78"/>
      <c r="K1499" s="78"/>
      <c r="L1499" s="146">
        <f t="shared" si="71"/>
        <v>1800000</v>
      </c>
      <c r="M1499" s="73"/>
      <c r="N1499" s="73"/>
      <c r="O1499" s="73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14.25" customHeight="1" x14ac:dyDescent="0.35">
      <c r="A1500" s="9">
        <f t="shared" si="70"/>
        <v>1492</v>
      </c>
      <c r="B1500" s="15"/>
      <c r="C1500" s="11">
        <f t="shared" si="69"/>
        <v>1</v>
      </c>
      <c r="D1500" s="11"/>
      <c r="E1500" s="11"/>
      <c r="F1500" s="11"/>
      <c r="G1500" s="89">
        <f>IFERROR(VLOOKUP(F1500,COA!$A$1:$K$26,2,FALSE),0)</f>
        <v>0</v>
      </c>
      <c r="H1500" s="11"/>
      <c r="I1500" s="11"/>
      <c r="J1500" s="78"/>
      <c r="K1500" s="78"/>
      <c r="L1500" s="146">
        <f t="shared" si="71"/>
        <v>1800000</v>
      </c>
      <c r="M1500" s="73"/>
      <c r="N1500" s="73"/>
      <c r="O1500" s="73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14.25" customHeight="1" x14ac:dyDescent="0.35">
      <c r="A1501" s="9">
        <f t="shared" si="70"/>
        <v>1493</v>
      </c>
      <c r="B1501" s="15"/>
      <c r="C1501" s="11">
        <f t="shared" si="69"/>
        <v>1</v>
      </c>
      <c r="D1501" s="11"/>
      <c r="E1501" s="11"/>
      <c r="F1501" s="11"/>
      <c r="G1501" s="89">
        <f>IFERROR(VLOOKUP(F1501,COA!$A$1:$K$26,2,FALSE),0)</f>
        <v>0</v>
      </c>
      <c r="H1501" s="11"/>
      <c r="I1501" s="11"/>
      <c r="J1501" s="78"/>
      <c r="K1501" s="78"/>
      <c r="L1501" s="146">
        <f t="shared" si="71"/>
        <v>1800000</v>
      </c>
      <c r="M1501" s="73"/>
      <c r="N1501" s="73"/>
      <c r="O1501" s="73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14.25" customHeight="1" x14ac:dyDescent="0.35">
      <c r="A1502" s="9">
        <f t="shared" si="70"/>
        <v>1494</v>
      </c>
      <c r="B1502" s="15"/>
      <c r="C1502" s="11">
        <f t="shared" si="69"/>
        <v>1</v>
      </c>
      <c r="D1502" s="11"/>
      <c r="E1502" s="11"/>
      <c r="F1502" s="11"/>
      <c r="G1502" s="89">
        <f>IFERROR(VLOOKUP(F1502,COA!$A$1:$K$26,2,FALSE),0)</f>
        <v>0</v>
      </c>
      <c r="H1502" s="11"/>
      <c r="I1502" s="11"/>
      <c r="J1502" s="78"/>
      <c r="K1502" s="78"/>
      <c r="L1502" s="146">
        <f t="shared" si="71"/>
        <v>1800000</v>
      </c>
      <c r="M1502" s="73"/>
      <c r="N1502" s="73"/>
      <c r="O1502" s="73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14.25" customHeight="1" x14ac:dyDescent="0.35">
      <c r="A1503" s="9">
        <f t="shared" si="70"/>
        <v>1495</v>
      </c>
      <c r="B1503" s="15"/>
      <c r="C1503" s="11">
        <f t="shared" si="69"/>
        <v>1</v>
      </c>
      <c r="D1503" s="11"/>
      <c r="E1503" s="11"/>
      <c r="F1503" s="11"/>
      <c r="G1503" s="89">
        <f>IFERROR(VLOOKUP(F1503,COA!$A$1:$K$26,2,FALSE),0)</f>
        <v>0</v>
      </c>
      <c r="H1503" s="11"/>
      <c r="I1503" s="11"/>
      <c r="J1503" s="78"/>
      <c r="K1503" s="78"/>
      <c r="L1503" s="146">
        <f t="shared" si="71"/>
        <v>1800000</v>
      </c>
      <c r="M1503" s="73"/>
      <c r="N1503" s="73"/>
      <c r="O1503" s="73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14.25" customHeight="1" x14ac:dyDescent="0.35">
      <c r="A1504" s="9">
        <f t="shared" si="70"/>
        <v>1496</v>
      </c>
      <c r="B1504" s="15"/>
      <c r="C1504" s="11">
        <f t="shared" si="69"/>
        <v>1</v>
      </c>
      <c r="D1504" s="11"/>
      <c r="E1504" s="11"/>
      <c r="F1504" s="11"/>
      <c r="G1504" s="89">
        <f>IFERROR(VLOOKUP(F1504,COA!$A$1:$K$26,2,FALSE),0)</f>
        <v>0</v>
      </c>
      <c r="H1504" s="11"/>
      <c r="I1504" s="11"/>
      <c r="J1504" s="78"/>
      <c r="K1504" s="78"/>
      <c r="L1504" s="146">
        <f t="shared" si="71"/>
        <v>1800000</v>
      </c>
      <c r="M1504" s="73"/>
      <c r="N1504" s="73"/>
      <c r="O1504" s="73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14.25" customHeight="1" x14ac:dyDescent="0.35">
      <c r="A1505" s="9">
        <f t="shared" si="70"/>
        <v>1497</v>
      </c>
      <c r="B1505" s="15"/>
      <c r="C1505" s="11">
        <f t="shared" si="69"/>
        <v>1</v>
      </c>
      <c r="D1505" s="11"/>
      <c r="E1505" s="11"/>
      <c r="F1505" s="11"/>
      <c r="G1505" s="89">
        <f>IFERROR(VLOOKUP(F1505,COA!$A$1:$K$26,2,FALSE),0)</f>
        <v>0</v>
      </c>
      <c r="H1505" s="11"/>
      <c r="I1505" s="11"/>
      <c r="J1505" s="78"/>
      <c r="K1505" s="78"/>
      <c r="L1505" s="146">
        <f t="shared" si="71"/>
        <v>1800000</v>
      </c>
      <c r="M1505" s="73"/>
      <c r="N1505" s="73"/>
      <c r="O1505" s="73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14.25" customHeight="1" x14ac:dyDescent="0.35">
      <c r="A1506" s="9">
        <f t="shared" si="70"/>
        <v>1498</v>
      </c>
      <c r="B1506" s="15"/>
      <c r="C1506" s="11">
        <f t="shared" si="69"/>
        <v>1</v>
      </c>
      <c r="D1506" s="11"/>
      <c r="E1506" s="11"/>
      <c r="F1506" s="11"/>
      <c r="G1506" s="89">
        <f>IFERROR(VLOOKUP(F1506,COA!$A$1:$K$26,2,FALSE),0)</f>
        <v>0</v>
      </c>
      <c r="H1506" s="11"/>
      <c r="I1506" s="11"/>
      <c r="J1506" s="78"/>
      <c r="K1506" s="78"/>
      <c r="L1506" s="146">
        <f t="shared" si="71"/>
        <v>1800000</v>
      </c>
      <c r="M1506" s="73"/>
      <c r="N1506" s="73"/>
      <c r="O1506" s="73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14.25" customHeight="1" x14ac:dyDescent="0.35">
      <c r="A1507" s="9">
        <f t="shared" si="70"/>
        <v>1499</v>
      </c>
      <c r="B1507" s="15"/>
      <c r="C1507" s="11">
        <f t="shared" si="69"/>
        <v>1</v>
      </c>
      <c r="D1507" s="11"/>
      <c r="E1507" s="11"/>
      <c r="F1507" s="11"/>
      <c r="G1507" s="89">
        <f>IFERROR(VLOOKUP(F1507,COA!$A$1:$K$26,2,FALSE),0)</f>
        <v>0</v>
      </c>
      <c r="H1507" s="11"/>
      <c r="I1507" s="11"/>
      <c r="J1507" s="78"/>
      <c r="K1507" s="78"/>
      <c r="L1507" s="146">
        <f t="shared" si="71"/>
        <v>1800000</v>
      </c>
      <c r="M1507" s="73"/>
      <c r="N1507" s="73"/>
      <c r="O1507" s="73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14.25" customHeight="1" x14ac:dyDescent="0.35">
      <c r="A1508" s="9">
        <f t="shared" si="70"/>
        <v>1500</v>
      </c>
      <c r="B1508" s="15"/>
      <c r="C1508" s="11">
        <f t="shared" si="69"/>
        <v>1</v>
      </c>
      <c r="D1508" s="11"/>
      <c r="E1508" s="11"/>
      <c r="F1508" s="11"/>
      <c r="G1508" s="89">
        <f>IFERROR(VLOOKUP(F1508,COA!$A$1:$K$26,2,FALSE),0)</f>
        <v>0</v>
      </c>
      <c r="H1508" s="11"/>
      <c r="I1508" s="11"/>
      <c r="J1508" s="78"/>
      <c r="K1508" s="78"/>
      <c r="L1508" s="146">
        <f t="shared" si="71"/>
        <v>1800000</v>
      </c>
      <c r="M1508" s="73"/>
      <c r="N1508" s="73"/>
      <c r="O1508" s="73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14.25" customHeight="1" x14ac:dyDescent="0.35">
      <c r="A1509" s="9">
        <f t="shared" si="70"/>
        <v>1501</v>
      </c>
      <c r="B1509" s="15"/>
      <c r="C1509" s="11">
        <f t="shared" si="69"/>
        <v>1</v>
      </c>
      <c r="D1509" s="11"/>
      <c r="E1509" s="11"/>
      <c r="F1509" s="11"/>
      <c r="G1509" s="89">
        <f>IFERROR(VLOOKUP(F1509,COA!$A$1:$K$26,2,FALSE),0)</f>
        <v>0</v>
      </c>
      <c r="H1509" s="11"/>
      <c r="I1509" s="11"/>
      <c r="J1509" s="78"/>
      <c r="K1509" s="78"/>
      <c r="L1509" s="146">
        <f t="shared" si="71"/>
        <v>1800000</v>
      </c>
      <c r="M1509" s="73"/>
      <c r="N1509" s="73"/>
      <c r="O1509" s="73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14.25" customHeight="1" x14ac:dyDescent="0.35">
      <c r="A1510" s="9">
        <f t="shared" si="70"/>
        <v>1502</v>
      </c>
      <c r="B1510" s="15"/>
      <c r="C1510" s="11">
        <f t="shared" si="69"/>
        <v>1</v>
      </c>
      <c r="D1510" s="11"/>
      <c r="E1510" s="11"/>
      <c r="F1510" s="11"/>
      <c r="G1510" s="89">
        <f>IFERROR(VLOOKUP(F1510,COA!$A$1:$K$26,2,FALSE),0)</f>
        <v>0</v>
      </c>
      <c r="H1510" s="11"/>
      <c r="I1510" s="11"/>
      <c r="J1510" s="78"/>
      <c r="K1510" s="78"/>
      <c r="L1510" s="146">
        <f t="shared" si="71"/>
        <v>1800000</v>
      </c>
      <c r="M1510" s="73"/>
      <c r="N1510" s="73"/>
      <c r="O1510" s="73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14.25" customHeight="1" x14ac:dyDescent="0.35">
      <c r="A1511" s="9">
        <f t="shared" si="70"/>
        <v>1503</v>
      </c>
      <c r="B1511" s="15"/>
      <c r="C1511" s="11">
        <f t="shared" si="69"/>
        <v>1</v>
      </c>
      <c r="D1511" s="11"/>
      <c r="E1511" s="11"/>
      <c r="F1511" s="11"/>
      <c r="G1511" s="89">
        <f>IFERROR(VLOOKUP(F1511,COA!$A$1:$K$26,2,FALSE),0)</f>
        <v>0</v>
      </c>
      <c r="H1511" s="11"/>
      <c r="I1511" s="11"/>
      <c r="J1511" s="78"/>
      <c r="K1511" s="78"/>
      <c r="L1511" s="146">
        <f t="shared" si="71"/>
        <v>1800000</v>
      </c>
      <c r="M1511" s="73"/>
      <c r="N1511" s="73"/>
      <c r="O1511" s="73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14.25" customHeight="1" x14ac:dyDescent="0.35">
      <c r="A1512" s="9">
        <f t="shared" si="70"/>
        <v>1504</v>
      </c>
      <c r="B1512" s="15"/>
      <c r="C1512" s="11">
        <f t="shared" si="69"/>
        <v>1</v>
      </c>
      <c r="D1512" s="11"/>
      <c r="E1512" s="11"/>
      <c r="F1512" s="11"/>
      <c r="G1512" s="89">
        <f>IFERROR(VLOOKUP(F1512,COA!$A$1:$K$26,2,FALSE),0)</f>
        <v>0</v>
      </c>
      <c r="H1512" s="11"/>
      <c r="I1512" s="11"/>
      <c r="J1512" s="78"/>
      <c r="K1512" s="78"/>
      <c r="L1512" s="146">
        <f t="shared" si="71"/>
        <v>1800000</v>
      </c>
      <c r="M1512" s="73"/>
      <c r="N1512" s="73"/>
      <c r="O1512" s="73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14.25" customHeight="1" x14ac:dyDescent="0.35">
      <c r="A1513" s="9">
        <f t="shared" si="70"/>
        <v>1505</v>
      </c>
      <c r="B1513" s="15"/>
      <c r="C1513" s="11">
        <f t="shared" si="69"/>
        <v>1</v>
      </c>
      <c r="D1513" s="11"/>
      <c r="E1513" s="11"/>
      <c r="F1513" s="11"/>
      <c r="G1513" s="89">
        <f>IFERROR(VLOOKUP(F1513,COA!$A$1:$K$26,2,FALSE),0)</f>
        <v>0</v>
      </c>
      <c r="H1513" s="11"/>
      <c r="I1513" s="11"/>
      <c r="J1513" s="78"/>
      <c r="K1513" s="78"/>
      <c r="L1513" s="146">
        <f t="shared" si="71"/>
        <v>1800000</v>
      </c>
      <c r="M1513" s="73"/>
      <c r="N1513" s="73"/>
      <c r="O1513" s="73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14.25" customHeight="1" x14ac:dyDescent="0.35">
      <c r="A1514" s="9">
        <f t="shared" si="70"/>
        <v>1506</v>
      </c>
      <c r="B1514" s="15"/>
      <c r="C1514" s="11">
        <f t="shared" si="69"/>
        <v>1</v>
      </c>
      <c r="D1514" s="11"/>
      <c r="E1514" s="11"/>
      <c r="F1514" s="11"/>
      <c r="G1514" s="89">
        <f>IFERROR(VLOOKUP(F1514,COA!$A$1:$K$26,2,FALSE),0)</f>
        <v>0</v>
      </c>
      <c r="H1514" s="11"/>
      <c r="I1514" s="11"/>
      <c r="J1514" s="78"/>
      <c r="K1514" s="78"/>
      <c r="L1514" s="146">
        <f t="shared" si="71"/>
        <v>1800000</v>
      </c>
      <c r="M1514" s="73"/>
      <c r="N1514" s="73"/>
      <c r="O1514" s="73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14.25" customHeight="1" x14ac:dyDescent="0.35">
      <c r="A1515" s="9">
        <f t="shared" si="70"/>
        <v>1507</v>
      </c>
      <c r="B1515" s="15"/>
      <c r="C1515" s="11">
        <f t="shared" si="69"/>
        <v>1</v>
      </c>
      <c r="D1515" s="11"/>
      <c r="E1515" s="11"/>
      <c r="F1515" s="11"/>
      <c r="G1515" s="89">
        <f>IFERROR(VLOOKUP(F1515,COA!$A$1:$K$26,2,FALSE),0)</f>
        <v>0</v>
      </c>
      <c r="H1515" s="11"/>
      <c r="I1515" s="11"/>
      <c r="J1515" s="78"/>
      <c r="K1515" s="78"/>
      <c r="L1515" s="146">
        <f t="shared" si="71"/>
        <v>1800000</v>
      </c>
      <c r="M1515" s="73"/>
      <c r="N1515" s="73"/>
      <c r="O1515" s="73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14.25" customHeight="1" x14ac:dyDescent="0.35">
      <c r="A1516" s="9">
        <f t="shared" si="70"/>
        <v>1508</v>
      </c>
      <c r="B1516" s="15"/>
      <c r="C1516" s="11">
        <f t="shared" si="69"/>
        <v>1</v>
      </c>
      <c r="D1516" s="11"/>
      <c r="E1516" s="11"/>
      <c r="F1516" s="11"/>
      <c r="G1516" s="89">
        <f>IFERROR(VLOOKUP(F1516,COA!$A$1:$K$26,2,FALSE),0)</f>
        <v>0</v>
      </c>
      <c r="H1516" s="11"/>
      <c r="I1516" s="11"/>
      <c r="J1516" s="78"/>
      <c r="K1516" s="78"/>
      <c r="L1516" s="146">
        <f t="shared" si="71"/>
        <v>1800000</v>
      </c>
      <c r="M1516" s="73"/>
      <c r="N1516" s="73"/>
      <c r="O1516" s="73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14.25" customHeight="1" x14ac:dyDescent="0.35">
      <c r="A1517" s="9">
        <f t="shared" si="70"/>
        <v>1509</v>
      </c>
      <c r="B1517" s="15"/>
      <c r="C1517" s="11">
        <f t="shared" si="69"/>
        <v>1</v>
      </c>
      <c r="D1517" s="11"/>
      <c r="E1517" s="11"/>
      <c r="F1517" s="11"/>
      <c r="G1517" s="89">
        <f>IFERROR(VLOOKUP(F1517,COA!$A$1:$K$26,2,FALSE),0)</f>
        <v>0</v>
      </c>
      <c r="H1517" s="11"/>
      <c r="I1517" s="11"/>
      <c r="J1517" s="78"/>
      <c r="K1517" s="78"/>
      <c r="L1517" s="146">
        <f t="shared" si="71"/>
        <v>1800000</v>
      </c>
      <c r="M1517" s="73"/>
      <c r="N1517" s="73"/>
      <c r="O1517" s="73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14.25" customHeight="1" x14ac:dyDescent="0.35">
      <c r="A1518" s="9">
        <f t="shared" si="70"/>
        <v>1510</v>
      </c>
      <c r="B1518" s="15"/>
      <c r="C1518" s="11">
        <f t="shared" si="69"/>
        <v>1</v>
      </c>
      <c r="D1518" s="11"/>
      <c r="E1518" s="11"/>
      <c r="F1518" s="11"/>
      <c r="G1518" s="89">
        <f>IFERROR(VLOOKUP(F1518,COA!$A$1:$K$26,2,FALSE),0)</f>
        <v>0</v>
      </c>
      <c r="H1518" s="11"/>
      <c r="I1518" s="11"/>
      <c r="J1518" s="78"/>
      <c r="K1518" s="78"/>
      <c r="L1518" s="146">
        <f t="shared" si="71"/>
        <v>1800000</v>
      </c>
      <c r="M1518" s="73"/>
      <c r="N1518" s="73"/>
      <c r="O1518" s="73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14.25" customHeight="1" x14ac:dyDescent="0.35">
      <c r="A1519" s="9">
        <f t="shared" si="70"/>
        <v>1511</v>
      </c>
      <c r="B1519" s="15"/>
      <c r="C1519" s="11">
        <f t="shared" si="69"/>
        <v>1</v>
      </c>
      <c r="D1519" s="11"/>
      <c r="E1519" s="11"/>
      <c r="F1519" s="11"/>
      <c r="G1519" s="89">
        <f>IFERROR(VLOOKUP(F1519,COA!$A$1:$K$26,2,FALSE),0)</f>
        <v>0</v>
      </c>
      <c r="H1519" s="11"/>
      <c r="I1519" s="11"/>
      <c r="J1519" s="78"/>
      <c r="K1519" s="78"/>
      <c r="L1519" s="146">
        <f t="shared" si="71"/>
        <v>1800000</v>
      </c>
      <c r="M1519" s="73"/>
      <c r="N1519" s="73"/>
      <c r="O1519" s="73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14.25" customHeight="1" x14ac:dyDescent="0.35">
      <c r="A1520" s="9">
        <f t="shared" si="70"/>
        <v>1512</v>
      </c>
      <c r="B1520" s="15"/>
      <c r="C1520" s="11">
        <f t="shared" si="69"/>
        <v>1</v>
      </c>
      <c r="D1520" s="11"/>
      <c r="E1520" s="11"/>
      <c r="F1520" s="11"/>
      <c r="G1520" s="89">
        <f>IFERROR(VLOOKUP(F1520,COA!$A$1:$K$26,2,FALSE),0)</f>
        <v>0</v>
      </c>
      <c r="H1520" s="11"/>
      <c r="I1520" s="11"/>
      <c r="J1520" s="78"/>
      <c r="K1520" s="78"/>
      <c r="L1520" s="146">
        <f t="shared" si="71"/>
        <v>1800000</v>
      </c>
      <c r="M1520" s="73"/>
      <c r="N1520" s="73"/>
      <c r="O1520" s="73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14.25" customHeight="1" x14ac:dyDescent="0.35">
      <c r="A1521" s="9">
        <f t="shared" si="70"/>
        <v>1513</v>
      </c>
      <c r="B1521" s="15"/>
      <c r="C1521" s="11">
        <f t="shared" si="69"/>
        <v>1</v>
      </c>
      <c r="D1521" s="11"/>
      <c r="E1521" s="11"/>
      <c r="F1521" s="11"/>
      <c r="G1521" s="89">
        <f>IFERROR(VLOOKUP(F1521,COA!$A$1:$K$26,2,FALSE),0)</f>
        <v>0</v>
      </c>
      <c r="H1521" s="11"/>
      <c r="I1521" s="11"/>
      <c r="J1521" s="78"/>
      <c r="K1521" s="78"/>
      <c r="L1521" s="146">
        <f t="shared" si="71"/>
        <v>1800000</v>
      </c>
      <c r="M1521" s="73"/>
      <c r="N1521" s="73"/>
      <c r="O1521" s="73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14.25" customHeight="1" x14ac:dyDescent="0.35">
      <c r="A1522" s="9">
        <f t="shared" si="70"/>
        <v>1514</v>
      </c>
      <c r="B1522" s="15"/>
      <c r="C1522" s="11">
        <f t="shared" si="69"/>
        <v>1</v>
      </c>
      <c r="D1522" s="11"/>
      <c r="E1522" s="11"/>
      <c r="F1522" s="11"/>
      <c r="G1522" s="89">
        <f>IFERROR(VLOOKUP(F1522,COA!$A$1:$K$26,2,FALSE),0)</f>
        <v>0</v>
      </c>
      <c r="H1522" s="11"/>
      <c r="I1522" s="11"/>
      <c r="J1522" s="78"/>
      <c r="K1522" s="78"/>
      <c r="L1522" s="146">
        <f t="shared" si="71"/>
        <v>1800000</v>
      </c>
      <c r="M1522" s="73"/>
      <c r="N1522" s="73"/>
      <c r="O1522" s="73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14.25" customHeight="1" x14ac:dyDescent="0.35">
      <c r="A1523" s="9">
        <f t="shared" si="70"/>
        <v>1515</v>
      </c>
      <c r="B1523" s="15"/>
      <c r="C1523" s="11">
        <f t="shared" si="69"/>
        <v>1</v>
      </c>
      <c r="D1523" s="11"/>
      <c r="E1523" s="11"/>
      <c r="F1523" s="11"/>
      <c r="G1523" s="89">
        <f>IFERROR(VLOOKUP(F1523,COA!$A$1:$K$26,2,FALSE),0)</f>
        <v>0</v>
      </c>
      <c r="H1523" s="11"/>
      <c r="I1523" s="11"/>
      <c r="J1523" s="78"/>
      <c r="K1523" s="78"/>
      <c r="L1523" s="146">
        <f t="shared" si="71"/>
        <v>1800000</v>
      </c>
      <c r="M1523" s="73"/>
      <c r="N1523" s="73"/>
      <c r="O1523" s="73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14.25" customHeight="1" x14ac:dyDescent="0.35">
      <c r="A1524" s="9">
        <f t="shared" si="70"/>
        <v>1516</v>
      </c>
      <c r="B1524" s="15"/>
      <c r="C1524" s="11">
        <f t="shared" si="69"/>
        <v>1</v>
      </c>
      <c r="D1524" s="11"/>
      <c r="E1524" s="11"/>
      <c r="F1524" s="11"/>
      <c r="G1524" s="89">
        <f>IFERROR(VLOOKUP(F1524,COA!$A$1:$K$26,2,FALSE),0)</f>
        <v>0</v>
      </c>
      <c r="H1524" s="11"/>
      <c r="I1524" s="11"/>
      <c r="J1524" s="78"/>
      <c r="K1524" s="78"/>
      <c r="L1524" s="146">
        <f t="shared" si="71"/>
        <v>1800000</v>
      </c>
      <c r="M1524" s="73"/>
      <c r="N1524" s="73"/>
      <c r="O1524" s="73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14.25" customHeight="1" x14ac:dyDescent="0.35">
      <c r="A1525" s="9">
        <f t="shared" si="70"/>
        <v>1517</v>
      </c>
      <c r="B1525" s="15"/>
      <c r="C1525" s="11">
        <f t="shared" si="69"/>
        <v>1</v>
      </c>
      <c r="D1525" s="11"/>
      <c r="E1525" s="11"/>
      <c r="F1525" s="11"/>
      <c r="G1525" s="89">
        <f>IFERROR(VLOOKUP(F1525,COA!$A$1:$K$26,2,FALSE),0)</f>
        <v>0</v>
      </c>
      <c r="H1525" s="11"/>
      <c r="I1525" s="11"/>
      <c r="J1525" s="78"/>
      <c r="K1525" s="78"/>
      <c r="L1525" s="146">
        <f t="shared" si="71"/>
        <v>1800000</v>
      </c>
      <c r="M1525" s="73"/>
      <c r="N1525" s="73"/>
      <c r="O1525" s="73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14.25" customHeight="1" x14ac:dyDescent="0.35">
      <c r="A1526" s="9">
        <f t="shared" si="70"/>
        <v>1518</v>
      </c>
      <c r="B1526" s="15"/>
      <c r="C1526" s="11">
        <f t="shared" si="69"/>
        <v>1</v>
      </c>
      <c r="D1526" s="11"/>
      <c r="E1526" s="11"/>
      <c r="F1526" s="11"/>
      <c r="G1526" s="89">
        <f>IFERROR(VLOOKUP(F1526,COA!$A$1:$K$26,2,FALSE),0)</f>
        <v>0</v>
      </c>
      <c r="H1526" s="11"/>
      <c r="I1526" s="11"/>
      <c r="J1526" s="78"/>
      <c r="K1526" s="78"/>
      <c r="L1526" s="146">
        <f t="shared" si="71"/>
        <v>1800000</v>
      </c>
      <c r="M1526" s="73"/>
      <c r="N1526" s="73"/>
      <c r="O1526" s="73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14.25" customHeight="1" x14ac:dyDescent="0.35">
      <c r="A1527" s="9">
        <f t="shared" si="70"/>
        <v>1519</v>
      </c>
      <c r="B1527" s="15"/>
      <c r="C1527" s="11">
        <f t="shared" si="69"/>
        <v>1</v>
      </c>
      <c r="D1527" s="11"/>
      <c r="E1527" s="11"/>
      <c r="F1527" s="11"/>
      <c r="G1527" s="89">
        <f>IFERROR(VLOOKUP(F1527,COA!$A$1:$K$26,2,FALSE),0)</f>
        <v>0</v>
      </c>
      <c r="H1527" s="11"/>
      <c r="I1527" s="11"/>
      <c r="J1527" s="78"/>
      <c r="K1527" s="78"/>
      <c r="L1527" s="146">
        <f t="shared" si="71"/>
        <v>1800000</v>
      </c>
      <c r="M1527" s="73"/>
      <c r="N1527" s="73"/>
      <c r="O1527" s="73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14.25" customHeight="1" x14ac:dyDescent="0.35">
      <c r="A1528" s="9">
        <f t="shared" si="70"/>
        <v>1520</v>
      </c>
      <c r="B1528" s="15"/>
      <c r="C1528" s="11">
        <f t="shared" si="69"/>
        <v>1</v>
      </c>
      <c r="D1528" s="11"/>
      <c r="E1528" s="11"/>
      <c r="F1528" s="11"/>
      <c r="G1528" s="89">
        <f>IFERROR(VLOOKUP(F1528,COA!$A$1:$K$26,2,FALSE),0)</f>
        <v>0</v>
      </c>
      <c r="H1528" s="11"/>
      <c r="I1528" s="11"/>
      <c r="J1528" s="78"/>
      <c r="K1528" s="78"/>
      <c r="L1528" s="146">
        <f t="shared" si="71"/>
        <v>1800000</v>
      </c>
      <c r="M1528" s="73"/>
      <c r="N1528" s="73"/>
      <c r="O1528" s="73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14.25" customHeight="1" x14ac:dyDescent="0.35">
      <c r="A1529" s="9">
        <f t="shared" si="70"/>
        <v>1521</v>
      </c>
      <c r="B1529" s="15"/>
      <c r="C1529" s="11">
        <f t="shared" si="69"/>
        <v>1</v>
      </c>
      <c r="D1529" s="11"/>
      <c r="E1529" s="11"/>
      <c r="F1529" s="11"/>
      <c r="G1529" s="89">
        <f>IFERROR(VLOOKUP(F1529,COA!$A$1:$K$26,2,FALSE),0)</f>
        <v>0</v>
      </c>
      <c r="H1529" s="11"/>
      <c r="I1529" s="11"/>
      <c r="J1529" s="78"/>
      <c r="K1529" s="78"/>
      <c r="L1529" s="146">
        <f t="shared" si="71"/>
        <v>1800000</v>
      </c>
      <c r="M1529" s="73"/>
      <c r="N1529" s="73"/>
      <c r="O1529" s="73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14.25" customHeight="1" x14ac:dyDescent="0.35">
      <c r="A1530" s="9">
        <f t="shared" si="70"/>
        <v>1522</v>
      </c>
      <c r="B1530" s="15"/>
      <c r="C1530" s="11">
        <f t="shared" si="69"/>
        <v>1</v>
      </c>
      <c r="D1530" s="11"/>
      <c r="E1530" s="11"/>
      <c r="F1530" s="11"/>
      <c r="G1530" s="89">
        <f>IFERROR(VLOOKUP(F1530,COA!$A$1:$K$26,2,FALSE),0)</f>
        <v>0</v>
      </c>
      <c r="H1530" s="11"/>
      <c r="I1530" s="11"/>
      <c r="J1530" s="78"/>
      <c r="K1530" s="78"/>
      <c r="L1530" s="146">
        <f t="shared" si="71"/>
        <v>1800000</v>
      </c>
      <c r="M1530" s="73"/>
      <c r="N1530" s="73"/>
      <c r="O1530" s="73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14.25" customHeight="1" x14ac:dyDescent="0.35">
      <c r="A1531" s="9">
        <f t="shared" si="70"/>
        <v>1523</v>
      </c>
      <c r="B1531" s="15"/>
      <c r="C1531" s="11">
        <f t="shared" si="69"/>
        <v>1</v>
      </c>
      <c r="D1531" s="11"/>
      <c r="E1531" s="11"/>
      <c r="F1531" s="11"/>
      <c r="G1531" s="89">
        <f>IFERROR(VLOOKUP(F1531,COA!$A$1:$K$26,2,FALSE),0)</f>
        <v>0</v>
      </c>
      <c r="H1531" s="11"/>
      <c r="I1531" s="11"/>
      <c r="J1531" s="78"/>
      <c r="K1531" s="78"/>
      <c r="L1531" s="146">
        <f t="shared" si="71"/>
        <v>1800000</v>
      </c>
      <c r="M1531" s="73"/>
      <c r="N1531" s="73"/>
      <c r="O1531" s="73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14.25" customHeight="1" x14ac:dyDescent="0.35">
      <c r="A1532" s="9">
        <f t="shared" si="70"/>
        <v>1524</v>
      </c>
      <c r="B1532" s="15"/>
      <c r="C1532" s="11">
        <f t="shared" si="69"/>
        <v>1</v>
      </c>
      <c r="D1532" s="11"/>
      <c r="E1532" s="11"/>
      <c r="F1532" s="11"/>
      <c r="G1532" s="89">
        <f>IFERROR(VLOOKUP(F1532,COA!$A$1:$K$26,2,FALSE),0)</f>
        <v>0</v>
      </c>
      <c r="H1532" s="11"/>
      <c r="I1532" s="11"/>
      <c r="J1532" s="78"/>
      <c r="K1532" s="78"/>
      <c r="L1532" s="146">
        <f t="shared" si="71"/>
        <v>1800000</v>
      </c>
      <c r="M1532" s="73"/>
      <c r="N1532" s="73"/>
      <c r="O1532" s="73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14.25" customHeight="1" x14ac:dyDescent="0.35">
      <c r="A1533" s="9">
        <f t="shared" si="70"/>
        <v>1525</v>
      </c>
      <c r="B1533" s="15"/>
      <c r="C1533" s="11">
        <f t="shared" si="69"/>
        <v>1</v>
      </c>
      <c r="D1533" s="11"/>
      <c r="E1533" s="11"/>
      <c r="F1533" s="11"/>
      <c r="G1533" s="89">
        <f>IFERROR(VLOOKUP(F1533,COA!$A$1:$K$26,2,FALSE),0)</f>
        <v>0</v>
      </c>
      <c r="H1533" s="11"/>
      <c r="I1533" s="11"/>
      <c r="J1533" s="78"/>
      <c r="K1533" s="78"/>
      <c r="L1533" s="146">
        <f t="shared" si="71"/>
        <v>1800000</v>
      </c>
      <c r="M1533" s="73"/>
      <c r="N1533" s="73"/>
      <c r="O1533" s="73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14.25" customHeight="1" x14ac:dyDescent="0.35">
      <c r="A1534" s="9">
        <f t="shared" si="70"/>
        <v>1526</v>
      </c>
      <c r="B1534" s="15"/>
      <c r="C1534" s="11">
        <f t="shared" si="69"/>
        <v>1</v>
      </c>
      <c r="D1534" s="11"/>
      <c r="E1534" s="11"/>
      <c r="F1534" s="11"/>
      <c r="G1534" s="89">
        <f>IFERROR(VLOOKUP(F1534,COA!$A$1:$K$26,2,FALSE),0)</f>
        <v>0</v>
      </c>
      <c r="H1534" s="11"/>
      <c r="I1534" s="11"/>
      <c r="J1534" s="78"/>
      <c r="K1534" s="78"/>
      <c r="L1534" s="146">
        <f t="shared" si="71"/>
        <v>1800000</v>
      </c>
      <c r="M1534" s="73"/>
      <c r="N1534" s="73"/>
      <c r="O1534" s="73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14.25" customHeight="1" x14ac:dyDescent="0.35">
      <c r="A1535" s="9">
        <f t="shared" si="70"/>
        <v>1527</v>
      </c>
      <c r="B1535" s="15"/>
      <c r="C1535" s="11">
        <f t="shared" si="69"/>
        <v>1</v>
      </c>
      <c r="D1535" s="11"/>
      <c r="E1535" s="11"/>
      <c r="F1535" s="11"/>
      <c r="G1535" s="89">
        <f>IFERROR(VLOOKUP(F1535,COA!$A$1:$K$26,2,FALSE),0)</f>
        <v>0</v>
      </c>
      <c r="H1535" s="11"/>
      <c r="I1535" s="11"/>
      <c r="J1535" s="78"/>
      <c r="K1535" s="78"/>
      <c r="L1535" s="146">
        <f t="shared" si="71"/>
        <v>1800000</v>
      </c>
      <c r="M1535" s="73"/>
      <c r="N1535" s="73"/>
      <c r="O1535" s="73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14.25" customHeight="1" x14ac:dyDescent="0.35">
      <c r="A1536" s="9">
        <f t="shared" si="70"/>
        <v>1528</v>
      </c>
      <c r="B1536" s="15"/>
      <c r="C1536" s="11">
        <f t="shared" si="69"/>
        <v>1</v>
      </c>
      <c r="D1536" s="11"/>
      <c r="E1536" s="11"/>
      <c r="F1536" s="11"/>
      <c r="G1536" s="89">
        <f>IFERROR(VLOOKUP(F1536,COA!$A$1:$K$26,2,FALSE),0)</f>
        <v>0</v>
      </c>
      <c r="H1536" s="11"/>
      <c r="I1536" s="11"/>
      <c r="J1536" s="78"/>
      <c r="K1536" s="78"/>
      <c r="L1536" s="146">
        <f t="shared" si="71"/>
        <v>1800000</v>
      </c>
      <c r="M1536" s="73"/>
      <c r="N1536" s="73"/>
      <c r="O1536" s="73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14.25" customHeight="1" x14ac:dyDescent="0.35">
      <c r="A1537" s="9">
        <f t="shared" si="70"/>
        <v>1529</v>
      </c>
      <c r="B1537" s="15"/>
      <c r="C1537" s="11">
        <f t="shared" si="69"/>
        <v>1</v>
      </c>
      <c r="D1537" s="11"/>
      <c r="E1537" s="11"/>
      <c r="F1537" s="11"/>
      <c r="G1537" s="89">
        <f>IFERROR(VLOOKUP(F1537,COA!$A$1:$K$26,2,FALSE),0)</f>
        <v>0</v>
      </c>
      <c r="H1537" s="11"/>
      <c r="I1537" s="11"/>
      <c r="J1537" s="78"/>
      <c r="K1537" s="78"/>
      <c r="L1537" s="146">
        <f t="shared" si="71"/>
        <v>1800000</v>
      </c>
      <c r="M1537" s="73"/>
      <c r="N1537" s="73"/>
      <c r="O1537" s="73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14.25" customHeight="1" x14ac:dyDescent="0.35">
      <c r="A1538" s="9">
        <f t="shared" si="70"/>
        <v>1530</v>
      </c>
      <c r="B1538" s="15"/>
      <c r="C1538" s="11">
        <f t="shared" si="69"/>
        <v>1</v>
      </c>
      <c r="D1538" s="11"/>
      <c r="E1538" s="11"/>
      <c r="F1538" s="11"/>
      <c r="G1538" s="89">
        <f>IFERROR(VLOOKUP(F1538,COA!$A$1:$K$26,2,FALSE),0)</f>
        <v>0</v>
      </c>
      <c r="H1538" s="11"/>
      <c r="I1538" s="11"/>
      <c r="J1538" s="78"/>
      <c r="K1538" s="78"/>
      <c r="L1538" s="146">
        <f t="shared" si="71"/>
        <v>1800000</v>
      </c>
      <c r="M1538" s="73"/>
      <c r="N1538" s="73"/>
      <c r="O1538" s="73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14.25" customHeight="1" x14ac:dyDescent="0.35">
      <c r="A1539" s="9">
        <f t="shared" si="70"/>
        <v>1531</v>
      </c>
      <c r="B1539" s="15"/>
      <c r="C1539" s="11">
        <f t="shared" si="69"/>
        <v>1</v>
      </c>
      <c r="D1539" s="11"/>
      <c r="E1539" s="11"/>
      <c r="F1539" s="11"/>
      <c r="G1539" s="89">
        <f>IFERROR(VLOOKUP(F1539,COA!$A$1:$K$26,2,FALSE),0)</f>
        <v>0</v>
      </c>
      <c r="H1539" s="11"/>
      <c r="I1539" s="11"/>
      <c r="J1539" s="78"/>
      <c r="K1539" s="78"/>
      <c r="L1539" s="146">
        <f t="shared" si="71"/>
        <v>1800000</v>
      </c>
      <c r="M1539" s="73"/>
      <c r="N1539" s="73"/>
      <c r="O1539" s="73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14.25" customHeight="1" x14ac:dyDescent="0.35">
      <c r="A1540" s="9">
        <f t="shared" si="70"/>
        <v>1532</v>
      </c>
      <c r="B1540" s="15"/>
      <c r="C1540" s="11">
        <f t="shared" si="69"/>
        <v>1</v>
      </c>
      <c r="D1540" s="11"/>
      <c r="E1540" s="11"/>
      <c r="F1540" s="11"/>
      <c r="G1540" s="89">
        <f>IFERROR(VLOOKUP(F1540,COA!$A$1:$K$26,2,FALSE),0)</f>
        <v>0</v>
      </c>
      <c r="H1540" s="11"/>
      <c r="I1540" s="11"/>
      <c r="J1540" s="78"/>
      <c r="K1540" s="78"/>
      <c r="L1540" s="146">
        <f t="shared" si="71"/>
        <v>1800000</v>
      </c>
      <c r="M1540" s="73"/>
      <c r="N1540" s="73"/>
      <c r="O1540" s="73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14.25" customHeight="1" x14ac:dyDescent="0.35">
      <c r="A1541" s="9">
        <f t="shared" si="70"/>
        <v>1533</v>
      </c>
      <c r="B1541" s="15"/>
      <c r="C1541" s="11">
        <f t="shared" si="69"/>
        <v>1</v>
      </c>
      <c r="D1541" s="11"/>
      <c r="E1541" s="11"/>
      <c r="F1541" s="11"/>
      <c r="G1541" s="89">
        <f>IFERROR(VLOOKUP(F1541,COA!$A$1:$K$26,2,FALSE),0)</f>
        <v>0</v>
      </c>
      <c r="H1541" s="11"/>
      <c r="I1541" s="11"/>
      <c r="J1541" s="78"/>
      <c r="K1541" s="78"/>
      <c r="L1541" s="146">
        <f t="shared" si="71"/>
        <v>1800000</v>
      </c>
      <c r="M1541" s="73"/>
      <c r="N1541" s="73"/>
      <c r="O1541" s="73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14.25" customHeight="1" x14ac:dyDescent="0.35">
      <c r="A1542" s="9">
        <f t="shared" si="70"/>
        <v>1534</v>
      </c>
      <c r="B1542" s="15"/>
      <c r="C1542" s="11">
        <f t="shared" si="69"/>
        <v>1</v>
      </c>
      <c r="D1542" s="11"/>
      <c r="E1542" s="11"/>
      <c r="F1542" s="11"/>
      <c r="G1542" s="89">
        <f>IFERROR(VLOOKUP(F1542,COA!$A$1:$K$26,2,FALSE),0)</f>
        <v>0</v>
      </c>
      <c r="H1542" s="11"/>
      <c r="I1542" s="11"/>
      <c r="J1542" s="78"/>
      <c r="K1542" s="78"/>
      <c r="L1542" s="146">
        <f t="shared" si="71"/>
        <v>1800000</v>
      </c>
      <c r="M1542" s="73"/>
      <c r="N1542" s="73"/>
      <c r="O1542" s="73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14.25" customHeight="1" x14ac:dyDescent="0.35">
      <c r="A1543" s="9">
        <f t="shared" si="70"/>
        <v>1535</v>
      </c>
      <c r="B1543" s="15"/>
      <c r="C1543" s="11">
        <f t="shared" si="69"/>
        <v>1</v>
      </c>
      <c r="D1543" s="11"/>
      <c r="E1543" s="11"/>
      <c r="F1543" s="11"/>
      <c r="G1543" s="89">
        <f>IFERROR(VLOOKUP(F1543,COA!$A$1:$K$26,2,FALSE),0)</f>
        <v>0</v>
      </c>
      <c r="H1543" s="11"/>
      <c r="I1543" s="11"/>
      <c r="J1543" s="78"/>
      <c r="K1543" s="78"/>
      <c r="L1543" s="146">
        <f t="shared" si="71"/>
        <v>1800000</v>
      </c>
      <c r="M1543" s="73"/>
      <c r="N1543" s="73"/>
      <c r="O1543" s="73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14.25" customHeight="1" x14ac:dyDescent="0.35">
      <c r="A1544" s="9">
        <f t="shared" si="70"/>
        <v>1536</v>
      </c>
      <c r="B1544" s="15"/>
      <c r="C1544" s="11">
        <f t="shared" ref="C1544:C1607" si="72">MONTH(B1544)</f>
        <v>1</v>
      </c>
      <c r="D1544" s="11"/>
      <c r="E1544" s="11"/>
      <c r="F1544" s="11"/>
      <c r="G1544" s="89">
        <f>IFERROR(VLOOKUP(F1544,COA!$A$1:$K$26,2,FALSE),0)</f>
        <v>0</v>
      </c>
      <c r="H1544" s="11"/>
      <c r="I1544" s="11"/>
      <c r="J1544" s="78"/>
      <c r="K1544" s="78"/>
      <c r="L1544" s="146">
        <f t="shared" si="71"/>
        <v>1800000</v>
      </c>
      <c r="M1544" s="73"/>
      <c r="N1544" s="73"/>
      <c r="O1544" s="73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14.25" customHeight="1" x14ac:dyDescent="0.35">
      <c r="A1545" s="9">
        <f t="shared" si="70"/>
        <v>1537</v>
      </c>
      <c r="B1545" s="15"/>
      <c r="C1545" s="11">
        <f t="shared" si="72"/>
        <v>1</v>
      </c>
      <c r="D1545" s="11"/>
      <c r="E1545" s="11"/>
      <c r="F1545" s="11"/>
      <c r="G1545" s="89">
        <f>IFERROR(VLOOKUP(F1545,COA!$A$1:$K$26,2,FALSE),0)</f>
        <v>0</v>
      </c>
      <c r="H1545" s="11"/>
      <c r="I1545" s="11"/>
      <c r="J1545" s="78"/>
      <c r="K1545" s="78"/>
      <c r="L1545" s="146">
        <f t="shared" si="71"/>
        <v>1800000</v>
      </c>
      <c r="M1545" s="73"/>
      <c r="N1545" s="73"/>
      <c r="O1545" s="73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14.25" customHeight="1" x14ac:dyDescent="0.35">
      <c r="A1546" s="9">
        <f t="shared" si="70"/>
        <v>1538</v>
      </c>
      <c r="B1546" s="15"/>
      <c r="C1546" s="11">
        <f t="shared" si="72"/>
        <v>1</v>
      </c>
      <c r="D1546" s="11"/>
      <c r="E1546" s="11"/>
      <c r="F1546" s="11"/>
      <c r="G1546" s="89">
        <f>IFERROR(VLOOKUP(F1546,COA!$A$1:$K$26,2,FALSE),0)</f>
        <v>0</v>
      </c>
      <c r="H1546" s="11"/>
      <c r="I1546" s="11"/>
      <c r="J1546" s="78"/>
      <c r="K1546" s="78"/>
      <c r="L1546" s="146">
        <f t="shared" si="71"/>
        <v>1800000</v>
      </c>
      <c r="M1546" s="73"/>
      <c r="N1546" s="73"/>
      <c r="O1546" s="73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14.25" customHeight="1" x14ac:dyDescent="0.35">
      <c r="A1547" s="9">
        <f t="shared" ref="A1547:A1610" si="73">A1546+1</f>
        <v>1539</v>
      </c>
      <c r="B1547" s="15"/>
      <c r="C1547" s="11">
        <f t="shared" si="72"/>
        <v>1</v>
      </c>
      <c r="D1547" s="11"/>
      <c r="E1547" s="11"/>
      <c r="F1547" s="11"/>
      <c r="G1547" s="89">
        <f>IFERROR(VLOOKUP(F1547,COA!$A$1:$K$26,2,FALSE),0)</f>
        <v>0</v>
      </c>
      <c r="H1547" s="11"/>
      <c r="I1547" s="11"/>
      <c r="J1547" s="78"/>
      <c r="K1547" s="78"/>
      <c r="L1547" s="146">
        <f t="shared" ref="L1547:L1610" si="74">L1546+J1547-K1547</f>
        <v>1800000</v>
      </c>
      <c r="M1547" s="73"/>
      <c r="N1547" s="73"/>
      <c r="O1547" s="73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14.25" customHeight="1" x14ac:dyDescent="0.35">
      <c r="A1548" s="9">
        <f t="shared" si="73"/>
        <v>1540</v>
      </c>
      <c r="B1548" s="15"/>
      <c r="C1548" s="11">
        <f t="shared" si="72"/>
        <v>1</v>
      </c>
      <c r="D1548" s="11"/>
      <c r="E1548" s="11"/>
      <c r="F1548" s="11"/>
      <c r="G1548" s="89">
        <f>IFERROR(VLOOKUP(F1548,COA!$A$1:$K$26,2,FALSE),0)</f>
        <v>0</v>
      </c>
      <c r="H1548" s="11"/>
      <c r="I1548" s="11"/>
      <c r="J1548" s="78"/>
      <c r="K1548" s="78"/>
      <c r="L1548" s="146">
        <f t="shared" si="74"/>
        <v>1800000</v>
      </c>
      <c r="M1548" s="73"/>
      <c r="N1548" s="73"/>
      <c r="O1548" s="73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14.25" customHeight="1" x14ac:dyDescent="0.35">
      <c r="A1549" s="9">
        <f t="shared" si="73"/>
        <v>1541</v>
      </c>
      <c r="B1549" s="15"/>
      <c r="C1549" s="11">
        <f t="shared" si="72"/>
        <v>1</v>
      </c>
      <c r="D1549" s="11"/>
      <c r="E1549" s="11"/>
      <c r="F1549" s="11"/>
      <c r="G1549" s="89">
        <f>IFERROR(VLOOKUP(F1549,COA!$A$1:$K$26,2,FALSE),0)</f>
        <v>0</v>
      </c>
      <c r="H1549" s="11"/>
      <c r="I1549" s="11"/>
      <c r="J1549" s="78"/>
      <c r="K1549" s="78"/>
      <c r="L1549" s="146">
        <f t="shared" si="74"/>
        <v>1800000</v>
      </c>
      <c r="M1549" s="73"/>
      <c r="N1549" s="73"/>
      <c r="O1549" s="73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14.25" customHeight="1" x14ac:dyDescent="0.35">
      <c r="A1550" s="9">
        <f t="shared" si="73"/>
        <v>1542</v>
      </c>
      <c r="B1550" s="15"/>
      <c r="C1550" s="11">
        <f t="shared" si="72"/>
        <v>1</v>
      </c>
      <c r="D1550" s="11"/>
      <c r="E1550" s="11"/>
      <c r="F1550" s="11"/>
      <c r="G1550" s="89">
        <f>IFERROR(VLOOKUP(F1550,COA!$A$1:$K$26,2,FALSE),0)</f>
        <v>0</v>
      </c>
      <c r="H1550" s="11"/>
      <c r="I1550" s="11"/>
      <c r="J1550" s="78"/>
      <c r="K1550" s="78"/>
      <c r="L1550" s="146">
        <f t="shared" si="74"/>
        <v>1800000</v>
      </c>
      <c r="M1550" s="73"/>
      <c r="N1550" s="73"/>
      <c r="O1550" s="73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14.25" customHeight="1" x14ac:dyDescent="0.35">
      <c r="A1551" s="9">
        <f t="shared" si="73"/>
        <v>1543</v>
      </c>
      <c r="B1551" s="15"/>
      <c r="C1551" s="11">
        <f t="shared" si="72"/>
        <v>1</v>
      </c>
      <c r="D1551" s="11"/>
      <c r="E1551" s="11"/>
      <c r="F1551" s="11"/>
      <c r="G1551" s="89">
        <f>IFERROR(VLOOKUP(F1551,COA!$A$1:$K$26,2,FALSE),0)</f>
        <v>0</v>
      </c>
      <c r="H1551" s="11"/>
      <c r="I1551" s="11"/>
      <c r="J1551" s="78"/>
      <c r="K1551" s="78"/>
      <c r="L1551" s="146">
        <f t="shared" si="74"/>
        <v>1800000</v>
      </c>
      <c r="M1551" s="73"/>
      <c r="N1551" s="73"/>
      <c r="O1551" s="73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14.25" customHeight="1" x14ac:dyDescent="0.35">
      <c r="A1552" s="9">
        <f t="shared" si="73"/>
        <v>1544</v>
      </c>
      <c r="B1552" s="15"/>
      <c r="C1552" s="11">
        <f t="shared" si="72"/>
        <v>1</v>
      </c>
      <c r="D1552" s="11"/>
      <c r="E1552" s="11"/>
      <c r="F1552" s="11"/>
      <c r="G1552" s="89">
        <f>IFERROR(VLOOKUP(F1552,COA!$A$1:$K$26,2,FALSE),0)</f>
        <v>0</v>
      </c>
      <c r="H1552" s="11"/>
      <c r="I1552" s="11"/>
      <c r="J1552" s="78"/>
      <c r="K1552" s="78"/>
      <c r="L1552" s="146">
        <f t="shared" si="74"/>
        <v>1800000</v>
      </c>
      <c r="M1552" s="73"/>
      <c r="N1552" s="73"/>
      <c r="O1552" s="73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14.25" customHeight="1" x14ac:dyDescent="0.35">
      <c r="A1553" s="9">
        <f t="shared" si="73"/>
        <v>1545</v>
      </c>
      <c r="B1553" s="15"/>
      <c r="C1553" s="11">
        <f t="shared" si="72"/>
        <v>1</v>
      </c>
      <c r="D1553" s="11"/>
      <c r="E1553" s="11"/>
      <c r="F1553" s="11"/>
      <c r="G1553" s="89">
        <f>IFERROR(VLOOKUP(F1553,COA!$A$1:$K$26,2,FALSE),0)</f>
        <v>0</v>
      </c>
      <c r="H1553" s="11"/>
      <c r="I1553" s="11"/>
      <c r="J1553" s="78"/>
      <c r="K1553" s="78"/>
      <c r="L1553" s="146">
        <f t="shared" si="74"/>
        <v>1800000</v>
      </c>
      <c r="M1553" s="73"/>
      <c r="N1553" s="73"/>
      <c r="O1553" s="73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14.25" customHeight="1" x14ac:dyDescent="0.35">
      <c r="A1554" s="9">
        <f t="shared" si="73"/>
        <v>1546</v>
      </c>
      <c r="B1554" s="15"/>
      <c r="C1554" s="11">
        <f t="shared" si="72"/>
        <v>1</v>
      </c>
      <c r="D1554" s="11"/>
      <c r="E1554" s="11"/>
      <c r="F1554" s="11"/>
      <c r="G1554" s="89">
        <f>IFERROR(VLOOKUP(F1554,COA!$A$1:$K$26,2,FALSE),0)</f>
        <v>0</v>
      </c>
      <c r="H1554" s="11"/>
      <c r="I1554" s="11"/>
      <c r="J1554" s="78"/>
      <c r="K1554" s="78"/>
      <c r="L1554" s="146">
        <f t="shared" si="74"/>
        <v>1800000</v>
      </c>
      <c r="M1554" s="73"/>
      <c r="N1554" s="73"/>
      <c r="O1554" s="73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14.25" customHeight="1" x14ac:dyDescent="0.35">
      <c r="A1555" s="9">
        <f t="shared" si="73"/>
        <v>1547</v>
      </c>
      <c r="B1555" s="15"/>
      <c r="C1555" s="11">
        <f t="shared" si="72"/>
        <v>1</v>
      </c>
      <c r="D1555" s="11"/>
      <c r="E1555" s="11"/>
      <c r="F1555" s="11"/>
      <c r="G1555" s="89">
        <f>IFERROR(VLOOKUP(F1555,COA!$A$1:$K$26,2,FALSE),0)</f>
        <v>0</v>
      </c>
      <c r="H1555" s="11"/>
      <c r="I1555" s="11"/>
      <c r="J1555" s="78"/>
      <c r="K1555" s="78"/>
      <c r="L1555" s="146">
        <f t="shared" si="74"/>
        <v>1800000</v>
      </c>
      <c r="M1555" s="73"/>
      <c r="N1555" s="73"/>
      <c r="O1555" s="73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14.25" customHeight="1" x14ac:dyDescent="0.35">
      <c r="A1556" s="9">
        <f t="shared" si="73"/>
        <v>1548</v>
      </c>
      <c r="B1556" s="15"/>
      <c r="C1556" s="11">
        <f t="shared" si="72"/>
        <v>1</v>
      </c>
      <c r="D1556" s="11"/>
      <c r="E1556" s="11"/>
      <c r="F1556" s="11"/>
      <c r="G1556" s="89">
        <f>IFERROR(VLOOKUP(F1556,COA!$A$1:$K$26,2,FALSE),0)</f>
        <v>0</v>
      </c>
      <c r="H1556" s="11"/>
      <c r="I1556" s="11"/>
      <c r="J1556" s="78"/>
      <c r="K1556" s="78"/>
      <c r="L1556" s="146">
        <f t="shared" si="74"/>
        <v>1800000</v>
      </c>
      <c r="M1556" s="73"/>
      <c r="N1556" s="73"/>
      <c r="O1556" s="73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14.25" customHeight="1" x14ac:dyDescent="0.35">
      <c r="A1557" s="9">
        <f t="shared" si="73"/>
        <v>1549</v>
      </c>
      <c r="B1557" s="15"/>
      <c r="C1557" s="11">
        <f t="shared" si="72"/>
        <v>1</v>
      </c>
      <c r="D1557" s="11"/>
      <c r="E1557" s="11"/>
      <c r="F1557" s="11"/>
      <c r="G1557" s="89">
        <f>IFERROR(VLOOKUP(F1557,COA!$A$1:$K$26,2,FALSE),0)</f>
        <v>0</v>
      </c>
      <c r="H1557" s="11"/>
      <c r="I1557" s="11"/>
      <c r="J1557" s="78"/>
      <c r="K1557" s="78"/>
      <c r="L1557" s="146">
        <f t="shared" si="74"/>
        <v>1800000</v>
      </c>
      <c r="M1557" s="73"/>
      <c r="N1557" s="73"/>
      <c r="O1557" s="73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14.25" customHeight="1" x14ac:dyDescent="0.35">
      <c r="A1558" s="9">
        <f t="shared" si="73"/>
        <v>1550</v>
      </c>
      <c r="B1558" s="15"/>
      <c r="C1558" s="11">
        <f t="shared" si="72"/>
        <v>1</v>
      </c>
      <c r="D1558" s="11"/>
      <c r="E1558" s="11"/>
      <c r="F1558" s="11"/>
      <c r="G1558" s="89">
        <f>IFERROR(VLOOKUP(F1558,COA!$A$1:$K$26,2,FALSE),0)</f>
        <v>0</v>
      </c>
      <c r="H1558" s="11"/>
      <c r="I1558" s="11"/>
      <c r="J1558" s="78"/>
      <c r="K1558" s="78"/>
      <c r="L1558" s="146">
        <f t="shared" si="74"/>
        <v>1800000</v>
      </c>
      <c r="M1558" s="73"/>
      <c r="N1558" s="73"/>
      <c r="O1558" s="73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14.25" customHeight="1" x14ac:dyDescent="0.35">
      <c r="A1559" s="9">
        <f t="shared" si="73"/>
        <v>1551</v>
      </c>
      <c r="B1559" s="15"/>
      <c r="C1559" s="11">
        <f t="shared" si="72"/>
        <v>1</v>
      </c>
      <c r="D1559" s="11"/>
      <c r="E1559" s="11"/>
      <c r="F1559" s="11"/>
      <c r="G1559" s="89">
        <f>IFERROR(VLOOKUP(F1559,COA!$A$1:$K$26,2,FALSE),0)</f>
        <v>0</v>
      </c>
      <c r="H1559" s="11"/>
      <c r="I1559" s="11"/>
      <c r="J1559" s="78"/>
      <c r="K1559" s="78"/>
      <c r="L1559" s="146">
        <f t="shared" si="74"/>
        <v>1800000</v>
      </c>
      <c r="M1559" s="73"/>
      <c r="N1559" s="73"/>
      <c r="O1559" s="73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14.25" customHeight="1" x14ac:dyDescent="0.35">
      <c r="A1560" s="9">
        <f t="shared" si="73"/>
        <v>1552</v>
      </c>
      <c r="B1560" s="15"/>
      <c r="C1560" s="11">
        <f t="shared" si="72"/>
        <v>1</v>
      </c>
      <c r="D1560" s="11"/>
      <c r="E1560" s="11"/>
      <c r="F1560" s="11"/>
      <c r="G1560" s="89">
        <f>IFERROR(VLOOKUP(F1560,COA!$A$1:$K$26,2,FALSE),0)</f>
        <v>0</v>
      </c>
      <c r="H1560" s="11"/>
      <c r="I1560" s="11"/>
      <c r="J1560" s="78"/>
      <c r="K1560" s="78"/>
      <c r="L1560" s="146">
        <f t="shared" si="74"/>
        <v>1800000</v>
      </c>
      <c r="M1560" s="73"/>
      <c r="N1560" s="73"/>
      <c r="O1560" s="73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14.25" customHeight="1" x14ac:dyDescent="0.35">
      <c r="A1561" s="9">
        <f t="shared" si="73"/>
        <v>1553</v>
      </c>
      <c r="B1561" s="15"/>
      <c r="C1561" s="11">
        <f t="shared" si="72"/>
        <v>1</v>
      </c>
      <c r="D1561" s="11"/>
      <c r="E1561" s="11"/>
      <c r="F1561" s="11"/>
      <c r="G1561" s="89">
        <f>IFERROR(VLOOKUP(F1561,COA!$A$1:$K$26,2,FALSE),0)</f>
        <v>0</v>
      </c>
      <c r="H1561" s="11"/>
      <c r="I1561" s="11"/>
      <c r="J1561" s="78"/>
      <c r="K1561" s="78"/>
      <c r="L1561" s="146">
        <f t="shared" si="74"/>
        <v>1800000</v>
      </c>
      <c r="M1561" s="73"/>
      <c r="N1561" s="73"/>
      <c r="O1561" s="73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14.25" customHeight="1" x14ac:dyDescent="0.35">
      <c r="A1562" s="9">
        <f t="shared" si="73"/>
        <v>1554</v>
      </c>
      <c r="B1562" s="15"/>
      <c r="C1562" s="11">
        <f t="shared" si="72"/>
        <v>1</v>
      </c>
      <c r="D1562" s="11"/>
      <c r="E1562" s="11"/>
      <c r="F1562" s="11"/>
      <c r="G1562" s="89">
        <f>IFERROR(VLOOKUP(F1562,COA!$A$1:$K$26,2,FALSE),0)</f>
        <v>0</v>
      </c>
      <c r="H1562" s="11"/>
      <c r="I1562" s="11"/>
      <c r="J1562" s="78"/>
      <c r="K1562" s="78"/>
      <c r="L1562" s="146">
        <f t="shared" si="74"/>
        <v>1800000</v>
      </c>
      <c r="M1562" s="73"/>
      <c r="N1562" s="73"/>
      <c r="O1562" s="73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14.25" customHeight="1" x14ac:dyDescent="0.35">
      <c r="A1563" s="9">
        <f t="shared" si="73"/>
        <v>1555</v>
      </c>
      <c r="B1563" s="15"/>
      <c r="C1563" s="11">
        <f t="shared" si="72"/>
        <v>1</v>
      </c>
      <c r="D1563" s="11"/>
      <c r="E1563" s="11"/>
      <c r="F1563" s="11"/>
      <c r="G1563" s="89">
        <f>IFERROR(VLOOKUP(F1563,COA!$A$1:$K$26,2,FALSE),0)</f>
        <v>0</v>
      </c>
      <c r="H1563" s="11"/>
      <c r="I1563" s="11"/>
      <c r="J1563" s="78"/>
      <c r="K1563" s="78"/>
      <c r="L1563" s="146">
        <f t="shared" si="74"/>
        <v>1800000</v>
      </c>
      <c r="M1563" s="73"/>
      <c r="N1563" s="73"/>
      <c r="O1563" s="73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14.25" customHeight="1" x14ac:dyDescent="0.35">
      <c r="A1564" s="9">
        <f t="shared" si="73"/>
        <v>1556</v>
      </c>
      <c r="B1564" s="15"/>
      <c r="C1564" s="11">
        <f t="shared" si="72"/>
        <v>1</v>
      </c>
      <c r="D1564" s="11"/>
      <c r="E1564" s="11"/>
      <c r="F1564" s="11"/>
      <c r="G1564" s="89">
        <f>IFERROR(VLOOKUP(F1564,COA!$A$1:$K$26,2,FALSE),0)</f>
        <v>0</v>
      </c>
      <c r="H1564" s="11"/>
      <c r="I1564" s="11"/>
      <c r="J1564" s="78"/>
      <c r="K1564" s="78"/>
      <c r="L1564" s="146">
        <f t="shared" si="74"/>
        <v>1800000</v>
      </c>
      <c r="M1564" s="73"/>
      <c r="N1564" s="73"/>
      <c r="O1564" s="73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14.25" customHeight="1" x14ac:dyDescent="0.35">
      <c r="A1565" s="9">
        <f t="shared" si="73"/>
        <v>1557</v>
      </c>
      <c r="B1565" s="15"/>
      <c r="C1565" s="11">
        <f t="shared" si="72"/>
        <v>1</v>
      </c>
      <c r="D1565" s="11"/>
      <c r="E1565" s="11"/>
      <c r="F1565" s="11"/>
      <c r="G1565" s="89">
        <f>IFERROR(VLOOKUP(F1565,COA!$A$1:$K$26,2,FALSE),0)</f>
        <v>0</v>
      </c>
      <c r="H1565" s="11"/>
      <c r="I1565" s="11"/>
      <c r="J1565" s="78"/>
      <c r="K1565" s="78"/>
      <c r="L1565" s="146">
        <f t="shared" si="74"/>
        <v>1800000</v>
      </c>
      <c r="M1565" s="73"/>
      <c r="N1565" s="73"/>
      <c r="O1565" s="73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14.25" customHeight="1" x14ac:dyDescent="0.35">
      <c r="A1566" s="9">
        <f t="shared" si="73"/>
        <v>1558</v>
      </c>
      <c r="B1566" s="15"/>
      <c r="C1566" s="11">
        <f t="shared" si="72"/>
        <v>1</v>
      </c>
      <c r="D1566" s="11"/>
      <c r="E1566" s="11"/>
      <c r="F1566" s="11"/>
      <c r="G1566" s="89">
        <f>IFERROR(VLOOKUP(F1566,COA!$A$1:$K$26,2,FALSE),0)</f>
        <v>0</v>
      </c>
      <c r="H1566" s="11"/>
      <c r="I1566" s="11"/>
      <c r="J1566" s="78"/>
      <c r="K1566" s="78"/>
      <c r="L1566" s="146">
        <f t="shared" si="74"/>
        <v>1800000</v>
      </c>
      <c r="M1566" s="73"/>
      <c r="N1566" s="73"/>
      <c r="O1566" s="73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14.25" customHeight="1" x14ac:dyDescent="0.35">
      <c r="A1567" s="9">
        <f t="shared" si="73"/>
        <v>1559</v>
      </c>
      <c r="B1567" s="15"/>
      <c r="C1567" s="11">
        <f t="shared" si="72"/>
        <v>1</v>
      </c>
      <c r="D1567" s="11"/>
      <c r="E1567" s="11"/>
      <c r="F1567" s="11"/>
      <c r="G1567" s="89">
        <f>IFERROR(VLOOKUP(F1567,COA!$A$1:$K$26,2,FALSE),0)</f>
        <v>0</v>
      </c>
      <c r="H1567" s="11"/>
      <c r="I1567" s="11"/>
      <c r="J1567" s="78"/>
      <c r="K1567" s="78"/>
      <c r="L1567" s="146">
        <f t="shared" si="74"/>
        <v>1800000</v>
      </c>
      <c r="M1567" s="73"/>
      <c r="N1567" s="73"/>
      <c r="O1567" s="73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14.25" customHeight="1" x14ac:dyDescent="0.35">
      <c r="A1568" s="9">
        <f t="shared" si="73"/>
        <v>1560</v>
      </c>
      <c r="B1568" s="15"/>
      <c r="C1568" s="11">
        <f t="shared" si="72"/>
        <v>1</v>
      </c>
      <c r="D1568" s="11"/>
      <c r="E1568" s="11"/>
      <c r="F1568" s="11"/>
      <c r="G1568" s="89">
        <f>IFERROR(VLOOKUP(F1568,COA!$A$1:$K$26,2,FALSE),0)</f>
        <v>0</v>
      </c>
      <c r="H1568" s="11"/>
      <c r="I1568" s="11"/>
      <c r="J1568" s="78"/>
      <c r="K1568" s="78"/>
      <c r="L1568" s="146">
        <f t="shared" si="74"/>
        <v>1800000</v>
      </c>
      <c r="M1568" s="73"/>
      <c r="N1568" s="73"/>
      <c r="O1568" s="73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14.25" customHeight="1" x14ac:dyDescent="0.35">
      <c r="A1569" s="9">
        <f t="shared" si="73"/>
        <v>1561</v>
      </c>
      <c r="B1569" s="15"/>
      <c r="C1569" s="11">
        <f t="shared" si="72"/>
        <v>1</v>
      </c>
      <c r="D1569" s="11"/>
      <c r="E1569" s="11"/>
      <c r="F1569" s="11"/>
      <c r="G1569" s="89">
        <f>IFERROR(VLOOKUP(F1569,COA!$A$1:$K$26,2,FALSE),0)</f>
        <v>0</v>
      </c>
      <c r="H1569" s="11"/>
      <c r="I1569" s="11"/>
      <c r="J1569" s="78"/>
      <c r="K1569" s="78"/>
      <c r="L1569" s="146">
        <f t="shared" si="74"/>
        <v>1800000</v>
      </c>
      <c r="M1569" s="73"/>
      <c r="N1569" s="73"/>
      <c r="O1569" s="73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14.25" customHeight="1" x14ac:dyDescent="0.35">
      <c r="A1570" s="9">
        <f t="shared" si="73"/>
        <v>1562</v>
      </c>
      <c r="B1570" s="15"/>
      <c r="C1570" s="11">
        <f t="shared" si="72"/>
        <v>1</v>
      </c>
      <c r="D1570" s="11"/>
      <c r="E1570" s="11"/>
      <c r="F1570" s="11"/>
      <c r="G1570" s="89">
        <f>IFERROR(VLOOKUP(F1570,COA!$A$1:$K$26,2,FALSE),0)</f>
        <v>0</v>
      </c>
      <c r="H1570" s="11"/>
      <c r="I1570" s="11"/>
      <c r="J1570" s="78"/>
      <c r="K1570" s="78"/>
      <c r="L1570" s="146">
        <f t="shared" si="74"/>
        <v>1800000</v>
      </c>
      <c r="M1570" s="73"/>
      <c r="N1570" s="73"/>
      <c r="O1570" s="73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14.25" customHeight="1" x14ac:dyDescent="0.35">
      <c r="A1571" s="9">
        <f t="shared" si="73"/>
        <v>1563</v>
      </c>
      <c r="B1571" s="15"/>
      <c r="C1571" s="11">
        <f t="shared" si="72"/>
        <v>1</v>
      </c>
      <c r="D1571" s="11"/>
      <c r="E1571" s="11"/>
      <c r="F1571" s="11"/>
      <c r="G1571" s="89">
        <f>IFERROR(VLOOKUP(F1571,COA!$A$1:$K$26,2,FALSE),0)</f>
        <v>0</v>
      </c>
      <c r="H1571" s="11"/>
      <c r="I1571" s="11"/>
      <c r="J1571" s="78"/>
      <c r="K1571" s="78"/>
      <c r="L1571" s="146">
        <f t="shared" si="74"/>
        <v>1800000</v>
      </c>
      <c r="M1571" s="73"/>
      <c r="N1571" s="73"/>
      <c r="O1571" s="73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14.25" customHeight="1" x14ac:dyDescent="0.35">
      <c r="A1572" s="9">
        <f t="shared" si="73"/>
        <v>1564</v>
      </c>
      <c r="B1572" s="15"/>
      <c r="C1572" s="11">
        <f t="shared" si="72"/>
        <v>1</v>
      </c>
      <c r="D1572" s="11"/>
      <c r="E1572" s="11"/>
      <c r="F1572" s="11"/>
      <c r="G1572" s="89">
        <f>IFERROR(VLOOKUP(F1572,COA!$A$1:$K$26,2,FALSE),0)</f>
        <v>0</v>
      </c>
      <c r="H1572" s="11"/>
      <c r="I1572" s="11"/>
      <c r="J1572" s="78"/>
      <c r="K1572" s="78"/>
      <c r="L1572" s="146">
        <f t="shared" si="74"/>
        <v>1800000</v>
      </c>
      <c r="M1572" s="73"/>
      <c r="N1572" s="73"/>
      <c r="O1572" s="73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14.25" customHeight="1" x14ac:dyDescent="0.35">
      <c r="A1573" s="9">
        <f t="shared" si="73"/>
        <v>1565</v>
      </c>
      <c r="B1573" s="15"/>
      <c r="C1573" s="11">
        <f t="shared" si="72"/>
        <v>1</v>
      </c>
      <c r="D1573" s="11"/>
      <c r="E1573" s="11"/>
      <c r="F1573" s="11"/>
      <c r="G1573" s="89">
        <f>IFERROR(VLOOKUP(F1573,COA!$A$1:$K$26,2,FALSE),0)</f>
        <v>0</v>
      </c>
      <c r="H1573" s="11"/>
      <c r="I1573" s="11"/>
      <c r="J1573" s="78"/>
      <c r="K1573" s="78"/>
      <c r="L1573" s="146">
        <f t="shared" si="74"/>
        <v>1800000</v>
      </c>
      <c r="M1573" s="73"/>
      <c r="N1573" s="73"/>
      <c r="O1573" s="73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14.25" customHeight="1" x14ac:dyDescent="0.35">
      <c r="A1574" s="9">
        <f t="shared" si="73"/>
        <v>1566</v>
      </c>
      <c r="B1574" s="15"/>
      <c r="C1574" s="11">
        <f t="shared" si="72"/>
        <v>1</v>
      </c>
      <c r="D1574" s="11"/>
      <c r="E1574" s="11"/>
      <c r="F1574" s="11"/>
      <c r="G1574" s="89">
        <f>IFERROR(VLOOKUP(F1574,COA!$A$1:$K$26,2,FALSE),0)</f>
        <v>0</v>
      </c>
      <c r="H1574" s="11"/>
      <c r="I1574" s="11"/>
      <c r="J1574" s="78"/>
      <c r="K1574" s="78"/>
      <c r="L1574" s="146">
        <f t="shared" si="74"/>
        <v>1800000</v>
      </c>
      <c r="M1574" s="73"/>
      <c r="N1574" s="73"/>
      <c r="O1574" s="73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14.25" customHeight="1" x14ac:dyDescent="0.35">
      <c r="A1575" s="9">
        <f t="shared" si="73"/>
        <v>1567</v>
      </c>
      <c r="B1575" s="15"/>
      <c r="C1575" s="11">
        <f t="shared" si="72"/>
        <v>1</v>
      </c>
      <c r="D1575" s="11"/>
      <c r="E1575" s="11"/>
      <c r="F1575" s="11"/>
      <c r="G1575" s="89">
        <f>IFERROR(VLOOKUP(F1575,COA!$A$1:$K$26,2,FALSE),0)</f>
        <v>0</v>
      </c>
      <c r="H1575" s="11"/>
      <c r="I1575" s="11"/>
      <c r="J1575" s="78"/>
      <c r="K1575" s="78"/>
      <c r="L1575" s="146">
        <f t="shared" si="74"/>
        <v>1800000</v>
      </c>
      <c r="M1575" s="73"/>
      <c r="N1575" s="73"/>
      <c r="O1575" s="73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14.25" customHeight="1" x14ac:dyDescent="0.35">
      <c r="A1576" s="9">
        <f t="shared" si="73"/>
        <v>1568</v>
      </c>
      <c r="B1576" s="15"/>
      <c r="C1576" s="11">
        <f t="shared" si="72"/>
        <v>1</v>
      </c>
      <c r="D1576" s="11"/>
      <c r="E1576" s="11"/>
      <c r="F1576" s="11"/>
      <c r="G1576" s="89">
        <f>IFERROR(VLOOKUP(F1576,COA!$A$1:$K$26,2,FALSE),0)</f>
        <v>0</v>
      </c>
      <c r="H1576" s="11"/>
      <c r="I1576" s="11"/>
      <c r="J1576" s="78"/>
      <c r="K1576" s="78"/>
      <c r="L1576" s="146">
        <f t="shared" si="74"/>
        <v>1800000</v>
      </c>
      <c r="M1576" s="73"/>
      <c r="N1576" s="73"/>
      <c r="O1576" s="73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14.25" customHeight="1" x14ac:dyDescent="0.35">
      <c r="A1577" s="9">
        <f t="shared" si="73"/>
        <v>1569</v>
      </c>
      <c r="B1577" s="15"/>
      <c r="C1577" s="11">
        <f t="shared" si="72"/>
        <v>1</v>
      </c>
      <c r="D1577" s="11"/>
      <c r="E1577" s="11"/>
      <c r="F1577" s="11"/>
      <c r="G1577" s="89">
        <f>IFERROR(VLOOKUP(F1577,COA!$A$1:$K$26,2,FALSE),0)</f>
        <v>0</v>
      </c>
      <c r="H1577" s="11"/>
      <c r="I1577" s="11"/>
      <c r="J1577" s="78"/>
      <c r="K1577" s="78"/>
      <c r="L1577" s="146">
        <f t="shared" si="74"/>
        <v>1800000</v>
      </c>
      <c r="M1577" s="73"/>
      <c r="N1577" s="73"/>
      <c r="O1577" s="73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14.25" customHeight="1" x14ac:dyDescent="0.35">
      <c r="A1578" s="9">
        <f t="shared" si="73"/>
        <v>1570</v>
      </c>
      <c r="B1578" s="15"/>
      <c r="C1578" s="11">
        <f t="shared" si="72"/>
        <v>1</v>
      </c>
      <c r="D1578" s="11"/>
      <c r="E1578" s="11"/>
      <c r="F1578" s="11"/>
      <c r="G1578" s="89">
        <f>IFERROR(VLOOKUP(F1578,COA!$A$1:$K$26,2,FALSE),0)</f>
        <v>0</v>
      </c>
      <c r="H1578" s="11"/>
      <c r="I1578" s="11"/>
      <c r="J1578" s="78"/>
      <c r="K1578" s="78"/>
      <c r="L1578" s="146">
        <f t="shared" si="74"/>
        <v>1800000</v>
      </c>
      <c r="M1578" s="73"/>
      <c r="N1578" s="73"/>
      <c r="O1578" s="73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14.25" customHeight="1" x14ac:dyDescent="0.35">
      <c r="A1579" s="9">
        <f t="shared" si="73"/>
        <v>1571</v>
      </c>
      <c r="B1579" s="15"/>
      <c r="C1579" s="11">
        <f t="shared" si="72"/>
        <v>1</v>
      </c>
      <c r="D1579" s="11"/>
      <c r="E1579" s="11"/>
      <c r="F1579" s="11"/>
      <c r="G1579" s="89">
        <f>IFERROR(VLOOKUP(F1579,COA!$A$1:$K$26,2,FALSE),0)</f>
        <v>0</v>
      </c>
      <c r="H1579" s="11"/>
      <c r="I1579" s="11"/>
      <c r="J1579" s="78"/>
      <c r="K1579" s="78"/>
      <c r="L1579" s="146">
        <f t="shared" si="74"/>
        <v>1800000</v>
      </c>
      <c r="M1579" s="73"/>
      <c r="N1579" s="73"/>
      <c r="O1579" s="73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14.25" customHeight="1" x14ac:dyDescent="0.35">
      <c r="A1580" s="9">
        <f t="shared" si="73"/>
        <v>1572</v>
      </c>
      <c r="B1580" s="15"/>
      <c r="C1580" s="11">
        <f t="shared" si="72"/>
        <v>1</v>
      </c>
      <c r="D1580" s="11"/>
      <c r="E1580" s="11"/>
      <c r="F1580" s="11"/>
      <c r="G1580" s="89">
        <f>IFERROR(VLOOKUP(F1580,COA!$A$1:$K$26,2,FALSE),0)</f>
        <v>0</v>
      </c>
      <c r="H1580" s="11"/>
      <c r="I1580" s="11"/>
      <c r="J1580" s="78"/>
      <c r="K1580" s="78"/>
      <c r="L1580" s="146">
        <f t="shared" si="74"/>
        <v>1800000</v>
      </c>
      <c r="M1580" s="73"/>
      <c r="N1580" s="73"/>
      <c r="O1580" s="73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14.25" customHeight="1" x14ac:dyDescent="0.35">
      <c r="A1581" s="9">
        <f t="shared" si="73"/>
        <v>1573</v>
      </c>
      <c r="B1581" s="15"/>
      <c r="C1581" s="11">
        <f t="shared" si="72"/>
        <v>1</v>
      </c>
      <c r="D1581" s="11"/>
      <c r="E1581" s="11"/>
      <c r="F1581" s="11"/>
      <c r="G1581" s="89">
        <f>IFERROR(VLOOKUP(F1581,COA!$A$1:$K$26,2,FALSE),0)</f>
        <v>0</v>
      </c>
      <c r="H1581" s="11"/>
      <c r="I1581" s="11"/>
      <c r="J1581" s="78"/>
      <c r="K1581" s="78"/>
      <c r="L1581" s="146">
        <f t="shared" si="74"/>
        <v>1800000</v>
      </c>
      <c r="M1581" s="73"/>
      <c r="N1581" s="73"/>
      <c r="O1581" s="73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14.25" customHeight="1" x14ac:dyDescent="0.35">
      <c r="A1582" s="9">
        <f t="shared" si="73"/>
        <v>1574</v>
      </c>
      <c r="B1582" s="15"/>
      <c r="C1582" s="11">
        <f t="shared" si="72"/>
        <v>1</v>
      </c>
      <c r="D1582" s="11"/>
      <c r="E1582" s="11"/>
      <c r="F1582" s="11"/>
      <c r="G1582" s="89">
        <f>IFERROR(VLOOKUP(F1582,COA!$A$1:$K$26,2,FALSE),0)</f>
        <v>0</v>
      </c>
      <c r="H1582" s="11"/>
      <c r="I1582" s="11"/>
      <c r="J1582" s="78"/>
      <c r="K1582" s="78"/>
      <c r="L1582" s="146">
        <f t="shared" si="74"/>
        <v>1800000</v>
      </c>
      <c r="M1582" s="73"/>
      <c r="N1582" s="73"/>
      <c r="O1582" s="73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14.25" customHeight="1" x14ac:dyDescent="0.35">
      <c r="A1583" s="9">
        <f t="shared" si="73"/>
        <v>1575</v>
      </c>
      <c r="B1583" s="15"/>
      <c r="C1583" s="11">
        <f t="shared" si="72"/>
        <v>1</v>
      </c>
      <c r="D1583" s="11"/>
      <c r="E1583" s="11"/>
      <c r="F1583" s="11"/>
      <c r="G1583" s="89">
        <f>IFERROR(VLOOKUP(F1583,COA!$A$1:$K$26,2,FALSE),0)</f>
        <v>0</v>
      </c>
      <c r="H1583" s="11"/>
      <c r="I1583" s="11"/>
      <c r="J1583" s="78"/>
      <c r="K1583" s="78"/>
      <c r="L1583" s="146">
        <f t="shared" si="74"/>
        <v>1800000</v>
      </c>
      <c r="M1583" s="73"/>
      <c r="N1583" s="73"/>
      <c r="O1583" s="73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14.25" customHeight="1" x14ac:dyDescent="0.35">
      <c r="A1584" s="9">
        <f t="shared" si="73"/>
        <v>1576</v>
      </c>
      <c r="B1584" s="15"/>
      <c r="C1584" s="11">
        <f t="shared" si="72"/>
        <v>1</v>
      </c>
      <c r="D1584" s="11"/>
      <c r="E1584" s="11"/>
      <c r="F1584" s="11"/>
      <c r="G1584" s="89">
        <f>IFERROR(VLOOKUP(F1584,COA!$A$1:$K$26,2,FALSE),0)</f>
        <v>0</v>
      </c>
      <c r="H1584" s="11"/>
      <c r="I1584" s="11"/>
      <c r="J1584" s="78"/>
      <c r="K1584" s="78"/>
      <c r="L1584" s="146">
        <f t="shared" si="74"/>
        <v>1800000</v>
      </c>
      <c r="M1584" s="73"/>
      <c r="N1584" s="73"/>
      <c r="O1584" s="73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14.25" customHeight="1" x14ac:dyDescent="0.35">
      <c r="A1585" s="9">
        <f t="shared" si="73"/>
        <v>1577</v>
      </c>
      <c r="B1585" s="15"/>
      <c r="C1585" s="11">
        <f t="shared" si="72"/>
        <v>1</v>
      </c>
      <c r="D1585" s="11"/>
      <c r="E1585" s="11"/>
      <c r="F1585" s="11"/>
      <c r="G1585" s="89">
        <f>IFERROR(VLOOKUP(F1585,COA!$A$1:$K$26,2,FALSE),0)</f>
        <v>0</v>
      </c>
      <c r="H1585" s="11"/>
      <c r="I1585" s="11"/>
      <c r="J1585" s="78"/>
      <c r="K1585" s="78"/>
      <c r="L1585" s="146">
        <f t="shared" si="74"/>
        <v>1800000</v>
      </c>
      <c r="M1585" s="73"/>
      <c r="N1585" s="73"/>
      <c r="O1585" s="73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14.25" customHeight="1" x14ac:dyDescent="0.35">
      <c r="A1586" s="9">
        <f t="shared" si="73"/>
        <v>1578</v>
      </c>
      <c r="B1586" s="15"/>
      <c r="C1586" s="11">
        <f t="shared" si="72"/>
        <v>1</v>
      </c>
      <c r="D1586" s="11"/>
      <c r="E1586" s="11"/>
      <c r="F1586" s="11"/>
      <c r="G1586" s="89">
        <f>IFERROR(VLOOKUP(F1586,COA!$A$1:$K$26,2,FALSE),0)</f>
        <v>0</v>
      </c>
      <c r="H1586" s="11"/>
      <c r="I1586" s="11"/>
      <c r="J1586" s="78"/>
      <c r="K1586" s="78"/>
      <c r="L1586" s="146">
        <f t="shared" si="74"/>
        <v>1800000</v>
      </c>
      <c r="M1586" s="73"/>
      <c r="N1586" s="73"/>
      <c r="O1586" s="73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14.25" customHeight="1" x14ac:dyDescent="0.35">
      <c r="A1587" s="9">
        <f t="shared" si="73"/>
        <v>1579</v>
      </c>
      <c r="B1587" s="15"/>
      <c r="C1587" s="11">
        <f t="shared" si="72"/>
        <v>1</v>
      </c>
      <c r="D1587" s="11"/>
      <c r="E1587" s="11"/>
      <c r="F1587" s="11"/>
      <c r="G1587" s="89">
        <f>IFERROR(VLOOKUP(F1587,COA!$A$1:$K$26,2,FALSE),0)</f>
        <v>0</v>
      </c>
      <c r="H1587" s="11"/>
      <c r="I1587" s="11"/>
      <c r="J1587" s="78"/>
      <c r="K1587" s="78"/>
      <c r="L1587" s="146">
        <f t="shared" si="74"/>
        <v>1800000</v>
      </c>
      <c r="M1587" s="73"/>
      <c r="N1587" s="73"/>
      <c r="O1587" s="73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14.25" customHeight="1" x14ac:dyDescent="0.35">
      <c r="A1588" s="9">
        <f t="shared" si="73"/>
        <v>1580</v>
      </c>
      <c r="B1588" s="15"/>
      <c r="C1588" s="11">
        <f t="shared" si="72"/>
        <v>1</v>
      </c>
      <c r="D1588" s="11"/>
      <c r="E1588" s="11"/>
      <c r="F1588" s="11"/>
      <c r="G1588" s="89">
        <f>IFERROR(VLOOKUP(F1588,COA!$A$1:$K$26,2,FALSE),0)</f>
        <v>0</v>
      </c>
      <c r="H1588" s="11"/>
      <c r="I1588" s="11"/>
      <c r="J1588" s="78"/>
      <c r="K1588" s="78"/>
      <c r="L1588" s="146">
        <f t="shared" si="74"/>
        <v>1800000</v>
      </c>
      <c r="M1588" s="73"/>
      <c r="N1588" s="73"/>
      <c r="O1588" s="73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14.25" customHeight="1" x14ac:dyDescent="0.35">
      <c r="A1589" s="9">
        <f t="shared" si="73"/>
        <v>1581</v>
      </c>
      <c r="B1589" s="15"/>
      <c r="C1589" s="11">
        <f t="shared" si="72"/>
        <v>1</v>
      </c>
      <c r="D1589" s="11"/>
      <c r="E1589" s="11"/>
      <c r="F1589" s="11"/>
      <c r="G1589" s="89">
        <f>IFERROR(VLOOKUP(F1589,COA!$A$1:$K$26,2,FALSE),0)</f>
        <v>0</v>
      </c>
      <c r="H1589" s="11"/>
      <c r="I1589" s="11"/>
      <c r="J1589" s="78"/>
      <c r="K1589" s="78"/>
      <c r="L1589" s="146">
        <f t="shared" si="74"/>
        <v>1800000</v>
      </c>
      <c r="M1589" s="73"/>
      <c r="N1589" s="73"/>
      <c r="O1589" s="73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14.25" customHeight="1" x14ac:dyDescent="0.35">
      <c r="A1590" s="9">
        <f t="shared" si="73"/>
        <v>1582</v>
      </c>
      <c r="B1590" s="15"/>
      <c r="C1590" s="11">
        <f t="shared" si="72"/>
        <v>1</v>
      </c>
      <c r="D1590" s="11"/>
      <c r="E1590" s="11"/>
      <c r="F1590" s="11"/>
      <c r="G1590" s="89">
        <f>IFERROR(VLOOKUP(F1590,COA!$A$1:$K$26,2,FALSE),0)</f>
        <v>0</v>
      </c>
      <c r="H1590" s="11"/>
      <c r="I1590" s="11"/>
      <c r="J1590" s="78"/>
      <c r="K1590" s="78"/>
      <c r="L1590" s="146">
        <f t="shared" si="74"/>
        <v>1800000</v>
      </c>
      <c r="M1590" s="73"/>
      <c r="N1590" s="73"/>
      <c r="O1590" s="73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14.25" customHeight="1" x14ac:dyDescent="0.35">
      <c r="A1591" s="9">
        <f t="shared" si="73"/>
        <v>1583</v>
      </c>
      <c r="B1591" s="15"/>
      <c r="C1591" s="11">
        <f t="shared" si="72"/>
        <v>1</v>
      </c>
      <c r="D1591" s="11"/>
      <c r="E1591" s="11"/>
      <c r="F1591" s="11"/>
      <c r="G1591" s="89">
        <f>IFERROR(VLOOKUP(F1591,COA!$A$1:$K$26,2,FALSE),0)</f>
        <v>0</v>
      </c>
      <c r="H1591" s="11"/>
      <c r="I1591" s="11"/>
      <c r="J1591" s="78"/>
      <c r="K1591" s="78"/>
      <c r="L1591" s="146">
        <f t="shared" si="74"/>
        <v>1800000</v>
      </c>
      <c r="M1591" s="73"/>
      <c r="N1591" s="73"/>
      <c r="O1591" s="73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14.25" customHeight="1" x14ac:dyDescent="0.35">
      <c r="A1592" s="9">
        <f t="shared" si="73"/>
        <v>1584</v>
      </c>
      <c r="B1592" s="15"/>
      <c r="C1592" s="11">
        <f t="shared" si="72"/>
        <v>1</v>
      </c>
      <c r="D1592" s="11"/>
      <c r="E1592" s="11"/>
      <c r="F1592" s="11"/>
      <c r="G1592" s="89">
        <f>IFERROR(VLOOKUP(F1592,COA!$A$1:$K$26,2,FALSE),0)</f>
        <v>0</v>
      </c>
      <c r="H1592" s="11"/>
      <c r="I1592" s="11"/>
      <c r="J1592" s="78"/>
      <c r="K1592" s="78"/>
      <c r="L1592" s="146">
        <f t="shared" si="74"/>
        <v>1800000</v>
      </c>
      <c r="M1592" s="73"/>
      <c r="N1592" s="73"/>
      <c r="O1592" s="73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14.25" customHeight="1" x14ac:dyDescent="0.35">
      <c r="A1593" s="9">
        <f t="shared" si="73"/>
        <v>1585</v>
      </c>
      <c r="B1593" s="15"/>
      <c r="C1593" s="11">
        <f t="shared" si="72"/>
        <v>1</v>
      </c>
      <c r="D1593" s="11"/>
      <c r="E1593" s="11"/>
      <c r="F1593" s="11"/>
      <c r="G1593" s="89">
        <f>IFERROR(VLOOKUP(F1593,COA!$A$1:$K$26,2,FALSE),0)</f>
        <v>0</v>
      </c>
      <c r="H1593" s="11"/>
      <c r="I1593" s="11"/>
      <c r="J1593" s="78"/>
      <c r="K1593" s="78"/>
      <c r="L1593" s="146">
        <f t="shared" si="74"/>
        <v>1800000</v>
      </c>
      <c r="M1593" s="73"/>
      <c r="N1593" s="73"/>
      <c r="O1593" s="73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14.25" customHeight="1" x14ac:dyDescent="0.35">
      <c r="A1594" s="9">
        <f t="shared" si="73"/>
        <v>1586</v>
      </c>
      <c r="B1594" s="15"/>
      <c r="C1594" s="11">
        <f t="shared" si="72"/>
        <v>1</v>
      </c>
      <c r="D1594" s="11"/>
      <c r="E1594" s="11"/>
      <c r="F1594" s="11"/>
      <c r="G1594" s="89">
        <f>IFERROR(VLOOKUP(F1594,COA!$A$1:$K$26,2,FALSE),0)</f>
        <v>0</v>
      </c>
      <c r="H1594" s="11"/>
      <c r="I1594" s="11"/>
      <c r="J1594" s="78"/>
      <c r="K1594" s="78"/>
      <c r="L1594" s="146">
        <f t="shared" si="74"/>
        <v>1800000</v>
      </c>
      <c r="M1594" s="73"/>
      <c r="N1594" s="73"/>
      <c r="O1594" s="73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14.25" customHeight="1" x14ac:dyDescent="0.35">
      <c r="A1595" s="9">
        <f t="shared" si="73"/>
        <v>1587</v>
      </c>
      <c r="B1595" s="15"/>
      <c r="C1595" s="11">
        <f t="shared" si="72"/>
        <v>1</v>
      </c>
      <c r="D1595" s="11"/>
      <c r="E1595" s="11"/>
      <c r="F1595" s="11"/>
      <c r="G1595" s="89">
        <f>IFERROR(VLOOKUP(F1595,COA!$A$1:$K$26,2,FALSE),0)</f>
        <v>0</v>
      </c>
      <c r="H1595" s="11"/>
      <c r="I1595" s="11"/>
      <c r="J1595" s="78"/>
      <c r="K1595" s="78"/>
      <c r="L1595" s="146">
        <f t="shared" si="74"/>
        <v>1800000</v>
      </c>
      <c r="M1595" s="73"/>
      <c r="N1595" s="73"/>
      <c r="O1595" s="73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14.25" customHeight="1" x14ac:dyDescent="0.35">
      <c r="A1596" s="9">
        <f t="shared" si="73"/>
        <v>1588</v>
      </c>
      <c r="B1596" s="15"/>
      <c r="C1596" s="11">
        <f t="shared" si="72"/>
        <v>1</v>
      </c>
      <c r="D1596" s="11"/>
      <c r="E1596" s="11"/>
      <c r="F1596" s="11"/>
      <c r="G1596" s="89">
        <f>IFERROR(VLOOKUP(F1596,COA!$A$1:$K$26,2,FALSE),0)</f>
        <v>0</v>
      </c>
      <c r="H1596" s="11"/>
      <c r="I1596" s="11"/>
      <c r="J1596" s="78"/>
      <c r="K1596" s="78"/>
      <c r="L1596" s="146">
        <f t="shared" si="74"/>
        <v>1800000</v>
      </c>
      <c r="M1596" s="73"/>
      <c r="N1596" s="73"/>
      <c r="O1596" s="73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14.25" customHeight="1" x14ac:dyDescent="0.35">
      <c r="A1597" s="9">
        <f t="shared" si="73"/>
        <v>1589</v>
      </c>
      <c r="B1597" s="15"/>
      <c r="C1597" s="11">
        <f t="shared" si="72"/>
        <v>1</v>
      </c>
      <c r="D1597" s="11"/>
      <c r="E1597" s="11"/>
      <c r="F1597" s="11"/>
      <c r="G1597" s="89">
        <f>IFERROR(VLOOKUP(F1597,COA!$A$1:$K$26,2,FALSE),0)</f>
        <v>0</v>
      </c>
      <c r="H1597" s="11"/>
      <c r="I1597" s="11"/>
      <c r="J1597" s="78"/>
      <c r="K1597" s="78"/>
      <c r="L1597" s="146">
        <f t="shared" si="74"/>
        <v>1800000</v>
      </c>
      <c r="M1597" s="73"/>
      <c r="N1597" s="73"/>
      <c r="O1597" s="73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14.25" customHeight="1" x14ac:dyDescent="0.35">
      <c r="A1598" s="9">
        <f t="shared" si="73"/>
        <v>1590</v>
      </c>
      <c r="B1598" s="15"/>
      <c r="C1598" s="11">
        <f t="shared" si="72"/>
        <v>1</v>
      </c>
      <c r="D1598" s="11"/>
      <c r="E1598" s="11"/>
      <c r="F1598" s="11"/>
      <c r="G1598" s="89">
        <f>IFERROR(VLOOKUP(F1598,COA!$A$1:$K$26,2,FALSE),0)</f>
        <v>0</v>
      </c>
      <c r="H1598" s="11"/>
      <c r="I1598" s="11"/>
      <c r="J1598" s="78"/>
      <c r="K1598" s="78"/>
      <c r="L1598" s="146">
        <f t="shared" si="74"/>
        <v>1800000</v>
      </c>
      <c r="M1598" s="73"/>
      <c r="N1598" s="73"/>
      <c r="O1598" s="73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14.25" customHeight="1" x14ac:dyDescent="0.35">
      <c r="A1599" s="9">
        <f t="shared" si="73"/>
        <v>1591</v>
      </c>
      <c r="B1599" s="15"/>
      <c r="C1599" s="11">
        <f t="shared" si="72"/>
        <v>1</v>
      </c>
      <c r="D1599" s="11"/>
      <c r="E1599" s="11"/>
      <c r="F1599" s="11"/>
      <c r="G1599" s="89">
        <f>IFERROR(VLOOKUP(F1599,COA!$A$1:$K$26,2,FALSE),0)</f>
        <v>0</v>
      </c>
      <c r="H1599" s="11"/>
      <c r="I1599" s="11"/>
      <c r="J1599" s="78"/>
      <c r="K1599" s="78"/>
      <c r="L1599" s="146">
        <f t="shared" si="74"/>
        <v>1800000</v>
      </c>
      <c r="M1599" s="73"/>
      <c r="N1599" s="73"/>
      <c r="O1599" s="73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14.25" customHeight="1" x14ac:dyDescent="0.35">
      <c r="A1600" s="9">
        <f t="shared" si="73"/>
        <v>1592</v>
      </c>
      <c r="B1600" s="15"/>
      <c r="C1600" s="11">
        <f t="shared" si="72"/>
        <v>1</v>
      </c>
      <c r="D1600" s="11"/>
      <c r="E1600" s="11"/>
      <c r="F1600" s="11"/>
      <c r="G1600" s="89">
        <f>IFERROR(VLOOKUP(F1600,COA!$A$1:$K$26,2,FALSE),0)</f>
        <v>0</v>
      </c>
      <c r="H1600" s="11"/>
      <c r="I1600" s="11"/>
      <c r="J1600" s="78"/>
      <c r="K1600" s="78"/>
      <c r="L1600" s="146">
        <f t="shared" si="74"/>
        <v>1800000</v>
      </c>
      <c r="M1600" s="73"/>
      <c r="N1600" s="73"/>
      <c r="O1600" s="73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14.25" customHeight="1" x14ac:dyDescent="0.35">
      <c r="A1601" s="9">
        <f t="shared" si="73"/>
        <v>1593</v>
      </c>
      <c r="B1601" s="15"/>
      <c r="C1601" s="11">
        <f t="shared" si="72"/>
        <v>1</v>
      </c>
      <c r="D1601" s="11"/>
      <c r="E1601" s="11"/>
      <c r="F1601" s="11"/>
      <c r="G1601" s="89">
        <f>IFERROR(VLOOKUP(F1601,COA!$A$1:$K$26,2,FALSE),0)</f>
        <v>0</v>
      </c>
      <c r="H1601" s="11"/>
      <c r="I1601" s="11"/>
      <c r="J1601" s="78"/>
      <c r="K1601" s="78"/>
      <c r="L1601" s="146">
        <f t="shared" si="74"/>
        <v>1800000</v>
      </c>
      <c r="M1601" s="73"/>
      <c r="N1601" s="73"/>
      <c r="O1601" s="73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14.25" customHeight="1" x14ac:dyDescent="0.35">
      <c r="A1602" s="9">
        <f t="shared" si="73"/>
        <v>1594</v>
      </c>
      <c r="B1602" s="15"/>
      <c r="C1602" s="11">
        <f t="shared" si="72"/>
        <v>1</v>
      </c>
      <c r="D1602" s="11"/>
      <c r="E1602" s="11"/>
      <c r="F1602" s="11"/>
      <c r="G1602" s="89">
        <f>IFERROR(VLOOKUP(F1602,COA!$A$1:$K$26,2,FALSE),0)</f>
        <v>0</v>
      </c>
      <c r="H1602" s="11"/>
      <c r="I1602" s="11"/>
      <c r="J1602" s="78"/>
      <c r="K1602" s="78"/>
      <c r="L1602" s="146">
        <f t="shared" si="74"/>
        <v>1800000</v>
      </c>
      <c r="M1602" s="73"/>
      <c r="N1602" s="73"/>
      <c r="O1602" s="73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14.25" customHeight="1" x14ac:dyDescent="0.35">
      <c r="A1603" s="9">
        <f t="shared" si="73"/>
        <v>1595</v>
      </c>
      <c r="B1603" s="15"/>
      <c r="C1603" s="11">
        <f t="shared" si="72"/>
        <v>1</v>
      </c>
      <c r="D1603" s="11"/>
      <c r="E1603" s="11"/>
      <c r="F1603" s="11"/>
      <c r="G1603" s="89">
        <f>IFERROR(VLOOKUP(F1603,COA!$A$1:$K$26,2,FALSE),0)</f>
        <v>0</v>
      </c>
      <c r="H1603" s="11"/>
      <c r="I1603" s="11"/>
      <c r="J1603" s="78"/>
      <c r="K1603" s="78"/>
      <c r="L1603" s="146">
        <f t="shared" si="74"/>
        <v>1800000</v>
      </c>
      <c r="M1603" s="73"/>
      <c r="N1603" s="73"/>
      <c r="O1603" s="73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14.25" customHeight="1" x14ac:dyDescent="0.35">
      <c r="A1604" s="9">
        <f t="shared" si="73"/>
        <v>1596</v>
      </c>
      <c r="B1604" s="15"/>
      <c r="C1604" s="11">
        <f t="shared" si="72"/>
        <v>1</v>
      </c>
      <c r="D1604" s="11"/>
      <c r="E1604" s="11"/>
      <c r="F1604" s="11"/>
      <c r="G1604" s="89">
        <f>IFERROR(VLOOKUP(F1604,COA!$A$1:$K$26,2,FALSE),0)</f>
        <v>0</v>
      </c>
      <c r="H1604" s="11"/>
      <c r="I1604" s="11"/>
      <c r="J1604" s="78"/>
      <c r="K1604" s="78"/>
      <c r="L1604" s="146">
        <f t="shared" si="74"/>
        <v>1800000</v>
      </c>
      <c r="M1604" s="73"/>
      <c r="N1604" s="73"/>
      <c r="O1604" s="73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14.25" customHeight="1" x14ac:dyDescent="0.35">
      <c r="A1605" s="9">
        <f t="shared" si="73"/>
        <v>1597</v>
      </c>
      <c r="B1605" s="15"/>
      <c r="C1605" s="11">
        <f t="shared" si="72"/>
        <v>1</v>
      </c>
      <c r="D1605" s="11"/>
      <c r="E1605" s="11"/>
      <c r="F1605" s="11"/>
      <c r="G1605" s="89">
        <f>IFERROR(VLOOKUP(F1605,COA!$A$1:$K$26,2,FALSE),0)</f>
        <v>0</v>
      </c>
      <c r="H1605" s="11"/>
      <c r="I1605" s="11"/>
      <c r="J1605" s="78"/>
      <c r="K1605" s="78"/>
      <c r="L1605" s="146">
        <f t="shared" si="74"/>
        <v>1800000</v>
      </c>
      <c r="M1605" s="73"/>
      <c r="N1605" s="73"/>
      <c r="O1605" s="73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14.25" customHeight="1" x14ac:dyDescent="0.35">
      <c r="A1606" s="9">
        <f t="shared" si="73"/>
        <v>1598</v>
      </c>
      <c r="B1606" s="15"/>
      <c r="C1606" s="11">
        <f t="shared" si="72"/>
        <v>1</v>
      </c>
      <c r="D1606" s="11"/>
      <c r="E1606" s="11"/>
      <c r="F1606" s="11"/>
      <c r="G1606" s="89">
        <f>IFERROR(VLOOKUP(F1606,COA!$A$1:$K$26,2,FALSE),0)</f>
        <v>0</v>
      </c>
      <c r="H1606" s="11"/>
      <c r="I1606" s="11"/>
      <c r="J1606" s="78"/>
      <c r="K1606" s="78"/>
      <c r="L1606" s="146">
        <f t="shared" si="74"/>
        <v>1800000</v>
      </c>
      <c r="M1606" s="73"/>
      <c r="N1606" s="73"/>
      <c r="O1606" s="73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14.25" customHeight="1" x14ac:dyDescent="0.35">
      <c r="A1607" s="9">
        <f t="shared" si="73"/>
        <v>1599</v>
      </c>
      <c r="B1607" s="15"/>
      <c r="C1607" s="11">
        <f t="shared" si="72"/>
        <v>1</v>
      </c>
      <c r="D1607" s="11"/>
      <c r="E1607" s="11"/>
      <c r="F1607" s="11"/>
      <c r="G1607" s="89">
        <f>IFERROR(VLOOKUP(F1607,COA!$A$1:$K$26,2,FALSE),0)</f>
        <v>0</v>
      </c>
      <c r="H1607" s="11"/>
      <c r="I1607" s="11"/>
      <c r="J1607" s="78"/>
      <c r="K1607" s="78"/>
      <c r="L1607" s="146">
        <f t="shared" si="74"/>
        <v>1800000</v>
      </c>
      <c r="M1607" s="73"/>
      <c r="N1607" s="73"/>
      <c r="O1607" s="73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14.25" customHeight="1" x14ac:dyDescent="0.35">
      <c r="A1608" s="9">
        <f t="shared" si="73"/>
        <v>1600</v>
      </c>
      <c r="B1608" s="15"/>
      <c r="C1608" s="11">
        <f t="shared" ref="C1608:C1671" si="75">MONTH(B1608)</f>
        <v>1</v>
      </c>
      <c r="D1608" s="11"/>
      <c r="E1608" s="11"/>
      <c r="F1608" s="11"/>
      <c r="G1608" s="89">
        <f>IFERROR(VLOOKUP(F1608,COA!$A$1:$K$26,2,FALSE),0)</f>
        <v>0</v>
      </c>
      <c r="H1608" s="11"/>
      <c r="I1608" s="11"/>
      <c r="J1608" s="78"/>
      <c r="K1608" s="78"/>
      <c r="L1608" s="146">
        <f t="shared" si="74"/>
        <v>1800000</v>
      </c>
      <c r="M1608" s="73"/>
      <c r="N1608" s="73"/>
      <c r="O1608" s="73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14.25" customHeight="1" x14ac:dyDescent="0.35">
      <c r="A1609" s="9">
        <f t="shared" si="73"/>
        <v>1601</v>
      </c>
      <c r="B1609" s="15"/>
      <c r="C1609" s="11">
        <f t="shared" si="75"/>
        <v>1</v>
      </c>
      <c r="D1609" s="11"/>
      <c r="E1609" s="11"/>
      <c r="F1609" s="11"/>
      <c r="G1609" s="89">
        <f>IFERROR(VLOOKUP(F1609,COA!$A$1:$K$26,2,FALSE),0)</f>
        <v>0</v>
      </c>
      <c r="H1609" s="11"/>
      <c r="I1609" s="11"/>
      <c r="J1609" s="78"/>
      <c r="K1609" s="78"/>
      <c r="L1609" s="146">
        <f t="shared" si="74"/>
        <v>1800000</v>
      </c>
      <c r="M1609" s="73"/>
      <c r="N1609" s="73"/>
      <c r="O1609" s="73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14.25" customHeight="1" x14ac:dyDescent="0.35">
      <c r="A1610" s="9">
        <f t="shared" si="73"/>
        <v>1602</v>
      </c>
      <c r="B1610" s="15"/>
      <c r="C1610" s="11">
        <f t="shared" si="75"/>
        <v>1</v>
      </c>
      <c r="D1610" s="11"/>
      <c r="E1610" s="11"/>
      <c r="F1610" s="11"/>
      <c r="G1610" s="89">
        <f>IFERROR(VLOOKUP(F1610,COA!$A$1:$K$26,2,FALSE),0)</f>
        <v>0</v>
      </c>
      <c r="H1610" s="11"/>
      <c r="I1610" s="11"/>
      <c r="J1610" s="78"/>
      <c r="K1610" s="78"/>
      <c r="L1610" s="146">
        <f t="shared" si="74"/>
        <v>1800000</v>
      </c>
      <c r="M1610" s="73"/>
      <c r="N1610" s="73"/>
      <c r="O1610" s="73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14.25" customHeight="1" x14ac:dyDescent="0.35">
      <c r="A1611" s="9">
        <f t="shared" ref="A1611:A1674" si="76">A1610+1</f>
        <v>1603</v>
      </c>
      <c r="B1611" s="15"/>
      <c r="C1611" s="11">
        <f t="shared" si="75"/>
        <v>1</v>
      </c>
      <c r="D1611" s="11"/>
      <c r="E1611" s="11"/>
      <c r="F1611" s="11"/>
      <c r="G1611" s="89">
        <f>IFERROR(VLOOKUP(F1611,COA!$A$1:$K$26,2,FALSE),0)</f>
        <v>0</v>
      </c>
      <c r="H1611" s="11"/>
      <c r="I1611" s="11"/>
      <c r="J1611" s="78"/>
      <c r="K1611" s="78"/>
      <c r="L1611" s="146">
        <f t="shared" ref="L1611:L1674" si="77">L1610+J1611-K1611</f>
        <v>1800000</v>
      </c>
      <c r="M1611" s="73"/>
      <c r="N1611" s="73"/>
      <c r="O1611" s="73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14.25" customHeight="1" x14ac:dyDescent="0.35">
      <c r="A1612" s="9">
        <f t="shared" si="76"/>
        <v>1604</v>
      </c>
      <c r="B1612" s="15"/>
      <c r="C1612" s="11">
        <f t="shared" si="75"/>
        <v>1</v>
      </c>
      <c r="D1612" s="11"/>
      <c r="E1612" s="11"/>
      <c r="F1612" s="11"/>
      <c r="G1612" s="89">
        <f>IFERROR(VLOOKUP(F1612,COA!$A$1:$K$26,2,FALSE),0)</f>
        <v>0</v>
      </c>
      <c r="H1612" s="11"/>
      <c r="I1612" s="11"/>
      <c r="J1612" s="78"/>
      <c r="K1612" s="78"/>
      <c r="L1612" s="146">
        <f t="shared" si="77"/>
        <v>1800000</v>
      </c>
      <c r="M1612" s="73"/>
      <c r="N1612" s="73"/>
      <c r="O1612" s="73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14.25" customHeight="1" x14ac:dyDescent="0.35">
      <c r="A1613" s="9">
        <f t="shared" si="76"/>
        <v>1605</v>
      </c>
      <c r="B1613" s="15"/>
      <c r="C1613" s="11">
        <f t="shared" si="75"/>
        <v>1</v>
      </c>
      <c r="D1613" s="11"/>
      <c r="E1613" s="11"/>
      <c r="F1613" s="11"/>
      <c r="G1613" s="89">
        <f>IFERROR(VLOOKUP(F1613,COA!$A$1:$K$26,2,FALSE),0)</f>
        <v>0</v>
      </c>
      <c r="H1613" s="11"/>
      <c r="I1613" s="11"/>
      <c r="J1613" s="78"/>
      <c r="K1613" s="78"/>
      <c r="L1613" s="146">
        <f t="shared" si="77"/>
        <v>1800000</v>
      </c>
      <c r="M1613" s="73"/>
      <c r="N1613" s="73"/>
      <c r="O1613" s="73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14.25" customHeight="1" x14ac:dyDescent="0.35">
      <c r="A1614" s="9">
        <f t="shared" si="76"/>
        <v>1606</v>
      </c>
      <c r="B1614" s="15"/>
      <c r="C1614" s="11">
        <f t="shared" si="75"/>
        <v>1</v>
      </c>
      <c r="D1614" s="11"/>
      <c r="E1614" s="11"/>
      <c r="F1614" s="11"/>
      <c r="G1614" s="89">
        <f>IFERROR(VLOOKUP(F1614,COA!$A$1:$K$26,2,FALSE),0)</f>
        <v>0</v>
      </c>
      <c r="H1614" s="11"/>
      <c r="I1614" s="11"/>
      <c r="J1614" s="78"/>
      <c r="K1614" s="78"/>
      <c r="L1614" s="146">
        <f t="shared" si="77"/>
        <v>1800000</v>
      </c>
      <c r="M1614" s="73"/>
      <c r="N1614" s="73"/>
      <c r="O1614" s="73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14.25" customHeight="1" x14ac:dyDescent="0.35">
      <c r="A1615" s="9">
        <f t="shared" si="76"/>
        <v>1607</v>
      </c>
      <c r="B1615" s="15"/>
      <c r="C1615" s="11">
        <f t="shared" si="75"/>
        <v>1</v>
      </c>
      <c r="D1615" s="11"/>
      <c r="E1615" s="11"/>
      <c r="F1615" s="11"/>
      <c r="G1615" s="89">
        <f>IFERROR(VLOOKUP(F1615,COA!$A$1:$K$26,2,FALSE),0)</f>
        <v>0</v>
      </c>
      <c r="H1615" s="11"/>
      <c r="I1615" s="11"/>
      <c r="J1615" s="78"/>
      <c r="K1615" s="78"/>
      <c r="L1615" s="146">
        <f t="shared" si="77"/>
        <v>1800000</v>
      </c>
      <c r="M1615" s="73"/>
      <c r="N1615" s="73"/>
      <c r="O1615" s="73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14.25" customHeight="1" x14ac:dyDescent="0.35">
      <c r="A1616" s="9">
        <f t="shared" si="76"/>
        <v>1608</v>
      </c>
      <c r="B1616" s="15"/>
      <c r="C1616" s="11">
        <f t="shared" si="75"/>
        <v>1</v>
      </c>
      <c r="D1616" s="11"/>
      <c r="E1616" s="11"/>
      <c r="F1616" s="11"/>
      <c r="G1616" s="89">
        <f>IFERROR(VLOOKUP(F1616,COA!$A$1:$K$26,2,FALSE),0)</f>
        <v>0</v>
      </c>
      <c r="H1616" s="11"/>
      <c r="I1616" s="11"/>
      <c r="J1616" s="78"/>
      <c r="K1616" s="78"/>
      <c r="L1616" s="146">
        <f t="shared" si="77"/>
        <v>1800000</v>
      </c>
      <c r="M1616" s="73"/>
      <c r="N1616" s="73"/>
      <c r="O1616" s="73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14.25" customHeight="1" x14ac:dyDescent="0.35">
      <c r="A1617" s="9">
        <f t="shared" si="76"/>
        <v>1609</v>
      </c>
      <c r="B1617" s="15"/>
      <c r="C1617" s="11">
        <f t="shared" si="75"/>
        <v>1</v>
      </c>
      <c r="D1617" s="11"/>
      <c r="E1617" s="11"/>
      <c r="F1617" s="11"/>
      <c r="G1617" s="89">
        <f>IFERROR(VLOOKUP(F1617,COA!$A$1:$K$26,2,FALSE),0)</f>
        <v>0</v>
      </c>
      <c r="H1617" s="11"/>
      <c r="I1617" s="11"/>
      <c r="J1617" s="78"/>
      <c r="K1617" s="78"/>
      <c r="L1617" s="146">
        <f t="shared" si="77"/>
        <v>1800000</v>
      </c>
      <c r="M1617" s="73"/>
      <c r="N1617" s="73"/>
      <c r="O1617" s="73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14.25" customHeight="1" x14ac:dyDescent="0.35">
      <c r="A1618" s="9">
        <f t="shared" si="76"/>
        <v>1610</v>
      </c>
      <c r="B1618" s="15"/>
      <c r="C1618" s="11">
        <f t="shared" si="75"/>
        <v>1</v>
      </c>
      <c r="D1618" s="11"/>
      <c r="E1618" s="11"/>
      <c r="F1618" s="11"/>
      <c r="G1618" s="89">
        <f>IFERROR(VLOOKUP(F1618,COA!$A$1:$K$26,2,FALSE),0)</f>
        <v>0</v>
      </c>
      <c r="H1618" s="11"/>
      <c r="I1618" s="11"/>
      <c r="J1618" s="78"/>
      <c r="K1618" s="78"/>
      <c r="L1618" s="146">
        <f t="shared" si="77"/>
        <v>1800000</v>
      </c>
      <c r="M1618" s="73"/>
      <c r="N1618" s="73"/>
      <c r="O1618" s="73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14.25" customHeight="1" x14ac:dyDescent="0.35">
      <c r="A1619" s="9">
        <f t="shared" si="76"/>
        <v>1611</v>
      </c>
      <c r="B1619" s="15"/>
      <c r="C1619" s="11">
        <f t="shared" si="75"/>
        <v>1</v>
      </c>
      <c r="D1619" s="11"/>
      <c r="E1619" s="11"/>
      <c r="F1619" s="11"/>
      <c r="G1619" s="89">
        <f>IFERROR(VLOOKUP(F1619,COA!$A$1:$K$26,2,FALSE),0)</f>
        <v>0</v>
      </c>
      <c r="H1619" s="11"/>
      <c r="I1619" s="11"/>
      <c r="J1619" s="78"/>
      <c r="K1619" s="78"/>
      <c r="L1619" s="146">
        <f t="shared" si="77"/>
        <v>1800000</v>
      </c>
      <c r="M1619" s="73"/>
      <c r="N1619" s="73"/>
      <c r="O1619" s="73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14.25" customHeight="1" x14ac:dyDescent="0.35">
      <c r="A1620" s="9">
        <f t="shared" si="76"/>
        <v>1612</v>
      </c>
      <c r="B1620" s="15"/>
      <c r="C1620" s="11">
        <f t="shared" si="75"/>
        <v>1</v>
      </c>
      <c r="D1620" s="11"/>
      <c r="E1620" s="11"/>
      <c r="F1620" s="11"/>
      <c r="G1620" s="89">
        <f>IFERROR(VLOOKUP(F1620,COA!$A$1:$K$26,2,FALSE),0)</f>
        <v>0</v>
      </c>
      <c r="H1620" s="11"/>
      <c r="I1620" s="11"/>
      <c r="J1620" s="78"/>
      <c r="K1620" s="78"/>
      <c r="L1620" s="146">
        <f t="shared" si="77"/>
        <v>1800000</v>
      </c>
      <c r="M1620" s="73"/>
      <c r="N1620" s="73"/>
      <c r="O1620" s="73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14.25" customHeight="1" x14ac:dyDescent="0.35">
      <c r="A1621" s="9">
        <f t="shared" si="76"/>
        <v>1613</v>
      </c>
      <c r="B1621" s="15"/>
      <c r="C1621" s="11">
        <f t="shared" si="75"/>
        <v>1</v>
      </c>
      <c r="D1621" s="11"/>
      <c r="E1621" s="11"/>
      <c r="F1621" s="11"/>
      <c r="G1621" s="89">
        <f>IFERROR(VLOOKUP(F1621,COA!$A$1:$K$26,2,FALSE),0)</f>
        <v>0</v>
      </c>
      <c r="H1621" s="11"/>
      <c r="I1621" s="11"/>
      <c r="J1621" s="78"/>
      <c r="K1621" s="78"/>
      <c r="L1621" s="146">
        <f t="shared" si="77"/>
        <v>1800000</v>
      </c>
      <c r="M1621" s="73"/>
      <c r="N1621" s="73"/>
      <c r="O1621" s="73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14.25" customHeight="1" x14ac:dyDescent="0.35">
      <c r="A1622" s="9">
        <f t="shared" si="76"/>
        <v>1614</v>
      </c>
      <c r="B1622" s="15"/>
      <c r="C1622" s="11">
        <f t="shared" si="75"/>
        <v>1</v>
      </c>
      <c r="D1622" s="11"/>
      <c r="E1622" s="11"/>
      <c r="F1622" s="11"/>
      <c r="G1622" s="89">
        <f>IFERROR(VLOOKUP(F1622,COA!$A$1:$K$26,2,FALSE),0)</f>
        <v>0</v>
      </c>
      <c r="H1622" s="11"/>
      <c r="I1622" s="11"/>
      <c r="J1622" s="78"/>
      <c r="K1622" s="78"/>
      <c r="L1622" s="146">
        <f t="shared" si="77"/>
        <v>1800000</v>
      </c>
      <c r="M1622" s="73"/>
      <c r="N1622" s="73"/>
      <c r="O1622" s="73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14.25" customHeight="1" x14ac:dyDescent="0.35">
      <c r="A1623" s="9">
        <f t="shared" si="76"/>
        <v>1615</v>
      </c>
      <c r="B1623" s="15"/>
      <c r="C1623" s="11">
        <f t="shared" si="75"/>
        <v>1</v>
      </c>
      <c r="D1623" s="11"/>
      <c r="E1623" s="11"/>
      <c r="F1623" s="11"/>
      <c r="G1623" s="89">
        <f>IFERROR(VLOOKUP(F1623,COA!$A$1:$K$26,2,FALSE),0)</f>
        <v>0</v>
      </c>
      <c r="H1623" s="11"/>
      <c r="I1623" s="11"/>
      <c r="J1623" s="78"/>
      <c r="K1623" s="78"/>
      <c r="L1623" s="146">
        <f t="shared" si="77"/>
        <v>1800000</v>
      </c>
      <c r="M1623" s="73"/>
      <c r="N1623" s="73"/>
      <c r="O1623" s="73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14.25" customHeight="1" x14ac:dyDescent="0.35">
      <c r="A1624" s="9">
        <f t="shared" si="76"/>
        <v>1616</v>
      </c>
      <c r="B1624" s="15"/>
      <c r="C1624" s="11">
        <f t="shared" si="75"/>
        <v>1</v>
      </c>
      <c r="D1624" s="11"/>
      <c r="E1624" s="11"/>
      <c r="F1624" s="11"/>
      <c r="G1624" s="89">
        <f>IFERROR(VLOOKUP(F1624,COA!$A$1:$K$26,2,FALSE),0)</f>
        <v>0</v>
      </c>
      <c r="H1624" s="11"/>
      <c r="I1624" s="11"/>
      <c r="J1624" s="78"/>
      <c r="K1624" s="78"/>
      <c r="L1624" s="146">
        <f t="shared" si="77"/>
        <v>1800000</v>
      </c>
      <c r="M1624" s="73"/>
      <c r="N1624" s="73"/>
      <c r="O1624" s="73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14.25" customHeight="1" x14ac:dyDescent="0.35">
      <c r="A1625" s="9">
        <f t="shared" si="76"/>
        <v>1617</v>
      </c>
      <c r="B1625" s="15"/>
      <c r="C1625" s="11">
        <f t="shared" si="75"/>
        <v>1</v>
      </c>
      <c r="D1625" s="11"/>
      <c r="E1625" s="11"/>
      <c r="F1625" s="11"/>
      <c r="G1625" s="89">
        <f>IFERROR(VLOOKUP(F1625,COA!$A$1:$K$26,2,FALSE),0)</f>
        <v>0</v>
      </c>
      <c r="H1625" s="11"/>
      <c r="I1625" s="11"/>
      <c r="J1625" s="78"/>
      <c r="K1625" s="78"/>
      <c r="L1625" s="146">
        <f t="shared" si="77"/>
        <v>1800000</v>
      </c>
      <c r="M1625" s="73"/>
      <c r="N1625" s="73"/>
      <c r="O1625" s="73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14.25" customHeight="1" x14ac:dyDescent="0.35">
      <c r="A1626" s="9">
        <f t="shared" si="76"/>
        <v>1618</v>
      </c>
      <c r="B1626" s="15"/>
      <c r="C1626" s="11">
        <f t="shared" si="75"/>
        <v>1</v>
      </c>
      <c r="D1626" s="11"/>
      <c r="E1626" s="11"/>
      <c r="F1626" s="11"/>
      <c r="G1626" s="89">
        <f>IFERROR(VLOOKUP(F1626,COA!$A$1:$K$26,2,FALSE),0)</f>
        <v>0</v>
      </c>
      <c r="H1626" s="11"/>
      <c r="I1626" s="11"/>
      <c r="J1626" s="78"/>
      <c r="K1626" s="78"/>
      <c r="L1626" s="146">
        <f t="shared" si="77"/>
        <v>1800000</v>
      </c>
      <c r="M1626" s="73"/>
      <c r="N1626" s="73"/>
      <c r="O1626" s="73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14.25" customHeight="1" x14ac:dyDescent="0.35">
      <c r="A1627" s="9">
        <f t="shared" si="76"/>
        <v>1619</v>
      </c>
      <c r="B1627" s="15"/>
      <c r="C1627" s="11">
        <f t="shared" si="75"/>
        <v>1</v>
      </c>
      <c r="D1627" s="11"/>
      <c r="E1627" s="11"/>
      <c r="F1627" s="11"/>
      <c r="G1627" s="89">
        <f>IFERROR(VLOOKUP(F1627,COA!$A$1:$K$26,2,FALSE),0)</f>
        <v>0</v>
      </c>
      <c r="H1627" s="11"/>
      <c r="I1627" s="11"/>
      <c r="J1627" s="78"/>
      <c r="K1627" s="78"/>
      <c r="L1627" s="146">
        <f t="shared" si="77"/>
        <v>1800000</v>
      </c>
      <c r="M1627" s="73"/>
      <c r="N1627" s="73"/>
      <c r="O1627" s="73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14.25" customHeight="1" x14ac:dyDescent="0.35">
      <c r="A1628" s="9">
        <f t="shared" si="76"/>
        <v>1620</v>
      </c>
      <c r="B1628" s="15"/>
      <c r="C1628" s="11">
        <f t="shared" si="75"/>
        <v>1</v>
      </c>
      <c r="D1628" s="11"/>
      <c r="E1628" s="11"/>
      <c r="F1628" s="11"/>
      <c r="G1628" s="89">
        <f>IFERROR(VLOOKUP(F1628,COA!$A$1:$K$26,2,FALSE),0)</f>
        <v>0</v>
      </c>
      <c r="H1628" s="11"/>
      <c r="I1628" s="11"/>
      <c r="J1628" s="78"/>
      <c r="K1628" s="78"/>
      <c r="L1628" s="146">
        <f t="shared" si="77"/>
        <v>1800000</v>
      </c>
      <c r="M1628" s="73"/>
      <c r="N1628" s="73"/>
      <c r="O1628" s="73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14.25" customHeight="1" x14ac:dyDescent="0.35">
      <c r="A1629" s="9">
        <f t="shared" si="76"/>
        <v>1621</v>
      </c>
      <c r="B1629" s="15"/>
      <c r="C1629" s="11">
        <f t="shared" si="75"/>
        <v>1</v>
      </c>
      <c r="D1629" s="11"/>
      <c r="E1629" s="11"/>
      <c r="F1629" s="11"/>
      <c r="G1629" s="89">
        <f>IFERROR(VLOOKUP(F1629,COA!$A$1:$K$26,2,FALSE),0)</f>
        <v>0</v>
      </c>
      <c r="H1629" s="11"/>
      <c r="I1629" s="11"/>
      <c r="J1629" s="78"/>
      <c r="K1629" s="78"/>
      <c r="L1629" s="146">
        <f t="shared" si="77"/>
        <v>1800000</v>
      </c>
      <c r="M1629" s="73"/>
      <c r="N1629" s="73"/>
      <c r="O1629" s="73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14.25" customHeight="1" x14ac:dyDescent="0.35">
      <c r="A1630" s="9">
        <f t="shared" si="76"/>
        <v>1622</v>
      </c>
      <c r="B1630" s="15"/>
      <c r="C1630" s="11">
        <f t="shared" si="75"/>
        <v>1</v>
      </c>
      <c r="D1630" s="11"/>
      <c r="E1630" s="11"/>
      <c r="F1630" s="11"/>
      <c r="G1630" s="89">
        <f>IFERROR(VLOOKUP(F1630,COA!$A$1:$K$26,2,FALSE),0)</f>
        <v>0</v>
      </c>
      <c r="H1630" s="11"/>
      <c r="I1630" s="11"/>
      <c r="J1630" s="78"/>
      <c r="K1630" s="78"/>
      <c r="L1630" s="146">
        <f t="shared" si="77"/>
        <v>1800000</v>
      </c>
      <c r="M1630" s="73"/>
      <c r="N1630" s="73"/>
      <c r="O1630" s="73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14.25" customHeight="1" x14ac:dyDescent="0.35">
      <c r="A1631" s="9">
        <f t="shared" si="76"/>
        <v>1623</v>
      </c>
      <c r="B1631" s="15"/>
      <c r="C1631" s="11">
        <f t="shared" si="75"/>
        <v>1</v>
      </c>
      <c r="D1631" s="11"/>
      <c r="E1631" s="11"/>
      <c r="F1631" s="11"/>
      <c r="G1631" s="89">
        <f>IFERROR(VLOOKUP(F1631,COA!$A$1:$K$26,2,FALSE),0)</f>
        <v>0</v>
      </c>
      <c r="H1631" s="11"/>
      <c r="I1631" s="11"/>
      <c r="J1631" s="78"/>
      <c r="K1631" s="78"/>
      <c r="L1631" s="146">
        <f t="shared" si="77"/>
        <v>1800000</v>
      </c>
      <c r="M1631" s="73"/>
      <c r="N1631" s="73"/>
      <c r="O1631" s="73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14.25" customHeight="1" x14ac:dyDescent="0.35">
      <c r="A1632" s="9">
        <f t="shared" si="76"/>
        <v>1624</v>
      </c>
      <c r="B1632" s="15"/>
      <c r="C1632" s="11">
        <f t="shared" si="75"/>
        <v>1</v>
      </c>
      <c r="D1632" s="11"/>
      <c r="E1632" s="11"/>
      <c r="F1632" s="11"/>
      <c r="G1632" s="89">
        <f>IFERROR(VLOOKUP(F1632,COA!$A$1:$K$26,2,FALSE),0)</f>
        <v>0</v>
      </c>
      <c r="H1632" s="11"/>
      <c r="I1632" s="11"/>
      <c r="J1632" s="78"/>
      <c r="K1632" s="78"/>
      <c r="L1632" s="146">
        <f t="shared" si="77"/>
        <v>1800000</v>
      </c>
      <c r="M1632" s="73"/>
      <c r="N1632" s="73"/>
      <c r="O1632" s="73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14.25" customHeight="1" x14ac:dyDescent="0.35">
      <c r="A1633" s="9">
        <f t="shared" si="76"/>
        <v>1625</v>
      </c>
      <c r="B1633" s="15"/>
      <c r="C1633" s="11">
        <f t="shared" si="75"/>
        <v>1</v>
      </c>
      <c r="D1633" s="11"/>
      <c r="E1633" s="11"/>
      <c r="F1633" s="11"/>
      <c r="G1633" s="89">
        <f>IFERROR(VLOOKUP(F1633,COA!$A$1:$K$26,2,FALSE),0)</f>
        <v>0</v>
      </c>
      <c r="H1633" s="11"/>
      <c r="I1633" s="11"/>
      <c r="J1633" s="78"/>
      <c r="K1633" s="78"/>
      <c r="L1633" s="146">
        <f t="shared" si="77"/>
        <v>1800000</v>
      </c>
      <c r="M1633" s="73"/>
      <c r="N1633" s="73"/>
      <c r="O1633" s="73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14.25" customHeight="1" x14ac:dyDescent="0.35">
      <c r="A1634" s="9">
        <f t="shared" si="76"/>
        <v>1626</v>
      </c>
      <c r="B1634" s="15"/>
      <c r="C1634" s="11">
        <f t="shared" si="75"/>
        <v>1</v>
      </c>
      <c r="D1634" s="11"/>
      <c r="E1634" s="11"/>
      <c r="F1634" s="11"/>
      <c r="G1634" s="89">
        <f>IFERROR(VLOOKUP(F1634,COA!$A$1:$K$26,2,FALSE),0)</f>
        <v>0</v>
      </c>
      <c r="H1634" s="11"/>
      <c r="I1634" s="11"/>
      <c r="J1634" s="78"/>
      <c r="K1634" s="78"/>
      <c r="L1634" s="146">
        <f t="shared" si="77"/>
        <v>1800000</v>
      </c>
      <c r="M1634" s="73"/>
      <c r="N1634" s="73"/>
      <c r="O1634" s="73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14.25" customHeight="1" x14ac:dyDescent="0.35">
      <c r="A1635" s="9">
        <f t="shared" si="76"/>
        <v>1627</v>
      </c>
      <c r="B1635" s="15"/>
      <c r="C1635" s="11">
        <f t="shared" si="75"/>
        <v>1</v>
      </c>
      <c r="D1635" s="11"/>
      <c r="E1635" s="11"/>
      <c r="F1635" s="11"/>
      <c r="G1635" s="89">
        <f>IFERROR(VLOOKUP(F1635,COA!$A$1:$K$26,2,FALSE),0)</f>
        <v>0</v>
      </c>
      <c r="H1635" s="11"/>
      <c r="I1635" s="11"/>
      <c r="J1635" s="78"/>
      <c r="K1635" s="78"/>
      <c r="L1635" s="146">
        <f t="shared" si="77"/>
        <v>1800000</v>
      </c>
      <c r="M1635" s="73"/>
      <c r="N1635" s="73"/>
      <c r="O1635" s="73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14.25" customHeight="1" x14ac:dyDescent="0.35">
      <c r="A1636" s="9">
        <f t="shared" si="76"/>
        <v>1628</v>
      </c>
      <c r="B1636" s="15"/>
      <c r="C1636" s="11">
        <f t="shared" si="75"/>
        <v>1</v>
      </c>
      <c r="D1636" s="11"/>
      <c r="E1636" s="11"/>
      <c r="F1636" s="11"/>
      <c r="G1636" s="89">
        <f>IFERROR(VLOOKUP(F1636,COA!$A$1:$K$26,2,FALSE),0)</f>
        <v>0</v>
      </c>
      <c r="H1636" s="11"/>
      <c r="I1636" s="11"/>
      <c r="J1636" s="78"/>
      <c r="K1636" s="78"/>
      <c r="L1636" s="146">
        <f t="shared" si="77"/>
        <v>1800000</v>
      </c>
      <c r="M1636" s="73"/>
      <c r="N1636" s="73"/>
      <c r="O1636" s="73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14.25" customHeight="1" x14ac:dyDescent="0.35">
      <c r="A1637" s="9">
        <f t="shared" si="76"/>
        <v>1629</v>
      </c>
      <c r="B1637" s="15"/>
      <c r="C1637" s="11">
        <f t="shared" si="75"/>
        <v>1</v>
      </c>
      <c r="D1637" s="11"/>
      <c r="E1637" s="11"/>
      <c r="F1637" s="11"/>
      <c r="G1637" s="89">
        <f>IFERROR(VLOOKUP(F1637,COA!$A$1:$K$26,2,FALSE),0)</f>
        <v>0</v>
      </c>
      <c r="H1637" s="11"/>
      <c r="I1637" s="11"/>
      <c r="J1637" s="78"/>
      <c r="K1637" s="78"/>
      <c r="L1637" s="146">
        <f t="shared" si="77"/>
        <v>1800000</v>
      </c>
      <c r="M1637" s="73"/>
      <c r="N1637" s="73"/>
      <c r="O1637" s="73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14.25" customHeight="1" x14ac:dyDescent="0.35">
      <c r="A1638" s="9">
        <f t="shared" si="76"/>
        <v>1630</v>
      </c>
      <c r="B1638" s="15"/>
      <c r="C1638" s="11">
        <f t="shared" si="75"/>
        <v>1</v>
      </c>
      <c r="D1638" s="11"/>
      <c r="E1638" s="11"/>
      <c r="F1638" s="11"/>
      <c r="G1638" s="89">
        <f>IFERROR(VLOOKUP(F1638,COA!$A$1:$K$26,2,FALSE),0)</f>
        <v>0</v>
      </c>
      <c r="H1638" s="11"/>
      <c r="I1638" s="11"/>
      <c r="J1638" s="78"/>
      <c r="K1638" s="78"/>
      <c r="L1638" s="146">
        <f t="shared" si="77"/>
        <v>1800000</v>
      </c>
      <c r="M1638" s="73"/>
      <c r="N1638" s="73"/>
      <c r="O1638" s="73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14.25" customHeight="1" x14ac:dyDescent="0.35">
      <c r="A1639" s="9">
        <f t="shared" si="76"/>
        <v>1631</v>
      </c>
      <c r="B1639" s="15"/>
      <c r="C1639" s="11">
        <f t="shared" si="75"/>
        <v>1</v>
      </c>
      <c r="D1639" s="11"/>
      <c r="E1639" s="11"/>
      <c r="F1639" s="11"/>
      <c r="G1639" s="89">
        <f>IFERROR(VLOOKUP(F1639,COA!$A$1:$K$26,2,FALSE),0)</f>
        <v>0</v>
      </c>
      <c r="H1639" s="11"/>
      <c r="I1639" s="11"/>
      <c r="J1639" s="78"/>
      <c r="K1639" s="78"/>
      <c r="L1639" s="146">
        <f t="shared" si="77"/>
        <v>1800000</v>
      </c>
      <c r="M1639" s="73"/>
      <c r="N1639" s="73"/>
      <c r="O1639" s="73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14.25" customHeight="1" x14ac:dyDescent="0.35">
      <c r="A1640" s="9">
        <f t="shared" si="76"/>
        <v>1632</v>
      </c>
      <c r="B1640" s="15"/>
      <c r="C1640" s="11">
        <f t="shared" si="75"/>
        <v>1</v>
      </c>
      <c r="D1640" s="11"/>
      <c r="E1640" s="11"/>
      <c r="F1640" s="11"/>
      <c r="G1640" s="89">
        <f>IFERROR(VLOOKUP(F1640,COA!$A$1:$K$26,2,FALSE),0)</f>
        <v>0</v>
      </c>
      <c r="H1640" s="11"/>
      <c r="I1640" s="11"/>
      <c r="J1640" s="78"/>
      <c r="K1640" s="78"/>
      <c r="L1640" s="146">
        <f t="shared" si="77"/>
        <v>1800000</v>
      </c>
      <c r="M1640" s="73"/>
      <c r="N1640" s="73"/>
      <c r="O1640" s="73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14.25" customHeight="1" x14ac:dyDescent="0.35">
      <c r="A1641" s="9">
        <f t="shared" si="76"/>
        <v>1633</v>
      </c>
      <c r="B1641" s="15"/>
      <c r="C1641" s="11">
        <f t="shared" si="75"/>
        <v>1</v>
      </c>
      <c r="D1641" s="11"/>
      <c r="E1641" s="11"/>
      <c r="F1641" s="11"/>
      <c r="G1641" s="89">
        <f>IFERROR(VLOOKUP(F1641,COA!$A$1:$K$26,2,FALSE),0)</f>
        <v>0</v>
      </c>
      <c r="H1641" s="11"/>
      <c r="I1641" s="11"/>
      <c r="J1641" s="78"/>
      <c r="K1641" s="78"/>
      <c r="L1641" s="146">
        <f t="shared" si="77"/>
        <v>1800000</v>
      </c>
      <c r="M1641" s="73"/>
      <c r="N1641" s="73"/>
      <c r="O1641" s="73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14.25" customHeight="1" x14ac:dyDescent="0.35">
      <c r="A1642" s="9">
        <f t="shared" si="76"/>
        <v>1634</v>
      </c>
      <c r="B1642" s="15"/>
      <c r="C1642" s="11">
        <f t="shared" si="75"/>
        <v>1</v>
      </c>
      <c r="D1642" s="11"/>
      <c r="E1642" s="11"/>
      <c r="F1642" s="11"/>
      <c r="G1642" s="89">
        <f>IFERROR(VLOOKUP(F1642,COA!$A$1:$K$26,2,FALSE),0)</f>
        <v>0</v>
      </c>
      <c r="H1642" s="11"/>
      <c r="I1642" s="11"/>
      <c r="J1642" s="78"/>
      <c r="K1642" s="78"/>
      <c r="L1642" s="146">
        <f t="shared" si="77"/>
        <v>1800000</v>
      </c>
      <c r="M1642" s="73"/>
      <c r="N1642" s="73"/>
      <c r="O1642" s="73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14.25" customHeight="1" x14ac:dyDescent="0.35">
      <c r="A1643" s="9">
        <f t="shared" si="76"/>
        <v>1635</v>
      </c>
      <c r="B1643" s="15"/>
      <c r="C1643" s="11">
        <f t="shared" si="75"/>
        <v>1</v>
      </c>
      <c r="D1643" s="11"/>
      <c r="E1643" s="11"/>
      <c r="F1643" s="11"/>
      <c r="G1643" s="89">
        <f>IFERROR(VLOOKUP(F1643,COA!$A$1:$K$26,2,FALSE),0)</f>
        <v>0</v>
      </c>
      <c r="H1643" s="11"/>
      <c r="I1643" s="11"/>
      <c r="J1643" s="78"/>
      <c r="K1643" s="78"/>
      <c r="L1643" s="146">
        <f t="shared" si="77"/>
        <v>1800000</v>
      </c>
      <c r="M1643" s="73"/>
      <c r="N1643" s="73"/>
      <c r="O1643" s="73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14.25" customHeight="1" x14ac:dyDescent="0.35">
      <c r="A1644" s="9">
        <f t="shared" si="76"/>
        <v>1636</v>
      </c>
      <c r="B1644" s="15"/>
      <c r="C1644" s="11">
        <f t="shared" si="75"/>
        <v>1</v>
      </c>
      <c r="D1644" s="11"/>
      <c r="E1644" s="11"/>
      <c r="F1644" s="11"/>
      <c r="G1644" s="89">
        <f>IFERROR(VLOOKUP(F1644,COA!$A$1:$K$26,2,FALSE),0)</f>
        <v>0</v>
      </c>
      <c r="H1644" s="11"/>
      <c r="I1644" s="11"/>
      <c r="J1644" s="78"/>
      <c r="K1644" s="78"/>
      <c r="L1644" s="146">
        <f t="shared" si="77"/>
        <v>1800000</v>
      </c>
      <c r="M1644" s="73"/>
      <c r="N1644" s="73"/>
      <c r="O1644" s="73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14.25" customHeight="1" x14ac:dyDescent="0.35">
      <c r="A1645" s="9">
        <f t="shared" si="76"/>
        <v>1637</v>
      </c>
      <c r="B1645" s="15"/>
      <c r="C1645" s="11">
        <f t="shared" si="75"/>
        <v>1</v>
      </c>
      <c r="D1645" s="11"/>
      <c r="E1645" s="11"/>
      <c r="F1645" s="11"/>
      <c r="G1645" s="89">
        <f>IFERROR(VLOOKUP(F1645,COA!$A$1:$K$26,2,FALSE),0)</f>
        <v>0</v>
      </c>
      <c r="H1645" s="11"/>
      <c r="I1645" s="11"/>
      <c r="J1645" s="78"/>
      <c r="K1645" s="78"/>
      <c r="L1645" s="146">
        <f t="shared" si="77"/>
        <v>1800000</v>
      </c>
      <c r="M1645" s="73"/>
      <c r="N1645" s="73"/>
      <c r="O1645" s="73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14.25" customHeight="1" x14ac:dyDescent="0.35">
      <c r="A1646" s="9">
        <f t="shared" si="76"/>
        <v>1638</v>
      </c>
      <c r="B1646" s="15"/>
      <c r="C1646" s="11">
        <f t="shared" si="75"/>
        <v>1</v>
      </c>
      <c r="D1646" s="11"/>
      <c r="E1646" s="11"/>
      <c r="F1646" s="11"/>
      <c r="G1646" s="89">
        <f>IFERROR(VLOOKUP(F1646,COA!$A$1:$K$26,2,FALSE),0)</f>
        <v>0</v>
      </c>
      <c r="H1646" s="11"/>
      <c r="I1646" s="11"/>
      <c r="J1646" s="78"/>
      <c r="K1646" s="78"/>
      <c r="L1646" s="146">
        <f t="shared" si="77"/>
        <v>1800000</v>
      </c>
      <c r="M1646" s="73"/>
      <c r="N1646" s="73"/>
      <c r="O1646" s="73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14.25" customHeight="1" x14ac:dyDescent="0.35">
      <c r="A1647" s="9">
        <f t="shared" si="76"/>
        <v>1639</v>
      </c>
      <c r="B1647" s="15"/>
      <c r="C1647" s="11">
        <f t="shared" si="75"/>
        <v>1</v>
      </c>
      <c r="D1647" s="11"/>
      <c r="E1647" s="11"/>
      <c r="F1647" s="11"/>
      <c r="G1647" s="89">
        <f>IFERROR(VLOOKUP(F1647,COA!$A$1:$K$26,2,FALSE),0)</f>
        <v>0</v>
      </c>
      <c r="H1647" s="11"/>
      <c r="I1647" s="11"/>
      <c r="J1647" s="78"/>
      <c r="K1647" s="78"/>
      <c r="L1647" s="146">
        <f t="shared" si="77"/>
        <v>1800000</v>
      </c>
      <c r="M1647" s="73"/>
      <c r="N1647" s="73"/>
      <c r="O1647" s="73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14.25" customHeight="1" x14ac:dyDescent="0.35">
      <c r="A1648" s="9">
        <f t="shared" si="76"/>
        <v>1640</v>
      </c>
      <c r="B1648" s="15"/>
      <c r="C1648" s="11">
        <f t="shared" si="75"/>
        <v>1</v>
      </c>
      <c r="D1648" s="11"/>
      <c r="E1648" s="11"/>
      <c r="F1648" s="11"/>
      <c r="G1648" s="89">
        <f>IFERROR(VLOOKUP(F1648,COA!$A$1:$K$26,2,FALSE),0)</f>
        <v>0</v>
      </c>
      <c r="H1648" s="11"/>
      <c r="I1648" s="11"/>
      <c r="J1648" s="78"/>
      <c r="K1648" s="78"/>
      <c r="L1648" s="146">
        <f t="shared" si="77"/>
        <v>1800000</v>
      </c>
      <c r="M1648" s="73"/>
      <c r="N1648" s="73"/>
      <c r="O1648" s="73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14.25" customHeight="1" x14ac:dyDescent="0.35">
      <c r="A1649" s="9">
        <f t="shared" si="76"/>
        <v>1641</v>
      </c>
      <c r="B1649" s="15"/>
      <c r="C1649" s="11">
        <f t="shared" si="75"/>
        <v>1</v>
      </c>
      <c r="D1649" s="11"/>
      <c r="E1649" s="11"/>
      <c r="F1649" s="11"/>
      <c r="G1649" s="89">
        <f>IFERROR(VLOOKUP(F1649,COA!$A$1:$K$26,2,FALSE),0)</f>
        <v>0</v>
      </c>
      <c r="H1649" s="11"/>
      <c r="I1649" s="11"/>
      <c r="J1649" s="78"/>
      <c r="K1649" s="78"/>
      <c r="L1649" s="146">
        <f t="shared" si="77"/>
        <v>1800000</v>
      </c>
      <c r="M1649" s="73"/>
      <c r="N1649" s="73"/>
      <c r="O1649" s="73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14.25" customHeight="1" x14ac:dyDescent="0.35">
      <c r="A1650" s="9">
        <f t="shared" si="76"/>
        <v>1642</v>
      </c>
      <c r="B1650" s="15"/>
      <c r="C1650" s="11">
        <f t="shared" si="75"/>
        <v>1</v>
      </c>
      <c r="D1650" s="11"/>
      <c r="E1650" s="11"/>
      <c r="F1650" s="11"/>
      <c r="G1650" s="89">
        <f>IFERROR(VLOOKUP(F1650,COA!$A$1:$K$26,2,FALSE),0)</f>
        <v>0</v>
      </c>
      <c r="H1650" s="11"/>
      <c r="I1650" s="11"/>
      <c r="J1650" s="78"/>
      <c r="K1650" s="78"/>
      <c r="L1650" s="146">
        <f t="shared" si="77"/>
        <v>1800000</v>
      </c>
      <c r="M1650" s="73"/>
      <c r="N1650" s="73"/>
      <c r="O1650" s="73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14.25" customHeight="1" x14ac:dyDescent="0.35">
      <c r="A1651" s="9">
        <f t="shared" si="76"/>
        <v>1643</v>
      </c>
      <c r="B1651" s="15"/>
      <c r="C1651" s="11">
        <f t="shared" si="75"/>
        <v>1</v>
      </c>
      <c r="D1651" s="11"/>
      <c r="E1651" s="11"/>
      <c r="F1651" s="11"/>
      <c r="G1651" s="89">
        <f>IFERROR(VLOOKUP(F1651,COA!$A$1:$K$26,2,FALSE),0)</f>
        <v>0</v>
      </c>
      <c r="H1651" s="11"/>
      <c r="I1651" s="11"/>
      <c r="J1651" s="78"/>
      <c r="K1651" s="78"/>
      <c r="L1651" s="146">
        <f t="shared" si="77"/>
        <v>1800000</v>
      </c>
      <c r="M1651" s="73"/>
      <c r="N1651" s="73"/>
      <c r="O1651" s="73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14.25" customHeight="1" x14ac:dyDescent="0.35">
      <c r="A1652" s="9">
        <f t="shared" si="76"/>
        <v>1644</v>
      </c>
      <c r="B1652" s="15"/>
      <c r="C1652" s="11">
        <f t="shared" si="75"/>
        <v>1</v>
      </c>
      <c r="D1652" s="11"/>
      <c r="E1652" s="11"/>
      <c r="F1652" s="11"/>
      <c r="G1652" s="89">
        <f>IFERROR(VLOOKUP(F1652,COA!$A$1:$K$26,2,FALSE),0)</f>
        <v>0</v>
      </c>
      <c r="H1652" s="11"/>
      <c r="I1652" s="11"/>
      <c r="J1652" s="78"/>
      <c r="K1652" s="78"/>
      <c r="L1652" s="146">
        <f t="shared" si="77"/>
        <v>1800000</v>
      </c>
      <c r="M1652" s="73"/>
      <c r="N1652" s="73"/>
      <c r="O1652" s="73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14.25" customHeight="1" x14ac:dyDescent="0.35">
      <c r="A1653" s="9">
        <f t="shared" si="76"/>
        <v>1645</v>
      </c>
      <c r="B1653" s="15"/>
      <c r="C1653" s="11">
        <f t="shared" si="75"/>
        <v>1</v>
      </c>
      <c r="D1653" s="11"/>
      <c r="E1653" s="11"/>
      <c r="F1653" s="11"/>
      <c r="G1653" s="89">
        <f>IFERROR(VLOOKUP(F1653,COA!$A$1:$K$26,2,FALSE),0)</f>
        <v>0</v>
      </c>
      <c r="H1653" s="11"/>
      <c r="I1653" s="11"/>
      <c r="J1653" s="78"/>
      <c r="K1653" s="78"/>
      <c r="L1653" s="146">
        <f t="shared" si="77"/>
        <v>1800000</v>
      </c>
      <c r="M1653" s="73"/>
      <c r="N1653" s="73"/>
      <c r="O1653" s="73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14.25" customHeight="1" x14ac:dyDescent="0.35">
      <c r="A1654" s="9">
        <f t="shared" si="76"/>
        <v>1646</v>
      </c>
      <c r="B1654" s="15"/>
      <c r="C1654" s="11">
        <f t="shared" si="75"/>
        <v>1</v>
      </c>
      <c r="D1654" s="11"/>
      <c r="E1654" s="11"/>
      <c r="F1654" s="11"/>
      <c r="G1654" s="89">
        <f>IFERROR(VLOOKUP(F1654,COA!$A$1:$K$26,2,FALSE),0)</f>
        <v>0</v>
      </c>
      <c r="H1654" s="11"/>
      <c r="I1654" s="11"/>
      <c r="J1654" s="78"/>
      <c r="K1654" s="78"/>
      <c r="L1654" s="146">
        <f t="shared" si="77"/>
        <v>1800000</v>
      </c>
      <c r="M1654" s="73"/>
      <c r="N1654" s="73"/>
      <c r="O1654" s="73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14.25" customHeight="1" x14ac:dyDescent="0.35">
      <c r="A1655" s="9">
        <f t="shared" si="76"/>
        <v>1647</v>
      </c>
      <c r="B1655" s="15"/>
      <c r="C1655" s="11">
        <f t="shared" si="75"/>
        <v>1</v>
      </c>
      <c r="D1655" s="11"/>
      <c r="E1655" s="11"/>
      <c r="F1655" s="11"/>
      <c r="G1655" s="89">
        <f>IFERROR(VLOOKUP(F1655,COA!$A$1:$K$26,2,FALSE),0)</f>
        <v>0</v>
      </c>
      <c r="H1655" s="11"/>
      <c r="I1655" s="11"/>
      <c r="J1655" s="78"/>
      <c r="K1655" s="78"/>
      <c r="L1655" s="146">
        <f t="shared" si="77"/>
        <v>1800000</v>
      </c>
      <c r="M1655" s="73"/>
      <c r="N1655" s="73"/>
      <c r="O1655" s="73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14.25" customHeight="1" x14ac:dyDescent="0.35">
      <c r="A1656" s="9">
        <f t="shared" si="76"/>
        <v>1648</v>
      </c>
      <c r="B1656" s="15"/>
      <c r="C1656" s="11">
        <f t="shared" si="75"/>
        <v>1</v>
      </c>
      <c r="D1656" s="11"/>
      <c r="E1656" s="11"/>
      <c r="F1656" s="11"/>
      <c r="G1656" s="89">
        <f>IFERROR(VLOOKUP(F1656,COA!$A$1:$K$26,2,FALSE),0)</f>
        <v>0</v>
      </c>
      <c r="H1656" s="11"/>
      <c r="I1656" s="11"/>
      <c r="J1656" s="78"/>
      <c r="K1656" s="78"/>
      <c r="L1656" s="146">
        <f t="shared" si="77"/>
        <v>1800000</v>
      </c>
      <c r="M1656" s="73"/>
      <c r="N1656" s="73"/>
      <c r="O1656" s="73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14.25" customHeight="1" x14ac:dyDescent="0.35">
      <c r="A1657" s="9">
        <f t="shared" si="76"/>
        <v>1649</v>
      </c>
      <c r="B1657" s="15"/>
      <c r="C1657" s="11">
        <f t="shared" si="75"/>
        <v>1</v>
      </c>
      <c r="D1657" s="11"/>
      <c r="E1657" s="11"/>
      <c r="F1657" s="11"/>
      <c r="G1657" s="89">
        <f>IFERROR(VLOOKUP(F1657,COA!$A$1:$K$26,2,FALSE),0)</f>
        <v>0</v>
      </c>
      <c r="H1657" s="11"/>
      <c r="I1657" s="11"/>
      <c r="J1657" s="78"/>
      <c r="K1657" s="78"/>
      <c r="L1657" s="146">
        <f t="shared" si="77"/>
        <v>1800000</v>
      </c>
      <c r="M1657" s="73"/>
      <c r="N1657" s="73"/>
      <c r="O1657" s="73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14.25" customHeight="1" x14ac:dyDescent="0.35">
      <c r="A1658" s="9">
        <f t="shared" si="76"/>
        <v>1650</v>
      </c>
      <c r="B1658" s="15"/>
      <c r="C1658" s="11">
        <f t="shared" si="75"/>
        <v>1</v>
      </c>
      <c r="D1658" s="11"/>
      <c r="E1658" s="11"/>
      <c r="F1658" s="11"/>
      <c r="G1658" s="89">
        <f>IFERROR(VLOOKUP(F1658,COA!$A$1:$K$26,2,FALSE),0)</f>
        <v>0</v>
      </c>
      <c r="H1658" s="11"/>
      <c r="I1658" s="11"/>
      <c r="J1658" s="78"/>
      <c r="K1658" s="78"/>
      <c r="L1658" s="146">
        <f t="shared" si="77"/>
        <v>1800000</v>
      </c>
      <c r="M1658" s="73"/>
      <c r="N1658" s="73"/>
      <c r="O1658" s="73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14.25" customHeight="1" x14ac:dyDescent="0.35">
      <c r="A1659" s="9">
        <f t="shared" si="76"/>
        <v>1651</v>
      </c>
      <c r="B1659" s="15"/>
      <c r="C1659" s="11">
        <f t="shared" si="75"/>
        <v>1</v>
      </c>
      <c r="D1659" s="11"/>
      <c r="E1659" s="11"/>
      <c r="F1659" s="11"/>
      <c r="G1659" s="89">
        <f>IFERROR(VLOOKUP(F1659,COA!$A$1:$K$26,2,FALSE),0)</f>
        <v>0</v>
      </c>
      <c r="H1659" s="11"/>
      <c r="I1659" s="11"/>
      <c r="J1659" s="78"/>
      <c r="K1659" s="78"/>
      <c r="L1659" s="146">
        <f t="shared" si="77"/>
        <v>1800000</v>
      </c>
      <c r="M1659" s="73"/>
      <c r="N1659" s="73"/>
      <c r="O1659" s="73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14.25" customHeight="1" x14ac:dyDescent="0.35">
      <c r="A1660" s="9">
        <f t="shared" si="76"/>
        <v>1652</v>
      </c>
      <c r="B1660" s="15"/>
      <c r="C1660" s="11">
        <f t="shared" si="75"/>
        <v>1</v>
      </c>
      <c r="D1660" s="11"/>
      <c r="E1660" s="11"/>
      <c r="F1660" s="11"/>
      <c r="G1660" s="89">
        <f>IFERROR(VLOOKUP(F1660,COA!$A$1:$K$26,2,FALSE),0)</f>
        <v>0</v>
      </c>
      <c r="H1660" s="11"/>
      <c r="I1660" s="11"/>
      <c r="J1660" s="78"/>
      <c r="K1660" s="78"/>
      <c r="L1660" s="146">
        <f t="shared" si="77"/>
        <v>1800000</v>
      </c>
      <c r="M1660" s="73"/>
      <c r="N1660" s="73"/>
      <c r="O1660" s="73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14.25" customHeight="1" x14ac:dyDescent="0.35">
      <c r="A1661" s="9">
        <f t="shared" si="76"/>
        <v>1653</v>
      </c>
      <c r="B1661" s="15"/>
      <c r="C1661" s="11">
        <f t="shared" si="75"/>
        <v>1</v>
      </c>
      <c r="D1661" s="11"/>
      <c r="E1661" s="11"/>
      <c r="F1661" s="11"/>
      <c r="G1661" s="89">
        <f>IFERROR(VLOOKUP(F1661,COA!$A$1:$K$26,2,FALSE),0)</f>
        <v>0</v>
      </c>
      <c r="H1661" s="11"/>
      <c r="I1661" s="11"/>
      <c r="J1661" s="78"/>
      <c r="K1661" s="78"/>
      <c r="L1661" s="146">
        <f t="shared" si="77"/>
        <v>1800000</v>
      </c>
      <c r="M1661" s="73"/>
      <c r="N1661" s="73"/>
      <c r="O1661" s="73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14.25" customHeight="1" x14ac:dyDescent="0.35">
      <c r="A1662" s="9">
        <f t="shared" si="76"/>
        <v>1654</v>
      </c>
      <c r="B1662" s="15"/>
      <c r="C1662" s="11">
        <f t="shared" si="75"/>
        <v>1</v>
      </c>
      <c r="D1662" s="11"/>
      <c r="E1662" s="11"/>
      <c r="F1662" s="11"/>
      <c r="G1662" s="89">
        <f>IFERROR(VLOOKUP(F1662,COA!$A$1:$K$26,2,FALSE),0)</f>
        <v>0</v>
      </c>
      <c r="H1662" s="11"/>
      <c r="I1662" s="11"/>
      <c r="J1662" s="78"/>
      <c r="K1662" s="78"/>
      <c r="L1662" s="146">
        <f t="shared" si="77"/>
        <v>1800000</v>
      </c>
      <c r="M1662" s="73"/>
      <c r="N1662" s="73"/>
      <c r="O1662" s="73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14.25" customHeight="1" x14ac:dyDescent="0.35">
      <c r="A1663" s="9">
        <f t="shared" si="76"/>
        <v>1655</v>
      </c>
      <c r="B1663" s="15"/>
      <c r="C1663" s="11">
        <f t="shared" si="75"/>
        <v>1</v>
      </c>
      <c r="D1663" s="11"/>
      <c r="E1663" s="11"/>
      <c r="F1663" s="11"/>
      <c r="G1663" s="89">
        <f>IFERROR(VLOOKUP(F1663,COA!$A$1:$K$26,2,FALSE),0)</f>
        <v>0</v>
      </c>
      <c r="H1663" s="11"/>
      <c r="I1663" s="11"/>
      <c r="J1663" s="78"/>
      <c r="K1663" s="78"/>
      <c r="L1663" s="146">
        <f t="shared" si="77"/>
        <v>1800000</v>
      </c>
      <c r="M1663" s="73"/>
      <c r="N1663" s="73"/>
      <c r="O1663" s="73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14.25" customHeight="1" x14ac:dyDescent="0.35">
      <c r="A1664" s="9">
        <f t="shared" si="76"/>
        <v>1656</v>
      </c>
      <c r="B1664" s="15"/>
      <c r="C1664" s="11">
        <f t="shared" si="75"/>
        <v>1</v>
      </c>
      <c r="D1664" s="11"/>
      <c r="E1664" s="11"/>
      <c r="F1664" s="11"/>
      <c r="G1664" s="89">
        <f>IFERROR(VLOOKUP(F1664,COA!$A$1:$K$26,2,FALSE),0)</f>
        <v>0</v>
      </c>
      <c r="H1664" s="11"/>
      <c r="I1664" s="11"/>
      <c r="J1664" s="78"/>
      <c r="K1664" s="78"/>
      <c r="L1664" s="146">
        <f t="shared" si="77"/>
        <v>1800000</v>
      </c>
      <c r="M1664" s="73"/>
      <c r="N1664" s="73"/>
      <c r="O1664" s="73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14.25" customHeight="1" x14ac:dyDescent="0.35">
      <c r="A1665" s="9">
        <f t="shared" si="76"/>
        <v>1657</v>
      </c>
      <c r="B1665" s="15"/>
      <c r="C1665" s="11">
        <f t="shared" si="75"/>
        <v>1</v>
      </c>
      <c r="D1665" s="11"/>
      <c r="E1665" s="11"/>
      <c r="F1665" s="11"/>
      <c r="G1665" s="89">
        <f>IFERROR(VLOOKUP(F1665,COA!$A$1:$K$26,2,FALSE),0)</f>
        <v>0</v>
      </c>
      <c r="H1665" s="11"/>
      <c r="I1665" s="11"/>
      <c r="J1665" s="78"/>
      <c r="K1665" s="78"/>
      <c r="L1665" s="146">
        <f t="shared" si="77"/>
        <v>1800000</v>
      </c>
      <c r="M1665" s="73"/>
      <c r="N1665" s="73"/>
      <c r="O1665" s="73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14.25" customHeight="1" x14ac:dyDescent="0.35">
      <c r="A1666" s="9">
        <f t="shared" si="76"/>
        <v>1658</v>
      </c>
      <c r="B1666" s="15"/>
      <c r="C1666" s="11">
        <f t="shared" si="75"/>
        <v>1</v>
      </c>
      <c r="D1666" s="11"/>
      <c r="E1666" s="11"/>
      <c r="F1666" s="11"/>
      <c r="G1666" s="89">
        <f>IFERROR(VLOOKUP(F1666,COA!$A$1:$K$26,2,FALSE),0)</f>
        <v>0</v>
      </c>
      <c r="H1666" s="11"/>
      <c r="I1666" s="11"/>
      <c r="J1666" s="78"/>
      <c r="K1666" s="78"/>
      <c r="L1666" s="146">
        <f t="shared" si="77"/>
        <v>1800000</v>
      </c>
      <c r="M1666" s="73"/>
      <c r="N1666" s="73"/>
      <c r="O1666" s="73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14.25" customHeight="1" x14ac:dyDescent="0.35">
      <c r="A1667" s="9">
        <f t="shared" si="76"/>
        <v>1659</v>
      </c>
      <c r="B1667" s="15"/>
      <c r="C1667" s="11">
        <f t="shared" si="75"/>
        <v>1</v>
      </c>
      <c r="D1667" s="11"/>
      <c r="E1667" s="11"/>
      <c r="F1667" s="11"/>
      <c r="G1667" s="89">
        <f>IFERROR(VLOOKUP(F1667,COA!$A$1:$K$26,2,FALSE),0)</f>
        <v>0</v>
      </c>
      <c r="H1667" s="11"/>
      <c r="I1667" s="11"/>
      <c r="J1667" s="78"/>
      <c r="K1667" s="78"/>
      <c r="L1667" s="146">
        <f t="shared" si="77"/>
        <v>1800000</v>
      </c>
      <c r="M1667" s="73"/>
      <c r="N1667" s="73"/>
      <c r="O1667" s="73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14.25" customHeight="1" x14ac:dyDescent="0.35">
      <c r="A1668" s="9">
        <f t="shared" si="76"/>
        <v>1660</v>
      </c>
      <c r="B1668" s="15"/>
      <c r="C1668" s="11">
        <f t="shared" si="75"/>
        <v>1</v>
      </c>
      <c r="D1668" s="11"/>
      <c r="E1668" s="11"/>
      <c r="F1668" s="11"/>
      <c r="G1668" s="89">
        <f>IFERROR(VLOOKUP(F1668,COA!$A$1:$K$26,2,FALSE),0)</f>
        <v>0</v>
      </c>
      <c r="H1668" s="11"/>
      <c r="I1668" s="11"/>
      <c r="J1668" s="78"/>
      <c r="K1668" s="78"/>
      <c r="L1668" s="146">
        <f t="shared" si="77"/>
        <v>1800000</v>
      </c>
      <c r="M1668" s="73"/>
      <c r="N1668" s="73"/>
      <c r="O1668" s="73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14.25" customHeight="1" x14ac:dyDescent="0.35">
      <c r="A1669" s="9">
        <f t="shared" si="76"/>
        <v>1661</v>
      </c>
      <c r="B1669" s="15"/>
      <c r="C1669" s="11">
        <f t="shared" si="75"/>
        <v>1</v>
      </c>
      <c r="D1669" s="11"/>
      <c r="E1669" s="11"/>
      <c r="F1669" s="11"/>
      <c r="G1669" s="89">
        <f>IFERROR(VLOOKUP(F1669,COA!$A$1:$K$26,2,FALSE),0)</f>
        <v>0</v>
      </c>
      <c r="H1669" s="11"/>
      <c r="I1669" s="11"/>
      <c r="J1669" s="78"/>
      <c r="K1669" s="78"/>
      <c r="L1669" s="146">
        <f t="shared" si="77"/>
        <v>1800000</v>
      </c>
      <c r="M1669" s="73"/>
      <c r="N1669" s="73"/>
      <c r="O1669" s="73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14.25" customHeight="1" x14ac:dyDescent="0.35">
      <c r="A1670" s="9">
        <f t="shared" si="76"/>
        <v>1662</v>
      </c>
      <c r="B1670" s="15"/>
      <c r="C1670" s="11">
        <f t="shared" si="75"/>
        <v>1</v>
      </c>
      <c r="D1670" s="11"/>
      <c r="E1670" s="11"/>
      <c r="F1670" s="11"/>
      <c r="G1670" s="89">
        <f>IFERROR(VLOOKUP(F1670,COA!$A$1:$K$26,2,FALSE),0)</f>
        <v>0</v>
      </c>
      <c r="H1670" s="11"/>
      <c r="I1670" s="11"/>
      <c r="J1670" s="78"/>
      <c r="K1670" s="78"/>
      <c r="L1670" s="146">
        <f t="shared" si="77"/>
        <v>1800000</v>
      </c>
      <c r="M1670" s="73"/>
      <c r="N1670" s="73"/>
      <c r="O1670" s="73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14.25" customHeight="1" x14ac:dyDescent="0.35">
      <c r="A1671" s="9">
        <f t="shared" si="76"/>
        <v>1663</v>
      </c>
      <c r="B1671" s="15"/>
      <c r="C1671" s="11">
        <f t="shared" si="75"/>
        <v>1</v>
      </c>
      <c r="D1671" s="11"/>
      <c r="E1671" s="11"/>
      <c r="F1671" s="11"/>
      <c r="G1671" s="89">
        <f>IFERROR(VLOOKUP(F1671,COA!$A$1:$K$26,2,FALSE),0)</f>
        <v>0</v>
      </c>
      <c r="H1671" s="11"/>
      <c r="I1671" s="11"/>
      <c r="J1671" s="78"/>
      <c r="K1671" s="78"/>
      <c r="L1671" s="146">
        <f t="shared" si="77"/>
        <v>1800000</v>
      </c>
      <c r="M1671" s="73"/>
      <c r="N1671" s="73"/>
      <c r="O1671" s="73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14.25" customHeight="1" x14ac:dyDescent="0.35">
      <c r="A1672" s="9">
        <f t="shared" si="76"/>
        <v>1664</v>
      </c>
      <c r="B1672" s="15"/>
      <c r="C1672" s="11">
        <f t="shared" ref="C1672:C1735" si="78">MONTH(B1672)</f>
        <v>1</v>
      </c>
      <c r="D1672" s="11"/>
      <c r="E1672" s="11"/>
      <c r="F1672" s="11"/>
      <c r="G1672" s="89">
        <f>IFERROR(VLOOKUP(F1672,COA!$A$1:$K$26,2,FALSE),0)</f>
        <v>0</v>
      </c>
      <c r="H1672" s="11"/>
      <c r="I1672" s="11"/>
      <c r="J1672" s="78"/>
      <c r="K1672" s="78"/>
      <c r="L1672" s="146">
        <f t="shared" si="77"/>
        <v>1800000</v>
      </c>
      <c r="M1672" s="73"/>
      <c r="N1672" s="73"/>
      <c r="O1672" s="73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14.25" customHeight="1" x14ac:dyDescent="0.35">
      <c r="A1673" s="9">
        <f t="shared" si="76"/>
        <v>1665</v>
      </c>
      <c r="B1673" s="15"/>
      <c r="C1673" s="11">
        <f t="shared" si="78"/>
        <v>1</v>
      </c>
      <c r="D1673" s="11"/>
      <c r="E1673" s="11"/>
      <c r="F1673" s="11"/>
      <c r="G1673" s="89">
        <f>IFERROR(VLOOKUP(F1673,COA!$A$1:$K$26,2,FALSE),0)</f>
        <v>0</v>
      </c>
      <c r="H1673" s="11"/>
      <c r="I1673" s="11"/>
      <c r="J1673" s="78"/>
      <c r="K1673" s="78"/>
      <c r="L1673" s="146">
        <f t="shared" si="77"/>
        <v>1800000</v>
      </c>
      <c r="M1673" s="73"/>
      <c r="N1673" s="73"/>
      <c r="O1673" s="73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14.25" customHeight="1" x14ac:dyDescent="0.35">
      <c r="A1674" s="9">
        <f t="shared" si="76"/>
        <v>1666</v>
      </c>
      <c r="B1674" s="15"/>
      <c r="C1674" s="11">
        <f t="shared" si="78"/>
        <v>1</v>
      </c>
      <c r="D1674" s="11"/>
      <c r="E1674" s="11"/>
      <c r="F1674" s="11"/>
      <c r="G1674" s="89">
        <f>IFERROR(VLOOKUP(F1674,COA!$A$1:$K$26,2,FALSE),0)</f>
        <v>0</v>
      </c>
      <c r="H1674" s="11"/>
      <c r="I1674" s="11"/>
      <c r="J1674" s="78"/>
      <c r="K1674" s="78"/>
      <c r="L1674" s="146">
        <f t="shared" si="77"/>
        <v>1800000</v>
      </c>
      <c r="M1674" s="73"/>
      <c r="N1674" s="73"/>
      <c r="O1674" s="73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14.25" customHeight="1" x14ac:dyDescent="0.35">
      <c r="A1675" s="9">
        <f t="shared" ref="A1675:A1738" si="79">A1674+1</f>
        <v>1667</v>
      </c>
      <c r="B1675" s="15"/>
      <c r="C1675" s="11">
        <f t="shared" si="78"/>
        <v>1</v>
      </c>
      <c r="D1675" s="11"/>
      <c r="E1675" s="11"/>
      <c r="F1675" s="11"/>
      <c r="G1675" s="89">
        <f>IFERROR(VLOOKUP(F1675,COA!$A$1:$K$26,2,FALSE),0)</f>
        <v>0</v>
      </c>
      <c r="H1675" s="11"/>
      <c r="I1675" s="11"/>
      <c r="J1675" s="78"/>
      <c r="K1675" s="78"/>
      <c r="L1675" s="146">
        <f t="shared" ref="L1675:L1738" si="80">L1674+J1675-K1675</f>
        <v>1800000</v>
      </c>
      <c r="M1675" s="73"/>
      <c r="N1675" s="73"/>
      <c r="O1675" s="73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14.25" customHeight="1" x14ac:dyDescent="0.35">
      <c r="A1676" s="9">
        <f t="shared" si="79"/>
        <v>1668</v>
      </c>
      <c r="B1676" s="15"/>
      <c r="C1676" s="11">
        <f t="shared" si="78"/>
        <v>1</v>
      </c>
      <c r="D1676" s="11"/>
      <c r="E1676" s="11"/>
      <c r="F1676" s="11"/>
      <c r="G1676" s="89">
        <f>IFERROR(VLOOKUP(F1676,COA!$A$1:$K$26,2,FALSE),0)</f>
        <v>0</v>
      </c>
      <c r="H1676" s="11"/>
      <c r="I1676" s="11"/>
      <c r="J1676" s="78"/>
      <c r="K1676" s="78"/>
      <c r="L1676" s="146">
        <f t="shared" si="80"/>
        <v>1800000</v>
      </c>
      <c r="M1676" s="73"/>
      <c r="N1676" s="73"/>
      <c r="O1676" s="73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14.25" customHeight="1" x14ac:dyDescent="0.35">
      <c r="A1677" s="9">
        <f t="shared" si="79"/>
        <v>1669</v>
      </c>
      <c r="B1677" s="15"/>
      <c r="C1677" s="11">
        <f t="shared" si="78"/>
        <v>1</v>
      </c>
      <c r="D1677" s="11"/>
      <c r="E1677" s="11"/>
      <c r="F1677" s="11"/>
      <c r="G1677" s="89">
        <f>IFERROR(VLOOKUP(F1677,COA!$A$1:$K$26,2,FALSE),0)</f>
        <v>0</v>
      </c>
      <c r="H1677" s="11"/>
      <c r="I1677" s="11"/>
      <c r="J1677" s="78"/>
      <c r="K1677" s="78"/>
      <c r="L1677" s="146">
        <f t="shared" si="80"/>
        <v>1800000</v>
      </c>
      <c r="M1677" s="73"/>
      <c r="N1677" s="73"/>
      <c r="O1677" s="73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14.25" customHeight="1" x14ac:dyDescent="0.35">
      <c r="A1678" s="9">
        <f t="shared" si="79"/>
        <v>1670</v>
      </c>
      <c r="B1678" s="15"/>
      <c r="C1678" s="11">
        <f t="shared" si="78"/>
        <v>1</v>
      </c>
      <c r="D1678" s="11"/>
      <c r="E1678" s="11"/>
      <c r="F1678" s="11"/>
      <c r="G1678" s="89">
        <f>IFERROR(VLOOKUP(F1678,COA!$A$1:$K$26,2,FALSE),0)</f>
        <v>0</v>
      </c>
      <c r="H1678" s="11"/>
      <c r="I1678" s="11"/>
      <c r="J1678" s="78"/>
      <c r="K1678" s="78"/>
      <c r="L1678" s="146">
        <f t="shared" si="80"/>
        <v>1800000</v>
      </c>
      <c r="M1678" s="73"/>
      <c r="N1678" s="73"/>
      <c r="O1678" s="73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14.25" customHeight="1" x14ac:dyDescent="0.35">
      <c r="A1679" s="9">
        <f t="shared" si="79"/>
        <v>1671</v>
      </c>
      <c r="B1679" s="15"/>
      <c r="C1679" s="11">
        <f t="shared" si="78"/>
        <v>1</v>
      </c>
      <c r="D1679" s="11"/>
      <c r="E1679" s="11"/>
      <c r="F1679" s="11"/>
      <c r="G1679" s="89">
        <f>IFERROR(VLOOKUP(F1679,COA!$A$1:$K$26,2,FALSE),0)</f>
        <v>0</v>
      </c>
      <c r="H1679" s="11"/>
      <c r="I1679" s="11"/>
      <c r="J1679" s="78"/>
      <c r="K1679" s="78"/>
      <c r="L1679" s="146">
        <f t="shared" si="80"/>
        <v>1800000</v>
      </c>
      <c r="M1679" s="73"/>
      <c r="N1679" s="73"/>
      <c r="O1679" s="73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14.25" customHeight="1" x14ac:dyDescent="0.35">
      <c r="A1680" s="9">
        <f t="shared" si="79"/>
        <v>1672</v>
      </c>
      <c r="B1680" s="15"/>
      <c r="C1680" s="11">
        <f t="shared" si="78"/>
        <v>1</v>
      </c>
      <c r="D1680" s="11"/>
      <c r="E1680" s="11"/>
      <c r="F1680" s="11"/>
      <c r="G1680" s="89">
        <f>IFERROR(VLOOKUP(F1680,COA!$A$1:$K$26,2,FALSE),0)</f>
        <v>0</v>
      </c>
      <c r="H1680" s="11"/>
      <c r="I1680" s="11"/>
      <c r="J1680" s="78"/>
      <c r="K1680" s="78"/>
      <c r="L1680" s="146">
        <f t="shared" si="80"/>
        <v>1800000</v>
      </c>
      <c r="M1680" s="73"/>
      <c r="N1680" s="73"/>
      <c r="O1680" s="73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14.25" customHeight="1" x14ac:dyDescent="0.35">
      <c r="A1681" s="9">
        <f t="shared" si="79"/>
        <v>1673</v>
      </c>
      <c r="B1681" s="15"/>
      <c r="C1681" s="11">
        <f t="shared" si="78"/>
        <v>1</v>
      </c>
      <c r="D1681" s="11"/>
      <c r="E1681" s="11"/>
      <c r="F1681" s="11"/>
      <c r="G1681" s="89">
        <f>IFERROR(VLOOKUP(F1681,COA!$A$1:$K$26,2,FALSE),0)</f>
        <v>0</v>
      </c>
      <c r="H1681" s="11"/>
      <c r="I1681" s="11"/>
      <c r="J1681" s="78"/>
      <c r="K1681" s="78"/>
      <c r="L1681" s="146">
        <f t="shared" si="80"/>
        <v>1800000</v>
      </c>
      <c r="M1681" s="73"/>
      <c r="N1681" s="73"/>
      <c r="O1681" s="73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14.25" customHeight="1" x14ac:dyDescent="0.35">
      <c r="A1682" s="9">
        <f t="shared" si="79"/>
        <v>1674</v>
      </c>
      <c r="B1682" s="15"/>
      <c r="C1682" s="11">
        <f t="shared" si="78"/>
        <v>1</v>
      </c>
      <c r="D1682" s="11"/>
      <c r="E1682" s="11"/>
      <c r="F1682" s="11"/>
      <c r="G1682" s="89">
        <f>IFERROR(VLOOKUP(F1682,COA!$A$1:$K$26,2,FALSE),0)</f>
        <v>0</v>
      </c>
      <c r="H1682" s="11"/>
      <c r="I1682" s="11"/>
      <c r="J1682" s="78"/>
      <c r="K1682" s="78"/>
      <c r="L1682" s="146">
        <f t="shared" si="80"/>
        <v>1800000</v>
      </c>
      <c r="M1682" s="73"/>
      <c r="N1682" s="73"/>
      <c r="O1682" s="73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14.25" customHeight="1" x14ac:dyDescent="0.35">
      <c r="A1683" s="9">
        <f t="shared" si="79"/>
        <v>1675</v>
      </c>
      <c r="B1683" s="15"/>
      <c r="C1683" s="11">
        <f t="shared" si="78"/>
        <v>1</v>
      </c>
      <c r="D1683" s="11"/>
      <c r="E1683" s="11"/>
      <c r="F1683" s="11"/>
      <c r="G1683" s="89">
        <f>IFERROR(VLOOKUP(F1683,COA!$A$1:$K$26,2,FALSE),0)</f>
        <v>0</v>
      </c>
      <c r="H1683" s="11"/>
      <c r="I1683" s="11"/>
      <c r="J1683" s="78"/>
      <c r="K1683" s="78"/>
      <c r="L1683" s="146">
        <f t="shared" si="80"/>
        <v>1800000</v>
      </c>
      <c r="M1683" s="73"/>
      <c r="N1683" s="73"/>
      <c r="O1683" s="73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14.25" customHeight="1" x14ac:dyDescent="0.35">
      <c r="A1684" s="9">
        <f t="shared" si="79"/>
        <v>1676</v>
      </c>
      <c r="B1684" s="15"/>
      <c r="C1684" s="11">
        <f t="shared" si="78"/>
        <v>1</v>
      </c>
      <c r="D1684" s="11"/>
      <c r="E1684" s="11"/>
      <c r="F1684" s="11"/>
      <c r="G1684" s="89">
        <f>IFERROR(VLOOKUP(F1684,COA!$A$1:$K$26,2,FALSE),0)</f>
        <v>0</v>
      </c>
      <c r="H1684" s="11"/>
      <c r="I1684" s="11"/>
      <c r="J1684" s="78"/>
      <c r="K1684" s="78"/>
      <c r="L1684" s="146">
        <f t="shared" si="80"/>
        <v>1800000</v>
      </c>
      <c r="M1684" s="73"/>
      <c r="N1684" s="73"/>
      <c r="O1684" s="73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14.25" customHeight="1" x14ac:dyDescent="0.35">
      <c r="A1685" s="9">
        <f t="shared" si="79"/>
        <v>1677</v>
      </c>
      <c r="B1685" s="15"/>
      <c r="C1685" s="11">
        <f t="shared" si="78"/>
        <v>1</v>
      </c>
      <c r="D1685" s="11"/>
      <c r="E1685" s="11"/>
      <c r="F1685" s="11"/>
      <c r="G1685" s="89">
        <f>IFERROR(VLOOKUP(F1685,COA!$A$1:$K$26,2,FALSE),0)</f>
        <v>0</v>
      </c>
      <c r="H1685" s="11"/>
      <c r="I1685" s="11"/>
      <c r="J1685" s="78"/>
      <c r="K1685" s="78"/>
      <c r="L1685" s="146">
        <f t="shared" si="80"/>
        <v>1800000</v>
      </c>
      <c r="M1685" s="73"/>
      <c r="N1685" s="73"/>
      <c r="O1685" s="73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14.25" customHeight="1" x14ac:dyDescent="0.35">
      <c r="A1686" s="9">
        <f t="shared" si="79"/>
        <v>1678</v>
      </c>
      <c r="B1686" s="15"/>
      <c r="C1686" s="11">
        <f t="shared" si="78"/>
        <v>1</v>
      </c>
      <c r="D1686" s="11"/>
      <c r="E1686" s="11"/>
      <c r="F1686" s="11"/>
      <c r="G1686" s="89">
        <f>IFERROR(VLOOKUP(F1686,COA!$A$1:$K$26,2,FALSE),0)</f>
        <v>0</v>
      </c>
      <c r="H1686" s="11"/>
      <c r="I1686" s="11"/>
      <c r="J1686" s="78"/>
      <c r="K1686" s="78"/>
      <c r="L1686" s="146">
        <f t="shared" si="80"/>
        <v>1800000</v>
      </c>
      <c r="M1686" s="73"/>
      <c r="N1686" s="73"/>
      <c r="O1686" s="73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14.25" customHeight="1" x14ac:dyDescent="0.35">
      <c r="A1687" s="9">
        <f t="shared" si="79"/>
        <v>1679</v>
      </c>
      <c r="B1687" s="15"/>
      <c r="C1687" s="11">
        <f t="shared" si="78"/>
        <v>1</v>
      </c>
      <c r="D1687" s="11"/>
      <c r="E1687" s="11"/>
      <c r="F1687" s="11"/>
      <c r="G1687" s="89">
        <f>IFERROR(VLOOKUP(F1687,COA!$A$1:$K$26,2,FALSE),0)</f>
        <v>0</v>
      </c>
      <c r="H1687" s="11"/>
      <c r="I1687" s="11"/>
      <c r="J1687" s="78"/>
      <c r="K1687" s="78"/>
      <c r="L1687" s="146">
        <f t="shared" si="80"/>
        <v>1800000</v>
      </c>
      <c r="M1687" s="73"/>
      <c r="N1687" s="73"/>
      <c r="O1687" s="73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14.25" customHeight="1" x14ac:dyDescent="0.35">
      <c r="A1688" s="9">
        <f t="shared" si="79"/>
        <v>1680</v>
      </c>
      <c r="B1688" s="15"/>
      <c r="C1688" s="11">
        <f t="shared" si="78"/>
        <v>1</v>
      </c>
      <c r="D1688" s="11"/>
      <c r="E1688" s="11"/>
      <c r="F1688" s="11"/>
      <c r="G1688" s="89">
        <f>IFERROR(VLOOKUP(F1688,COA!$A$1:$K$26,2,FALSE),0)</f>
        <v>0</v>
      </c>
      <c r="H1688" s="11"/>
      <c r="I1688" s="11"/>
      <c r="J1688" s="78"/>
      <c r="K1688" s="78"/>
      <c r="L1688" s="146">
        <f t="shared" si="80"/>
        <v>1800000</v>
      </c>
      <c r="M1688" s="73"/>
      <c r="N1688" s="73"/>
      <c r="O1688" s="73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14.25" customHeight="1" x14ac:dyDescent="0.35">
      <c r="A1689" s="9">
        <f t="shared" si="79"/>
        <v>1681</v>
      </c>
      <c r="B1689" s="15"/>
      <c r="C1689" s="11">
        <f t="shared" si="78"/>
        <v>1</v>
      </c>
      <c r="D1689" s="11"/>
      <c r="E1689" s="11"/>
      <c r="F1689" s="11"/>
      <c r="G1689" s="89">
        <f>IFERROR(VLOOKUP(F1689,COA!$A$1:$K$26,2,FALSE),0)</f>
        <v>0</v>
      </c>
      <c r="H1689" s="11"/>
      <c r="I1689" s="11"/>
      <c r="J1689" s="78"/>
      <c r="K1689" s="78"/>
      <c r="L1689" s="146">
        <f t="shared" si="80"/>
        <v>1800000</v>
      </c>
      <c r="M1689" s="73"/>
      <c r="N1689" s="73"/>
      <c r="O1689" s="73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14.25" customHeight="1" x14ac:dyDescent="0.35">
      <c r="A1690" s="9">
        <f t="shared" si="79"/>
        <v>1682</v>
      </c>
      <c r="B1690" s="15"/>
      <c r="C1690" s="11">
        <f t="shared" si="78"/>
        <v>1</v>
      </c>
      <c r="D1690" s="11"/>
      <c r="E1690" s="11"/>
      <c r="F1690" s="11"/>
      <c r="G1690" s="89">
        <f>IFERROR(VLOOKUP(F1690,COA!$A$1:$K$26,2,FALSE),0)</f>
        <v>0</v>
      </c>
      <c r="H1690" s="11"/>
      <c r="I1690" s="11"/>
      <c r="J1690" s="78"/>
      <c r="K1690" s="78"/>
      <c r="L1690" s="146">
        <f t="shared" si="80"/>
        <v>1800000</v>
      </c>
      <c r="M1690" s="73"/>
      <c r="N1690" s="73"/>
      <c r="O1690" s="73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14.25" customHeight="1" x14ac:dyDescent="0.35">
      <c r="A1691" s="9">
        <f t="shared" si="79"/>
        <v>1683</v>
      </c>
      <c r="B1691" s="15"/>
      <c r="C1691" s="11">
        <f t="shared" si="78"/>
        <v>1</v>
      </c>
      <c r="D1691" s="11"/>
      <c r="E1691" s="11"/>
      <c r="F1691" s="11"/>
      <c r="G1691" s="89">
        <f>IFERROR(VLOOKUP(F1691,COA!$A$1:$K$26,2,FALSE),0)</f>
        <v>0</v>
      </c>
      <c r="H1691" s="11"/>
      <c r="I1691" s="11"/>
      <c r="J1691" s="78"/>
      <c r="K1691" s="78"/>
      <c r="L1691" s="146">
        <f t="shared" si="80"/>
        <v>1800000</v>
      </c>
      <c r="M1691" s="73"/>
      <c r="N1691" s="73"/>
      <c r="O1691" s="73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14.25" customHeight="1" x14ac:dyDescent="0.35">
      <c r="A1692" s="9">
        <f t="shared" si="79"/>
        <v>1684</v>
      </c>
      <c r="B1692" s="15"/>
      <c r="C1692" s="11">
        <f t="shared" si="78"/>
        <v>1</v>
      </c>
      <c r="D1692" s="11"/>
      <c r="E1692" s="11"/>
      <c r="F1692" s="11"/>
      <c r="G1692" s="89">
        <f>IFERROR(VLOOKUP(F1692,COA!$A$1:$K$26,2,FALSE),0)</f>
        <v>0</v>
      </c>
      <c r="H1692" s="11"/>
      <c r="I1692" s="11"/>
      <c r="J1692" s="78"/>
      <c r="K1692" s="78"/>
      <c r="L1692" s="146">
        <f t="shared" si="80"/>
        <v>1800000</v>
      </c>
      <c r="M1692" s="73"/>
      <c r="N1692" s="73"/>
      <c r="O1692" s="73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14.25" customHeight="1" x14ac:dyDescent="0.35">
      <c r="A1693" s="9">
        <f t="shared" si="79"/>
        <v>1685</v>
      </c>
      <c r="B1693" s="15"/>
      <c r="C1693" s="11">
        <f t="shared" si="78"/>
        <v>1</v>
      </c>
      <c r="D1693" s="11"/>
      <c r="E1693" s="11"/>
      <c r="F1693" s="11"/>
      <c r="G1693" s="89">
        <f>IFERROR(VLOOKUP(F1693,COA!$A$1:$K$26,2,FALSE),0)</f>
        <v>0</v>
      </c>
      <c r="H1693" s="11"/>
      <c r="I1693" s="11"/>
      <c r="J1693" s="78"/>
      <c r="K1693" s="78"/>
      <c r="L1693" s="146">
        <f t="shared" si="80"/>
        <v>1800000</v>
      </c>
      <c r="M1693" s="73"/>
      <c r="N1693" s="73"/>
      <c r="O1693" s="73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14.25" customHeight="1" x14ac:dyDescent="0.35">
      <c r="A1694" s="9">
        <f t="shared" si="79"/>
        <v>1686</v>
      </c>
      <c r="B1694" s="15"/>
      <c r="C1694" s="11">
        <f t="shared" si="78"/>
        <v>1</v>
      </c>
      <c r="D1694" s="11"/>
      <c r="E1694" s="11"/>
      <c r="F1694" s="11"/>
      <c r="G1694" s="89">
        <f>IFERROR(VLOOKUP(F1694,COA!$A$1:$K$26,2,FALSE),0)</f>
        <v>0</v>
      </c>
      <c r="H1694" s="11"/>
      <c r="I1694" s="11"/>
      <c r="J1694" s="78"/>
      <c r="K1694" s="78"/>
      <c r="L1694" s="146">
        <f t="shared" si="80"/>
        <v>1800000</v>
      </c>
      <c r="M1694" s="73"/>
      <c r="N1694" s="73"/>
      <c r="O1694" s="73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14.25" customHeight="1" x14ac:dyDescent="0.35">
      <c r="A1695" s="9">
        <f t="shared" si="79"/>
        <v>1687</v>
      </c>
      <c r="B1695" s="15"/>
      <c r="C1695" s="11">
        <f t="shared" si="78"/>
        <v>1</v>
      </c>
      <c r="D1695" s="11"/>
      <c r="E1695" s="11"/>
      <c r="F1695" s="11"/>
      <c r="G1695" s="89">
        <f>IFERROR(VLOOKUP(F1695,COA!$A$1:$K$26,2,FALSE),0)</f>
        <v>0</v>
      </c>
      <c r="H1695" s="11"/>
      <c r="I1695" s="11"/>
      <c r="J1695" s="78"/>
      <c r="K1695" s="78"/>
      <c r="L1695" s="146">
        <f t="shared" si="80"/>
        <v>1800000</v>
      </c>
      <c r="M1695" s="73"/>
      <c r="N1695" s="73"/>
      <c r="O1695" s="73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14.25" customHeight="1" x14ac:dyDescent="0.35">
      <c r="A1696" s="9">
        <f t="shared" si="79"/>
        <v>1688</v>
      </c>
      <c r="B1696" s="15"/>
      <c r="C1696" s="11">
        <f t="shared" si="78"/>
        <v>1</v>
      </c>
      <c r="D1696" s="11"/>
      <c r="E1696" s="11"/>
      <c r="F1696" s="11"/>
      <c r="G1696" s="89">
        <f>IFERROR(VLOOKUP(F1696,COA!$A$1:$K$26,2,FALSE),0)</f>
        <v>0</v>
      </c>
      <c r="H1696" s="11"/>
      <c r="I1696" s="11"/>
      <c r="J1696" s="78"/>
      <c r="K1696" s="78"/>
      <c r="L1696" s="146">
        <f t="shared" si="80"/>
        <v>1800000</v>
      </c>
      <c r="M1696" s="73"/>
      <c r="N1696" s="73"/>
      <c r="O1696" s="73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14.25" customHeight="1" x14ac:dyDescent="0.35">
      <c r="A1697" s="9">
        <f t="shared" si="79"/>
        <v>1689</v>
      </c>
      <c r="B1697" s="15"/>
      <c r="C1697" s="11">
        <f t="shared" si="78"/>
        <v>1</v>
      </c>
      <c r="D1697" s="11"/>
      <c r="E1697" s="11"/>
      <c r="F1697" s="11"/>
      <c r="G1697" s="89">
        <f>IFERROR(VLOOKUP(F1697,COA!$A$1:$K$26,2,FALSE),0)</f>
        <v>0</v>
      </c>
      <c r="H1697" s="11"/>
      <c r="I1697" s="11"/>
      <c r="J1697" s="78"/>
      <c r="K1697" s="78"/>
      <c r="L1697" s="146">
        <f t="shared" si="80"/>
        <v>1800000</v>
      </c>
      <c r="M1697" s="73"/>
      <c r="N1697" s="73"/>
      <c r="O1697" s="73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14.25" customHeight="1" x14ac:dyDescent="0.35">
      <c r="A1698" s="9">
        <f t="shared" si="79"/>
        <v>1690</v>
      </c>
      <c r="B1698" s="15"/>
      <c r="C1698" s="11">
        <f t="shared" si="78"/>
        <v>1</v>
      </c>
      <c r="D1698" s="11"/>
      <c r="E1698" s="11"/>
      <c r="F1698" s="11"/>
      <c r="G1698" s="89">
        <f>IFERROR(VLOOKUP(F1698,COA!$A$1:$K$26,2,FALSE),0)</f>
        <v>0</v>
      </c>
      <c r="H1698" s="11"/>
      <c r="I1698" s="11"/>
      <c r="J1698" s="78"/>
      <c r="K1698" s="78"/>
      <c r="L1698" s="146">
        <f t="shared" si="80"/>
        <v>1800000</v>
      </c>
      <c r="M1698" s="73"/>
      <c r="N1698" s="73"/>
      <c r="O1698" s="73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14.25" customHeight="1" x14ac:dyDescent="0.35">
      <c r="A1699" s="9">
        <f t="shared" si="79"/>
        <v>1691</v>
      </c>
      <c r="B1699" s="15"/>
      <c r="C1699" s="11">
        <f t="shared" si="78"/>
        <v>1</v>
      </c>
      <c r="D1699" s="11"/>
      <c r="E1699" s="11"/>
      <c r="F1699" s="11"/>
      <c r="G1699" s="89">
        <f>IFERROR(VLOOKUP(F1699,COA!$A$1:$K$26,2,FALSE),0)</f>
        <v>0</v>
      </c>
      <c r="H1699" s="11"/>
      <c r="I1699" s="11"/>
      <c r="J1699" s="78"/>
      <c r="K1699" s="78"/>
      <c r="L1699" s="146">
        <f t="shared" si="80"/>
        <v>1800000</v>
      </c>
      <c r="M1699" s="73"/>
      <c r="N1699" s="73"/>
      <c r="O1699" s="73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14.25" customHeight="1" x14ac:dyDescent="0.35">
      <c r="A1700" s="9">
        <f t="shared" si="79"/>
        <v>1692</v>
      </c>
      <c r="B1700" s="15"/>
      <c r="C1700" s="11">
        <f t="shared" si="78"/>
        <v>1</v>
      </c>
      <c r="D1700" s="11"/>
      <c r="E1700" s="11"/>
      <c r="F1700" s="11"/>
      <c r="G1700" s="89">
        <f>IFERROR(VLOOKUP(F1700,COA!$A$1:$K$26,2,FALSE),0)</f>
        <v>0</v>
      </c>
      <c r="H1700" s="11"/>
      <c r="I1700" s="11"/>
      <c r="J1700" s="78"/>
      <c r="K1700" s="78"/>
      <c r="L1700" s="146">
        <f t="shared" si="80"/>
        <v>1800000</v>
      </c>
      <c r="M1700" s="73"/>
      <c r="N1700" s="73"/>
      <c r="O1700" s="73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14.25" customHeight="1" x14ac:dyDescent="0.35">
      <c r="A1701" s="9">
        <f t="shared" si="79"/>
        <v>1693</v>
      </c>
      <c r="B1701" s="15"/>
      <c r="C1701" s="11">
        <f t="shared" si="78"/>
        <v>1</v>
      </c>
      <c r="D1701" s="11"/>
      <c r="E1701" s="11"/>
      <c r="F1701" s="11"/>
      <c r="G1701" s="89">
        <f>IFERROR(VLOOKUP(F1701,COA!$A$1:$K$26,2,FALSE),0)</f>
        <v>0</v>
      </c>
      <c r="H1701" s="11"/>
      <c r="I1701" s="11"/>
      <c r="J1701" s="78"/>
      <c r="K1701" s="78"/>
      <c r="L1701" s="146">
        <f t="shared" si="80"/>
        <v>1800000</v>
      </c>
      <c r="M1701" s="73"/>
      <c r="N1701" s="73"/>
      <c r="O1701" s="73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14.25" customHeight="1" x14ac:dyDescent="0.35">
      <c r="A1702" s="9">
        <f t="shared" si="79"/>
        <v>1694</v>
      </c>
      <c r="B1702" s="15"/>
      <c r="C1702" s="11">
        <f t="shared" si="78"/>
        <v>1</v>
      </c>
      <c r="D1702" s="11"/>
      <c r="E1702" s="11"/>
      <c r="F1702" s="11"/>
      <c r="G1702" s="89">
        <f>IFERROR(VLOOKUP(F1702,COA!$A$1:$K$26,2,FALSE),0)</f>
        <v>0</v>
      </c>
      <c r="H1702" s="11"/>
      <c r="I1702" s="11"/>
      <c r="J1702" s="78"/>
      <c r="K1702" s="78"/>
      <c r="L1702" s="146">
        <f t="shared" si="80"/>
        <v>1800000</v>
      </c>
      <c r="M1702" s="73"/>
      <c r="N1702" s="73"/>
      <c r="O1702" s="73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14.25" customHeight="1" x14ac:dyDescent="0.35">
      <c r="A1703" s="9">
        <f t="shared" si="79"/>
        <v>1695</v>
      </c>
      <c r="B1703" s="15"/>
      <c r="C1703" s="11">
        <f t="shared" si="78"/>
        <v>1</v>
      </c>
      <c r="D1703" s="11"/>
      <c r="E1703" s="11"/>
      <c r="F1703" s="11"/>
      <c r="G1703" s="89">
        <f>IFERROR(VLOOKUP(F1703,COA!$A$1:$K$26,2,FALSE),0)</f>
        <v>0</v>
      </c>
      <c r="H1703" s="11"/>
      <c r="I1703" s="11"/>
      <c r="J1703" s="78"/>
      <c r="K1703" s="78"/>
      <c r="L1703" s="146">
        <f t="shared" si="80"/>
        <v>1800000</v>
      </c>
      <c r="M1703" s="73"/>
      <c r="N1703" s="73"/>
      <c r="O1703" s="73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14.25" customHeight="1" x14ac:dyDescent="0.35">
      <c r="A1704" s="9">
        <f t="shared" si="79"/>
        <v>1696</v>
      </c>
      <c r="B1704" s="15"/>
      <c r="C1704" s="11">
        <f t="shared" si="78"/>
        <v>1</v>
      </c>
      <c r="D1704" s="11"/>
      <c r="E1704" s="11"/>
      <c r="F1704" s="11"/>
      <c r="G1704" s="89">
        <f>IFERROR(VLOOKUP(F1704,COA!$A$1:$K$26,2,FALSE),0)</f>
        <v>0</v>
      </c>
      <c r="H1704" s="11"/>
      <c r="I1704" s="11"/>
      <c r="J1704" s="78"/>
      <c r="K1704" s="78"/>
      <c r="L1704" s="146">
        <f t="shared" si="80"/>
        <v>1800000</v>
      </c>
      <c r="M1704" s="73"/>
      <c r="N1704" s="73"/>
      <c r="O1704" s="73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14.25" customHeight="1" x14ac:dyDescent="0.35">
      <c r="A1705" s="9">
        <f t="shared" si="79"/>
        <v>1697</v>
      </c>
      <c r="B1705" s="15"/>
      <c r="C1705" s="11">
        <f t="shared" si="78"/>
        <v>1</v>
      </c>
      <c r="D1705" s="11"/>
      <c r="E1705" s="11"/>
      <c r="F1705" s="11"/>
      <c r="G1705" s="89">
        <f>IFERROR(VLOOKUP(F1705,COA!$A$1:$K$26,2,FALSE),0)</f>
        <v>0</v>
      </c>
      <c r="H1705" s="11"/>
      <c r="I1705" s="11"/>
      <c r="J1705" s="78"/>
      <c r="K1705" s="78"/>
      <c r="L1705" s="146">
        <f t="shared" si="80"/>
        <v>1800000</v>
      </c>
      <c r="M1705" s="73"/>
      <c r="N1705" s="73"/>
      <c r="O1705" s="73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14.25" customHeight="1" x14ac:dyDescent="0.35">
      <c r="A1706" s="9">
        <f t="shared" si="79"/>
        <v>1698</v>
      </c>
      <c r="B1706" s="15"/>
      <c r="C1706" s="11">
        <f t="shared" si="78"/>
        <v>1</v>
      </c>
      <c r="D1706" s="11"/>
      <c r="E1706" s="11"/>
      <c r="F1706" s="11"/>
      <c r="G1706" s="89">
        <f>IFERROR(VLOOKUP(F1706,COA!$A$1:$K$26,2,FALSE),0)</f>
        <v>0</v>
      </c>
      <c r="H1706" s="11"/>
      <c r="I1706" s="11"/>
      <c r="J1706" s="78"/>
      <c r="K1706" s="78"/>
      <c r="L1706" s="146">
        <f t="shared" si="80"/>
        <v>1800000</v>
      </c>
      <c r="M1706" s="73"/>
      <c r="N1706" s="73"/>
      <c r="O1706" s="73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14.25" customHeight="1" x14ac:dyDescent="0.35">
      <c r="A1707" s="9">
        <f t="shared" si="79"/>
        <v>1699</v>
      </c>
      <c r="B1707" s="15"/>
      <c r="C1707" s="11">
        <f t="shared" si="78"/>
        <v>1</v>
      </c>
      <c r="D1707" s="11"/>
      <c r="E1707" s="11"/>
      <c r="F1707" s="11"/>
      <c r="G1707" s="89">
        <f>IFERROR(VLOOKUP(F1707,COA!$A$1:$K$26,2,FALSE),0)</f>
        <v>0</v>
      </c>
      <c r="H1707" s="11"/>
      <c r="I1707" s="11"/>
      <c r="J1707" s="78"/>
      <c r="K1707" s="78"/>
      <c r="L1707" s="146">
        <f t="shared" si="80"/>
        <v>1800000</v>
      </c>
      <c r="M1707" s="73"/>
      <c r="N1707" s="73"/>
      <c r="O1707" s="73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14.25" customHeight="1" x14ac:dyDescent="0.35">
      <c r="A1708" s="9">
        <f t="shared" si="79"/>
        <v>1700</v>
      </c>
      <c r="B1708" s="15"/>
      <c r="C1708" s="11">
        <f t="shared" si="78"/>
        <v>1</v>
      </c>
      <c r="D1708" s="11"/>
      <c r="E1708" s="11"/>
      <c r="F1708" s="11"/>
      <c r="G1708" s="89">
        <f>IFERROR(VLOOKUP(F1708,COA!$A$1:$K$26,2,FALSE),0)</f>
        <v>0</v>
      </c>
      <c r="H1708" s="11"/>
      <c r="I1708" s="11"/>
      <c r="J1708" s="78"/>
      <c r="K1708" s="78"/>
      <c r="L1708" s="146">
        <f t="shared" si="80"/>
        <v>1800000</v>
      </c>
      <c r="M1708" s="73"/>
      <c r="N1708" s="73"/>
      <c r="O1708" s="73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14.25" customHeight="1" x14ac:dyDescent="0.35">
      <c r="A1709" s="9">
        <f t="shared" si="79"/>
        <v>1701</v>
      </c>
      <c r="B1709" s="15"/>
      <c r="C1709" s="11">
        <f t="shared" si="78"/>
        <v>1</v>
      </c>
      <c r="D1709" s="11"/>
      <c r="E1709" s="11"/>
      <c r="F1709" s="11"/>
      <c r="G1709" s="89">
        <f>IFERROR(VLOOKUP(F1709,COA!$A$1:$K$26,2,FALSE),0)</f>
        <v>0</v>
      </c>
      <c r="H1709" s="11"/>
      <c r="I1709" s="11"/>
      <c r="J1709" s="78"/>
      <c r="K1709" s="78"/>
      <c r="L1709" s="146">
        <f t="shared" si="80"/>
        <v>1800000</v>
      </c>
      <c r="M1709" s="73"/>
      <c r="N1709" s="73"/>
      <c r="O1709" s="73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14.25" customHeight="1" x14ac:dyDescent="0.35">
      <c r="A1710" s="9">
        <f t="shared" si="79"/>
        <v>1702</v>
      </c>
      <c r="B1710" s="15"/>
      <c r="C1710" s="11">
        <f t="shared" si="78"/>
        <v>1</v>
      </c>
      <c r="D1710" s="11"/>
      <c r="E1710" s="11"/>
      <c r="F1710" s="11"/>
      <c r="G1710" s="89">
        <f>IFERROR(VLOOKUP(F1710,COA!$A$1:$K$26,2,FALSE),0)</f>
        <v>0</v>
      </c>
      <c r="H1710" s="11"/>
      <c r="I1710" s="11"/>
      <c r="J1710" s="78"/>
      <c r="K1710" s="78"/>
      <c r="L1710" s="146">
        <f t="shared" si="80"/>
        <v>1800000</v>
      </c>
      <c r="M1710" s="73"/>
      <c r="N1710" s="73"/>
      <c r="O1710" s="73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14.25" customHeight="1" x14ac:dyDescent="0.35">
      <c r="A1711" s="9">
        <f t="shared" si="79"/>
        <v>1703</v>
      </c>
      <c r="B1711" s="15"/>
      <c r="C1711" s="11">
        <f t="shared" si="78"/>
        <v>1</v>
      </c>
      <c r="D1711" s="11"/>
      <c r="E1711" s="11"/>
      <c r="F1711" s="11"/>
      <c r="G1711" s="89">
        <f>IFERROR(VLOOKUP(F1711,COA!$A$1:$K$26,2,FALSE),0)</f>
        <v>0</v>
      </c>
      <c r="H1711" s="11"/>
      <c r="I1711" s="11"/>
      <c r="J1711" s="78"/>
      <c r="K1711" s="78"/>
      <c r="L1711" s="146">
        <f t="shared" si="80"/>
        <v>1800000</v>
      </c>
      <c r="M1711" s="73"/>
      <c r="N1711" s="73"/>
      <c r="O1711" s="73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14.25" customHeight="1" x14ac:dyDescent="0.35">
      <c r="A1712" s="9">
        <f t="shared" si="79"/>
        <v>1704</v>
      </c>
      <c r="B1712" s="15"/>
      <c r="C1712" s="11">
        <f t="shared" si="78"/>
        <v>1</v>
      </c>
      <c r="D1712" s="11"/>
      <c r="E1712" s="11"/>
      <c r="F1712" s="11"/>
      <c r="G1712" s="89">
        <f>IFERROR(VLOOKUP(F1712,COA!$A$1:$K$26,2,FALSE),0)</f>
        <v>0</v>
      </c>
      <c r="H1712" s="11"/>
      <c r="I1712" s="11"/>
      <c r="J1712" s="78"/>
      <c r="K1712" s="78"/>
      <c r="L1712" s="146">
        <f t="shared" si="80"/>
        <v>1800000</v>
      </c>
      <c r="M1712" s="73"/>
      <c r="N1712" s="73"/>
      <c r="O1712" s="73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14.25" customHeight="1" x14ac:dyDescent="0.35">
      <c r="A1713" s="9">
        <f t="shared" si="79"/>
        <v>1705</v>
      </c>
      <c r="B1713" s="15"/>
      <c r="C1713" s="11">
        <f t="shared" si="78"/>
        <v>1</v>
      </c>
      <c r="D1713" s="11"/>
      <c r="E1713" s="11"/>
      <c r="F1713" s="11"/>
      <c r="G1713" s="89">
        <f>IFERROR(VLOOKUP(F1713,COA!$A$1:$K$26,2,FALSE),0)</f>
        <v>0</v>
      </c>
      <c r="H1713" s="11"/>
      <c r="I1713" s="11"/>
      <c r="J1713" s="78"/>
      <c r="K1713" s="78"/>
      <c r="L1713" s="146">
        <f t="shared" si="80"/>
        <v>1800000</v>
      </c>
      <c r="M1713" s="73"/>
      <c r="N1713" s="73"/>
      <c r="O1713" s="73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14.25" customHeight="1" x14ac:dyDescent="0.35">
      <c r="A1714" s="9">
        <f t="shared" si="79"/>
        <v>1706</v>
      </c>
      <c r="B1714" s="15"/>
      <c r="C1714" s="11">
        <f t="shared" si="78"/>
        <v>1</v>
      </c>
      <c r="D1714" s="11"/>
      <c r="E1714" s="11"/>
      <c r="F1714" s="11"/>
      <c r="G1714" s="89">
        <f>IFERROR(VLOOKUP(F1714,COA!$A$1:$K$26,2,FALSE),0)</f>
        <v>0</v>
      </c>
      <c r="H1714" s="11"/>
      <c r="I1714" s="11"/>
      <c r="J1714" s="78"/>
      <c r="K1714" s="78"/>
      <c r="L1714" s="146">
        <f t="shared" si="80"/>
        <v>1800000</v>
      </c>
      <c r="M1714" s="73"/>
      <c r="N1714" s="73"/>
      <c r="O1714" s="73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14.25" customHeight="1" x14ac:dyDescent="0.35">
      <c r="A1715" s="9">
        <f t="shared" si="79"/>
        <v>1707</v>
      </c>
      <c r="B1715" s="15"/>
      <c r="C1715" s="11">
        <f t="shared" si="78"/>
        <v>1</v>
      </c>
      <c r="D1715" s="11"/>
      <c r="E1715" s="11"/>
      <c r="F1715" s="11"/>
      <c r="G1715" s="89">
        <f>IFERROR(VLOOKUP(F1715,COA!$A$1:$K$26,2,FALSE),0)</f>
        <v>0</v>
      </c>
      <c r="H1715" s="11"/>
      <c r="I1715" s="11"/>
      <c r="J1715" s="78"/>
      <c r="K1715" s="78"/>
      <c r="L1715" s="146">
        <f t="shared" si="80"/>
        <v>1800000</v>
      </c>
      <c r="M1715" s="73"/>
      <c r="N1715" s="73"/>
      <c r="O1715" s="73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14.25" customHeight="1" x14ac:dyDescent="0.35">
      <c r="A1716" s="9">
        <f t="shared" si="79"/>
        <v>1708</v>
      </c>
      <c r="B1716" s="15"/>
      <c r="C1716" s="11">
        <f t="shared" si="78"/>
        <v>1</v>
      </c>
      <c r="D1716" s="11"/>
      <c r="E1716" s="11"/>
      <c r="F1716" s="11"/>
      <c r="G1716" s="89">
        <f>IFERROR(VLOOKUP(F1716,COA!$A$1:$K$26,2,FALSE),0)</f>
        <v>0</v>
      </c>
      <c r="H1716" s="11"/>
      <c r="I1716" s="11"/>
      <c r="J1716" s="78"/>
      <c r="K1716" s="78"/>
      <c r="L1716" s="146">
        <f t="shared" si="80"/>
        <v>1800000</v>
      </c>
      <c r="M1716" s="73"/>
      <c r="N1716" s="73"/>
      <c r="O1716" s="73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14.25" customHeight="1" x14ac:dyDescent="0.35">
      <c r="A1717" s="9">
        <f t="shared" si="79"/>
        <v>1709</v>
      </c>
      <c r="B1717" s="15"/>
      <c r="C1717" s="11">
        <f t="shared" si="78"/>
        <v>1</v>
      </c>
      <c r="D1717" s="11"/>
      <c r="E1717" s="11"/>
      <c r="F1717" s="11"/>
      <c r="G1717" s="89">
        <f>IFERROR(VLOOKUP(F1717,COA!$A$1:$K$26,2,FALSE),0)</f>
        <v>0</v>
      </c>
      <c r="H1717" s="11"/>
      <c r="I1717" s="11"/>
      <c r="J1717" s="78"/>
      <c r="K1717" s="78"/>
      <c r="L1717" s="146">
        <f t="shared" si="80"/>
        <v>1800000</v>
      </c>
      <c r="M1717" s="73"/>
      <c r="N1717" s="73"/>
      <c r="O1717" s="73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14.25" customHeight="1" x14ac:dyDescent="0.35">
      <c r="A1718" s="9">
        <f t="shared" si="79"/>
        <v>1710</v>
      </c>
      <c r="B1718" s="15"/>
      <c r="C1718" s="11">
        <f t="shared" si="78"/>
        <v>1</v>
      </c>
      <c r="D1718" s="11"/>
      <c r="E1718" s="11"/>
      <c r="F1718" s="11"/>
      <c r="G1718" s="89">
        <f>IFERROR(VLOOKUP(F1718,COA!$A$1:$K$26,2,FALSE),0)</f>
        <v>0</v>
      </c>
      <c r="H1718" s="11"/>
      <c r="I1718" s="11"/>
      <c r="J1718" s="78"/>
      <c r="K1718" s="78"/>
      <c r="L1718" s="146">
        <f t="shared" si="80"/>
        <v>1800000</v>
      </c>
      <c r="M1718" s="73"/>
      <c r="N1718" s="73"/>
      <c r="O1718" s="73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14.25" customHeight="1" x14ac:dyDescent="0.35">
      <c r="A1719" s="9">
        <f t="shared" si="79"/>
        <v>1711</v>
      </c>
      <c r="B1719" s="15"/>
      <c r="C1719" s="11">
        <f t="shared" si="78"/>
        <v>1</v>
      </c>
      <c r="D1719" s="11"/>
      <c r="E1719" s="11"/>
      <c r="F1719" s="11"/>
      <c r="G1719" s="89">
        <f>IFERROR(VLOOKUP(F1719,COA!$A$1:$K$26,2,FALSE),0)</f>
        <v>0</v>
      </c>
      <c r="H1719" s="11"/>
      <c r="I1719" s="11"/>
      <c r="J1719" s="78"/>
      <c r="K1719" s="78"/>
      <c r="L1719" s="146">
        <f t="shared" si="80"/>
        <v>1800000</v>
      </c>
      <c r="M1719" s="73"/>
      <c r="N1719" s="73"/>
      <c r="O1719" s="73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14.25" customHeight="1" x14ac:dyDescent="0.35">
      <c r="A1720" s="9">
        <f t="shared" si="79"/>
        <v>1712</v>
      </c>
      <c r="B1720" s="15"/>
      <c r="C1720" s="11">
        <f t="shared" si="78"/>
        <v>1</v>
      </c>
      <c r="D1720" s="11"/>
      <c r="E1720" s="11"/>
      <c r="F1720" s="11"/>
      <c r="G1720" s="89">
        <f>IFERROR(VLOOKUP(F1720,COA!$A$1:$K$26,2,FALSE),0)</f>
        <v>0</v>
      </c>
      <c r="H1720" s="11"/>
      <c r="I1720" s="11"/>
      <c r="J1720" s="78"/>
      <c r="K1720" s="78"/>
      <c r="L1720" s="146">
        <f t="shared" si="80"/>
        <v>1800000</v>
      </c>
      <c r="M1720" s="73"/>
      <c r="N1720" s="73"/>
      <c r="O1720" s="73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14.25" customHeight="1" x14ac:dyDescent="0.35">
      <c r="A1721" s="9">
        <f t="shared" si="79"/>
        <v>1713</v>
      </c>
      <c r="B1721" s="15"/>
      <c r="C1721" s="11">
        <f t="shared" si="78"/>
        <v>1</v>
      </c>
      <c r="D1721" s="11"/>
      <c r="E1721" s="11"/>
      <c r="F1721" s="11"/>
      <c r="G1721" s="89">
        <f>IFERROR(VLOOKUP(F1721,COA!$A$1:$K$26,2,FALSE),0)</f>
        <v>0</v>
      </c>
      <c r="H1721" s="11"/>
      <c r="I1721" s="11"/>
      <c r="J1721" s="78"/>
      <c r="K1721" s="78"/>
      <c r="L1721" s="146">
        <f t="shared" si="80"/>
        <v>1800000</v>
      </c>
      <c r="M1721" s="73"/>
      <c r="N1721" s="73"/>
      <c r="O1721" s="73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14.25" customHeight="1" x14ac:dyDescent="0.35">
      <c r="A1722" s="9">
        <f t="shared" si="79"/>
        <v>1714</v>
      </c>
      <c r="B1722" s="15"/>
      <c r="C1722" s="11">
        <f t="shared" si="78"/>
        <v>1</v>
      </c>
      <c r="D1722" s="11"/>
      <c r="E1722" s="11"/>
      <c r="F1722" s="11"/>
      <c r="G1722" s="89">
        <f>IFERROR(VLOOKUP(F1722,COA!$A$1:$K$26,2,FALSE),0)</f>
        <v>0</v>
      </c>
      <c r="H1722" s="11"/>
      <c r="I1722" s="11"/>
      <c r="J1722" s="78"/>
      <c r="K1722" s="78"/>
      <c r="L1722" s="146">
        <f t="shared" si="80"/>
        <v>1800000</v>
      </c>
      <c r="M1722" s="73"/>
      <c r="N1722" s="73"/>
      <c r="O1722" s="73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14.25" customHeight="1" x14ac:dyDescent="0.35">
      <c r="A1723" s="9">
        <f t="shared" si="79"/>
        <v>1715</v>
      </c>
      <c r="B1723" s="15"/>
      <c r="C1723" s="11">
        <f t="shared" si="78"/>
        <v>1</v>
      </c>
      <c r="D1723" s="11"/>
      <c r="E1723" s="11"/>
      <c r="F1723" s="11"/>
      <c r="G1723" s="89">
        <f>IFERROR(VLOOKUP(F1723,COA!$A$1:$K$26,2,FALSE),0)</f>
        <v>0</v>
      </c>
      <c r="H1723" s="11"/>
      <c r="I1723" s="11"/>
      <c r="J1723" s="78"/>
      <c r="K1723" s="78"/>
      <c r="L1723" s="146">
        <f t="shared" si="80"/>
        <v>1800000</v>
      </c>
      <c r="M1723" s="73"/>
      <c r="N1723" s="73"/>
      <c r="O1723" s="73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14.25" customHeight="1" x14ac:dyDescent="0.35">
      <c r="A1724" s="9">
        <f t="shared" si="79"/>
        <v>1716</v>
      </c>
      <c r="B1724" s="15"/>
      <c r="C1724" s="11">
        <f t="shared" si="78"/>
        <v>1</v>
      </c>
      <c r="D1724" s="11"/>
      <c r="E1724" s="11"/>
      <c r="F1724" s="11"/>
      <c r="G1724" s="89">
        <f>IFERROR(VLOOKUP(F1724,COA!$A$1:$K$26,2,FALSE),0)</f>
        <v>0</v>
      </c>
      <c r="H1724" s="11"/>
      <c r="I1724" s="11"/>
      <c r="J1724" s="78"/>
      <c r="K1724" s="78"/>
      <c r="L1724" s="146">
        <f t="shared" si="80"/>
        <v>1800000</v>
      </c>
      <c r="M1724" s="73"/>
      <c r="N1724" s="73"/>
      <c r="O1724" s="73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14.25" customHeight="1" x14ac:dyDescent="0.35">
      <c r="A1725" s="9">
        <f t="shared" si="79"/>
        <v>1717</v>
      </c>
      <c r="B1725" s="15"/>
      <c r="C1725" s="11">
        <f t="shared" si="78"/>
        <v>1</v>
      </c>
      <c r="D1725" s="11"/>
      <c r="E1725" s="11"/>
      <c r="F1725" s="11"/>
      <c r="G1725" s="89">
        <f>IFERROR(VLOOKUP(F1725,COA!$A$1:$K$26,2,FALSE),0)</f>
        <v>0</v>
      </c>
      <c r="H1725" s="11"/>
      <c r="I1725" s="11"/>
      <c r="J1725" s="78"/>
      <c r="K1725" s="78"/>
      <c r="L1725" s="146">
        <f t="shared" si="80"/>
        <v>1800000</v>
      </c>
      <c r="M1725" s="73"/>
      <c r="N1725" s="73"/>
      <c r="O1725" s="73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14.25" customHeight="1" x14ac:dyDescent="0.35">
      <c r="A1726" s="9">
        <f t="shared" si="79"/>
        <v>1718</v>
      </c>
      <c r="B1726" s="15"/>
      <c r="C1726" s="11">
        <f t="shared" si="78"/>
        <v>1</v>
      </c>
      <c r="D1726" s="11"/>
      <c r="E1726" s="11"/>
      <c r="F1726" s="11"/>
      <c r="G1726" s="89">
        <f>IFERROR(VLOOKUP(F1726,COA!$A$1:$K$26,2,FALSE),0)</f>
        <v>0</v>
      </c>
      <c r="H1726" s="11"/>
      <c r="I1726" s="11"/>
      <c r="J1726" s="78"/>
      <c r="K1726" s="78"/>
      <c r="L1726" s="146">
        <f t="shared" si="80"/>
        <v>1800000</v>
      </c>
      <c r="M1726" s="73"/>
      <c r="N1726" s="73"/>
      <c r="O1726" s="73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14.25" customHeight="1" x14ac:dyDescent="0.35">
      <c r="A1727" s="9">
        <f t="shared" si="79"/>
        <v>1719</v>
      </c>
      <c r="B1727" s="15"/>
      <c r="C1727" s="11">
        <f t="shared" si="78"/>
        <v>1</v>
      </c>
      <c r="D1727" s="11"/>
      <c r="E1727" s="11"/>
      <c r="F1727" s="11"/>
      <c r="G1727" s="89">
        <f>IFERROR(VLOOKUP(F1727,COA!$A$1:$K$26,2,FALSE),0)</f>
        <v>0</v>
      </c>
      <c r="H1727" s="11"/>
      <c r="I1727" s="11"/>
      <c r="J1727" s="78"/>
      <c r="K1727" s="78"/>
      <c r="L1727" s="146">
        <f t="shared" si="80"/>
        <v>1800000</v>
      </c>
      <c r="M1727" s="73"/>
      <c r="N1727" s="73"/>
      <c r="O1727" s="73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14.25" customHeight="1" x14ac:dyDescent="0.35">
      <c r="A1728" s="9">
        <f t="shared" si="79"/>
        <v>1720</v>
      </c>
      <c r="B1728" s="15"/>
      <c r="C1728" s="11">
        <f t="shared" si="78"/>
        <v>1</v>
      </c>
      <c r="D1728" s="11"/>
      <c r="E1728" s="11"/>
      <c r="F1728" s="11"/>
      <c r="G1728" s="89">
        <f>IFERROR(VLOOKUP(F1728,COA!$A$1:$K$26,2,FALSE),0)</f>
        <v>0</v>
      </c>
      <c r="H1728" s="11"/>
      <c r="I1728" s="11"/>
      <c r="J1728" s="78"/>
      <c r="K1728" s="78"/>
      <c r="L1728" s="146">
        <f t="shared" si="80"/>
        <v>1800000</v>
      </c>
      <c r="M1728" s="73"/>
      <c r="N1728" s="73"/>
      <c r="O1728" s="73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14.25" customHeight="1" x14ac:dyDescent="0.35">
      <c r="A1729" s="9">
        <f t="shared" si="79"/>
        <v>1721</v>
      </c>
      <c r="B1729" s="15"/>
      <c r="C1729" s="11">
        <f t="shared" si="78"/>
        <v>1</v>
      </c>
      <c r="D1729" s="11"/>
      <c r="E1729" s="11"/>
      <c r="F1729" s="11"/>
      <c r="G1729" s="89">
        <f>IFERROR(VLOOKUP(F1729,COA!$A$1:$K$26,2,FALSE),0)</f>
        <v>0</v>
      </c>
      <c r="H1729" s="11"/>
      <c r="I1729" s="11"/>
      <c r="J1729" s="78"/>
      <c r="K1729" s="78"/>
      <c r="L1729" s="146">
        <f t="shared" si="80"/>
        <v>1800000</v>
      </c>
      <c r="M1729" s="73"/>
      <c r="N1729" s="73"/>
      <c r="O1729" s="73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14.25" customHeight="1" x14ac:dyDescent="0.35">
      <c r="A1730" s="9">
        <f t="shared" si="79"/>
        <v>1722</v>
      </c>
      <c r="B1730" s="15"/>
      <c r="C1730" s="11">
        <f t="shared" si="78"/>
        <v>1</v>
      </c>
      <c r="D1730" s="11"/>
      <c r="E1730" s="11"/>
      <c r="F1730" s="11"/>
      <c r="G1730" s="89">
        <f>IFERROR(VLOOKUP(F1730,COA!$A$1:$K$26,2,FALSE),0)</f>
        <v>0</v>
      </c>
      <c r="H1730" s="11"/>
      <c r="I1730" s="11"/>
      <c r="J1730" s="78"/>
      <c r="K1730" s="78"/>
      <c r="L1730" s="146">
        <f t="shared" si="80"/>
        <v>1800000</v>
      </c>
      <c r="M1730" s="73"/>
      <c r="N1730" s="73"/>
      <c r="O1730" s="73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14.25" customHeight="1" x14ac:dyDescent="0.35">
      <c r="A1731" s="9">
        <f t="shared" si="79"/>
        <v>1723</v>
      </c>
      <c r="B1731" s="15"/>
      <c r="C1731" s="11">
        <f t="shared" si="78"/>
        <v>1</v>
      </c>
      <c r="D1731" s="11"/>
      <c r="E1731" s="11"/>
      <c r="F1731" s="11"/>
      <c r="G1731" s="89">
        <f>IFERROR(VLOOKUP(F1731,COA!$A$1:$K$26,2,FALSE),0)</f>
        <v>0</v>
      </c>
      <c r="H1731" s="11"/>
      <c r="I1731" s="11"/>
      <c r="J1731" s="78"/>
      <c r="K1731" s="78"/>
      <c r="L1731" s="146">
        <f t="shared" si="80"/>
        <v>1800000</v>
      </c>
      <c r="M1731" s="73"/>
      <c r="N1731" s="73"/>
      <c r="O1731" s="73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14.25" customHeight="1" x14ac:dyDescent="0.35">
      <c r="A1732" s="9">
        <f t="shared" si="79"/>
        <v>1724</v>
      </c>
      <c r="B1732" s="15"/>
      <c r="C1732" s="11">
        <f t="shared" si="78"/>
        <v>1</v>
      </c>
      <c r="D1732" s="11"/>
      <c r="E1732" s="11"/>
      <c r="F1732" s="11"/>
      <c r="G1732" s="89">
        <f>IFERROR(VLOOKUP(F1732,COA!$A$1:$K$26,2,FALSE),0)</f>
        <v>0</v>
      </c>
      <c r="H1732" s="11"/>
      <c r="I1732" s="11"/>
      <c r="J1732" s="78"/>
      <c r="K1732" s="78"/>
      <c r="L1732" s="146">
        <f t="shared" si="80"/>
        <v>1800000</v>
      </c>
      <c r="M1732" s="73"/>
      <c r="N1732" s="73"/>
      <c r="O1732" s="73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14.25" customHeight="1" x14ac:dyDescent="0.35">
      <c r="A1733" s="9">
        <f t="shared" si="79"/>
        <v>1725</v>
      </c>
      <c r="B1733" s="15"/>
      <c r="C1733" s="11">
        <f t="shared" si="78"/>
        <v>1</v>
      </c>
      <c r="D1733" s="11"/>
      <c r="E1733" s="11"/>
      <c r="F1733" s="11"/>
      <c r="G1733" s="89">
        <f>IFERROR(VLOOKUP(F1733,COA!$A$1:$K$26,2,FALSE),0)</f>
        <v>0</v>
      </c>
      <c r="H1733" s="11"/>
      <c r="I1733" s="11"/>
      <c r="J1733" s="78"/>
      <c r="K1733" s="78"/>
      <c r="L1733" s="146">
        <f t="shared" si="80"/>
        <v>1800000</v>
      </c>
      <c r="M1733" s="73"/>
      <c r="N1733" s="73"/>
      <c r="O1733" s="73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14.25" customHeight="1" x14ac:dyDescent="0.35">
      <c r="A1734" s="9">
        <f t="shared" si="79"/>
        <v>1726</v>
      </c>
      <c r="B1734" s="15"/>
      <c r="C1734" s="11">
        <f t="shared" si="78"/>
        <v>1</v>
      </c>
      <c r="D1734" s="11"/>
      <c r="E1734" s="11"/>
      <c r="F1734" s="11"/>
      <c r="G1734" s="89">
        <f>IFERROR(VLOOKUP(F1734,COA!$A$1:$K$26,2,FALSE),0)</f>
        <v>0</v>
      </c>
      <c r="H1734" s="11"/>
      <c r="I1734" s="11"/>
      <c r="J1734" s="78"/>
      <c r="K1734" s="78"/>
      <c r="L1734" s="146">
        <f t="shared" si="80"/>
        <v>1800000</v>
      </c>
      <c r="M1734" s="73"/>
      <c r="N1734" s="73"/>
      <c r="O1734" s="73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14.25" customHeight="1" x14ac:dyDescent="0.35">
      <c r="A1735" s="9">
        <f t="shared" si="79"/>
        <v>1727</v>
      </c>
      <c r="B1735" s="15"/>
      <c r="C1735" s="11">
        <f t="shared" si="78"/>
        <v>1</v>
      </c>
      <c r="D1735" s="11"/>
      <c r="E1735" s="11"/>
      <c r="F1735" s="11"/>
      <c r="G1735" s="89">
        <f>IFERROR(VLOOKUP(F1735,COA!$A$1:$K$26,2,FALSE),0)</f>
        <v>0</v>
      </c>
      <c r="H1735" s="11"/>
      <c r="I1735" s="11"/>
      <c r="J1735" s="78"/>
      <c r="K1735" s="78"/>
      <c r="L1735" s="146">
        <f t="shared" si="80"/>
        <v>1800000</v>
      </c>
      <c r="M1735" s="73"/>
      <c r="N1735" s="73"/>
      <c r="O1735" s="73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14.25" customHeight="1" x14ac:dyDescent="0.35">
      <c r="A1736" s="9">
        <f t="shared" si="79"/>
        <v>1728</v>
      </c>
      <c r="B1736" s="15"/>
      <c r="C1736" s="11">
        <f t="shared" ref="C1736:C1738" si="81">MONTH(B1736)</f>
        <v>1</v>
      </c>
      <c r="D1736" s="11"/>
      <c r="E1736" s="11"/>
      <c r="F1736" s="11"/>
      <c r="G1736" s="89">
        <f>IFERROR(VLOOKUP(F1736,COA!$A$1:$K$26,2,FALSE),0)</f>
        <v>0</v>
      </c>
      <c r="H1736" s="11"/>
      <c r="I1736" s="11"/>
      <c r="J1736" s="78"/>
      <c r="K1736" s="78"/>
      <c r="L1736" s="146">
        <f t="shared" si="80"/>
        <v>1800000</v>
      </c>
      <c r="M1736" s="73"/>
      <c r="N1736" s="73"/>
      <c r="O1736" s="73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14.25" customHeight="1" x14ac:dyDescent="0.35">
      <c r="A1737" s="9">
        <f t="shared" si="79"/>
        <v>1729</v>
      </c>
      <c r="B1737" s="15"/>
      <c r="C1737" s="11">
        <f t="shared" si="81"/>
        <v>1</v>
      </c>
      <c r="D1737" s="11"/>
      <c r="E1737" s="11"/>
      <c r="F1737" s="11"/>
      <c r="G1737" s="89">
        <f>IFERROR(VLOOKUP(F1737,COA!$A$1:$K$26,2,FALSE),0)</f>
        <v>0</v>
      </c>
      <c r="H1737" s="11"/>
      <c r="I1737" s="11"/>
      <c r="J1737" s="78"/>
      <c r="K1737" s="78"/>
      <c r="L1737" s="146">
        <f t="shared" si="80"/>
        <v>1800000</v>
      </c>
      <c r="M1737" s="73"/>
      <c r="N1737" s="73"/>
      <c r="O1737" s="73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14.25" customHeight="1" x14ac:dyDescent="0.35">
      <c r="A1738" s="9">
        <f t="shared" si="79"/>
        <v>1730</v>
      </c>
      <c r="B1738" s="15"/>
      <c r="C1738" s="11">
        <f t="shared" si="81"/>
        <v>1</v>
      </c>
      <c r="D1738" s="11"/>
      <c r="E1738" s="11"/>
      <c r="F1738" s="11"/>
      <c r="G1738" s="89">
        <f>IFERROR(VLOOKUP(F1738,COA!$A$1:$K$26,2,FALSE),0)</f>
        <v>0</v>
      </c>
      <c r="H1738" s="11"/>
      <c r="I1738" s="11"/>
      <c r="J1738" s="78"/>
      <c r="K1738" s="78"/>
      <c r="L1738" s="146">
        <f t="shared" si="80"/>
        <v>1800000</v>
      </c>
      <c r="M1738" s="73"/>
      <c r="N1738" s="73"/>
      <c r="O1738" s="73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14.25" customHeight="1" x14ac:dyDescent="0.35">
      <c r="A1739" s="9">
        <f t="shared" ref="A1739" si="82">A1738+1</f>
        <v>1731</v>
      </c>
      <c r="B1739" s="15"/>
      <c r="C1739" s="15"/>
      <c r="D1739" s="11"/>
      <c r="E1739" s="11"/>
      <c r="F1739" s="11"/>
      <c r="G1739" s="11"/>
      <c r="H1739" s="11"/>
      <c r="I1739" s="11"/>
      <c r="J1739" s="80">
        <f>SUBTOTAL(9,J9:J1738)</f>
        <v>1800000</v>
      </c>
      <c r="K1739" s="80">
        <f>SUBTOTAL(9,K9:K1738)</f>
        <v>0</v>
      </c>
      <c r="L1739" s="84">
        <f>L8+J1739-K1739</f>
        <v>1800000</v>
      </c>
      <c r="M1739" s="73"/>
      <c r="N1739" s="73"/>
      <c r="O1739" s="73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14.25" customHeight="1" x14ac:dyDescent="0.35">
      <c r="A1740" s="23"/>
      <c r="B1740" s="6"/>
      <c r="C1740" s="6"/>
      <c r="D1740" s="2"/>
      <c r="E1740" s="2"/>
      <c r="F1740" s="2"/>
      <c r="G1740" s="2"/>
      <c r="H1740" s="2"/>
      <c r="I1740" s="2"/>
      <c r="J1740" s="73"/>
      <c r="K1740" s="73"/>
      <c r="L1740" s="73">
        <f>L1738-L1739</f>
        <v>0</v>
      </c>
      <c r="M1740" s="73"/>
      <c r="N1740" s="73"/>
      <c r="O1740" s="73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14.25" customHeight="1" x14ac:dyDescent="0.35">
      <c r="A1741" s="23"/>
      <c r="B1741" s="6"/>
      <c r="C1741" s="6"/>
      <c r="D1741" s="2"/>
      <c r="E1741" s="2"/>
      <c r="F1741" s="2"/>
      <c r="G1741" s="2"/>
      <c r="H1741" s="2"/>
      <c r="I1741" s="2"/>
      <c r="J1741" s="73"/>
      <c r="K1741" s="73"/>
      <c r="L1741" s="73"/>
      <c r="M1741" s="73"/>
      <c r="N1741" s="73"/>
      <c r="O1741" s="73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14.25" customHeight="1" x14ac:dyDescent="0.35">
      <c r="A1742" s="23"/>
      <c r="B1742" s="6"/>
      <c r="C1742" s="6"/>
      <c r="D1742" s="2"/>
      <c r="E1742" s="2"/>
      <c r="F1742" s="2"/>
      <c r="G1742" s="2"/>
      <c r="H1742" s="2"/>
      <c r="I1742" s="2"/>
      <c r="J1742" s="73"/>
      <c r="K1742" s="73"/>
      <c r="L1742" s="73"/>
      <c r="M1742" s="73"/>
      <c r="N1742" s="73"/>
      <c r="O1742" s="73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14.25" customHeight="1" x14ac:dyDescent="0.35">
      <c r="A1743" s="23"/>
      <c r="B1743" s="6"/>
      <c r="C1743" s="6"/>
      <c r="D1743" s="2"/>
      <c r="E1743" s="2"/>
      <c r="F1743" s="2"/>
      <c r="G1743" s="2"/>
      <c r="H1743" s="2"/>
      <c r="I1743" s="2"/>
      <c r="J1743" s="73"/>
      <c r="K1743" s="73"/>
      <c r="L1743" s="73"/>
      <c r="M1743" s="73"/>
      <c r="N1743" s="73"/>
      <c r="O1743" s="73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14.25" customHeight="1" x14ac:dyDescent="0.35">
      <c r="A1744" s="23"/>
      <c r="B1744" s="6"/>
      <c r="C1744" s="6"/>
      <c r="D1744" s="2"/>
      <c r="E1744" s="2"/>
      <c r="F1744" s="2"/>
      <c r="G1744" s="2"/>
      <c r="H1744" s="2"/>
      <c r="I1744" s="2"/>
      <c r="J1744" s="73"/>
      <c r="K1744" s="73"/>
      <c r="L1744" s="73"/>
      <c r="M1744" s="73"/>
      <c r="N1744" s="73"/>
      <c r="O1744" s="73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14.25" customHeight="1" x14ac:dyDescent="0.35">
      <c r="A1745" s="23"/>
      <c r="B1745" s="6"/>
      <c r="C1745" s="6"/>
      <c r="D1745" s="2"/>
      <c r="E1745" s="2"/>
      <c r="F1745" s="2"/>
      <c r="G1745" s="2"/>
      <c r="H1745" s="2"/>
      <c r="I1745" s="2"/>
      <c r="J1745" s="73"/>
      <c r="K1745" s="73"/>
      <c r="L1745" s="73"/>
      <c r="M1745" s="73"/>
      <c r="N1745" s="73"/>
      <c r="O1745" s="73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14.25" customHeight="1" x14ac:dyDescent="0.35">
      <c r="A1746" s="23"/>
      <c r="B1746" s="6"/>
      <c r="C1746" s="6"/>
      <c r="D1746" s="2"/>
      <c r="E1746" s="2"/>
      <c r="F1746" s="2"/>
      <c r="G1746" s="2"/>
      <c r="H1746" s="2"/>
      <c r="I1746" s="2"/>
      <c r="J1746" s="73"/>
      <c r="K1746" s="73"/>
      <c r="L1746" s="73"/>
      <c r="M1746" s="73"/>
      <c r="N1746" s="73"/>
      <c r="O1746" s="73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14.25" customHeight="1" x14ac:dyDescent="0.35">
      <c r="A1747" s="23"/>
      <c r="B1747" s="6"/>
      <c r="C1747" s="6"/>
      <c r="D1747" s="2"/>
      <c r="E1747" s="2"/>
      <c r="F1747" s="2"/>
      <c r="G1747" s="2"/>
      <c r="H1747" s="2"/>
      <c r="I1747" s="2"/>
      <c r="J1747" s="73"/>
      <c r="K1747" s="73"/>
      <c r="L1747" s="73"/>
      <c r="M1747" s="73"/>
      <c r="N1747" s="73"/>
      <c r="O1747" s="73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14.25" customHeight="1" x14ac:dyDescent="0.35">
      <c r="A1748" s="23"/>
      <c r="B1748" s="6"/>
      <c r="C1748" s="6"/>
      <c r="D1748" s="2"/>
      <c r="E1748" s="2"/>
      <c r="F1748" s="2"/>
      <c r="G1748" s="2"/>
      <c r="H1748" s="2"/>
      <c r="I1748" s="2"/>
      <c r="J1748" s="73"/>
      <c r="K1748" s="73"/>
      <c r="L1748" s="73"/>
      <c r="M1748" s="73"/>
      <c r="N1748" s="73"/>
      <c r="O1748" s="73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14.25" customHeight="1" x14ac:dyDescent="0.35">
      <c r="A1749" s="23"/>
      <c r="B1749" s="6"/>
      <c r="C1749" s="6"/>
      <c r="D1749" s="2"/>
      <c r="E1749" s="2"/>
      <c r="F1749" s="2"/>
      <c r="G1749" s="2"/>
      <c r="H1749" s="2"/>
      <c r="I1749" s="2"/>
      <c r="J1749" s="73"/>
      <c r="K1749" s="73"/>
      <c r="L1749" s="73"/>
      <c r="M1749" s="73"/>
      <c r="N1749" s="73"/>
      <c r="O1749" s="73"/>
      <c r="P1749" s="2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 spans="1:29" ht="14.25" customHeight="1" x14ac:dyDescent="0.35">
      <c r="A1750" s="23"/>
      <c r="B1750" s="6"/>
      <c r="C1750" s="6"/>
      <c r="D1750" s="2"/>
      <c r="E1750" s="2"/>
      <c r="F1750" s="2"/>
      <c r="G1750" s="2"/>
      <c r="H1750" s="2"/>
      <c r="I1750" s="2"/>
      <c r="J1750" s="73"/>
      <c r="K1750" s="73"/>
      <c r="L1750" s="73"/>
      <c r="M1750" s="73"/>
      <c r="N1750" s="73"/>
      <c r="O1750" s="73"/>
      <c r="P1750" s="2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 spans="1:29" ht="14.25" customHeight="1" x14ac:dyDescent="0.35">
      <c r="A1751" s="23"/>
      <c r="B1751" s="6"/>
      <c r="C1751" s="6"/>
      <c r="D1751" s="2"/>
      <c r="E1751" s="2"/>
      <c r="F1751" s="2"/>
      <c r="G1751" s="2"/>
      <c r="H1751" s="2"/>
      <c r="I1751" s="2"/>
      <c r="J1751" s="73"/>
      <c r="K1751" s="73"/>
      <c r="L1751" s="73"/>
      <c r="M1751" s="73"/>
      <c r="N1751" s="73"/>
      <c r="O1751" s="73"/>
      <c r="P1751" s="2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 spans="1:29" ht="14.25" customHeight="1" x14ac:dyDescent="0.35">
      <c r="A1752" s="23"/>
      <c r="B1752" s="6"/>
      <c r="C1752" s="6"/>
      <c r="D1752" s="2"/>
      <c r="E1752" s="2"/>
      <c r="F1752" s="2"/>
      <c r="G1752" s="2"/>
      <c r="H1752" s="2"/>
      <c r="I1752" s="2"/>
      <c r="J1752" s="73"/>
      <c r="K1752" s="73"/>
      <c r="L1752" s="73"/>
      <c r="M1752" s="73"/>
      <c r="N1752" s="73"/>
      <c r="O1752" s="73"/>
      <c r="P1752" s="2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 spans="1:29" ht="14.25" customHeight="1" x14ac:dyDescent="0.35">
      <c r="A1753" s="23"/>
      <c r="B1753" s="6"/>
      <c r="C1753" s="6"/>
      <c r="D1753" s="2"/>
      <c r="E1753" s="2"/>
      <c r="F1753" s="2"/>
      <c r="G1753" s="2"/>
      <c r="H1753" s="2"/>
      <c r="I1753" s="2"/>
      <c r="J1753" s="73"/>
      <c r="K1753" s="73"/>
      <c r="L1753" s="73"/>
      <c r="M1753" s="73"/>
      <c r="N1753" s="73"/>
      <c r="O1753" s="73"/>
      <c r="P1753" s="2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 spans="1:29" ht="14.25" customHeight="1" x14ac:dyDescent="0.35">
      <c r="A1754" s="23"/>
      <c r="B1754" s="6"/>
      <c r="C1754" s="6"/>
      <c r="D1754" s="2"/>
      <c r="E1754" s="2"/>
      <c r="F1754" s="2"/>
      <c r="G1754" s="2"/>
      <c r="H1754" s="2"/>
      <c r="I1754" s="2"/>
      <c r="J1754" s="73"/>
      <c r="K1754" s="73"/>
      <c r="L1754" s="73"/>
      <c r="M1754" s="73"/>
      <c r="N1754" s="73"/>
      <c r="O1754" s="73"/>
      <c r="P1754" s="2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 spans="1:29" ht="14.25" customHeight="1" x14ac:dyDescent="0.35">
      <c r="A1755" s="23"/>
      <c r="B1755" s="6"/>
      <c r="C1755" s="6"/>
      <c r="D1755" s="2"/>
      <c r="E1755" s="2"/>
      <c r="F1755" s="2"/>
      <c r="G1755" s="2"/>
      <c r="H1755" s="2"/>
      <c r="I1755" s="2"/>
      <c r="J1755" s="73"/>
      <c r="K1755" s="73"/>
      <c r="L1755" s="73"/>
      <c r="M1755" s="73"/>
      <c r="N1755" s="73"/>
      <c r="O1755" s="73"/>
      <c r="P1755" s="2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 spans="1:29" ht="14.25" customHeight="1" x14ac:dyDescent="0.35">
      <c r="A1756" s="23"/>
      <c r="B1756" s="6"/>
      <c r="C1756" s="6"/>
      <c r="D1756" s="2"/>
      <c r="E1756" s="2"/>
      <c r="F1756" s="2"/>
      <c r="G1756" s="2"/>
      <c r="H1756" s="2"/>
      <c r="I1756" s="2"/>
      <c r="J1756" s="73"/>
      <c r="K1756" s="73"/>
      <c r="L1756" s="73"/>
      <c r="M1756" s="73"/>
      <c r="N1756" s="73"/>
      <c r="O1756" s="73"/>
      <c r="P1756" s="2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 spans="1:29" ht="14.25" customHeight="1" x14ac:dyDescent="0.35">
      <c r="A1757" s="23"/>
      <c r="B1757" s="6"/>
      <c r="C1757" s="6"/>
      <c r="D1757" s="2"/>
      <c r="E1757" s="2"/>
      <c r="F1757" s="2"/>
      <c r="G1757" s="2"/>
      <c r="H1757" s="2"/>
      <c r="I1757" s="2"/>
      <c r="J1757" s="73"/>
      <c r="K1757" s="73"/>
      <c r="L1757" s="73"/>
      <c r="M1757" s="73"/>
      <c r="N1757" s="73"/>
      <c r="O1757" s="73"/>
      <c r="P1757" s="2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 spans="1:29" ht="14.25" customHeight="1" x14ac:dyDescent="0.35">
      <c r="A1758" s="23"/>
      <c r="B1758" s="6"/>
      <c r="C1758" s="6"/>
      <c r="D1758" s="2"/>
      <c r="E1758" s="2"/>
      <c r="F1758" s="2"/>
      <c r="G1758" s="2"/>
      <c r="H1758" s="2"/>
      <c r="I1758" s="2"/>
      <c r="J1758" s="73"/>
      <c r="K1758" s="73"/>
      <c r="L1758" s="73"/>
      <c r="M1758" s="73"/>
      <c r="N1758" s="73"/>
      <c r="O1758" s="73"/>
      <c r="P1758" s="2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 spans="1:29" ht="14.25" customHeight="1" x14ac:dyDescent="0.35">
      <c r="A1759" s="23"/>
      <c r="B1759" s="6"/>
      <c r="C1759" s="6"/>
      <c r="D1759" s="2"/>
      <c r="E1759" s="2"/>
      <c r="F1759" s="2"/>
      <c r="G1759" s="2"/>
      <c r="H1759" s="2"/>
      <c r="I1759" s="2"/>
      <c r="J1759" s="73"/>
      <c r="K1759" s="73"/>
      <c r="L1759" s="73"/>
      <c r="M1759" s="73"/>
      <c r="N1759" s="73"/>
      <c r="O1759" s="73"/>
      <c r="P1759" s="2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 spans="1:29" ht="14.25" customHeight="1" x14ac:dyDescent="0.35">
      <c r="A1760" s="23"/>
      <c r="B1760" s="6"/>
      <c r="C1760" s="6"/>
      <c r="D1760" s="2"/>
      <c r="E1760" s="2"/>
      <c r="F1760" s="2"/>
      <c r="G1760" s="2"/>
      <c r="H1760" s="2"/>
      <c r="I1760" s="2"/>
      <c r="J1760" s="73"/>
      <c r="K1760" s="73"/>
      <c r="L1760" s="73"/>
      <c r="M1760" s="73"/>
      <c r="N1760" s="73"/>
      <c r="O1760" s="73"/>
      <c r="P1760" s="2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 spans="1:29" ht="14.25" customHeight="1" x14ac:dyDescent="0.35">
      <c r="A1761" s="23"/>
      <c r="B1761" s="6"/>
      <c r="C1761" s="6"/>
      <c r="D1761" s="2"/>
      <c r="E1761" s="2"/>
      <c r="F1761" s="2"/>
      <c r="G1761" s="2"/>
      <c r="H1761" s="2"/>
      <c r="I1761" s="2"/>
      <c r="J1761" s="73"/>
      <c r="K1761" s="73"/>
      <c r="L1761" s="73"/>
      <c r="M1761" s="73"/>
      <c r="N1761" s="73"/>
      <c r="O1761" s="73"/>
      <c r="P1761" s="2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 spans="1:29" ht="14.25" customHeight="1" x14ac:dyDescent="0.35">
      <c r="A1762" s="23"/>
      <c r="B1762" s="6"/>
      <c r="C1762" s="6"/>
      <c r="D1762" s="2"/>
      <c r="E1762" s="2"/>
      <c r="F1762" s="2"/>
      <c r="G1762" s="2"/>
      <c r="H1762" s="2"/>
      <c r="I1762" s="2"/>
      <c r="J1762" s="73"/>
      <c r="K1762" s="73"/>
      <c r="L1762" s="73"/>
      <c r="M1762" s="73"/>
      <c r="N1762" s="73"/>
      <c r="O1762" s="73"/>
      <c r="P1762" s="2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 spans="1:29" ht="14.25" customHeight="1" x14ac:dyDescent="0.35">
      <c r="A1763" s="23"/>
      <c r="B1763" s="6"/>
      <c r="C1763" s="6"/>
      <c r="D1763" s="2"/>
      <c r="E1763" s="2"/>
      <c r="F1763" s="2"/>
      <c r="G1763" s="2"/>
      <c r="H1763" s="2"/>
      <c r="I1763" s="2"/>
      <c r="J1763" s="73"/>
      <c r="K1763" s="73"/>
      <c r="L1763" s="73"/>
      <c r="M1763" s="73"/>
      <c r="N1763" s="73"/>
      <c r="O1763" s="73"/>
      <c r="P1763" s="2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 spans="1:29" ht="14.25" customHeight="1" x14ac:dyDescent="0.35">
      <c r="A1764" s="23"/>
      <c r="B1764" s="6"/>
      <c r="C1764" s="6"/>
      <c r="D1764" s="2"/>
      <c r="E1764" s="2"/>
      <c r="F1764" s="2"/>
      <c r="G1764" s="2"/>
      <c r="H1764" s="2"/>
      <c r="I1764" s="2"/>
      <c r="J1764" s="73"/>
      <c r="K1764" s="73"/>
      <c r="L1764" s="73"/>
      <c r="M1764" s="73"/>
      <c r="N1764" s="73"/>
      <c r="O1764" s="73"/>
      <c r="P1764" s="2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 spans="1:29" ht="14.25" customHeight="1" x14ac:dyDescent="0.35">
      <c r="A1765" s="23"/>
      <c r="B1765" s="6"/>
      <c r="C1765" s="6"/>
      <c r="D1765" s="2"/>
      <c r="E1765" s="2"/>
      <c r="F1765" s="2"/>
      <c r="G1765" s="2"/>
      <c r="H1765" s="2"/>
      <c r="I1765" s="2"/>
      <c r="J1765" s="73"/>
      <c r="K1765" s="73"/>
      <c r="L1765" s="73"/>
      <c r="M1765" s="73"/>
      <c r="N1765" s="73"/>
      <c r="O1765" s="73"/>
      <c r="P1765" s="2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 spans="1:29" ht="14.25" customHeight="1" x14ac:dyDescent="0.35">
      <c r="A1766" s="23"/>
      <c r="B1766" s="6"/>
      <c r="C1766" s="6"/>
      <c r="D1766" s="2"/>
      <c r="E1766" s="2"/>
      <c r="F1766" s="2"/>
      <c r="G1766" s="2"/>
      <c r="H1766" s="2"/>
      <c r="I1766" s="2"/>
      <c r="J1766" s="73"/>
      <c r="K1766" s="73"/>
      <c r="L1766" s="73"/>
      <c r="M1766" s="73"/>
      <c r="N1766" s="73"/>
      <c r="O1766" s="73"/>
      <c r="P1766" s="2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 spans="1:29" ht="14.25" customHeight="1" x14ac:dyDescent="0.35">
      <c r="A1767" s="23"/>
      <c r="B1767" s="6"/>
      <c r="C1767" s="6"/>
      <c r="D1767" s="2"/>
      <c r="E1767" s="2"/>
      <c r="F1767" s="2"/>
      <c r="G1767" s="2"/>
      <c r="H1767" s="2"/>
      <c r="I1767" s="2"/>
      <c r="J1767" s="73"/>
      <c r="K1767" s="73"/>
      <c r="L1767" s="73"/>
      <c r="M1767" s="73"/>
      <c r="N1767" s="73"/>
      <c r="O1767" s="73"/>
      <c r="P1767" s="2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 spans="1:29" ht="14.25" customHeight="1" x14ac:dyDescent="0.35">
      <c r="A1768" s="23"/>
      <c r="B1768" s="6"/>
      <c r="C1768" s="6"/>
      <c r="D1768" s="2"/>
      <c r="E1768" s="2"/>
      <c r="F1768" s="2"/>
      <c r="G1768" s="2"/>
      <c r="H1768" s="2"/>
      <c r="I1768" s="2"/>
      <c r="J1768" s="73"/>
      <c r="K1768" s="73"/>
      <c r="L1768" s="73"/>
      <c r="M1768" s="73"/>
      <c r="N1768" s="73"/>
      <c r="O1768" s="73"/>
      <c r="P1768" s="2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 spans="1:29" ht="14.25" customHeight="1" x14ac:dyDescent="0.35">
      <c r="A1769" s="23"/>
      <c r="B1769" s="6"/>
      <c r="C1769" s="6"/>
      <c r="D1769" s="2"/>
      <c r="E1769" s="2"/>
      <c r="F1769" s="2"/>
      <c r="G1769" s="2"/>
      <c r="H1769" s="2"/>
      <c r="I1769" s="2"/>
      <c r="J1769" s="73"/>
      <c r="K1769" s="73"/>
      <c r="L1769" s="73"/>
      <c r="M1769" s="73"/>
      <c r="N1769" s="73"/>
      <c r="O1769" s="73"/>
      <c r="P1769" s="2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 spans="1:29" ht="14.25" customHeight="1" x14ac:dyDescent="0.35">
      <c r="A1770" s="23"/>
      <c r="B1770" s="6"/>
      <c r="C1770" s="6"/>
      <c r="D1770" s="2"/>
      <c r="E1770" s="2"/>
      <c r="F1770" s="2"/>
      <c r="G1770" s="2"/>
      <c r="H1770" s="2"/>
      <c r="I1770" s="2"/>
      <c r="J1770" s="73"/>
      <c r="K1770" s="73"/>
      <c r="L1770" s="73"/>
      <c r="M1770" s="73"/>
      <c r="N1770" s="73"/>
      <c r="O1770" s="73"/>
      <c r="P1770" s="2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 spans="1:29" ht="14.25" customHeight="1" x14ac:dyDescent="0.35">
      <c r="A1771" s="23"/>
      <c r="B1771" s="6"/>
      <c r="C1771" s="6"/>
      <c r="D1771" s="2"/>
      <c r="E1771" s="2"/>
      <c r="F1771" s="2"/>
      <c r="G1771" s="2"/>
      <c r="H1771" s="2"/>
      <c r="I1771" s="2"/>
      <c r="J1771" s="73"/>
      <c r="K1771" s="73"/>
      <c r="L1771" s="73"/>
      <c r="M1771" s="73"/>
      <c r="N1771" s="73"/>
      <c r="O1771" s="73"/>
      <c r="P1771" s="2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 spans="1:29" ht="14.25" customHeight="1" x14ac:dyDescent="0.35">
      <c r="A1772" s="23"/>
      <c r="B1772" s="6"/>
      <c r="C1772" s="6"/>
      <c r="D1772" s="2"/>
      <c r="E1772" s="2"/>
      <c r="F1772" s="2"/>
      <c r="G1772" s="2"/>
      <c r="H1772" s="2"/>
      <c r="I1772" s="2"/>
      <c r="J1772" s="73"/>
      <c r="K1772" s="73"/>
      <c r="L1772" s="73"/>
      <c r="M1772" s="73"/>
      <c r="N1772" s="73"/>
      <c r="O1772" s="73"/>
      <c r="P1772" s="2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 spans="1:29" ht="14.25" customHeight="1" x14ac:dyDescent="0.35">
      <c r="A1773" s="23"/>
      <c r="B1773" s="6"/>
      <c r="C1773" s="6"/>
      <c r="D1773" s="2"/>
      <c r="E1773" s="2"/>
      <c r="F1773" s="2"/>
      <c r="G1773" s="2"/>
      <c r="H1773" s="2"/>
      <c r="I1773" s="2"/>
      <c r="J1773" s="73"/>
      <c r="K1773" s="73"/>
      <c r="L1773" s="73"/>
      <c r="M1773" s="73"/>
      <c r="N1773" s="73"/>
      <c r="O1773" s="73"/>
      <c r="P1773" s="2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 spans="1:29" ht="14.25" customHeight="1" x14ac:dyDescent="0.35">
      <c r="A1774" s="23"/>
      <c r="B1774" s="6"/>
      <c r="C1774" s="6"/>
      <c r="D1774" s="2"/>
      <c r="E1774" s="2"/>
      <c r="F1774" s="2"/>
      <c r="G1774" s="2"/>
      <c r="H1774" s="2"/>
      <c r="I1774" s="2"/>
      <c r="J1774" s="73"/>
      <c r="K1774" s="73"/>
      <c r="L1774" s="73"/>
      <c r="M1774" s="73"/>
      <c r="N1774" s="73"/>
      <c r="O1774" s="73"/>
      <c r="P1774" s="2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 spans="1:29" ht="14.25" customHeight="1" x14ac:dyDescent="0.35">
      <c r="A1775" s="23"/>
      <c r="B1775" s="6"/>
      <c r="C1775" s="6"/>
      <c r="D1775" s="2"/>
      <c r="E1775" s="2"/>
      <c r="F1775" s="2"/>
      <c r="G1775" s="2"/>
      <c r="H1775" s="2"/>
      <c r="I1775" s="2"/>
      <c r="J1775" s="73"/>
      <c r="K1775" s="73"/>
      <c r="L1775" s="73"/>
      <c r="M1775" s="73"/>
      <c r="N1775" s="73"/>
      <c r="O1775" s="73"/>
      <c r="P1775" s="2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 spans="1:29" ht="14.25" customHeight="1" x14ac:dyDescent="0.35">
      <c r="A1776" s="23"/>
      <c r="B1776" s="6"/>
      <c r="C1776" s="6"/>
      <c r="D1776" s="2"/>
      <c r="E1776" s="2"/>
      <c r="F1776" s="2"/>
      <c r="G1776" s="2"/>
      <c r="H1776" s="2"/>
      <c r="I1776" s="2"/>
      <c r="J1776" s="73"/>
      <c r="K1776" s="73"/>
      <c r="L1776" s="73"/>
      <c r="M1776" s="73"/>
      <c r="N1776" s="73"/>
      <c r="O1776" s="73"/>
      <c r="P1776" s="2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 ht="14.25" customHeight="1" x14ac:dyDescent="0.35">
      <c r="A1777" s="23"/>
      <c r="B1777" s="6"/>
      <c r="C1777" s="6"/>
      <c r="D1777" s="2"/>
      <c r="E1777" s="2"/>
      <c r="F1777" s="2"/>
      <c r="G1777" s="2"/>
      <c r="H1777" s="2"/>
      <c r="I1777" s="2"/>
      <c r="J1777" s="73"/>
      <c r="K1777" s="73"/>
      <c r="L1777" s="73"/>
      <c r="M1777" s="73"/>
      <c r="N1777" s="73"/>
      <c r="O1777" s="73"/>
      <c r="P1777" s="2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 spans="1:29" ht="14.25" customHeight="1" x14ac:dyDescent="0.35">
      <c r="A1778" s="23"/>
      <c r="B1778" s="6"/>
      <c r="C1778" s="6"/>
      <c r="D1778" s="2"/>
      <c r="E1778" s="2"/>
      <c r="F1778" s="2"/>
      <c r="G1778" s="2"/>
      <c r="H1778" s="2"/>
      <c r="I1778" s="2"/>
      <c r="J1778" s="73"/>
      <c r="K1778" s="73"/>
      <c r="L1778" s="73"/>
      <c r="M1778" s="73"/>
      <c r="N1778" s="73"/>
      <c r="O1778" s="73"/>
      <c r="P1778" s="2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29" ht="14.25" customHeight="1" x14ac:dyDescent="0.35">
      <c r="A1779" s="23"/>
      <c r="B1779" s="6"/>
      <c r="C1779" s="6"/>
      <c r="D1779" s="2"/>
      <c r="E1779" s="2"/>
      <c r="F1779" s="2"/>
      <c r="G1779" s="2"/>
      <c r="H1779" s="2"/>
      <c r="I1779" s="2"/>
      <c r="J1779" s="73"/>
      <c r="K1779" s="73"/>
      <c r="L1779" s="73"/>
      <c r="M1779" s="73"/>
      <c r="N1779" s="73"/>
      <c r="O1779" s="73"/>
      <c r="P1779" s="2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 spans="1:29" ht="14.25" customHeight="1" x14ac:dyDescent="0.35">
      <c r="A1780" s="23"/>
      <c r="B1780" s="6"/>
      <c r="C1780" s="6"/>
      <c r="D1780" s="2"/>
      <c r="E1780" s="2"/>
      <c r="F1780" s="2"/>
      <c r="G1780" s="2"/>
      <c r="H1780" s="2"/>
      <c r="I1780" s="2"/>
      <c r="J1780" s="73"/>
      <c r="K1780" s="73"/>
      <c r="L1780" s="73"/>
      <c r="M1780" s="73"/>
      <c r="N1780" s="73"/>
      <c r="O1780" s="73"/>
      <c r="P1780" s="2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 spans="1:29" ht="14.25" customHeight="1" x14ac:dyDescent="0.35">
      <c r="A1781" s="23"/>
      <c r="B1781" s="6"/>
      <c r="C1781" s="6"/>
      <c r="D1781" s="2"/>
      <c r="E1781" s="2"/>
      <c r="F1781" s="2"/>
      <c r="G1781" s="2"/>
      <c r="H1781" s="2"/>
      <c r="I1781" s="2"/>
      <c r="J1781" s="73"/>
      <c r="K1781" s="73"/>
      <c r="L1781" s="73"/>
      <c r="M1781" s="73"/>
      <c r="N1781" s="73"/>
      <c r="O1781" s="73"/>
      <c r="P1781" s="2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 spans="1:29" ht="14.25" customHeight="1" x14ac:dyDescent="0.35">
      <c r="A1782" s="23"/>
      <c r="B1782" s="6"/>
      <c r="C1782" s="6"/>
      <c r="D1782" s="2"/>
      <c r="E1782" s="2"/>
      <c r="F1782" s="2"/>
      <c r="G1782" s="2"/>
      <c r="H1782" s="2"/>
      <c r="I1782" s="2"/>
      <c r="J1782" s="73"/>
      <c r="K1782" s="73"/>
      <c r="L1782" s="73"/>
      <c r="M1782" s="73"/>
      <c r="N1782" s="73"/>
      <c r="O1782" s="73"/>
      <c r="P1782" s="2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 spans="1:29" ht="14.25" customHeight="1" x14ac:dyDescent="0.35">
      <c r="A1783" s="23"/>
      <c r="B1783" s="6"/>
      <c r="C1783" s="6"/>
      <c r="D1783" s="2"/>
      <c r="E1783" s="2"/>
      <c r="F1783" s="2"/>
      <c r="G1783" s="2"/>
      <c r="H1783" s="2"/>
      <c r="I1783" s="2"/>
      <c r="J1783" s="73"/>
      <c r="K1783" s="73"/>
      <c r="L1783" s="73"/>
      <c r="M1783" s="73"/>
      <c r="N1783" s="73"/>
      <c r="O1783" s="73"/>
      <c r="P1783" s="2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 spans="1:29" ht="14.25" customHeight="1" x14ac:dyDescent="0.35">
      <c r="A1784" s="23"/>
      <c r="B1784" s="6"/>
      <c r="C1784" s="6"/>
      <c r="D1784" s="2"/>
      <c r="E1784" s="2"/>
      <c r="F1784" s="2"/>
      <c r="G1784" s="2"/>
      <c r="H1784" s="2"/>
      <c r="I1784" s="2"/>
      <c r="J1784" s="73"/>
      <c r="K1784" s="73"/>
      <c r="L1784" s="73"/>
      <c r="M1784" s="73"/>
      <c r="N1784" s="73"/>
      <c r="O1784" s="73"/>
      <c r="P1784" s="2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 spans="1:29" ht="14.25" customHeight="1" x14ac:dyDescent="0.35">
      <c r="A1785" s="23"/>
      <c r="B1785" s="6"/>
      <c r="C1785" s="6"/>
      <c r="D1785" s="2"/>
      <c r="E1785" s="2"/>
      <c r="F1785" s="2"/>
      <c r="G1785" s="2"/>
      <c r="H1785" s="2"/>
      <c r="I1785" s="2"/>
      <c r="J1785" s="73"/>
      <c r="K1785" s="73"/>
      <c r="L1785" s="73"/>
      <c r="M1785" s="73"/>
      <c r="N1785" s="73"/>
      <c r="O1785" s="73"/>
      <c r="P1785" s="2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 spans="1:29" ht="14.25" customHeight="1" x14ac:dyDescent="0.35">
      <c r="A1786" s="23"/>
      <c r="B1786" s="6"/>
      <c r="C1786" s="6"/>
      <c r="D1786" s="2"/>
      <c r="E1786" s="2"/>
      <c r="F1786" s="2"/>
      <c r="G1786" s="2"/>
      <c r="H1786" s="2"/>
      <c r="I1786" s="2"/>
      <c r="J1786" s="73"/>
      <c r="K1786" s="73"/>
      <c r="L1786" s="73"/>
      <c r="M1786" s="73"/>
      <c r="N1786" s="73"/>
      <c r="O1786" s="73"/>
      <c r="P1786" s="2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 ht="14.25" customHeight="1" x14ac:dyDescent="0.35">
      <c r="A1787" s="23"/>
      <c r="B1787" s="6"/>
      <c r="C1787" s="6"/>
      <c r="D1787" s="2"/>
      <c r="E1787" s="2"/>
      <c r="F1787" s="2"/>
      <c r="G1787" s="2"/>
      <c r="H1787" s="2"/>
      <c r="I1787" s="2"/>
      <c r="J1787" s="73"/>
      <c r="K1787" s="73"/>
      <c r="L1787" s="73"/>
      <c r="M1787" s="73"/>
      <c r="N1787" s="73"/>
      <c r="O1787" s="73"/>
      <c r="P1787" s="2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 spans="1:29" ht="14.25" customHeight="1" x14ac:dyDescent="0.35">
      <c r="A1788" s="23"/>
      <c r="B1788" s="6"/>
      <c r="C1788" s="6"/>
      <c r="D1788" s="2"/>
      <c r="E1788" s="2"/>
      <c r="F1788" s="2"/>
      <c r="G1788" s="2"/>
      <c r="H1788" s="2"/>
      <c r="I1788" s="2"/>
      <c r="J1788" s="73"/>
      <c r="K1788" s="73"/>
      <c r="L1788" s="73"/>
      <c r="M1788" s="73"/>
      <c r="N1788" s="73"/>
      <c r="O1788" s="73"/>
      <c r="P1788" s="2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 spans="1:29" ht="14.25" customHeight="1" x14ac:dyDescent="0.35">
      <c r="A1789" s="23"/>
      <c r="B1789" s="6"/>
      <c r="C1789" s="6"/>
      <c r="D1789" s="2"/>
      <c r="E1789" s="2"/>
      <c r="F1789" s="2"/>
      <c r="G1789" s="2"/>
      <c r="H1789" s="2"/>
      <c r="I1789" s="2"/>
      <c r="J1789" s="73"/>
      <c r="K1789" s="73"/>
      <c r="L1789" s="73"/>
      <c r="M1789" s="73"/>
      <c r="N1789" s="73"/>
      <c r="O1789" s="73"/>
      <c r="P1789" s="2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 spans="1:29" ht="14.25" customHeight="1" x14ac:dyDescent="0.35">
      <c r="A1790" s="23"/>
      <c r="B1790" s="6"/>
      <c r="C1790" s="6"/>
      <c r="D1790" s="2"/>
      <c r="E1790" s="2"/>
      <c r="F1790" s="2"/>
      <c r="G1790" s="2"/>
      <c r="H1790" s="2"/>
      <c r="I1790" s="2"/>
      <c r="J1790" s="73"/>
      <c r="K1790" s="73"/>
      <c r="L1790" s="73"/>
      <c r="M1790" s="73"/>
      <c r="N1790" s="73"/>
      <c r="O1790" s="73"/>
      <c r="P1790" s="2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 spans="1:29" ht="14.25" customHeight="1" x14ac:dyDescent="0.35">
      <c r="A1791" s="23"/>
      <c r="B1791" s="6"/>
      <c r="C1791" s="6"/>
      <c r="D1791" s="2"/>
      <c r="E1791" s="2"/>
      <c r="F1791" s="2"/>
      <c r="G1791" s="2"/>
      <c r="H1791" s="2"/>
      <c r="I1791" s="2"/>
      <c r="J1791" s="73"/>
      <c r="K1791" s="73"/>
      <c r="L1791" s="73"/>
      <c r="M1791" s="73"/>
      <c r="N1791" s="73"/>
      <c r="O1791" s="73"/>
      <c r="P1791" s="2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 spans="1:29" ht="14.25" customHeight="1" x14ac:dyDescent="0.35">
      <c r="A1792" s="23"/>
      <c r="B1792" s="6"/>
      <c r="C1792" s="6"/>
      <c r="D1792" s="2"/>
      <c r="E1792" s="2"/>
      <c r="F1792" s="2"/>
      <c r="G1792" s="2"/>
      <c r="H1792" s="2"/>
      <c r="I1792" s="2"/>
      <c r="J1792" s="73"/>
      <c r="K1792" s="73"/>
      <c r="L1792" s="73"/>
      <c r="M1792" s="73"/>
      <c r="N1792" s="73"/>
      <c r="O1792" s="73"/>
      <c r="P1792" s="2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 spans="1:29" ht="14.25" customHeight="1" x14ac:dyDescent="0.35">
      <c r="A1793" s="23"/>
      <c r="B1793" s="6"/>
      <c r="C1793" s="6"/>
      <c r="D1793" s="2"/>
      <c r="E1793" s="2"/>
      <c r="F1793" s="2"/>
      <c r="G1793" s="2"/>
      <c r="H1793" s="2"/>
      <c r="I1793" s="2"/>
      <c r="J1793" s="73"/>
      <c r="K1793" s="73"/>
      <c r="L1793" s="73"/>
      <c r="M1793" s="73"/>
      <c r="N1793" s="73"/>
      <c r="O1793" s="73"/>
      <c r="P1793" s="2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 spans="1:29" ht="14.25" customHeight="1" x14ac:dyDescent="0.35">
      <c r="A1794" s="23"/>
      <c r="B1794" s="6"/>
      <c r="C1794" s="6"/>
      <c r="D1794" s="2"/>
      <c r="E1794" s="2"/>
      <c r="F1794" s="2"/>
      <c r="G1794" s="2"/>
      <c r="H1794" s="2"/>
      <c r="I1794" s="2"/>
      <c r="J1794" s="73"/>
      <c r="K1794" s="73"/>
      <c r="L1794" s="73"/>
      <c r="M1794" s="73"/>
      <c r="N1794" s="73"/>
      <c r="O1794" s="73"/>
      <c r="P1794" s="2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 spans="1:29" ht="14.25" customHeight="1" x14ac:dyDescent="0.35">
      <c r="A1795" s="23"/>
      <c r="B1795" s="6"/>
      <c r="C1795" s="6"/>
      <c r="D1795" s="2"/>
      <c r="E1795" s="2"/>
      <c r="F1795" s="2"/>
      <c r="G1795" s="2"/>
      <c r="H1795" s="2"/>
      <c r="I1795" s="2"/>
      <c r="J1795" s="73"/>
      <c r="K1795" s="73"/>
      <c r="L1795" s="73"/>
      <c r="M1795" s="73"/>
      <c r="N1795" s="73"/>
      <c r="O1795" s="73"/>
      <c r="P1795" s="2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 spans="1:29" ht="14.25" customHeight="1" x14ac:dyDescent="0.35">
      <c r="A1796" s="23"/>
      <c r="B1796" s="6"/>
      <c r="C1796" s="6"/>
      <c r="D1796" s="2"/>
      <c r="E1796" s="2"/>
      <c r="F1796" s="2"/>
      <c r="G1796" s="2"/>
      <c r="H1796" s="2"/>
      <c r="I1796" s="2"/>
      <c r="J1796" s="73"/>
      <c r="K1796" s="73"/>
      <c r="L1796" s="73"/>
      <c r="M1796" s="73"/>
      <c r="N1796" s="73"/>
      <c r="O1796" s="73"/>
      <c r="P1796" s="2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 spans="1:29" ht="14.25" customHeight="1" x14ac:dyDescent="0.35">
      <c r="A1797" s="23"/>
      <c r="B1797" s="6"/>
      <c r="C1797" s="6"/>
      <c r="D1797" s="2"/>
      <c r="E1797" s="2"/>
      <c r="F1797" s="2"/>
      <c r="G1797" s="2"/>
      <c r="H1797" s="2"/>
      <c r="I1797" s="2"/>
      <c r="J1797" s="73"/>
      <c r="K1797" s="73"/>
      <c r="L1797" s="73"/>
      <c r="M1797" s="73"/>
      <c r="N1797" s="73"/>
      <c r="O1797" s="73"/>
      <c r="P1797" s="2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29" ht="14.25" customHeight="1" x14ac:dyDescent="0.35">
      <c r="A1798" s="23"/>
      <c r="B1798" s="6"/>
      <c r="C1798" s="6"/>
      <c r="D1798" s="2"/>
      <c r="E1798" s="2"/>
      <c r="F1798" s="2"/>
      <c r="G1798" s="2"/>
      <c r="H1798" s="2"/>
      <c r="I1798" s="2"/>
      <c r="J1798" s="73"/>
      <c r="K1798" s="73"/>
      <c r="L1798" s="73"/>
      <c r="M1798" s="73"/>
      <c r="N1798" s="73"/>
      <c r="O1798" s="73"/>
      <c r="P1798" s="2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 spans="1:29" ht="14.25" customHeight="1" x14ac:dyDescent="0.35">
      <c r="A1799" s="23"/>
      <c r="B1799" s="6"/>
      <c r="C1799" s="6"/>
      <c r="D1799" s="2"/>
      <c r="E1799" s="2"/>
      <c r="F1799" s="2"/>
      <c r="G1799" s="2"/>
      <c r="H1799" s="2"/>
      <c r="I1799" s="2"/>
      <c r="J1799" s="73"/>
      <c r="K1799" s="73"/>
      <c r="L1799" s="73"/>
      <c r="M1799" s="73"/>
      <c r="N1799" s="73"/>
      <c r="O1799" s="73"/>
      <c r="P1799" s="2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 spans="1:29" ht="14.25" customHeight="1" x14ac:dyDescent="0.35">
      <c r="A1800" s="23"/>
      <c r="B1800" s="6"/>
      <c r="C1800" s="6"/>
      <c r="D1800" s="2"/>
      <c r="E1800" s="2"/>
      <c r="F1800" s="2"/>
      <c r="G1800" s="2"/>
      <c r="H1800" s="2"/>
      <c r="I1800" s="2"/>
      <c r="J1800" s="73"/>
      <c r="K1800" s="73"/>
      <c r="L1800" s="73"/>
      <c r="M1800" s="73"/>
      <c r="N1800" s="73"/>
      <c r="O1800" s="73"/>
      <c r="P1800" s="2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 spans="1:29" ht="14.25" customHeight="1" x14ac:dyDescent="0.35">
      <c r="A1801" s="23"/>
      <c r="B1801" s="6"/>
      <c r="C1801" s="6"/>
      <c r="D1801" s="2"/>
      <c r="E1801" s="2"/>
      <c r="F1801" s="2"/>
      <c r="G1801" s="2"/>
      <c r="H1801" s="2"/>
      <c r="I1801" s="2"/>
      <c r="J1801" s="73"/>
      <c r="K1801" s="73"/>
      <c r="L1801" s="73"/>
      <c r="M1801" s="73"/>
      <c r="N1801" s="73"/>
      <c r="O1801" s="73"/>
      <c r="P1801" s="2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 ht="14.25" customHeight="1" x14ac:dyDescent="0.35">
      <c r="A1802" s="23"/>
      <c r="B1802" s="6"/>
      <c r="C1802" s="6"/>
      <c r="D1802" s="2"/>
      <c r="E1802" s="2"/>
      <c r="F1802" s="2"/>
      <c r="G1802" s="2"/>
      <c r="H1802" s="2"/>
      <c r="I1802" s="2"/>
      <c r="J1802" s="73"/>
      <c r="K1802" s="73"/>
      <c r="L1802" s="73"/>
      <c r="M1802" s="73"/>
      <c r="N1802" s="73"/>
      <c r="O1802" s="73"/>
      <c r="P1802" s="2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 spans="1:29" ht="14.25" customHeight="1" x14ac:dyDescent="0.35">
      <c r="A1803" s="2"/>
      <c r="B1803" s="6"/>
      <c r="C1803" s="6"/>
      <c r="D1803" s="2"/>
      <c r="E1803" s="2"/>
      <c r="F1803" s="2"/>
      <c r="G1803" s="2"/>
      <c r="H1803" s="2"/>
      <c r="I1803" s="2"/>
      <c r="J1803" s="73"/>
      <c r="K1803" s="73"/>
      <c r="L1803" s="73"/>
      <c r="M1803" s="73"/>
      <c r="N1803" s="73"/>
      <c r="O1803" s="73"/>
      <c r="P1803" s="2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 spans="1:29" ht="14.25" customHeight="1" x14ac:dyDescent="0.35">
      <c r="A1804" s="2"/>
      <c r="B1804" s="6"/>
      <c r="C1804" s="6"/>
      <c r="D1804" s="2"/>
      <c r="E1804" s="2"/>
      <c r="F1804" s="2"/>
      <c r="G1804" s="2"/>
      <c r="H1804" s="2"/>
      <c r="I1804" s="2"/>
      <c r="J1804" s="73"/>
      <c r="K1804" s="73"/>
      <c r="L1804" s="73"/>
      <c r="M1804" s="73"/>
      <c r="N1804" s="73"/>
      <c r="O1804" s="73"/>
      <c r="P1804" s="2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 ht="14.25" customHeight="1" x14ac:dyDescent="0.35">
      <c r="A1805" s="2"/>
      <c r="B1805" s="6"/>
      <c r="C1805" s="6"/>
      <c r="D1805" s="2"/>
      <c r="E1805" s="2"/>
      <c r="F1805" s="2"/>
      <c r="G1805" s="2"/>
      <c r="H1805" s="2"/>
      <c r="I1805" s="2"/>
      <c r="J1805" s="73"/>
      <c r="K1805" s="73"/>
      <c r="L1805" s="73"/>
      <c r="M1805" s="73"/>
      <c r="N1805" s="73"/>
      <c r="O1805" s="73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14.25" customHeight="1" x14ac:dyDescent="0.35">
      <c r="A1806" s="2"/>
      <c r="B1806" s="6"/>
      <c r="C1806" s="6"/>
      <c r="D1806" s="2"/>
      <c r="E1806" s="2"/>
      <c r="F1806" s="2"/>
      <c r="G1806" s="2"/>
      <c r="H1806" s="2"/>
      <c r="I1806" s="2"/>
      <c r="J1806" s="73"/>
      <c r="K1806" s="73"/>
      <c r="L1806" s="73"/>
      <c r="M1806" s="73"/>
      <c r="N1806" s="73"/>
      <c r="O1806" s="73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14.25" customHeight="1" x14ac:dyDescent="0.35">
      <c r="A1807" s="2"/>
      <c r="B1807" s="6"/>
      <c r="C1807" s="6"/>
      <c r="D1807" s="2"/>
      <c r="E1807" s="2"/>
      <c r="F1807" s="2"/>
      <c r="G1807" s="2"/>
      <c r="H1807" s="2"/>
      <c r="I1807" s="2"/>
      <c r="J1807" s="73"/>
      <c r="K1807" s="73"/>
      <c r="L1807" s="73"/>
      <c r="M1807" s="73"/>
      <c r="N1807" s="73"/>
      <c r="O1807" s="73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14.25" customHeight="1" x14ac:dyDescent="0.35">
      <c r="A1808" s="2"/>
      <c r="B1808" s="6"/>
      <c r="C1808" s="6"/>
      <c r="D1808" s="2"/>
      <c r="E1808" s="2"/>
      <c r="F1808" s="2"/>
      <c r="G1808" s="2"/>
      <c r="H1808" s="2"/>
      <c r="I1808" s="2"/>
      <c r="J1808" s="73"/>
      <c r="K1808" s="73"/>
      <c r="L1808" s="73"/>
      <c r="M1808" s="73"/>
      <c r="N1808" s="73"/>
      <c r="O1808" s="73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14.25" customHeight="1" x14ac:dyDescent="0.35">
      <c r="A1809" s="2"/>
      <c r="B1809" s="6"/>
      <c r="C1809" s="6"/>
      <c r="D1809" s="2"/>
      <c r="E1809" s="2"/>
      <c r="F1809" s="2"/>
      <c r="G1809" s="2"/>
      <c r="H1809" s="2"/>
      <c r="I1809" s="2"/>
      <c r="J1809" s="73"/>
      <c r="K1809" s="73"/>
      <c r="L1809" s="73"/>
      <c r="M1809" s="73"/>
      <c r="N1809" s="73"/>
      <c r="O1809" s="73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14.25" customHeight="1" x14ac:dyDescent="0.35">
      <c r="A1810" s="2"/>
      <c r="B1810" s="6"/>
      <c r="C1810" s="6"/>
      <c r="D1810" s="2"/>
      <c r="E1810" s="2"/>
      <c r="F1810" s="2"/>
      <c r="G1810" s="2"/>
      <c r="H1810" s="2"/>
      <c r="I1810" s="2"/>
      <c r="J1810" s="73"/>
      <c r="K1810" s="73"/>
      <c r="L1810" s="73"/>
      <c r="M1810" s="73"/>
      <c r="N1810" s="73"/>
      <c r="O1810" s="73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14.25" customHeight="1" x14ac:dyDescent="0.35">
      <c r="A1811" s="2"/>
      <c r="B1811" s="6"/>
      <c r="C1811" s="6"/>
      <c r="D1811" s="2"/>
      <c r="E1811" s="2"/>
      <c r="F1811" s="2"/>
      <c r="G1811" s="2"/>
      <c r="H1811" s="2"/>
      <c r="I1811" s="2"/>
      <c r="J1811" s="73"/>
      <c r="K1811" s="73"/>
      <c r="L1811" s="73"/>
      <c r="M1811" s="73"/>
      <c r="N1811" s="73"/>
      <c r="O1811" s="73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14.25" customHeight="1" x14ac:dyDescent="0.35">
      <c r="A1812" s="2"/>
      <c r="B1812" s="6"/>
      <c r="C1812" s="6"/>
      <c r="D1812" s="2"/>
      <c r="E1812" s="2"/>
      <c r="F1812" s="2"/>
      <c r="G1812" s="2"/>
      <c r="H1812" s="2"/>
      <c r="I1812" s="2"/>
      <c r="J1812" s="73"/>
      <c r="K1812" s="73"/>
      <c r="L1812" s="73"/>
      <c r="M1812" s="73"/>
      <c r="N1812" s="73"/>
      <c r="O1812" s="73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14.25" customHeight="1" x14ac:dyDescent="0.35">
      <c r="A1813" s="2"/>
      <c r="B1813" s="6"/>
      <c r="C1813" s="6"/>
      <c r="D1813" s="2"/>
      <c r="E1813" s="2"/>
      <c r="F1813" s="2"/>
      <c r="G1813" s="2"/>
      <c r="H1813" s="2"/>
      <c r="I1813" s="2"/>
      <c r="J1813" s="73"/>
      <c r="K1813" s="73"/>
      <c r="L1813" s="73"/>
      <c r="M1813" s="73"/>
      <c r="N1813" s="73"/>
      <c r="O1813" s="73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14.25" customHeight="1" x14ac:dyDescent="0.35">
      <c r="A1814" s="2"/>
      <c r="B1814" s="6"/>
      <c r="C1814" s="6"/>
      <c r="D1814" s="2"/>
      <c r="E1814" s="2"/>
      <c r="F1814" s="2"/>
      <c r="G1814" s="2"/>
      <c r="H1814" s="2"/>
      <c r="I1814" s="2"/>
      <c r="J1814" s="73"/>
      <c r="K1814" s="73"/>
      <c r="L1814" s="73"/>
      <c r="M1814" s="73"/>
      <c r="N1814" s="73"/>
      <c r="O1814" s="73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14.25" customHeight="1" x14ac:dyDescent="0.35">
      <c r="A1815" s="2"/>
      <c r="B1815" s="6"/>
      <c r="C1815" s="6"/>
      <c r="D1815" s="2"/>
      <c r="E1815" s="2"/>
      <c r="F1815" s="2"/>
      <c r="G1815" s="2"/>
      <c r="H1815" s="2"/>
      <c r="I1815" s="2"/>
      <c r="J1815" s="73"/>
      <c r="K1815" s="73"/>
      <c r="L1815" s="73"/>
      <c r="M1815" s="73"/>
      <c r="N1815" s="73"/>
      <c r="O1815" s="73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14.25" customHeight="1" x14ac:dyDescent="0.35">
      <c r="A1816" s="2"/>
      <c r="B1816" s="6"/>
      <c r="C1816" s="6"/>
      <c r="D1816" s="2"/>
      <c r="E1816" s="2"/>
      <c r="F1816" s="2"/>
      <c r="G1816" s="2"/>
      <c r="H1816" s="2"/>
      <c r="I1816" s="2"/>
      <c r="J1816" s="73"/>
      <c r="K1816" s="73"/>
      <c r="L1816" s="73"/>
      <c r="M1816" s="73"/>
      <c r="N1816" s="73"/>
      <c r="O1816" s="73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14.25" customHeight="1" x14ac:dyDescent="0.35">
      <c r="A1817" s="2"/>
      <c r="B1817" s="6"/>
      <c r="C1817" s="6"/>
      <c r="D1817" s="2"/>
      <c r="E1817" s="2"/>
      <c r="F1817" s="2"/>
      <c r="G1817" s="2"/>
      <c r="H1817" s="2"/>
      <c r="I1817" s="2"/>
      <c r="J1817" s="73"/>
      <c r="K1817" s="73"/>
      <c r="L1817" s="73"/>
      <c r="M1817" s="73"/>
      <c r="N1817" s="73"/>
      <c r="O1817" s="73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14.25" customHeight="1" x14ac:dyDescent="0.35">
      <c r="A1818" s="2"/>
      <c r="B1818" s="6"/>
      <c r="C1818" s="6"/>
      <c r="D1818" s="2"/>
      <c r="E1818" s="2"/>
      <c r="F1818" s="2"/>
      <c r="G1818" s="2"/>
      <c r="H1818" s="2"/>
      <c r="I1818" s="2"/>
      <c r="J1818" s="73"/>
      <c r="K1818" s="73"/>
      <c r="L1818" s="73"/>
      <c r="M1818" s="73"/>
      <c r="N1818" s="73"/>
      <c r="O1818" s="73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14.25" customHeight="1" x14ac:dyDescent="0.35">
      <c r="A1819" s="2"/>
      <c r="B1819" s="6"/>
      <c r="C1819" s="6"/>
      <c r="D1819" s="2"/>
      <c r="E1819" s="2"/>
      <c r="F1819" s="2"/>
      <c r="G1819" s="2"/>
      <c r="H1819" s="2"/>
      <c r="I1819" s="2"/>
      <c r="J1819" s="73"/>
      <c r="K1819" s="73"/>
      <c r="L1819" s="73"/>
      <c r="M1819" s="73"/>
      <c r="N1819" s="73"/>
      <c r="O1819" s="73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14.25" customHeight="1" x14ac:dyDescent="0.35">
      <c r="A1820" s="2"/>
      <c r="B1820" s="6"/>
      <c r="C1820" s="6"/>
      <c r="D1820" s="2"/>
      <c r="E1820" s="2"/>
      <c r="F1820" s="2"/>
      <c r="G1820" s="2"/>
      <c r="H1820" s="2"/>
      <c r="I1820" s="2"/>
      <c r="J1820" s="73"/>
      <c r="K1820" s="73"/>
      <c r="L1820" s="73"/>
      <c r="M1820" s="73"/>
      <c r="N1820" s="73"/>
      <c r="O1820" s="73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14.25" customHeight="1" x14ac:dyDescent="0.35">
      <c r="A1821" s="2"/>
      <c r="B1821" s="6"/>
      <c r="C1821" s="6"/>
      <c r="D1821" s="2"/>
      <c r="E1821" s="2"/>
      <c r="F1821" s="2"/>
      <c r="G1821" s="2"/>
      <c r="H1821" s="2"/>
      <c r="I1821" s="2"/>
      <c r="J1821" s="73"/>
      <c r="K1821" s="73"/>
      <c r="L1821" s="73"/>
      <c r="M1821" s="73"/>
      <c r="N1821" s="73"/>
      <c r="O1821" s="73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14.25" customHeight="1" x14ac:dyDescent="0.35">
      <c r="A1822" s="2"/>
      <c r="B1822" s="6"/>
      <c r="C1822" s="6"/>
      <c r="D1822" s="2"/>
      <c r="E1822" s="2"/>
      <c r="F1822" s="2"/>
      <c r="G1822" s="2"/>
      <c r="H1822" s="2"/>
      <c r="I1822" s="2"/>
      <c r="J1822" s="73"/>
      <c r="K1822" s="73"/>
      <c r="L1822" s="73"/>
      <c r="M1822" s="73"/>
      <c r="N1822" s="73"/>
      <c r="O1822" s="73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14.25" customHeight="1" x14ac:dyDescent="0.35">
      <c r="A1823" s="2"/>
      <c r="B1823" s="6"/>
      <c r="C1823" s="6"/>
      <c r="D1823" s="2"/>
      <c r="E1823" s="2"/>
      <c r="F1823" s="2"/>
      <c r="G1823" s="2"/>
      <c r="H1823" s="2"/>
      <c r="I1823" s="2"/>
      <c r="J1823" s="73"/>
      <c r="K1823" s="73"/>
      <c r="L1823" s="73"/>
      <c r="M1823" s="73"/>
      <c r="N1823" s="73"/>
      <c r="O1823" s="73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14.25" customHeight="1" x14ac:dyDescent="0.35">
      <c r="A1824" s="2"/>
      <c r="B1824" s="6"/>
      <c r="C1824" s="6"/>
      <c r="D1824" s="2"/>
      <c r="E1824" s="2"/>
      <c r="F1824" s="2"/>
      <c r="G1824" s="2"/>
      <c r="H1824" s="2"/>
      <c r="I1824" s="2"/>
      <c r="J1824" s="73"/>
      <c r="K1824" s="73"/>
      <c r="L1824" s="73"/>
      <c r="M1824" s="73"/>
      <c r="N1824" s="73"/>
      <c r="O1824" s="73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14.25" customHeight="1" x14ac:dyDescent="0.35">
      <c r="A1825" s="2"/>
      <c r="B1825" s="6"/>
      <c r="C1825" s="6"/>
      <c r="D1825" s="2"/>
      <c r="E1825" s="2"/>
      <c r="F1825" s="2"/>
      <c r="G1825" s="2"/>
      <c r="H1825" s="2"/>
      <c r="I1825" s="2"/>
      <c r="J1825" s="73"/>
      <c r="K1825" s="73"/>
      <c r="L1825" s="73"/>
      <c r="M1825" s="73"/>
      <c r="N1825" s="73"/>
      <c r="O1825" s="73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14.25" customHeight="1" x14ac:dyDescent="0.35">
      <c r="A1826" s="2"/>
      <c r="B1826" s="6"/>
      <c r="C1826" s="6"/>
      <c r="D1826" s="2"/>
      <c r="E1826" s="2"/>
      <c r="F1826" s="2"/>
      <c r="G1826" s="2"/>
      <c r="H1826" s="2"/>
      <c r="I1826" s="2"/>
      <c r="J1826" s="73"/>
      <c r="K1826" s="73"/>
      <c r="L1826" s="73"/>
      <c r="M1826" s="73"/>
      <c r="N1826" s="73"/>
      <c r="O1826" s="73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14.25" customHeight="1" x14ac:dyDescent="0.35">
      <c r="A1827" s="2"/>
      <c r="B1827" s="6"/>
      <c r="C1827" s="6"/>
      <c r="D1827" s="2"/>
      <c r="E1827" s="2"/>
      <c r="F1827" s="2"/>
      <c r="G1827" s="2"/>
      <c r="H1827" s="2"/>
      <c r="I1827" s="2"/>
      <c r="J1827" s="73"/>
      <c r="K1827" s="73"/>
      <c r="L1827" s="73"/>
      <c r="M1827" s="73"/>
      <c r="N1827" s="73"/>
      <c r="O1827" s="73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14.25" customHeight="1" x14ac:dyDescent="0.35">
      <c r="A1828" s="2"/>
      <c r="B1828" s="6"/>
      <c r="C1828" s="6"/>
      <c r="D1828" s="2"/>
      <c r="E1828" s="2"/>
      <c r="F1828" s="2"/>
      <c r="G1828" s="2"/>
      <c r="H1828" s="2"/>
      <c r="I1828" s="2"/>
      <c r="J1828" s="73"/>
      <c r="K1828" s="73"/>
      <c r="L1828" s="73"/>
      <c r="M1828" s="73"/>
      <c r="N1828" s="73"/>
      <c r="O1828" s="73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14.25" customHeight="1" x14ac:dyDescent="0.35">
      <c r="A1829" s="2"/>
      <c r="B1829" s="6"/>
      <c r="C1829" s="6"/>
      <c r="D1829" s="2"/>
      <c r="E1829" s="2"/>
      <c r="F1829" s="2"/>
      <c r="G1829" s="2"/>
      <c r="H1829" s="2"/>
      <c r="I1829" s="2"/>
      <c r="J1829" s="73"/>
      <c r="K1829" s="73"/>
      <c r="L1829" s="73"/>
      <c r="M1829" s="73"/>
      <c r="N1829" s="73"/>
      <c r="O1829" s="73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14.25" customHeight="1" x14ac:dyDescent="0.35">
      <c r="A1830" s="2"/>
      <c r="B1830" s="6"/>
      <c r="C1830" s="6"/>
      <c r="D1830" s="2"/>
      <c r="E1830" s="2"/>
      <c r="F1830" s="2"/>
      <c r="G1830" s="2"/>
      <c r="H1830" s="2"/>
      <c r="I1830" s="2"/>
      <c r="J1830" s="73"/>
      <c r="K1830" s="73"/>
      <c r="L1830" s="73"/>
      <c r="M1830" s="73"/>
      <c r="N1830" s="73"/>
      <c r="O1830" s="73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14.25" customHeight="1" x14ac:dyDescent="0.35">
      <c r="A1831" s="2"/>
      <c r="B1831" s="6"/>
      <c r="C1831" s="6"/>
      <c r="D1831" s="2"/>
      <c r="E1831" s="2"/>
      <c r="F1831" s="2"/>
      <c r="G1831" s="2"/>
      <c r="H1831" s="2"/>
      <c r="I1831" s="2"/>
      <c r="J1831" s="73"/>
      <c r="K1831" s="73"/>
      <c r="L1831" s="73"/>
      <c r="M1831" s="73"/>
      <c r="N1831" s="73"/>
      <c r="O1831" s="73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14.25" customHeight="1" x14ac:dyDescent="0.35">
      <c r="A1832" s="2"/>
      <c r="B1832" s="6"/>
      <c r="C1832" s="6"/>
      <c r="D1832" s="2"/>
      <c r="E1832" s="2"/>
      <c r="F1832" s="2"/>
      <c r="G1832" s="2"/>
      <c r="H1832" s="2"/>
      <c r="I1832" s="2"/>
      <c r="J1832" s="73"/>
      <c r="K1832" s="73"/>
      <c r="L1832" s="73"/>
      <c r="M1832" s="73"/>
      <c r="N1832" s="73"/>
      <c r="O1832" s="73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14.25" customHeight="1" x14ac:dyDescent="0.35">
      <c r="A1833" s="2"/>
      <c r="B1833" s="6"/>
      <c r="C1833" s="6"/>
      <c r="D1833" s="2"/>
      <c r="E1833" s="2"/>
      <c r="F1833" s="2"/>
      <c r="G1833" s="2"/>
      <c r="H1833" s="2"/>
      <c r="I1833" s="2"/>
      <c r="J1833" s="73"/>
      <c r="K1833" s="73"/>
      <c r="L1833" s="73"/>
      <c r="M1833" s="73"/>
      <c r="N1833" s="73"/>
      <c r="O1833" s="73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14.25" customHeight="1" x14ac:dyDescent="0.35">
      <c r="A1834" s="2"/>
      <c r="B1834" s="6"/>
      <c r="C1834" s="6"/>
      <c r="D1834" s="2"/>
      <c r="E1834" s="2"/>
      <c r="F1834" s="2"/>
      <c r="G1834" s="2"/>
      <c r="H1834" s="2"/>
      <c r="I1834" s="2"/>
      <c r="J1834" s="73"/>
      <c r="K1834" s="73"/>
      <c r="L1834" s="73"/>
      <c r="M1834" s="73"/>
      <c r="N1834" s="73"/>
      <c r="O1834" s="73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14.25" customHeight="1" x14ac:dyDescent="0.35">
      <c r="A1835" s="2"/>
      <c r="B1835" s="6"/>
      <c r="C1835" s="6"/>
      <c r="D1835" s="2"/>
      <c r="E1835" s="2"/>
      <c r="F1835" s="2"/>
      <c r="G1835" s="2"/>
      <c r="H1835" s="2"/>
      <c r="I1835" s="2"/>
      <c r="J1835" s="73"/>
      <c r="K1835" s="73"/>
      <c r="L1835" s="73"/>
      <c r="M1835" s="73"/>
      <c r="N1835" s="73"/>
      <c r="O1835" s="73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14.25" customHeight="1" x14ac:dyDescent="0.35">
      <c r="A1836" s="2"/>
      <c r="B1836" s="6"/>
      <c r="C1836" s="6"/>
      <c r="D1836" s="2"/>
      <c r="E1836" s="2"/>
      <c r="F1836" s="2"/>
      <c r="G1836" s="2"/>
      <c r="H1836" s="2"/>
      <c r="I1836" s="2"/>
      <c r="J1836" s="73"/>
      <c r="K1836" s="73"/>
      <c r="L1836" s="73"/>
      <c r="M1836" s="73"/>
      <c r="N1836" s="73"/>
      <c r="O1836" s="73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14.25" customHeight="1" x14ac:dyDescent="0.35">
      <c r="A1837" s="2"/>
      <c r="B1837" s="6"/>
      <c r="C1837" s="6"/>
      <c r="D1837" s="2"/>
      <c r="E1837" s="2"/>
      <c r="F1837" s="2"/>
      <c r="G1837" s="2"/>
      <c r="H1837" s="2"/>
      <c r="I1837" s="2"/>
      <c r="J1837" s="73"/>
      <c r="K1837" s="73"/>
      <c r="L1837" s="73"/>
      <c r="M1837" s="73"/>
      <c r="N1837" s="73"/>
      <c r="O1837" s="73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14.25" customHeight="1" x14ac:dyDescent="0.35">
      <c r="A1838" s="2"/>
      <c r="B1838" s="6"/>
      <c r="C1838" s="6"/>
      <c r="D1838" s="2"/>
      <c r="E1838" s="2"/>
      <c r="F1838" s="2"/>
      <c r="G1838" s="2"/>
      <c r="H1838" s="2"/>
      <c r="I1838" s="2"/>
      <c r="J1838" s="73"/>
      <c r="K1838" s="73"/>
      <c r="L1838" s="73"/>
      <c r="M1838" s="73"/>
      <c r="N1838" s="73"/>
      <c r="O1838" s="73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14.25" customHeight="1" x14ac:dyDescent="0.35">
      <c r="A1839" s="2"/>
      <c r="B1839" s="6"/>
      <c r="C1839" s="6"/>
      <c r="D1839" s="2"/>
      <c r="E1839" s="2"/>
      <c r="F1839" s="2"/>
      <c r="G1839" s="2"/>
      <c r="H1839" s="2"/>
      <c r="I1839" s="2"/>
      <c r="J1839" s="73"/>
      <c r="K1839" s="73"/>
      <c r="L1839" s="73"/>
      <c r="M1839" s="73"/>
      <c r="N1839" s="73"/>
      <c r="O1839" s="73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14.25" customHeight="1" x14ac:dyDescent="0.35">
      <c r="A1840" s="2"/>
      <c r="B1840" s="6"/>
      <c r="C1840" s="6"/>
      <c r="D1840" s="2"/>
      <c r="E1840" s="2"/>
      <c r="F1840" s="2"/>
      <c r="G1840" s="2"/>
      <c r="H1840" s="2"/>
      <c r="I1840" s="2"/>
      <c r="J1840" s="73"/>
      <c r="K1840" s="73"/>
      <c r="L1840" s="73"/>
      <c r="M1840" s="73"/>
      <c r="N1840" s="73"/>
      <c r="O1840" s="73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14.25" customHeight="1" x14ac:dyDescent="0.35">
      <c r="A1841" s="2"/>
      <c r="B1841" s="6"/>
      <c r="C1841" s="6"/>
      <c r="D1841" s="2"/>
      <c r="E1841" s="2"/>
      <c r="F1841" s="2"/>
      <c r="G1841" s="2"/>
      <c r="H1841" s="2"/>
      <c r="I1841" s="2"/>
      <c r="J1841" s="73"/>
      <c r="K1841" s="73"/>
      <c r="L1841" s="73"/>
      <c r="M1841" s="73"/>
      <c r="N1841" s="73"/>
      <c r="O1841" s="73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14.25" customHeight="1" x14ac:dyDescent="0.35">
      <c r="A1842" s="2"/>
      <c r="B1842" s="6"/>
      <c r="C1842" s="6"/>
      <c r="D1842" s="2"/>
      <c r="E1842" s="2"/>
      <c r="F1842" s="2"/>
      <c r="G1842" s="2"/>
      <c r="H1842" s="2"/>
      <c r="I1842" s="2"/>
      <c r="J1842" s="73"/>
      <c r="K1842" s="73"/>
      <c r="L1842" s="73"/>
      <c r="M1842" s="73"/>
      <c r="N1842" s="73"/>
      <c r="O1842" s="73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14.25" customHeight="1" x14ac:dyDescent="0.35">
      <c r="A1843" s="2"/>
      <c r="B1843" s="6"/>
      <c r="C1843" s="6"/>
      <c r="D1843" s="2"/>
      <c r="E1843" s="2"/>
      <c r="F1843" s="2"/>
      <c r="G1843" s="2"/>
      <c r="H1843" s="2"/>
      <c r="I1843" s="2"/>
      <c r="J1843" s="73"/>
      <c r="K1843" s="73"/>
      <c r="L1843" s="73"/>
      <c r="M1843" s="73"/>
      <c r="N1843" s="73"/>
      <c r="O1843" s="73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14.25" customHeight="1" x14ac:dyDescent="0.35">
      <c r="A1844" s="2"/>
      <c r="B1844" s="6"/>
      <c r="C1844" s="6"/>
      <c r="D1844" s="2"/>
      <c r="E1844" s="2"/>
      <c r="F1844" s="2"/>
      <c r="G1844" s="2"/>
      <c r="H1844" s="2"/>
      <c r="I1844" s="2"/>
      <c r="J1844" s="73"/>
      <c r="K1844" s="73"/>
      <c r="L1844" s="73"/>
      <c r="M1844" s="73"/>
      <c r="N1844" s="73"/>
      <c r="O1844" s="73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14.25" customHeight="1" x14ac:dyDescent="0.35">
      <c r="A1845" s="2"/>
      <c r="B1845" s="6"/>
      <c r="C1845" s="6"/>
      <c r="D1845" s="2"/>
      <c r="E1845" s="2"/>
      <c r="F1845" s="2"/>
      <c r="G1845" s="2"/>
      <c r="H1845" s="2"/>
      <c r="I1845" s="2"/>
      <c r="J1845" s="73"/>
      <c r="K1845" s="73"/>
      <c r="L1845" s="73"/>
      <c r="M1845" s="73"/>
      <c r="N1845" s="73"/>
      <c r="O1845" s="73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14.25" customHeight="1" x14ac:dyDescent="0.35">
      <c r="A1846" s="2"/>
      <c r="B1846" s="6"/>
      <c r="C1846" s="6"/>
      <c r="D1846" s="2"/>
      <c r="E1846" s="2"/>
      <c r="F1846" s="2"/>
      <c r="G1846" s="2"/>
      <c r="H1846" s="2"/>
      <c r="I1846" s="2"/>
      <c r="J1846" s="73"/>
      <c r="K1846" s="73"/>
      <c r="L1846" s="73"/>
      <c r="M1846" s="73"/>
      <c r="N1846" s="73"/>
      <c r="O1846" s="73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14.25" customHeight="1" x14ac:dyDescent="0.35">
      <c r="A1847" s="2"/>
      <c r="B1847" s="6"/>
      <c r="C1847" s="6"/>
      <c r="D1847" s="2"/>
      <c r="E1847" s="2"/>
      <c r="F1847" s="2"/>
      <c r="G1847" s="2"/>
      <c r="H1847" s="2"/>
      <c r="I1847" s="2"/>
      <c r="J1847" s="73"/>
      <c r="K1847" s="73"/>
      <c r="L1847" s="73"/>
      <c r="M1847" s="73"/>
      <c r="N1847" s="73"/>
      <c r="O1847" s="73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14.25" customHeight="1" x14ac:dyDescent="0.35">
      <c r="A1848" s="2"/>
      <c r="B1848" s="6"/>
      <c r="C1848" s="6"/>
      <c r="D1848" s="2"/>
      <c r="E1848" s="2"/>
      <c r="F1848" s="2"/>
      <c r="G1848" s="2"/>
      <c r="H1848" s="2"/>
      <c r="I1848" s="2"/>
      <c r="J1848" s="73"/>
      <c r="K1848" s="73"/>
      <c r="L1848" s="73"/>
      <c r="M1848" s="73"/>
      <c r="N1848" s="73"/>
      <c r="O1848" s="73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14.25" customHeight="1" x14ac:dyDescent="0.35">
      <c r="A1849" s="2"/>
      <c r="B1849" s="6"/>
      <c r="C1849" s="6"/>
      <c r="D1849" s="2"/>
      <c r="E1849" s="2"/>
      <c r="F1849" s="2"/>
      <c r="G1849" s="2"/>
      <c r="H1849" s="2"/>
      <c r="I1849" s="2"/>
      <c r="J1849" s="73"/>
      <c r="K1849" s="73"/>
      <c r="L1849" s="73"/>
      <c r="M1849" s="73"/>
      <c r="N1849" s="73"/>
      <c r="O1849" s="73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14.25" customHeight="1" x14ac:dyDescent="0.35">
      <c r="A1850" s="2"/>
      <c r="B1850" s="6"/>
      <c r="C1850" s="6"/>
      <c r="D1850" s="2"/>
      <c r="E1850" s="2"/>
      <c r="F1850" s="2"/>
      <c r="G1850" s="2"/>
      <c r="H1850" s="2"/>
      <c r="I1850" s="2"/>
      <c r="J1850" s="73"/>
      <c r="K1850" s="73"/>
      <c r="L1850" s="73"/>
      <c r="M1850" s="73"/>
      <c r="N1850" s="73"/>
      <c r="O1850" s="73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14.25" customHeight="1" x14ac:dyDescent="0.35">
      <c r="A1851" s="2"/>
      <c r="B1851" s="6"/>
      <c r="C1851" s="6"/>
      <c r="D1851" s="2"/>
      <c r="E1851" s="2"/>
      <c r="F1851" s="2"/>
      <c r="G1851" s="2"/>
      <c r="H1851" s="2"/>
      <c r="I1851" s="2"/>
      <c r="J1851" s="73"/>
      <c r="K1851" s="73"/>
      <c r="L1851" s="73"/>
      <c r="M1851" s="73"/>
      <c r="N1851" s="73"/>
      <c r="O1851" s="73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14.25" customHeight="1" x14ac:dyDescent="0.35">
      <c r="A1852" s="2"/>
      <c r="B1852" s="6"/>
      <c r="C1852" s="6"/>
      <c r="D1852" s="2"/>
      <c r="E1852" s="2"/>
      <c r="F1852" s="2"/>
      <c r="G1852" s="2"/>
      <c r="H1852" s="2"/>
      <c r="I1852" s="2"/>
      <c r="J1852" s="73"/>
      <c r="K1852" s="73"/>
      <c r="L1852" s="73"/>
      <c r="M1852" s="73"/>
      <c r="N1852" s="73"/>
      <c r="O1852" s="73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14.25" customHeight="1" x14ac:dyDescent="0.35">
      <c r="A1853" s="2"/>
      <c r="B1853" s="6"/>
      <c r="C1853" s="6"/>
      <c r="D1853" s="2"/>
      <c r="E1853" s="2"/>
      <c r="F1853" s="2"/>
      <c r="G1853" s="2"/>
      <c r="H1853" s="2"/>
      <c r="I1853" s="2"/>
      <c r="J1853" s="73"/>
      <c r="K1853" s="73"/>
      <c r="L1853" s="73"/>
      <c r="M1853" s="73"/>
      <c r="N1853" s="73"/>
      <c r="O1853" s="73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14.25" customHeight="1" x14ac:dyDescent="0.35">
      <c r="A1854" s="2"/>
      <c r="B1854" s="6"/>
      <c r="C1854" s="6"/>
      <c r="D1854" s="2"/>
      <c r="E1854" s="2"/>
      <c r="F1854" s="2"/>
      <c r="G1854" s="2"/>
      <c r="H1854" s="2"/>
      <c r="I1854" s="2"/>
      <c r="J1854" s="73"/>
      <c r="K1854" s="73"/>
      <c r="L1854" s="73"/>
      <c r="M1854" s="73"/>
      <c r="N1854" s="73"/>
      <c r="O1854" s="73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14.25" customHeight="1" x14ac:dyDescent="0.35">
      <c r="A1855" s="2"/>
      <c r="B1855" s="6"/>
      <c r="C1855" s="6"/>
      <c r="D1855" s="2"/>
      <c r="E1855" s="2"/>
      <c r="F1855" s="2"/>
      <c r="G1855" s="2"/>
      <c r="H1855" s="2"/>
      <c r="I1855" s="2"/>
      <c r="J1855" s="73"/>
      <c r="K1855" s="73"/>
      <c r="L1855" s="73"/>
      <c r="M1855" s="73"/>
      <c r="N1855" s="73"/>
      <c r="O1855" s="73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14.25" customHeight="1" x14ac:dyDescent="0.35">
      <c r="A1856" s="2"/>
      <c r="B1856" s="6"/>
      <c r="C1856" s="6"/>
      <c r="D1856" s="2"/>
      <c r="E1856" s="2"/>
      <c r="F1856" s="2"/>
      <c r="G1856" s="2"/>
      <c r="H1856" s="2"/>
      <c r="I1856" s="2"/>
      <c r="J1856" s="73"/>
      <c r="K1856" s="73"/>
      <c r="L1856" s="73"/>
      <c r="M1856" s="73"/>
      <c r="N1856" s="73"/>
      <c r="O1856" s="73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14.25" customHeight="1" x14ac:dyDescent="0.35">
      <c r="A1857" s="2"/>
      <c r="B1857" s="6"/>
      <c r="C1857" s="6"/>
      <c r="D1857" s="2"/>
      <c r="E1857" s="2"/>
      <c r="F1857" s="2"/>
      <c r="G1857" s="2"/>
      <c r="H1857" s="2"/>
      <c r="I1857" s="2"/>
      <c r="J1857" s="73"/>
      <c r="K1857" s="73"/>
      <c r="L1857" s="73"/>
      <c r="M1857" s="73"/>
      <c r="N1857" s="73"/>
      <c r="O1857" s="73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14.25" customHeight="1" x14ac:dyDescent="0.35">
      <c r="A1858" s="2"/>
      <c r="B1858" s="6"/>
      <c r="C1858" s="6"/>
      <c r="D1858" s="2"/>
      <c r="E1858" s="2"/>
      <c r="F1858" s="2"/>
      <c r="G1858" s="2"/>
      <c r="H1858" s="2"/>
      <c r="I1858" s="2"/>
      <c r="J1858" s="73"/>
      <c r="K1858" s="73"/>
      <c r="L1858" s="73"/>
      <c r="M1858" s="73"/>
      <c r="N1858" s="73"/>
      <c r="O1858" s="73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14.25" customHeight="1" x14ac:dyDescent="0.35">
      <c r="A1859" s="2"/>
      <c r="B1859" s="6"/>
      <c r="C1859" s="6"/>
      <c r="D1859" s="2"/>
      <c r="E1859" s="2"/>
      <c r="F1859" s="2"/>
      <c r="G1859" s="2"/>
      <c r="H1859" s="2"/>
      <c r="I1859" s="2"/>
      <c r="J1859" s="73"/>
      <c r="K1859" s="73"/>
      <c r="L1859" s="73"/>
      <c r="M1859" s="73"/>
      <c r="N1859" s="73"/>
      <c r="O1859" s="73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14.25" customHeight="1" x14ac:dyDescent="0.35">
      <c r="A1860" s="2"/>
      <c r="B1860" s="6"/>
      <c r="C1860" s="6"/>
      <c r="D1860" s="2"/>
      <c r="E1860" s="2"/>
      <c r="F1860" s="2"/>
      <c r="G1860" s="2"/>
      <c r="H1860" s="2"/>
      <c r="I1860" s="2"/>
      <c r="J1860" s="73"/>
      <c r="K1860" s="73"/>
      <c r="L1860" s="73"/>
      <c r="M1860" s="73"/>
      <c r="N1860" s="73"/>
      <c r="O1860" s="73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14.25" customHeight="1" x14ac:dyDescent="0.35">
      <c r="A1861" s="2"/>
      <c r="B1861" s="6"/>
      <c r="C1861" s="6"/>
      <c r="D1861" s="2"/>
      <c r="E1861" s="2"/>
      <c r="F1861" s="2"/>
      <c r="G1861" s="2"/>
      <c r="H1861" s="2"/>
      <c r="I1861" s="2"/>
      <c r="J1861" s="73"/>
      <c r="K1861" s="73"/>
      <c r="L1861" s="73"/>
      <c r="M1861" s="73"/>
      <c r="N1861" s="73"/>
      <c r="O1861" s="73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14.25" customHeight="1" x14ac:dyDescent="0.35">
      <c r="A1862" s="2"/>
      <c r="B1862" s="6"/>
      <c r="C1862" s="6"/>
      <c r="D1862" s="2"/>
      <c r="E1862" s="2"/>
      <c r="F1862" s="2"/>
      <c r="G1862" s="2"/>
      <c r="H1862" s="2"/>
      <c r="I1862" s="2"/>
      <c r="J1862" s="73"/>
      <c r="K1862" s="73"/>
      <c r="L1862" s="73"/>
      <c r="M1862" s="73"/>
      <c r="N1862" s="73"/>
      <c r="O1862" s="73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14.25" customHeight="1" x14ac:dyDescent="0.35">
      <c r="A1863" s="2"/>
      <c r="B1863" s="6"/>
      <c r="C1863" s="6"/>
      <c r="D1863" s="2"/>
      <c r="E1863" s="2"/>
      <c r="F1863" s="2"/>
      <c r="G1863" s="2"/>
      <c r="H1863" s="2"/>
      <c r="I1863" s="2"/>
      <c r="J1863" s="73"/>
      <c r="K1863" s="73"/>
      <c r="L1863" s="73"/>
      <c r="M1863" s="73"/>
      <c r="N1863" s="73"/>
      <c r="O1863" s="73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14.25" customHeight="1" x14ac:dyDescent="0.35">
      <c r="A1864" s="2"/>
      <c r="B1864" s="6"/>
      <c r="C1864" s="6"/>
      <c r="D1864" s="2"/>
      <c r="E1864" s="2"/>
      <c r="F1864" s="2"/>
      <c r="G1864" s="2"/>
      <c r="H1864" s="2"/>
      <c r="I1864" s="2"/>
      <c r="J1864" s="73"/>
      <c r="K1864" s="73"/>
      <c r="L1864" s="73"/>
      <c r="M1864" s="73"/>
      <c r="N1864" s="73"/>
      <c r="O1864" s="73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14.25" customHeight="1" x14ac:dyDescent="0.35">
      <c r="A1865" s="2"/>
      <c r="B1865" s="6"/>
      <c r="C1865" s="6"/>
      <c r="D1865" s="2"/>
      <c r="E1865" s="2"/>
      <c r="F1865" s="2"/>
      <c r="G1865" s="2"/>
      <c r="H1865" s="2"/>
      <c r="I1865" s="2"/>
      <c r="J1865" s="73"/>
      <c r="K1865" s="73"/>
      <c r="L1865" s="73"/>
      <c r="M1865" s="73"/>
      <c r="N1865" s="73"/>
      <c r="O1865" s="73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14.25" customHeight="1" x14ac:dyDescent="0.35">
      <c r="A1866" s="2"/>
      <c r="B1866" s="6"/>
      <c r="C1866" s="6"/>
      <c r="D1866" s="2"/>
      <c r="E1866" s="2"/>
      <c r="F1866" s="2"/>
      <c r="G1866" s="2"/>
      <c r="H1866" s="2"/>
      <c r="I1866" s="2"/>
      <c r="J1866" s="73"/>
      <c r="K1866" s="73"/>
      <c r="L1866" s="73"/>
      <c r="M1866" s="73"/>
      <c r="N1866" s="73"/>
      <c r="O1866" s="73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14.25" customHeight="1" x14ac:dyDescent="0.35">
      <c r="A1867" s="2"/>
      <c r="B1867" s="6"/>
      <c r="C1867" s="6"/>
      <c r="D1867" s="2"/>
      <c r="E1867" s="2"/>
      <c r="F1867" s="2"/>
      <c r="G1867" s="2"/>
      <c r="H1867" s="2"/>
      <c r="I1867" s="2"/>
      <c r="J1867" s="73"/>
      <c r="K1867" s="73"/>
      <c r="L1867" s="73"/>
      <c r="M1867" s="73"/>
      <c r="N1867" s="73"/>
      <c r="O1867" s="73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14.25" customHeight="1" x14ac:dyDescent="0.35">
      <c r="A1868" s="2"/>
      <c r="B1868" s="6"/>
      <c r="C1868" s="6"/>
      <c r="D1868" s="2"/>
      <c r="E1868" s="2"/>
      <c r="F1868" s="2"/>
      <c r="G1868" s="2"/>
      <c r="H1868" s="2"/>
      <c r="I1868" s="2"/>
      <c r="J1868" s="73"/>
      <c r="K1868" s="73"/>
      <c r="L1868" s="73"/>
      <c r="M1868" s="73"/>
      <c r="N1868" s="73"/>
      <c r="O1868" s="73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14.25" customHeight="1" x14ac:dyDescent="0.35">
      <c r="A1869" s="2"/>
      <c r="B1869" s="6"/>
      <c r="C1869" s="6"/>
      <c r="D1869" s="2"/>
      <c r="E1869" s="2"/>
      <c r="F1869" s="2"/>
      <c r="G1869" s="2"/>
      <c r="H1869" s="2"/>
      <c r="I1869" s="2"/>
      <c r="J1869" s="73"/>
      <c r="K1869" s="73"/>
      <c r="L1869" s="73"/>
      <c r="M1869" s="73"/>
      <c r="N1869" s="73"/>
      <c r="O1869" s="73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14.25" customHeight="1" x14ac:dyDescent="0.35">
      <c r="A1870" s="2"/>
      <c r="B1870" s="6"/>
      <c r="C1870" s="6"/>
      <c r="D1870" s="2"/>
      <c r="E1870" s="2"/>
      <c r="F1870" s="2"/>
      <c r="G1870" s="2"/>
      <c r="H1870" s="2"/>
      <c r="I1870" s="2"/>
      <c r="J1870" s="73"/>
      <c r="K1870" s="73"/>
      <c r="L1870" s="73"/>
      <c r="M1870" s="73"/>
      <c r="N1870" s="73"/>
      <c r="O1870" s="73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14.25" customHeight="1" x14ac:dyDescent="0.35">
      <c r="A1871" s="2"/>
      <c r="B1871" s="6"/>
      <c r="C1871" s="6"/>
      <c r="D1871" s="2"/>
      <c r="E1871" s="2"/>
      <c r="F1871" s="2"/>
      <c r="G1871" s="2"/>
      <c r="H1871" s="2"/>
      <c r="I1871" s="2"/>
      <c r="J1871" s="73"/>
      <c r="K1871" s="73"/>
      <c r="L1871" s="73"/>
      <c r="M1871" s="73"/>
      <c r="N1871" s="73"/>
      <c r="O1871" s="73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14.25" customHeight="1" x14ac:dyDescent="0.35">
      <c r="A1872" s="2"/>
      <c r="B1872" s="6"/>
      <c r="C1872" s="6"/>
      <c r="D1872" s="2"/>
      <c r="E1872" s="2"/>
      <c r="F1872" s="2"/>
      <c r="G1872" s="2"/>
      <c r="H1872" s="2"/>
      <c r="I1872" s="2"/>
      <c r="J1872" s="73"/>
      <c r="K1872" s="73"/>
      <c r="L1872" s="73"/>
      <c r="M1872" s="73"/>
      <c r="N1872" s="73"/>
      <c r="O1872" s="73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14.25" customHeight="1" x14ac:dyDescent="0.35">
      <c r="A1873" s="2"/>
      <c r="B1873" s="6"/>
      <c r="C1873" s="6"/>
      <c r="D1873" s="2"/>
      <c r="E1873" s="2"/>
      <c r="F1873" s="2"/>
      <c r="G1873" s="2"/>
      <c r="H1873" s="2"/>
      <c r="I1873" s="2"/>
      <c r="J1873" s="73"/>
      <c r="K1873" s="73"/>
      <c r="L1873" s="73"/>
      <c r="M1873" s="73"/>
      <c r="N1873" s="73"/>
      <c r="O1873" s="73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14.25" customHeight="1" x14ac:dyDescent="0.35">
      <c r="A1874" s="2"/>
      <c r="B1874" s="6"/>
      <c r="C1874" s="6"/>
      <c r="D1874" s="2"/>
      <c r="E1874" s="2"/>
      <c r="F1874" s="2"/>
      <c r="G1874" s="2"/>
      <c r="H1874" s="2"/>
      <c r="I1874" s="2"/>
      <c r="J1874" s="73"/>
      <c r="K1874" s="73"/>
      <c r="L1874" s="73"/>
      <c r="M1874" s="73"/>
      <c r="N1874" s="73"/>
      <c r="O1874" s="73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14.25" customHeight="1" x14ac:dyDescent="0.35">
      <c r="A1875" s="2"/>
      <c r="B1875" s="6"/>
      <c r="C1875" s="6"/>
      <c r="D1875" s="2"/>
      <c r="E1875" s="2"/>
      <c r="F1875" s="2"/>
      <c r="G1875" s="2"/>
      <c r="H1875" s="2"/>
      <c r="I1875" s="2"/>
      <c r="J1875" s="73"/>
      <c r="K1875" s="73"/>
      <c r="L1875" s="73"/>
      <c r="M1875" s="73"/>
      <c r="N1875" s="73"/>
      <c r="O1875" s="73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14.25" customHeight="1" x14ac:dyDescent="0.35">
      <c r="A1876" s="2"/>
      <c r="B1876" s="6"/>
      <c r="C1876" s="6"/>
      <c r="D1876" s="2"/>
      <c r="E1876" s="2"/>
      <c r="F1876" s="2"/>
      <c r="G1876" s="2"/>
      <c r="H1876" s="2"/>
      <c r="I1876" s="2"/>
      <c r="J1876" s="73"/>
      <c r="K1876" s="73"/>
      <c r="L1876" s="73"/>
      <c r="M1876" s="73"/>
      <c r="N1876" s="73"/>
      <c r="O1876" s="73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14.25" customHeight="1" x14ac:dyDescent="0.35">
      <c r="A1877" s="2"/>
      <c r="B1877" s="6"/>
      <c r="C1877" s="6"/>
      <c r="D1877" s="2"/>
      <c r="E1877" s="2"/>
      <c r="F1877" s="2"/>
      <c r="G1877" s="2"/>
      <c r="H1877" s="2"/>
      <c r="I1877" s="2"/>
      <c r="J1877" s="73"/>
      <c r="K1877" s="73"/>
      <c r="L1877" s="73"/>
      <c r="M1877" s="73"/>
      <c r="N1877" s="73"/>
      <c r="O1877" s="73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14.25" customHeight="1" x14ac:dyDescent="0.35">
      <c r="A1878" s="2"/>
      <c r="B1878" s="6"/>
      <c r="C1878" s="6"/>
      <c r="D1878" s="2"/>
      <c r="E1878" s="2"/>
      <c r="F1878" s="2"/>
      <c r="G1878" s="2"/>
      <c r="H1878" s="2"/>
      <c r="I1878" s="2"/>
      <c r="J1878" s="73"/>
      <c r="K1878" s="73"/>
      <c r="L1878" s="73"/>
      <c r="M1878" s="73"/>
      <c r="N1878" s="73"/>
      <c r="O1878" s="73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14.25" customHeight="1" x14ac:dyDescent="0.35">
      <c r="A1879" s="2"/>
      <c r="B1879" s="6"/>
      <c r="C1879" s="6"/>
      <c r="D1879" s="2"/>
      <c r="E1879" s="2"/>
      <c r="F1879" s="2"/>
      <c r="G1879" s="2"/>
      <c r="H1879" s="2"/>
      <c r="I1879" s="2"/>
      <c r="J1879" s="73"/>
      <c r="K1879" s="73"/>
      <c r="L1879" s="73"/>
      <c r="M1879" s="73"/>
      <c r="N1879" s="73"/>
      <c r="O1879" s="73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14.25" customHeight="1" x14ac:dyDescent="0.35">
      <c r="A1880" s="2"/>
      <c r="B1880" s="6"/>
      <c r="C1880" s="6"/>
      <c r="D1880" s="2"/>
      <c r="E1880" s="2"/>
      <c r="F1880" s="2"/>
      <c r="G1880" s="2"/>
      <c r="H1880" s="2"/>
      <c r="I1880" s="2"/>
      <c r="J1880" s="73"/>
      <c r="K1880" s="73"/>
      <c r="L1880" s="73"/>
      <c r="M1880" s="73"/>
      <c r="N1880" s="73"/>
      <c r="O1880" s="73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14.25" customHeight="1" x14ac:dyDescent="0.35">
      <c r="A1881" s="2"/>
      <c r="B1881" s="6"/>
      <c r="C1881" s="6"/>
      <c r="D1881" s="2"/>
      <c r="E1881" s="2"/>
      <c r="F1881" s="2"/>
      <c r="G1881" s="2"/>
      <c r="H1881" s="2"/>
      <c r="I1881" s="2"/>
      <c r="J1881" s="73"/>
      <c r="K1881" s="73"/>
      <c r="L1881" s="73"/>
      <c r="M1881" s="73"/>
      <c r="N1881" s="73"/>
      <c r="O1881" s="73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14.25" customHeight="1" x14ac:dyDescent="0.35">
      <c r="A1882" s="2"/>
      <c r="B1882" s="6"/>
      <c r="C1882" s="6"/>
      <c r="D1882" s="2"/>
      <c r="E1882" s="2"/>
      <c r="F1882" s="2"/>
      <c r="G1882" s="2"/>
      <c r="H1882" s="2"/>
      <c r="I1882" s="2"/>
      <c r="J1882" s="73"/>
      <c r="K1882" s="73"/>
      <c r="L1882" s="73"/>
      <c r="M1882" s="73"/>
      <c r="N1882" s="73"/>
      <c r="O1882" s="73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14.25" customHeight="1" x14ac:dyDescent="0.35">
      <c r="A1883" s="2"/>
      <c r="B1883" s="6"/>
      <c r="C1883" s="6"/>
      <c r="D1883" s="2"/>
      <c r="E1883" s="2"/>
      <c r="F1883" s="2"/>
      <c r="G1883" s="2"/>
      <c r="H1883" s="2"/>
      <c r="I1883" s="2"/>
      <c r="J1883" s="73"/>
      <c r="K1883" s="73"/>
      <c r="L1883" s="73"/>
      <c r="M1883" s="73"/>
      <c r="N1883" s="73"/>
      <c r="O1883" s="73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14.25" customHeight="1" x14ac:dyDescent="0.35">
      <c r="A1884" s="2"/>
      <c r="B1884" s="6"/>
      <c r="C1884" s="6"/>
      <c r="D1884" s="2"/>
      <c r="E1884" s="2"/>
      <c r="F1884" s="2"/>
      <c r="G1884" s="2"/>
      <c r="H1884" s="2"/>
      <c r="I1884" s="2"/>
      <c r="J1884" s="73"/>
      <c r="K1884" s="73"/>
      <c r="L1884" s="73"/>
      <c r="M1884" s="73"/>
      <c r="N1884" s="73"/>
      <c r="O1884" s="73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14.25" customHeight="1" x14ac:dyDescent="0.35">
      <c r="A1885" s="2"/>
      <c r="B1885" s="6"/>
      <c r="C1885" s="6"/>
      <c r="D1885" s="2"/>
      <c r="E1885" s="2"/>
      <c r="F1885" s="2"/>
      <c r="G1885" s="2"/>
      <c r="H1885" s="2"/>
      <c r="I1885" s="2"/>
      <c r="J1885" s="73"/>
      <c r="K1885" s="73"/>
      <c r="L1885" s="73"/>
      <c r="M1885" s="73"/>
      <c r="N1885" s="73"/>
      <c r="O1885" s="73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14.25" customHeight="1" x14ac:dyDescent="0.35">
      <c r="A1886" s="2"/>
      <c r="B1886" s="6"/>
      <c r="C1886" s="6"/>
      <c r="D1886" s="2"/>
      <c r="E1886" s="2"/>
      <c r="F1886" s="2"/>
      <c r="G1886" s="2"/>
      <c r="H1886" s="2"/>
      <c r="I1886" s="2"/>
      <c r="J1886" s="73"/>
      <c r="K1886" s="73"/>
      <c r="L1886" s="73"/>
      <c r="M1886" s="73"/>
      <c r="N1886" s="73"/>
      <c r="O1886" s="73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14.25" customHeight="1" x14ac:dyDescent="0.35">
      <c r="A1887" s="2"/>
      <c r="B1887" s="6"/>
      <c r="C1887" s="6"/>
      <c r="D1887" s="2"/>
      <c r="E1887" s="2"/>
      <c r="F1887" s="2"/>
      <c r="G1887" s="2"/>
      <c r="H1887" s="2"/>
      <c r="I1887" s="2"/>
      <c r="J1887" s="73"/>
      <c r="K1887" s="73"/>
      <c r="L1887" s="73"/>
      <c r="M1887" s="73"/>
      <c r="N1887" s="73"/>
      <c r="O1887" s="73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14.25" customHeight="1" x14ac:dyDescent="0.35">
      <c r="A1888" s="2"/>
      <c r="B1888" s="6"/>
      <c r="C1888" s="6"/>
      <c r="D1888" s="2"/>
      <c r="E1888" s="2"/>
      <c r="F1888" s="2"/>
      <c r="G1888" s="2"/>
      <c r="H1888" s="2"/>
      <c r="I1888" s="2"/>
      <c r="J1888" s="73"/>
      <c r="K1888" s="73"/>
      <c r="L1888" s="73"/>
      <c r="M1888" s="73"/>
      <c r="N1888" s="73"/>
      <c r="O1888" s="73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14.25" customHeight="1" x14ac:dyDescent="0.35">
      <c r="A1889" s="2"/>
      <c r="B1889" s="6"/>
      <c r="C1889" s="6"/>
      <c r="D1889" s="2"/>
      <c r="E1889" s="2"/>
      <c r="F1889" s="2"/>
      <c r="G1889" s="2"/>
      <c r="H1889" s="2"/>
      <c r="I1889" s="2"/>
      <c r="J1889" s="73"/>
      <c r="K1889" s="73"/>
      <c r="L1889" s="73"/>
      <c r="M1889" s="73"/>
      <c r="N1889" s="73"/>
      <c r="O1889" s="73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14.25" customHeight="1" x14ac:dyDescent="0.35">
      <c r="A1890" s="2"/>
      <c r="B1890" s="6"/>
      <c r="C1890" s="6"/>
      <c r="D1890" s="2"/>
      <c r="E1890" s="2"/>
      <c r="F1890" s="2"/>
      <c r="G1890" s="2"/>
      <c r="H1890" s="2"/>
      <c r="I1890" s="2"/>
      <c r="J1890" s="73"/>
      <c r="K1890" s="73"/>
      <c r="L1890" s="73"/>
      <c r="M1890" s="73"/>
      <c r="N1890" s="73"/>
      <c r="O1890" s="73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14.25" customHeight="1" x14ac:dyDescent="0.35">
      <c r="A1891" s="2"/>
      <c r="B1891" s="6"/>
      <c r="C1891" s="6"/>
      <c r="D1891" s="2"/>
      <c r="E1891" s="2"/>
      <c r="F1891" s="2"/>
      <c r="G1891" s="2"/>
      <c r="H1891" s="2"/>
      <c r="I1891" s="2"/>
      <c r="J1891" s="73"/>
      <c r="K1891" s="73"/>
      <c r="L1891" s="73"/>
      <c r="M1891" s="73"/>
      <c r="N1891" s="73"/>
      <c r="O1891" s="73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14.25" customHeight="1" x14ac:dyDescent="0.35">
      <c r="A1892" s="2"/>
      <c r="B1892" s="6"/>
      <c r="C1892" s="6"/>
      <c r="D1892" s="2"/>
      <c r="E1892" s="2"/>
      <c r="F1892" s="2"/>
      <c r="G1892" s="2"/>
      <c r="H1892" s="2"/>
      <c r="I1892" s="2"/>
      <c r="J1892" s="73"/>
      <c r="K1892" s="73"/>
      <c r="L1892" s="73"/>
      <c r="M1892" s="73"/>
      <c r="N1892" s="73"/>
      <c r="O1892" s="73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14.25" customHeight="1" x14ac:dyDescent="0.35">
      <c r="A1893" s="2"/>
      <c r="B1893" s="6"/>
      <c r="C1893" s="6"/>
      <c r="D1893" s="2"/>
      <c r="E1893" s="2"/>
      <c r="F1893" s="2"/>
      <c r="G1893" s="2"/>
      <c r="H1893" s="2"/>
      <c r="I1893" s="2"/>
      <c r="J1893" s="73"/>
      <c r="K1893" s="73"/>
      <c r="L1893" s="73"/>
      <c r="M1893" s="73"/>
      <c r="N1893" s="73"/>
      <c r="O1893" s="73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14.25" customHeight="1" x14ac:dyDescent="0.35">
      <c r="A1894" s="2"/>
      <c r="B1894" s="6"/>
      <c r="C1894" s="6"/>
      <c r="D1894" s="2"/>
      <c r="E1894" s="2"/>
      <c r="F1894" s="2"/>
      <c r="G1894" s="2"/>
      <c r="H1894" s="2"/>
      <c r="I1894" s="2"/>
      <c r="J1894" s="73"/>
      <c r="K1894" s="73"/>
      <c r="L1894" s="73"/>
      <c r="M1894" s="73"/>
      <c r="N1894" s="73"/>
      <c r="O1894" s="73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14.25" customHeight="1" x14ac:dyDescent="0.35">
      <c r="A1895" s="2"/>
      <c r="B1895" s="6"/>
      <c r="C1895" s="6"/>
      <c r="D1895" s="2"/>
      <c r="E1895" s="2"/>
      <c r="F1895" s="2"/>
      <c r="G1895" s="2"/>
      <c r="H1895" s="2"/>
      <c r="I1895" s="2"/>
      <c r="J1895" s="73"/>
      <c r="K1895" s="73"/>
      <c r="L1895" s="73"/>
      <c r="M1895" s="73"/>
      <c r="N1895" s="73"/>
      <c r="O1895" s="73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14.25" customHeight="1" x14ac:dyDescent="0.35">
      <c r="A1896" s="2"/>
      <c r="B1896" s="6"/>
      <c r="C1896" s="6"/>
      <c r="D1896" s="2"/>
      <c r="E1896" s="2"/>
      <c r="F1896" s="2"/>
      <c r="G1896" s="2"/>
      <c r="H1896" s="2"/>
      <c r="I1896" s="2"/>
      <c r="J1896" s="73"/>
      <c r="K1896" s="73"/>
      <c r="L1896" s="73"/>
      <c r="M1896" s="73"/>
      <c r="N1896" s="73"/>
      <c r="O1896" s="73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14.25" customHeight="1" x14ac:dyDescent="0.35">
      <c r="A1897" s="2"/>
      <c r="B1897" s="6"/>
      <c r="C1897" s="6"/>
      <c r="D1897" s="2"/>
      <c r="E1897" s="2"/>
      <c r="F1897" s="2"/>
      <c r="G1897" s="2"/>
      <c r="H1897" s="2"/>
      <c r="I1897" s="2"/>
      <c r="J1897" s="73"/>
      <c r="K1897" s="73"/>
      <c r="L1897" s="73"/>
      <c r="M1897" s="73"/>
      <c r="N1897" s="73"/>
      <c r="O1897" s="73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14.25" customHeight="1" x14ac:dyDescent="0.35">
      <c r="A1898" s="2"/>
      <c r="B1898" s="6"/>
      <c r="C1898" s="6"/>
      <c r="D1898" s="2"/>
      <c r="E1898" s="2"/>
      <c r="F1898" s="2"/>
      <c r="G1898" s="2"/>
      <c r="H1898" s="2"/>
      <c r="I1898" s="2"/>
      <c r="J1898" s="73"/>
      <c r="K1898" s="73"/>
      <c r="L1898" s="73"/>
      <c r="M1898" s="73"/>
      <c r="N1898" s="73"/>
      <c r="O1898" s="73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14.25" customHeight="1" x14ac:dyDescent="0.35">
      <c r="A1899" s="2"/>
      <c r="B1899" s="6"/>
      <c r="C1899" s="6"/>
      <c r="D1899" s="2"/>
      <c r="E1899" s="2"/>
      <c r="F1899" s="2"/>
      <c r="G1899" s="2"/>
      <c r="H1899" s="2"/>
      <c r="I1899" s="2"/>
      <c r="J1899" s="73"/>
      <c r="K1899" s="73"/>
      <c r="L1899" s="73"/>
      <c r="M1899" s="73"/>
      <c r="N1899" s="73"/>
      <c r="O1899" s="73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14.25" customHeight="1" x14ac:dyDescent="0.35">
      <c r="A1900" s="2"/>
      <c r="B1900" s="6"/>
      <c r="C1900" s="6"/>
      <c r="D1900" s="2"/>
      <c r="E1900" s="2"/>
      <c r="F1900" s="2"/>
      <c r="G1900" s="2"/>
      <c r="H1900" s="2"/>
      <c r="I1900" s="2"/>
      <c r="J1900" s="73"/>
      <c r="K1900" s="73"/>
      <c r="L1900" s="73"/>
      <c r="M1900" s="73"/>
      <c r="N1900" s="73"/>
      <c r="O1900" s="73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14.25" customHeight="1" x14ac:dyDescent="0.35">
      <c r="A1901" s="2"/>
      <c r="B1901" s="6"/>
      <c r="C1901" s="6"/>
      <c r="D1901" s="2"/>
      <c r="E1901" s="2"/>
      <c r="F1901" s="2"/>
      <c r="G1901" s="2"/>
      <c r="H1901" s="2"/>
      <c r="I1901" s="2"/>
      <c r="J1901" s="73"/>
      <c r="K1901" s="73"/>
      <c r="L1901" s="73"/>
      <c r="M1901" s="73"/>
      <c r="N1901" s="73"/>
      <c r="O1901" s="73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14.25" customHeight="1" x14ac:dyDescent="0.35">
      <c r="A1902" s="2"/>
      <c r="B1902" s="6"/>
      <c r="C1902" s="6"/>
      <c r="D1902" s="2"/>
      <c r="E1902" s="2"/>
      <c r="F1902" s="2"/>
      <c r="G1902" s="2"/>
      <c r="H1902" s="2"/>
      <c r="I1902" s="2"/>
      <c r="J1902" s="73"/>
      <c r="K1902" s="73"/>
      <c r="L1902" s="73"/>
      <c r="M1902" s="73"/>
      <c r="N1902" s="73"/>
      <c r="O1902" s="73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14.25" customHeight="1" x14ac:dyDescent="0.35">
      <c r="A1903" s="2"/>
      <c r="B1903" s="6"/>
      <c r="C1903" s="6"/>
      <c r="D1903" s="2"/>
      <c r="E1903" s="2"/>
      <c r="F1903" s="2"/>
      <c r="G1903" s="2"/>
      <c r="H1903" s="2"/>
      <c r="I1903" s="2"/>
      <c r="J1903" s="73"/>
      <c r="K1903" s="73"/>
      <c r="L1903" s="73"/>
      <c r="M1903" s="73"/>
      <c r="N1903" s="73"/>
      <c r="O1903" s="73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14.25" customHeight="1" x14ac:dyDescent="0.35">
      <c r="A1904" s="2"/>
      <c r="B1904" s="6"/>
      <c r="C1904" s="6"/>
      <c r="D1904" s="2"/>
      <c r="E1904" s="2"/>
      <c r="F1904" s="2"/>
      <c r="G1904" s="2"/>
      <c r="H1904" s="2"/>
      <c r="I1904" s="2"/>
      <c r="J1904" s="73"/>
      <c r="K1904" s="73"/>
      <c r="L1904" s="73"/>
      <c r="M1904" s="73"/>
      <c r="N1904" s="73"/>
      <c r="O1904" s="73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14.25" customHeight="1" x14ac:dyDescent="0.35">
      <c r="A1905" s="2"/>
      <c r="B1905" s="6"/>
      <c r="C1905" s="6"/>
      <c r="D1905" s="2"/>
      <c r="E1905" s="2"/>
      <c r="F1905" s="2"/>
      <c r="G1905" s="2"/>
      <c r="H1905" s="2"/>
      <c r="I1905" s="2"/>
      <c r="J1905" s="73"/>
      <c r="K1905" s="73"/>
      <c r="L1905" s="73"/>
      <c r="M1905" s="73"/>
      <c r="N1905" s="73"/>
      <c r="O1905" s="73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14.25" customHeight="1" x14ac:dyDescent="0.35">
      <c r="A1906" s="2"/>
      <c r="B1906" s="6"/>
      <c r="C1906" s="6"/>
      <c r="D1906" s="2"/>
      <c r="E1906" s="2"/>
      <c r="F1906" s="2"/>
      <c r="G1906" s="2"/>
      <c r="H1906" s="2"/>
      <c r="I1906" s="2"/>
      <c r="J1906" s="73"/>
      <c r="K1906" s="73"/>
      <c r="L1906" s="73"/>
      <c r="M1906" s="73"/>
      <c r="N1906" s="73"/>
      <c r="O1906" s="73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14.25" customHeight="1" x14ac:dyDescent="0.35">
      <c r="A1907" s="2"/>
      <c r="B1907" s="6"/>
      <c r="C1907" s="6"/>
      <c r="D1907" s="2"/>
      <c r="E1907" s="2"/>
      <c r="F1907" s="2"/>
      <c r="G1907" s="2"/>
      <c r="H1907" s="2"/>
      <c r="I1907" s="2"/>
      <c r="J1907" s="73"/>
      <c r="K1907" s="73"/>
      <c r="L1907" s="73"/>
      <c r="M1907" s="73"/>
      <c r="N1907" s="73"/>
      <c r="O1907" s="73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14.25" customHeight="1" x14ac:dyDescent="0.35">
      <c r="A1908" s="2"/>
      <c r="B1908" s="6"/>
      <c r="C1908" s="6"/>
      <c r="D1908" s="2"/>
      <c r="E1908" s="2"/>
      <c r="F1908" s="2"/>
      <c r="G1908" s="2"/>
      <c r="H1908" s="2"/>
      <c r="I1908" s="2"/>
      <c r="J1908" s="73"/>
      <c r="K1908" s="73"/>
      <c r="L1908" s="73"/>
      <c r="M1908" s="73"/>
      <c r="N1908" s="73"/>
      <c r="O1908" s="73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14.25" customHeight="1" x14ac:dyDescent="0.35">
      <c r="A1909" s="2"/>
      <c r="B1909" s="6"/>
      <c r="C1909" s="6"/>
      <c r="D1909" s="2"/>
      <c r="E1909" s="2"/>
      <c r="F1909" s="2"/>
      <c r="G1909" s="2"/>
      <c r="H1909" s="2"/>
      <c r="I1909" s="2"/>
      <c r="J1909" s="73"/>
      <c r="K1909" s="73"/>
      <c r="L1909" s="73"/>
      <c r="M1909" s="73"/>
      <c r="N1909" s="73"/>
      <c r="O1909" s="73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14.25" customHeight="1" x14ac:dyDescent="0.35">
      <c r="A1910" s="2"/>
      <c r="B1910" s="6"/>
      <c r="C1910" s="6"/>
      <c r="D1910" s="2"/>
      <c r="E1910" s="2"/>
      <c r="F1910" s="2"/>
      <c r="G1910" s="2"/>
      <c r="H1910" s="2"/>
      <c r="I1910" s="2"/>
      <c r="J1910" s="73"/>
      <c r="K1910" s="73"/>
      <c r="L1910" s="73"/>
      <c r="M1910" s="73"/>
      <c r="N1910" s="73"/>
      <c r="O1910" s="73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14.25" customHeight="1" x14ac:dyDescent="0.35">
      <c r="A1911" s="2"/>
      <c r="B1911" s="6"/>
      <c r="C1911" s="6"/>
      <c r="D1911" s="2"/>
      <c r="E1911" s="2"/>
      <c r="F1911" s="2"/>
      <c r="G1911" s="2"/>
      <c r="H1911" s="2"/>
      <c r="I1911" s="2"/>
      <c r="J1911" s="73"/>
      <c r="K1911" s="73"/>
      <c r="L1911" s="73"/>
      <c r="M1911" s="73"/>
      <c r="N1911" s="73"/>
      <c r="O1911" s="73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14.25" customHeight="1" x14ac:dyDescent="0.35">
      <c r="A1912" s="2"/>
      <c r="B1912" s="6"/>
      <c r="C1912" s="6"/>
      <c r="D1912" s="2"/>
      <c r="E1912" s="2"/>
      <c r="F1912" s="2"/>
      <c r="G1912" s="2"/>
      <c r="H1912" s="2"/>
      <c r="I1912" s="2"/>
      <c r="J1912" s="73"/>
      <c r="K1912" s="73"/>
      <c r="L1912" s="73"/>
      <c r="M1912" s="73"/>
      <c r="N1912" s="73"/>
      <c r="O1912" s="73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14.25" customHeight="1" x14ac:dyDescent="0.35">
      <c r="A1913" s="2"/>
      <c r="B1913" s="6"/>
      <c r="C1913" s="6"/>
      <c r="D1913" s="2"/>
      <c r="E1913" s="2"/>
      <c r="F1913" s="2"/>
      <c r="G1913" s="2"/>
      <c r="H1913" s="2"/>
      <c r="I1913" s="2"/>
      <c r="J1913" s="73"/>
      <c r="K1913" s="73"/>
      <c r="L1913" s="73"/>
      <c r="M1913" s="73"/>
      <c r="N1913" s="73"/>
      <c r="O1913" s="73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14.25" customHeight="1" x14ac:dyDescent="0.35">
      <c r="A1914" s="2"/>
      <c r="B1914" s="6"/>
      <c r="C1914" s="6"/>
      <c r="D1914" s="2"/>
      <c r="E1914" s="2"/>
      <c r="F1914" s="2"/>
      <c r="G1914" s="2"/>
      <c r="H1914" s="2"/>
      <c r="I1914" s="2"/>
      <c r="J1914" s="73"/>
      <c r="K1914" s="73"/>
      <c r="L1914" s="73"/>
      <c r="M1914" s="73"/>
      <c r="N1914" s="73"/>
      <c r="O1914" s="73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14.25" customHeight="1" x14ac:dyDescent="0.35">
      <c r="A1915" s="2"/>
      <c r="B1915" s="6"/>
      <c r="C1915" s="6"/>
      <c r="D1915" s="2"/>
      <c r="E1915" s="2"/>
      <c r="F1915" s="2"/>
      <c r="G1915" s="2"/>
      <c r="H1915" s="2"/>
      <c r="I1915" s="2"/>
      <c r="J1915" s="73"/>
      <c r="K1915" s="73"/>
      <c r="L1915" s="73"/>
      <c r="M1915" s="73"/>
      <c r="N1915" s="73"/>
      <c r="O1915" s="73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14.25" customHeight="1" x14ac:dyDescent="0.35">
      <c r="A1916" s="2"/>
      <c r="B1916" s="6"/>
      <c r="C1916" s="6"/>
      <c r="D1916" s="2"/>
      <c r="E1916" s="2"/>
      <c r="F1916" s="2"/>
      <c r="G1916" s="2"/>
      <c r="H1916" s="2"/>
      <c r="I1916" s="2"/>
      <c r="J1916" s="73"/>
      <c r="K1916" s="73"/>
      <c r="L1916" s="73"/>
      <c r="M1916" s="73"/>
      <c r="N1916" s="73"/>
      <c r="O1916" s="73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14.25" customHeight="1" x14ac:dyDescent="0.35">
      <c r="A1917" s="2"/>
      <c r="B1917" s="6"/>
      <c r="C1917" s="6"/>
      <c r="D1917" s="2"/>
      <c r="E1917" s="2"/>
      <c r="F1917" s="2"/>
      <c r="G1917" s="2"/>
      <c r="H1917" s="2"/>
      <c r="I1917" s="2"/>
      <c r="J1917" s="73"/>
      <c r="K1917" s="73"/>
      <c r="L1917" s="73"/>
      <c r="M1917" s="73"/>
      <c r="N1917" s="73"/>
      <c r="O1917" s="73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14.25" customHeight="1" x14ac:dyDescent="0.35">
      <c r="A1918" s="2"/>
      <c r="B1918" s="6"/>
      <c r="C1918" s="6"/>
      <c r="D1918" s="2"/>
      <c r="E1918" s="2"/>
      <c r="F1918" s="2"/>
      <c r="G1918" s="2"/>
      <c r="H1918" s="2"/>
      <c r="I1918" s="2"/>
      <c r="J1918" s="73"/>
      <c r="K1918" s="73"/>
      <c r="L1918" s="73"/>
      <c r="M1918" s="73"/>
      <c r="N1918" s="73"/>
      <c r="O1918" s="73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14.25" customHeight="1" x14ac:dyDescent="0.35">
      <c r="A1919" s="2"/>
      <c r="B1919" s="6"/>
      <c r="C1919" s="6"/>
      <c r="D1919" s="2"/>
      <c r="E1919" s="2"/>
      <c r="F1919" s="2"/>
      <c r="G1919" s="2"/>
      <c r="H1919" s="2"/>
      <c r="I1919" s="2"/>
      <c r="J1919" s="73"/>
      <c r="K1919" s="73"/>
      <c r="L1919" s="73"/>
      <c r="M1919" s="73"/>
      <c r="N1919" s="73"/>
      <c r="O1919" s="73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14.25" customHeight="1" x14ac:dyDescent="0.35">
      <c r="A1920" s="2"/>
      <c r="B1920" s="6"/>
      <c r="C1920" s="6"/>
      <c r="D1920" s="2"/>
      <c r="E1920" s="2"/>
      <c r="F1920" s="2"/>
      <c r="G1920" s="2"/>
      <c r="H1920" s="2"/>
      <c r="I1920" s="2"/>
      <c r="J1920" s="73"/>
      <c r="K1920" s="73"/>
      <c r="L1920" s="73"/>
      <c r="M1920" s="73"/>
      <c r="N1920" s="73"/>
      <c r="O1920" s="73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14.25" customHeight="1" x14ac:dyDescent="0.35">
      <c r="A1921" s="2"/>
      <c r="B1921" s="6"/>
      <c r="C1921" s="6"/>
      <c r="D1921" s="2"/>
      <c r="E1921" s="2"/>
      <c r="F1921" s="2"/>
      <c r="G1921" s="2"/>
      <c r="H1921" s="2"/>
      <c r="I1921" s="2"/>
      <c r="J1921" s="73"/>
      <c r="K1921" s="73"/>
      <c r="L1921" s="73"/>
      <c r="M1921" s="73"/>
      <c r="N1921" s="73"/>
      <c r="O1921" s="73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14.25" customHeight="1" x14ac:dyDescent="0.35">
      <c r="A1922" s="2"/>
      <c r="B1922" s="6"/>
      <c r="C1922" s="6"/>
      <c r="D1922" s="2"/>
      <c r="E1922" s="2"/>
      <c r="F1922" s="2"/>
      <c r="G1922" s="2"/>
      <c r="H1922" s="2"/>
      <c r="I1922" s="2"/>
      <c r="J1922" s="73"/>
      <c r="K1922" s="73"/>
      <c r="L1922" s="73"/>
      <c r="M1922" s="73"/>
      <c r="N1922" s="73"/>
      <c r="O1922" s="73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14.25" customHeight="1" x14ac:dyDescent="0.35">
      <c r="A1923" s="2"/>
      <c r="B1923" s="6"/>
      <c r="C1923" s="6"/>
      <c r="D1923" s="2"/>
      <c r="E1923" s="2"/>
      <c r="F1923" s="2"/>
      <c r="G1923" s="2"/>
      <c r="H1923" s="2"/>
      <c r="I1923" s="2"/>
      <c r="J1923" s="73"/>
      <c r="K1923" s="73"/>
      <c r="L1923" s="73"/>
      <c r="M1923" s="73"/>
      <c r="N1923" s="73"/>
      <c r="O1923" s="73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14.25" customHeight="1" x14ac:dyDescent="0.35">
      <c r="A1924" s="2"/>
      <c r="B1924" s="6"/>
      <c r="C1924" s="6"/>
      <c r="D1924" s="2"/>
      <c r="E1924" s="2"/>
      <c r="F1924" s="2"/>
      <c r="G1924" s="2"/>
      <c r="H1924" s="2"/>
      <c r="I1924" s="2"/>
      <c r="J1924" s="73"/>
      <c r="K1924" s="73"/>
      <c r="L1924" s="73"/>
      <c r="M1924" s="73"/>
      <c r="N1924" s="73"/>
      <c r="O1924" s="73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14.25" customHeight="1" x14ac:dyDescent="0.35">
      <c r="A1925" s="2"/>
      <c r="B1925" s="6"/>
      <c r="C1925" s="6"/>
      <c r="D1925" s="2"/>
      <c r="E1925" s="2"/>
      <c r="F1925" s="2"/>
      <c r="G1925" s="2"/>
      <c r="H1925" s="2"/>
      <c r="I1925" s="2"/>
      <c r="J1925" s="73"/>
      <c r="K1925" s="73"/>
      <c r="L1925" s="73"/>
      <c r="M1925" s="73"/>
      <c r="N1925" s="73"/>
      <c r="O1925" s="73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14.25" customHeight="1" x14ac:dyDescent="0.35">
      <c r="A1926" s="2"/>
      <c r="B1926" s="6"/>
      <c r="C1926" s="6"/>
      <c r="D1926" s="2"/>
      <c r="E1926" s="2"/>
      <c r="F1926" s="2"/>
      <c r="G1926" s="2"/>
      <c r="H1926" s="2"/>
      <c r="I1926" s="2"/>
      <c r="J1926" s="73"/>
      <c r="K1926" s="73"/>
      <c r="L1926" s="73"/>
      <c r="M1926" s="73"/>
      <c r="N1926" s="73"/>
      <c r="O1926" s="73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14.25" customHeight="1" x14ac:dyDescent="0.35">
      <c r="A1927" s="2"/>
      <c r="B1927" s="6"/>
      <c r="C1927" s="6"/>
      <c r="D1927" s="2"/>
      <c r="E1927" s="2"/>
      <c r="F1927" s="2"/>
      <c r="G1927" s="2"/>
      <c r="H1927" s="2"/>
      <c r="I1927" s="2"/>
      <c r="J1927" s="73"/>
      <c r="K1927" s="73"/>
      <c r="L1927" s="73"/>
      <c r="M1927" s="73"/>
      <c r="N1927" s="73"/>
      <c r="O1927" s="73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14.25" customHeight="1" x14ac:dyDescent="0.35">
      <c r="A1928" s="2"/>
      <c r="B1928" s="6"/>
      <c r="C1928" s="6"/>
      <c r="D1928" s="2"/>
      <c r="E1928" s="2"/>
      <c r="F1928" s="2"/>
      <c r="G1928" s="2"/>
      <c r="H1928" s="2"/>
      <c r="I1928" s="2"/>
      <c r="J1928" s="73"/>
      <c r="K1928" s="73"/>
      <c r="L1928" s="73"/>
      <c r="M1928" s="73"/>
      <c r="N1928" s="73"/>
      <c r="O1928" s="73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14.25" customHeight="1" x14ac:dyDescent="0.35">
      <c r="A1929" s="2"/>
      <c r="B1929" s="6"/>
      <c r="C1929" s="6"/>
      <c r="D1929" s="2"/>
      <c r="E1929" s="2"/>
      <c r="F1929" s="2"/>
      <c r="G1929" s="2"/>
      <c r="H1929" s="2"/>
      <c r="I1929" s="2"/>
      <c r="J1929" s="73"/>
      <c r="K1929" s="73"/>
      <c r="L1929" s="73"/>
      <c r="M1929" s="73"/>
      <c r="N1929" s="73"/>
      <c r="O1929" s="73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14.25" customHeight="1" x14ac:dyDescent="0.35">
      <c r="A1930" s="2"/>
      <c r="B1930" s="6"/>
      <c r="C1930" s="6"/>
      <c r="D1930" s="2"/>
      <c r="E1930" s="2"/>
      <c r="F1930" s="2"/>
      <c r="G1930" s="2"/>
      <c r="H1930" s="2"/>
      <c r="I1930" s="2"/>
      <c r="J1930" s="73"/>
      <c r="K1930" s="73"/>
      <c r="L1930" s="73"/>
      <c r="M1930" s="73"/>
      <c r="N1930" s="73"/>
      <c r="O1930" s="73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14.25" customHeight="1" x14ac:dyDescent="0.35">
      <c r="A1931" s="2"/>
      <c r="B1931" s="6"/>
      <c r="C1931" s="6"/>
      <c r="D1931" s="2"/>
      <c r="E1931" s="2"/>
      <c r="F1931" s="2"/>
      <c r="G1931" s="2"/>
      <c r="H1931" s="2"/>
      <c r="I1931" s="2"/>
      <c r="J1931" s="73"/>
      <c r="K1931" s="73"/>
      <c r="L1931" s="73"/>
      <c r="M1931" s="73"/>
      <c r="N1931" s="73"/>
      <c r="O1931" s="73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14.25" customHeight="1" x14ac:dyDescent="0.35">
      <c r="A1932" s="2"/>
      <c r="B1932" s="6"/>
      <c r="C1932" s="6"/>
      <c r="D1932" s="2"/>
      <c r="E1932" s="2"/>
      <c r="F1932" s="2"/>
      <c r="G1932" s="2"/>
      <c r="H1932" s="2"/>
      <c r="I1932" s="2"/>
      <c r="J1932" s="73"/>
      <c r="K1932" s="73"/>
      <c r="L1932" s="73"/>
      <c r="M1932" s="73"/>
      <c r="N1932" s="73"/>
      <c r="O1932" s="73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14.25" customHeight="1" x14ac:dyDescent="0.35">
      <c r="A1933" s="2"/>
      <c r="B1933" s="6"/>
      <c r="C1933" s="6"/>
      <c r="D1933" s="2"/>
      <c r="E1933" s="2"/>
      <c r="F1933" s="2"/>
      <c r="G1933" s="2"/>
      <c r="H1933" s="2"/>
      <c r="I1933" s="2"/>
      <c r="J1933" s="73"/>
      <c r="K1933" s="73"/>
      <c r="L1933" s="73"/>
      <c r="M1933" s="73"/>
      <c r="N1933" s="73"/>
      <c r="O1933" s="73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14.25" customHeight="1" x14ac:dyDescent="0.35">
      <c r="A1934" s="2"/>
      <c r="B1934" s="6"/>
      <c r="C1934" s="6"/>
      <c r="D1934" s="2"/>
      <c r="E1934" s="2"/>
      <c r="F1934" s="2"/>
      <c r="G1934" s="2"/>
      <c r="H1934" s="2"/>
      <c r="I1934" s="2"/>
      <c r="J1934" s="73"/>
      <c r="K1934" s="73"/>
      <c r="L1934" s="73"/>
      <c r="M1934" s="73"/>
      <c r="N1934" s="73"/>
      <c r="O1934" s="73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14.25" customHeight="1" x14ac:dyDescent="0.35">
      <c r="A1935" s="2"/>
      <c r="B1935" s="6"/>
      <c r="C1935" s="6"/>
      <c r="D1935" s="2"/>
      <c r="E1935" s="2"/>
      <c r="F1935" s="2"/>
      <c r="G1935" s="2"/>
      <c r="H1935" s="2"/>
      <c r="I1935" s="2"/>
      <c r="J1935" s="73"/>
      <c r="K1935" s="73"/>
      <c r="L1935" s="73"/>
      <c r="M1935" s="73"/>
      <c r="N1935" s="73"/>
      <c r="O1935" s="73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14.25" customHeight="1" x14ac:dyDescent="0.35">
      <c r="A1936" s="2"/>
      <c r="B1936" s="6"/>
      <c r="C1936" s="6"/>
      <c r="D1936" s="2"/>
      <c r="E1936" s="2"/>
      <c r="F1936" s="2"/>
      <c r="G1936" s="2"/>
      <c r="H1936" s="2"/>
      <c r="I1936" s="2"/>
      <c r="J1936" s="73"/>
      <c r="K1936" s="73"/>
      <c r="L1936" s="73"/>
      <c r="M1936" s="73"/>
      <c r="N1936" s="73"/>
      <c r="O1936" s="73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14.25" customHeight="1" x14ac:dyDescent="0.35">
      <c r="A1937" s="2"/>
      <c r="B1937" s="6"/>
      <c r="C1937" s="6"/>
      <c r="D1937" s="2"/>
      <c r="E1937" s="2"/>
      <c r="F1937" s="2"/>
      <c r="G1937" s="2"/>
      <c r="H1937" s="2"/>
      <c r="I1937" s="2"/>
      <c r="J1937" s="73"/>
      <c r="K1937" s="73"/>
      <c r="L1937" s="73"/>
      <c r="M1937" s="73"/>
      <c r="N1937" s="73"/>
      <c r="O1937" s="73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14.25" customHeight="1" x14ac:dyDescent="0.35">
      <c r="A1938" s="2"/>
      <c r="B1938" s="6"/>
      <c r="C1938" s="6"/>
      <c r="D1938" s="2"/>
      <c r="E1938" s="2"/>
      <c r="F1938" s="2"/>
      <c r="G1938" s="2"/>
      <c r="H1938" s="2"/>
      <c r="I1938" s="2"/>
      <c r="J1938" s="73"/>
      <c r="K1938" s="73"/>
      <c r="L1938" s="73"/>
      <c r="M1938" s="73"/>
      <c r="N1938" s="73"/>
      <c r="O1938" s="73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14.25" customHeight="1" x14ac:dyDescent="0.35">
      <c r="A1939" s="2"/>
      <c r="B1939" s="6"/>
      <c r="C1939" s="6"/>
      <c r="D1939" s="2"/>
      <c r="E1939" s="2"/>
      <c r="F1939" s="2"/>
      <c r="G1939" s="2"/>
      <c r="H1939" s="2"/>
      <c r="I1939" s="2"/>
      <c r="J1939" s="73"/>
      <c r="K1939" s="73"/>
      <c r="L1939" s="73"/>
      <c r="M1939" s="73"/>
      <c r="N1939" s="73"/>
      <c r="O1939" s="73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</sheetData>
  <autoFilter ref="A7:O1740" xr:uid="{00000000-0001-0000-0300-000000000000}"/>
  <mergeCells count="1">
    <mergeCell ref="A5:J5"/>
  </mergeCells>
  <pageMargins left="0.7" right="0.7" top="0.75" bottom="0.75" header="0" footer="0"/>
  <pageSetup paperSize="14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52C3-3A78-4A85-9E66-1777102C0198}">
  <sheetPr>
    <tabColor rgb="FFFF0000"/>
  </sheetPr>
  <dimension ref="A1:AC1939"/>
  <sheetViews>
    <sheetView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L9" sqref="L9"/>
    </sheetView>
  </sheetViews>
  <sheetFormatPr defaultColWidth="14.453125" defaultRowHeight="15" customHeight="1" x14ac:dyDescent="0.35"/>
  <cols>
    <col min="1" max="1" width="7.08984375" customWidth="1"/>
    <col min="2" max="2" width="13.453125" customWidth="1"/>
    <col min="3" max="3" width="6.81640625" customWidth="1"/>
    <col min="4" max="4" width="4.54296875" customWidth="1"/>
    <col min="5" max="5" width="9.453125" bestFit="1" customWidth="1"/>
    <col min="6" max="6" width="4.54296875" customWidth="1"/>
    <col min="7" max="8" width="31.81640625" customWidth="1"/>
    <col min="9" max="9" width="8.6328125" customWidth="1"/>
    <col min="10" max="10" width="19.7265625" style="71" customWidth="1"/>
    <col min="11" max="11" width="17.08984375" style="71" customWidth="1"/>
    <col min="12" max="12" width="19.54296875" style="71" customWidth="1"/>
    <col min="13" max="13" width="15.08984375" style="71" customWidth="1"/>
    <col min="14" max="14" width="18" style="71" customWidth="1"/>
    <col min="15" max="15" width="21.26953125" style="71" customWidth="1"/>
    <col min="16" max="16" width="16.54296875" customWidth="1"/>
    <col min="17" max="29" width="9.08984375" customWidth="1"/>
  </cols>
  <sheetData>
    <row r="1" spans="1:29" ht="14.25" customHeight="1" x14ac:dyDescent="0.35">
      <c r="A1" s="2" t="str">
        <f>'LR BLN'!A1:M1</f>
        <v>Paguyuban Puri Bunga 2</v>
      </c>
      <c r="B1" s="6"/>
      <c r="C1" s="6"/>
      <c r="D1" s="2"/>
      <c r="E1" s="2"/>
      <c r="F1" s="2"/>
      <c r="G1" s="2"/>
      <c r="H1" s="2"/>
      <c r="I1" s="2"/>
      <c r="J1" s="73"/>
      <c r="K1" s="73"/>
      <c r="L1" s="73"/>
      <c r="M1" s="73"/>
      <c r="N1" s="73"/>
      <c r="O1" s="7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35">
      <c r="A2" s="2" t="s">
        <v>306</v>
      </c>
      <c r="B2" s="6"/>
      <c r="C2" s="6"/>
      <c r="D2" s="2"/>
      <c r="E2" s="2"/>
      <c r="F2" s="2"/>
      <c r="G2" s="2"/>
      <c r="H2" s="2"/>
      <c r="I2" s="2"/>
      <c r="J2" s="73"/>
      <c r="K2" s="73"/>
      <c r="L2" s="73"/>
      <c r="M2" s="73"/>
      <c r="N2" s="73"/>
      <c r="O2" s="7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35">
      <c r="A3" s="2"/>
      <c r="B3" s="6"/>
      <c r="C3" s="6"/>
      <c r="D3" s="2"/>
      <c r="E3" s="2"/>
      <c r="F3" s="2"/>
      <c r="G3" s="2"/>
      <c r="H3" s="2"/>
      <c r="I3" s="2"/>
      <c r="J3" s="73"/>
      <c r="K3" s="73"/>
      <c r="L3" s="73"/>
      <c r="M3" s="73"/>
      <c r="N3" s="73"/>
      <c r="O3" s="7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35">
      <c r="A4" s="2"/>
      <c r="B4" s="6"/>
      <c r="C4" s="6"/>
      <c r="D4" s="2"/>
      <c r="E4" s="2"/>
      <c r="F4" s="2"/>
      <c r="G4" s="2"/>
      <c r="H4" s="2"/>
      <c r="I4" s="2"/>
      <c r="J4" s="73"/>
      <c r="K4" s="73"/>
      <c r="L4" s="73"/>
      <c r="M4" s="73"/>
      <c r="N4" s="73"/>
      <c r="O4" s="7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35">
      <c r="A5" s="209" t="s">
        <v>307</v>
      </c>
      <c r="B5" s="185"/>
      <c r="C5" s="185"/>
      <c r="D5" s="185"/>
      <c r="E5" s="185"/>
      <c r="F5" s="185"/>
      <c r="G5" s="185"/>
      <c r="H5" s="185"/>
      <c r="I5" s="185"/>
      <c r="J5" s="185"/>
      <c r="K5" s="73"/>
      <c r="L5" s="73"/>
      <c r="M5" s="73"/>
      <c r="N5" s="73"/>
      <c r="O5" s="7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35">
      <c r="A6" s="2"/>
      <c r="B6" s="6"/>
      <c r="C6" s="6"/>
      <c r="D6" s="2"/>
      <c r="E6" s="2"/>
      <c r="F6" s="2"/>
      <c r="G6" s="2"/>
      <c r="H6" s="2"/>
      <c r="I6" s="2"/>
      <c r="J6" s="73"/>
      <c r="K6" s="73"/>
      <c r="L6" s="73"/>
      <c r="M6" s="73"/>
      <c r="N6" s="73"/>
      <c r="O6" s="7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35">
      <c r="A7" s="7" t="s">
        <v>16</v>
      </c>
      <c r="B7" s="8" t="s">
        <v>17</v>
      </c>
      <c r="C7" s="8" t="s">
        <v>18</v>
      </c>
      <c r="D7" s="147" t="s">
        <v>19</v>
      </c>
      <c r="E7" s="7" t="s">
        <v>261</v>
      </c>
      <c r="F7" s="7" t="s">
        <v>20</v>
      </c>
      <c r="G7" s="7" t="s">
        <v>21</v>
      </c>
      <c r="H7" s="120" t="s">
        <v>189</v>
      </c>
      <c r="I7" s="7" t="s">
        <v>72</v>
      </c>
      <c r="J7" s="74" t="s">
        <v>22</v>
      </c>
      <c r="K7" s="74" t="s">
        <v>23</v>
      </c>
      <c r="L7" s="74" t="s">
        <v>24</v>
      </c>
      <c r="M7" s="73" t="s">
        <v>276</v>
      </c>
      <c r="N7" s="73" t="s">
        <v>277</v>
      </c>
      <c r="O7" s="73" t="s">
        <v>38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35">
      <c r="A8" s="9">
        <v>1</v>
      </c>
      <c r="B8" s="10">
        <v>46023</v>
      </c>
      <c r="C8" s="11">
        <f t="shared" ref="C8:C71" si="0">MONTH(B8)</f>
        <v>1</v>
      </c>
      <c r="D8" s="11">
        <v>5</v>
      </c>
      <c r="E8" s="68"/>
      <c r="F8" s="9"/>
      <c r="G8" s="12" t="s">
        <v>25</v>
      </c>
      <c r="H8" s="12"/>
      <c r="I8" s="12"/>
      <c r="J8" s="75"/>
      <c r="K8" s="76"/>
      <c r="L8" s="150">
        <v>0</v>
      </c>
      <c r="M8" s="73"/>
      <c r="N8" s="73"/>
      <c r="O8" s="7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35">
      <c r="A9" s="9">
        <v>1</v>
      </c>
      <c r="B9" s="15">
        <v>46144</v>
      </c>
      <c r="C9" s="11">
        <f t="shared" si="0"/>
        <v>5</v>
      </c>
      <c r="D9" s="11">
        <v>5</v>
      </c>
      <c r="E9" s="13">
        <v>1</v>
      </c>
      <c r="F9" s="14">
        <v>11</v>
      </c>
      <c r="G9" s="89" t="str">
        <f>IFERROR(VLOOKUP(F9,COA!$A$1:$K$26,2,FALSE),0)</f>
        <v>Kas Kecil</v>
      </c>
      <c r="H9" s="89" t="s">
        <v>339</v>
      </c>
      <c r="I9" s="13"/>
      <c r="J9" s="78">
        <v>304000</v>
      </c>
      <c r="K9" s="79"/>
      <c r="L9" s="146">
        <f>L8+J9-K9</f>
        <v>304000</v>
      </c>
      <c r="M9" s="73"/>
      <c r="N9" s="73"/>
      <c r="O9" s="7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35">
      <c r="A10" s="9">
        <f>A9+1</f>
        <v>2</v>
      </c>
      <c r="B10" s="15">
        <v>46149</v>
      </c>
      <c r="C10" s="11">
        <f t="shared" ref="C10" si="1">MONTH(B10)</f>
        <v>5</v>
      </c>
      <c r="D10" s="11">
        <v>5</v>
      </c>
      <c r="E10" s="13">
        <v>1</v>
      </c>
      <c r="F10" s="14">
        <v>11</v>
      </c>
      <c r="G10" s="89" t="str">
        <f>IFERROR(VLOOKUP(F10,COA!$A$1:$K$26,2,FALSE),0)</f>
        <v>Kas Kecil</v>
      </c>
      <c r="H10" s="89" t="s">
        <v>333</v>
      </c>
      <c r="I10" s="13"/>
      <c r="J10" s="78">
        <v>200000</v>
      </c>
      <c r="K10" s="79"/>
      <c r="L10" s="146">
        <f>L9+J10-K10</f>
        <v>504000</v>
      </c>
      <c r="M10" s="73"/>
      <c r="N10" s="73"/>
      <c r="O10" s="7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35">
      <c r="A11" s="9">
        <f t="shared" ref="A11:A74" si="2">A10+1</f>
        <v>3</v>
      </c>
      <c r="B11" s="15"/>
      <c r="C11" s="11">
        <f t="shared" si="0"/>
        <v>1</v>
      </c>
      <c r="D11" s="11">
        <v>5</v>
      </c>
      <c r="E11" s="13"/>
      <c r="F11" s="14"/>
      <c r="G11" s="89">
        <f>IFERROR(VLOOKUP(F11,COA!$A$1:$K$26,2,FALSE),0)</f>
        <v>0</v>
      </c>
      <c r="H11" s="89"/>
      <c r="I11" s="13"/>
      <c r="J11" s="82"/>
      <c r="K11" s="79"/>
      <c r="L11" s="146">
        <f t="shared" ref="L11:L74" si="3">L10+J11-K11</f>
        <v>504000</v>
      </c>
      <c r="M11" s="73"/>
      <c r="N11" s="73"/>
      <c r="O11" s="7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 x14ac:dyDescent="0.35">
      <c r="A12" s="9">
        <f t="shared" si="2"/>
        <v>4</v>
      </c>
      <c r="B12" s="15"/>
      <c r="C12" s="11">
        <f t="shared" si="0"/>
        <v>1</v>
      </c>
      <c r="D12" s="11">
        <v>5</v>
      </c>
      <c r="E12" s="13"/>
      <c r="F12" s="14"/>
      <c r="G12" s="89">
        <f>IFERROR(VLOOKUP(F12,COA!$A$1:$K$26,2,FALSE),0)</f>
        <v>0</v>
      </c>
      <c r="H12" s="89"/>
      <c r="I12" s="13"/>
      <c r="J12" s="82"/>
      <c r="K12" s="136"/>
      <c r="L12" s="146">
        <f t="shared" si="3"/>
        <v>504000</v>
      </c>
      <c r="M12" s="73"/>
      <c r="N12" s="73"/>
      <c r="O12" s="7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 x14ac:dyDescent="0.35">
      <c r="A13" s="9">
        <f t="shared" si="2"/>
        <v>5</v>
      </c>
      <c r="B13" s="15"/>
      <c r="C13" s="11">
        <f t="shared" si="0"/>
        <v>1</v>
      </c>
      <c r="D13" s="11">
        <v>5</v>
      </c>
      <c r="E13" s="13"/>
      <c r="F13" s="14"/>
      <c r="G13" s="89">
        <f>IFERROR(VLOOKUP(F13,COA!$A$1:$K$26,2,FALSE),0)</f>
        <v>0</v>
      </c>
      <c r="H13" s="89"/>
      <c r="I13" s="13"/>
      <c r="J13" s="78"/>
      <c r="K13" s="79"/>
      <c r="L13" s="146">
        <f t="shared" si="3"/>
        <v>504000</v>
      </c>
      <c r="M13" s="73"/>
      <c r="N13" s="73"/>
      <c r="O13" s="7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 x14ac:dyDescent="0.35">
      <c r="A14" s="9">
        <f t="shared" si="2"/>
        <v>6</v>
      </c>
      <c r="B14" s="15"/>
      <c r="C14" s="11">
        <f t="shared" si="0"/>
        <v>1</v>
      </c>
      <c r="D14" s="11">
        <v>5</v>
      </c>
      <c r="E14" s="13"/>
      <c r="F14" s="14"/>
      <c r="G14" s="89">
        <f>IFERROR(VLOOKUP(F14,COA!$A$1:$K$26,2,FALSE),0)</f>
        <v>0</v>
      </c>
      <c r="H14" s="89"/>
      <c r="I14" s="13"/>
      <c r="J14" s="78"/>
      <c r="K14" s="79"/>
      <c r="L14" s="146">
        <f t="shared" si="3"/>
        <v>504000</v>
      </c>
      <c r="M14" s="73"/>
      <c r="N14" s="73"/>
      <c r="O14" s="7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 x14ac:dyDescent="0.35">
      <c r="A15" s="9">
        <f t="shared" si="2"/>
        <v>7</v>
      </c>
      <c r="B15" s="15"/>
      <c r="C15" s="11">
        <f t="shared" si="0"/>
        <v>1</v>
      </c>
      <c r="D15" s="11">
        <v>5</v>
      </c>
      <c r="E15" s="13"/>
      <c r="F15" s="14"/>
      <c r="G15" s="89">
        <f>IFERROR(VLOOKUP(F15,COA!$A$1:$K$26,2,FALSE),0)</f>
        <v>0</v>
      </c>
      <c r="H15" s="89"/>
      <c r="I15" s="13"/>
      <c r="J15" s="78"/>
      <c r="K15" s="79"/>
      <c r="L15" s="146">
        <f t="shared" si="3"/>
        <v>504000</v>
      </c>
      <c r="M15" s="73"/>
      <c r="N15" s="73"/>
      <c r="O15" s="7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 x14ac:dyDescent="0.35">
      <c r="A16" s="9">
        <f t="shared" si="2"/>
        <v>8</v>
      </c>
      <c r="B16" s="15"/>
      <c r="C16" s="11">
        <f t="shared" si="0"/>
        <v>1</v>
      </c>
      <c r="D16" s="11">
        <v>5</v>
      </c>
      <c r="E16" s="13"/>
      <c r="F16" s="14"/>
      <c r="G16" s="89">
        <f>IFERROR(VLOOKUP(F16,COA!$A$1:$K$26,2,FALSE),0)</f>
        <v>0</v>
      </c>
      <c r="H16" s="89"/>
      <c r="I16" s="13"/>
      <c r="J16" s="78"/>
      <c r="K16" s="79"/>
      <c r="L16" s="146">
        <f t="shared" si="3"/>
        <v>504000</v>
      </c>
      <c r="M16" s="73"/>
      <c r="N16" s="73"/>
      <c r="O16" s="7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 x14ac:dyDescent="0.35">
      <c r="A17" s="9">
        <f t="shared" si="2"/>
        <v>9</v>
      </c>
      <c r="B17" s="15"/>
      <c r="C17" s="11">
        <f t="shared" si="0"/>
        <v>1</v>
      </c>
      <c r="D17" s="11">
        <v>5</v>
      </c>
      <c r="E17" s="13"/>
      <c r="F17" s="14"/>
      <c r="G17" s="89">
        <f>IFERROR(VLOOKUP(F17,COA!$A$1:$K$26,2,FALSE),0)</f>
        <v>0</v>
      </c>
      <c r="H17" s="89"/>
      <c r="I17" s="13"/>
      <c r="J17" s="78"/>
      <c r="K17" s="78"/>
      <c r="L17" s="146">
        <f t="shared" si="3"/>
        <v>504000</v>
      </c>
      <c r="M17" s="73"/>
      <c r="N17" s="73"/>
      <c r="O17" s="7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 x14ac:dyDescent="0.35">
      <c r="A18" s="9">
        <f t="shared" si="2"/>
        <v>10</v>
      </c>
      <c r="B18" s="15"/>
      <c r="C18" s="11">
        <f t="shared" si="0"/>
        <v>1</v>
      </c>
      <c r="D18" s="11">
        <v>5</v>
      </c>
      <c r="E18" s="13"/>
      <c r="F18" s="14"/>
      <c r="G18" s="89">
        <f>IFERROR(VLOOKUP(F18,COA!$A$1:$K$26,2,FALSE),0)</f>
        <v>0</v>
      </c>
      <c r="H18" s="89"/>
      <c r="I18" s="13"/>
      <c r="J18" s="78"/>
      <c r="K18" s="78"/>
      <c r="L18" s="146">
        <f t="shared" si="3"/>
        <v>504000</v>
      </c>
      <c r="M18" s="73"/>
      <c r="N18" s="73"/>
      <c r="O18" s="7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 x14ac:dyDescent="0.35">
      <c r="A19" s="9">
        <f t="shared" si="2"/>
        <v>11</v>
      </c>
      <c r="B19" s="15"/>
      <c r="C19" s="11">
        <f t="shared" si="0"/>
        <v>1</v>
      </c>
      <c r="D19" s="11">
        <v>5</v>
      </c>
      <c r="E19" s="13"/>
      <c r="F19" s="14"/>
      <c r="G19" s="89">
        <f>IFERROR(VLOOKUP(F19,COA!$A$1:$K$26,2,FALSE),0)</f>
        <v>0</v>
      </c>
      <c r="H19" s="89"/>
      <c r="I19" s="13"/>
      <c r="J19" s="78"/>
      <c r="K19" s="79"/>
      <c r="L19" s="146">
        <f t="shared" si="3"/>
        <v>504000</v>
      </c>
      <c r="M19" s="73"/>
      <c r="N19" s="73"/>
      <c r="O19" s="7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 x14ac:dyDescent="0.35">
      <c r="A20" s="9">
        <f t="shared" si="2"/>
        <v>12</v>
      </c>
      <c r="B20" s="15"/>
      <c r="C20" s="11">
        <f t="shared" si="0"/>
        <v>1</v>
      </c>
      <c r="D20" s="11">
        <v>5</v>
      </c>
      <c r="E20" s="11"/>
      <c r="F20" s="14"/>
      <c r="G20" s="89">
        <f>IFERROR(VLOOKUP(F20,COA!$A$1:$K$26,2,FALSE),0)</f>
        <v>0</v>
      </c>
      <c r="H20" s="89"/>
      <c r="I20" s="13"/>
      <c r="J20" s="78"/>
      <c r="K20" s="79"/>
      <c r="L20" s="146">
        <f t="shared" si="3"/>
        <v>504000</v>
      </c>
      <c r="M20" s="73"/>
      <c r="N20" s="73"/>
      <c r="O20" s="7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 x14ac:dyDescent="0.35">
      <c r="A21" s="9">
        <f t="shared" si="2"/>
        <v>13</v>
      </c>
      <c r="B21" s="15"/>
      <c r="C21" s="11">
        <f t="shared" si="0"/>
        <v>1</v>
      </c>
      <c r="D21" s="11">
        <v>5</v>
      </c>
      <c r="E21" s="11"/>
      <c r="F21" s="14"/>
      <c r="G21" s="89">
        <f>IFERROR(VLOOKUP(F21,COA!$A$1:$K$26,2,FALSE),0)</f>
        <v>0</v>
      </c>
      <c r="H21" s="11"/>
      <c r="I21" s="95"/>
      <c r="J21" s="78"/>
      <c r="K21" s="79"/>
      <c r="L21" s="146">
        <f t="shared" si="3"/>
        <v>504000</v>
      </c>
      <c r="M21" s="73"/>
      <c r="N21" s="73"/>
      <c r="O21" s="7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 x14ac:dyDescent="0.35">
      <c r="A22" s="9">
        <f t="shared" si="2"/>
        <v>14</v>
      </c>
      <c r="B22" s="15"/>
      <c r="C22" s="11">
        <f t="shared" si="0"/>
        <v>1</v>
      </c>
      <c r="D22" s="11">
        <v>5</v>
      </c>
      <c r="E22" s="11"/>
      <c r="F22" s="14"/>
      <c r="G22" s="89">
        <f>IFERROR(VLOOKUP(F22,COA!$A$1:$K$26,2,FALSE),0)</f>
        <v>0</v>
      </c>
      <c r="H22" s="11"/>
      <c r="I22" s="95"/>
      <c r="J22" s="78"/>
      <c r="K22" s="79"/>
      <c r="L22" s="146">
        <f t="shared" si="3"/>
        <v>504000</v>
      </c>
      <c r="M22" s="73"/>
      <c r="N22" s="73"/>
      <c r="O22" s="7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 x14ac:dyDescent="0.35">
      <c r="A23" s="9">
        <f t="shared" si="2"/>
        <v>15</v>
      </c>
      <c r="B23" s="15"/>
      <c r="C23" s="11">
        <f t="shared" si="0"/>
        <v>1</v>
      </c>
      <c r="D23" s="11">
        <v>5</v>
      </c>
      <c r="E23" s="13"/>
      <c r="F23" s="14"/>
      <c r="G23" s="89">
        <f>IFERROR(VLOOKUP(F23,COA!$A$1:$K$26,2,FALSE),0)</f>
        <v>0</v>
      </c>
      <c r="H23" s="11"/>
      <c r="I23" s="95"/>
      <c r="J23" s="78"/>
      <c r="K23" s="78"/>
      <c r="L23" s="146">
        <f t="shared" si="3"/>
        <v>504000</v>
      </c>
      <c r="M23" s="73"/>
      <c r="N23" s="73"/>
      <c r="O23" s="7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 x14ac:dyDescent="0.35">
      <c r="A24" s="9">
        <f t="shared" si="2"/>
        <v>16</v>
      </c>
      <c r="B24" s="15"/>
      <c r="C24" s="11">
        <f t="shared" si="0"/>
        <v>1</v>
      </c>
      <c r="D24" s="11">
        <v>5</v>
      </c>
      <c r="E24" s="11"/>
      <c r="F24" s="14"/>
      <c r="G24" s="89">
        <f>IFERROR(VLOOKUP(F24,COA!$A$1:$K$26,2,FALSE),0)</f>
        <v>0</v>
      </c>
      <c r="H24" s="11"/>
      <c r="I24" s="95"/>
      <c r="J24" s="78"/>
      <c r="K24" s="78"/>
      <c r="L24" s="146">
        <f t="shared" si="3"/>
        <v>504000</v>
      </c>
      <c r="M24" s="73"/>
      <c r="N24" s="73"/>
      <c r="O24" s="7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 x14ac:dyDescent="0.35">
      <c r="A25" s="9">
        <f t="shared" si="2"/>
        <v>17</v>
      </c>
      <c r="B25" s="15"/>
      <c r="C25" s="11">
        <f t="shared" si="0"/>
        <v>1</v>
      </c>
      <c r="D25" s="11">
        <v>5</v>
      </c>
      <c r="E25" s="11"/>
      <c r="F25" s="14"/>
      <c r="G25" s="89">
        <f>IFERROR(VLOOKUP(F25,COA!$A$1:$K$26,2,FALSE),0)</f>
        <v>0</v>
      </c>
      <c r="H25" s="11"/>
      <c r="I25" s="95"/>
      <c r="J25" s="78"/>
      <c r="K25" s="78"/>
      <c r="L25" s="146">
        <f t="shared" si="3"/>
        <v>504000</v>
      </c>
      <c r="M25" s="73"/>
      <c r="N25" s="73"/>
      <c r="O25" s="7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 x14ac:dyDescent="0.35">
      <c r="A26" s="9">
        <f t="shared" si="2"/>
        <v>18</v>
      </c>
      <c r="B26" s="15"/>
      <c r="C26" s="11">
        <f t="shared" si="0"/>
        <v>1</v>
      </c>
      <c r="D26" s="11">
        <v>5</v>
      </c>
      <c r="E26" s="11"/>
      <c r="F26" s="14"/>
      <c r="G26" s="89">
        <f>IFERROR(VLOOKUP(F26,COA!$A$1:$K$26,2,FALSE),0)</f>
        <v>0</v>
      </c>
      <c r="H26" s="11"/>
      <c r="I26" s="95"/>
      <c r="J26" s="78"/>
      <c r="K26" s="78"/>
      <c r="L26" s="146">
        <f t="shared" si="3"/>
        <v>504000</v>
      </c>
      <c r="M26" s="73"/>
      <c r="N26" s="73"/>
      <c r="O26" s="7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 x14ac:dyDescent="0.35">
      <c r="A27" s="9">
        <f t="shared" si="2"/>
        <v>19</v>
      </c>
      <c r="B27" s="10"/>
      <c r="C27" s="11">
        <f t="shared" si="0"/>
        <v>1</v>
      </c>
      <c r="D27" s="11">
        <v>5</v>
      </c>
      <c r="E27" s="11"/>
      <c r="F27" s="14"/>
      <c r="G27" s="89">
        <f>IFERROR(VLOOKUP(F27,COA!$A$1:$K$26,2,FALSE),0)</f>
        <v>0</v>
      </c>
      <c r="H27" s="11"/>
      <c r="I27" s="11"/>
      <c r="J27" s="79"/>
      <c r="K27" s="78"/>
      <c r="L27" s="146">
        <f t="shared" si="3"/>
        <v>504000</v>
      </c>
      <c r="M27" s="73"/>
      <c r="N27" s="73"/>
      <c r="O27" s="7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 x14ac:dyDescent="0.35">
      <c r="A28" s="9">
        <f t="shared" si="2"/>
        <v>20</v>
      </c>
      <c r="B28" s="10"/>
      <c r="C28" s="11">
        <f t="shared" si="0"/>
        <v>1</v>
      </c>
      <c r="D28" s="11">
        <v>5</v>
      </c>
      <c r="E28" s="11"/>
      <c r="F28" s="14"/>
      <c r="G28" s="89">
        <f>IFERROR(VLOOKUP(F28,COA!$A$1:$K$26,2,FALSE),0)</f>
        <v>0</v>
      </c>
      <c r="H28" s="11"/>
      <c r="I28" s="11"/>
      <c r="J28" s="79"/>
      <c r="K28" s="79"/>
      <c r="L28" s="146">
        <f t="shared" si="3"/>
        <v>504000</v>
      </c>
      <c r="M28" s="73"/>
      <c r="N28" s="73"/>
      <c r="O28" s="7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 x14ac:dyDescent="0.35">
      <c r="A29" s="9">
        <f t="shared" si="2"/>
        <v>21</v>
      </c>
      <c r="B29" s="10"/>
      <c r="C29" s="11">
        <f t="shared" si="0"/>
        <v>1</v>
      </c>
      <c r="D29" s="11">
        <v>5</v>
      </c>
      <c r="E29" s="11"/>
      <c r="F29" s="14"/>
      <c r="G29" s="89">
        <f>IFERROR(VLOOKUP(F29,COA!$A$1:$K$26,2,FALSE),0)</f>
        <v>0</v>
      </c>
      <c r="H29" s="11"/>
      <c r="I29" s="11"/>
      <c r="J29" s="79"/>
      <c r="K29" s="79"/>
      <c r="L29" s="146">
        <f t="shared" si="3"/>
        <v>504000</v>
      </c>
      <c r="M29" s="73"/>
      <c r="N29" s="73"/>
      <c r="O29" s="7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 x14ac:dyDescent="0.35">
      <c r="A30" s="9">
        <f t="shared" si="2"/>
        <v>22</v>
      </c>
      <c r="B30" s="10"/>
      <c r="C30" s="11">
        <f t="shared" si="0"/>
        <v>1</v>
      </c>
      <c r="D30" s="11">
        <v>5</v>
      </c>
      <c r="E30" s="11"/>
      <c r="F30" s="14"/>
      <c r="G30" s="89">
        <f>IFERROR(VLOOKUP(F30,COA!$A$1:$K$26,2,FALSE),0)</f>
        <v>0</v>
      </c>
      <c r="H30" s="11"/>
      <c r="I30" s="11"/>
      <c r="J30" s="79"/>
      <c r="K30" s="79"/>
      <c r="L30" s="146">
        <f t="shared" si="3"/>
        <v>504000</v>
      </c>
      <c r="M30" s="73"/>
      <c r="N30" s="73"/>
      <c r="O30" s="7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 x14ac:dyDescent="0.35">
      <c r="A31" s="9">
        <f t="shared" si="2"/>
        <v>23</v>
      </c>
      <c r="B31" s="15"/>
      <c r="C31" s="11">
        <f t="shared" si="0"/>
        <v>1</v>
      </c>
      <c r="D31" s="11">
        <v>5</v>
      </c>
      <c r="E31" s="13"/>
      <c r="F31" s="14"/>
      <c r="G31" s="89">
        <f>IFERROR(VLOOKUP(F31,COA!$A$1:$K$26,2,FALSE),0)</f>
        <v>0</v>
      </c>
      <c r="H31" s="11"/>
      <c r="I31" s="95"/>
      <c r="J31" s="79"/>
      <c r="K31" s="78"/>
      <c r="L31" s="146">
        <f t="shared" si="3"/>
        <v>504000</v>
      </c>
      <c r="M31" s="73"/>
      <c r="N31" s="73"/>
      <c r="O31" s="7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 x14ac:dyDescent="0.35">
      <c r="A32" s="9">
        <f t="shared" si="2"/>
        <v>24</v>
      </c>
      <c r="B32" s="15"/>
      <c r="C32" s="11">
        <f t="shared" si="0"/>
        <v>1</v>
      </c>
      <c r="D32" s="11">
        <v>5</v>
      </c>
      <c r="E32" s="11"/>
      <c r="F32" s="14"/>
      <c r="G32" s="89">
        <f>IFERROR(VLOOKUP(F32,COA!$A$1:$K$26,2,FALSE),0)</f>
        <v>0</v>
      </c>
      <c r="H32" s="11"/>
      <c r="I32" s="95"/>
      <c r="J32" s="79"/>
      <c r="K32" s="78"/>
      <c r="L32" s="146">
        <f t="shared" si="3"/>
        <v>504000</v>
      </c>
      <c r="M32" s="73"/>
      <c r="N32" s="73"/>
      <c r="O32" s="7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 x14ac:dyDescent="0.35">
      <c r="A33" s="9">
        <f t="shared" si="2"/>
        <v>25</v>
      </c>
      <c r="B33" s="15"/>
      <c r="C33" s="11">
        <f t="shared" si="0"/>
        <v>1</v>
      </c>
      <c r="D33" s="11">
        <v>5</v>
      </c>
      <c r="E33" s="11"/>
      <c r="F33" s="14"/>
      <c r="G33" s="89">
        <f>IFERROR(VLOOKUP(F33,COA!$A$1:$K$26,2,FALSE),0)</f>
        <v>0</v>
      </c>
      <c r="H33" s="11"/>
      <c r="I33" s="95"/>
      <c r="J33" s="78"/>
      <c r="K33" s="79"/>
      <c r="L33" s="146">
        <f t="shared" si="3"/>
        <v>504000</v>
      </c>
      <c r="M33" s="73"/>
      <c r="N33" s="73"/>
      <c r="O33" s="7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 x14ac:dyDescent="0.35">
      <c r="A34" s="9">
        <f t="shared" si="2"/>
        <v>26</v>
      </c>
      <c r="B34" s="15"/>
      <c r="C34" s="11">
        <f t="shared" si="0"/>
        <v>1</v>
      </c>
      <c r="D34" s="11">
        <v>5</v>
      </c>
      <c r="E34" s="11"/>
      <c r="F34" s="14"/>
      <c r="G34" s="89">
        <f>IFERROR(VLOOKUP(F34,COA!$A$1:$K$26,2,FALSE),0)</f>
        <v>0</v>
      </c>
      <c r="H34" s="11"/>
      <c r="I34" s="95"/>
      <c r="J34" s="78"/>
      <c r="K34" s="78"/>
      <c r="L34" s="146">
        <f t="shared" si="3"/>
        <v>504000</v>
      </c>
      <c r="M34" s="73"/>
      <c r="N34" s="73"/>
      <c r="O34" s="7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 x14ac:dyDescent="0.35">
      <c r="A35" s="9">
        <f t="shared" si="2"/>
        <v>27</v>
      </c>
      <c r="B35" s="15"/>
      <c r="C35" s="11">
        <f t="shared" si="0"/>
        <v>1</v>
      </c>
      <c r="D35" s="11">
        <v>5</v>
      </c>
      <c r="E35" s="11"/>
      <c r="F35" s="14"/>
      <c r="G35" s="89">
        <f>IFERROR(VLOOKUP(F35,COA!$A$1:$K$26,2,FALSE),0)</f>
        <v>0</v>
      </c>
      <c r="H35" s="11"/>
      <c r="I35" s="95"/>
      <c r="J35" s="82"/>
      <c r="K35" s="79"/>
      <c r="L35" s="146">
        <f t="shared" si="3"/>
        <v>504000</v>
      </c>
      <c r="M35" s="73"/>
      <c r="N35" s="73"/>
      <c r="O35" s="7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 x14ac:dyDescent="0.35">
      <c r="A36" s="9">
        <f t="shared" si="2"/>
        <v>28</v>
      </c>
      <c r="B36" s="15"/>
      <c r="C36" s="11">
        <f t="shared" si="0"/>
        <v>1</v>
      </c>
      <c r="D36" s="11">
        <v>5</v>
      </c>
      <c r="E36" s="11"/>
      <c r="F36" s="14"/>
      <c r="G36" s="89">
        <f>IFERROR(VLOOKUP(F36,COA!$A$1:$K$26,2,FALSE),0)</f>
        <v>0</v>
      </c>
      <c r="H36" s="11"/>
      <c r="I36" s="95"/>
      <c r="J36" s="82"/>
      <c r="K36" s="79"/>
      <c r="L36" s="146">
        <f t="shared" si="3"/>
        <v>504000</v>
      </c>
      <c r="M36" s="73"/>
      <c r="N36" s="73"/>
      <c r="O36" s="7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 x14ac:dyDescent="0.35">
      <c r="A37" s="9">
        <f t="shared" si="2"/>
        <v>29</v>
      </c>
      <c r="B37" s="15"/>
      <c r="C37" s="11">
        <f t="shared" si="0"/>
        <v>1</v>
      </c>
      <c r="D37" s="11">
        <v>5</v>
      </c>
      <c r="E37" s="11"/>
      <c r="F37" s="14"/>
      <c r="G37" s="89">
        <f>IFERROR(VLOOKUP(F37,COA!$A$1:$K$26,2,FALSE),0)</f>
        <v>0</v>
      </c>
      <c r="H37" s="11"/>
      <c r="I37" s="95"/>
      <c r="J37" s="82"/>
      <c r="K37" s="81"/>
      <c r="L37" s="146">
        <f t="shared" si="3"/>
        <v>504000</v>
      </c>
      <c r="M37" s="73"/>
      <c r="N37" s="73"/>
      <c r="O37" s="7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 x14ac:dyDescent="0.35">
      <c r="A38" s="9">
        <f t="shared" si="2"/>
        <v>30</v>
      </c>
      <c r="B38" s="15"/>
      <c r="C38" s="11">
        <f t="shared" si="0"/>
        <v>1</v>
      </c>
      <c r="D38" s="11">
        <v>5</v>
      </c>
      <c r="E38" s="11"/>
      <c r="F38" s="14"/>
      <c r="G38" s="89">
        <f>IFERROR(VLOOKUP(F38,COA!$A$1:$K$26,2,FALSE),0)</f>
        <v>0</v>
      </c>
      <c r="H38" s="11"/>
      <c r="I38" s="95"/>
      <c r="J38" s="82"/>
      <c r="K38" s="79"/>
      <c r="L38" s="146">
        <f t="shared" si="3"/>
        <v>504000</v>
      </c>
      <c r="M38" s="73"/>
      <c r="N38" s="73"/>
      <c r="O38" s="7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 x14ac:dyDescent="0.35">
      <c r="A39" s="9">
        <f t="shared" si="2"/>
        <v>31</v>
      </c>
      <c r="B39" s="15"/>
      <c r="C39" s="11">
        <f t="shared" si="0"/>
        <v>1</v>
      </c>
      <c r="D39" s="11">
        <v>5</v>
      </c>
      <c r="E39" s="11"/>
      <c r="F39" s="14"/>
      <c r="G39" s="89">
        <f>IFERROR(VLOOKUP(F39,COA!$A$1:$K$26,2,FALSE),0)</f>
        <v>0</v>
      </c>
      <c r="H39" s="11"/>
      <c r="I39" s="95"/>
      <c r="J39" s="82"/>
      <c r="K39" s="79"/>
      <c r="L39" s="146">
        <f t="shared" si="3"/>
        <v>504000</v>
      </c>
      <c r="M39" s="73"/>
      <c r="N39" s="73"/>
      <c r="O39" s="7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 x14ac:dyDescent="0.35">
      <c r="A40" s="9">
        <f t="shared" si="2"/>
        <v>32</v>
      </c>
      <c r="B40" s="15"/>
      <c r="C40" s="11">
        <f t="shared" si="0"/>
        <v>1</v>
      </c>
      <c r="D40" s="11">
        <v>5</v>
      </c>
      <c r="E40" s="11"/>
      <c r="F40" s="14"/>
      <c r="G40" s="89">
        <f>IFERROR(VLOOKUP(F40,COA!$A$1:$K$26,2,FALSE),0)</f>
        <v>0</v>
      </c>
      <c r="H40" s="11"/>
      <c r="I40" s="95"/>
      <c r="J40" s="82"/>
      <c r="K40" s="81"/>
      <c r="L40" s="146">
        <f t="shared" si="3"/>
        <v>504000</v>
      </c>
      <c r="M40" s="73"/>
      <c r="N40" s="73"/>
      <c r="O40" s="7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 x14ac:dyDescent="0.35">
      <c r="A41" s="9">
        <f t="shared" si="2"/>
        <v>33</v>
      </c>
      <c r="B41" s="15"/>
      <c r="C41" s="11">
        <f t="shared" si="0"/>
        <v>1</v>
      </c>
      <c r="D41" s="11">
        <v>5</v>
      </c>
      <c r="E41" s="11"/>
      <c r="F41" s="14"/>
      <c r="G41" s="89">
        <f>IFERROR(VLOOKUP(F41,COA!$A$1:$K$26,2,FALSE),0)</f>
        <v>0</v>
      </c>
      <c r="H41" s="11"/>
      <c r="I41" s="95"/>
      <c r="J41" s="82"/>
      <c r="K41" s="81"/>
      <c r="L41" s="146">
        <f t="shared" si="3"/>
        <v>504000</v>
      </c>
      <c r="M41" s="73"/>
      <c r="N41" s="73"/>
      <c r="O41" s="7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 x14ac:dyDescent="0.35">
      <c r="A42" s="9">
        <f t="shared" si="2"/>
        <v>34</v>
      </c>
      <c r="B42" s="15"/>
      <c r="C42" s="11">
        <f t="shared" si="0"/>
        <v>1</v>
      </c>
      <c r="D42" s="11">
        <v>5</v>
      </c>
      <c r="E42" s="11"/>
      <c r="F42" s="14"/>
      <c r="G42" s="89">
        <f>IFERROR(VLOOKUP(F42,COA!$A$1:$K$26,2,FALSE),0)</f>
        <v>0</v>
      </c>
      <c r="H42" s="11"/>
      <c r="I42" s="95"/>
      <c r="J42" s="82"/>
      <c r="K42" s="79"/>
      <c r="L42" s="146">
        <f t="shared" si="3"/>
        <v>504000</v>
      </c>
      <c r="M42" s="73"/>
      <c r="N42" s="73"/>
      <c r="O42" s="7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 x14ac:dyDescent="0.35">
      <c r="A43" s="9">
        <f t="shared" si="2"/>
        <v>35</v>
      </c>
      <c r="B43" s="15"/>
      <c r="C43" s="11">
        <f t="shared" si="0"/>
        <v>1</v>
      </c>
      <c r="D43" s="11">
        <v>5</v>
      </c>
      <c r="E43" s="11"/>
      <c r="F43" s="14"/>
      <c r="G43" s="89">
        <f>IFERROR(VLOOKUP(F43,COA!$A$1:$K$26,2,FALSE),0)</f>
        <v>0</v>
      </c>
      <c r="H43" s="11"/>
      <c r="I43" s="95"/>
      <c r="J43" s="78"/>
      <c r="K43" s="81"/>
      <c r="L43" s="146">
        <f t="shared" si="3"/>
        <v>504000</v>
      </c>
      <c r="M43" s="73"/>
      <c r="N43" s="73"/>
      <c r="O43" s="7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 x14ac:dyDescent="0.35">
      <c r="A44" s="9">
        <f t="shared" si="2"/>
        <v>36</v>
      </c>
      <c r="B44" s="15"/>
      <c r="C44" s="11">
        <f t="shared" si="0"/>
        <v>1</v>
      </c>
      <c r="D44" s="11">
        <v>5</v>
      </c>
      <c r="E44" s="11"/>
      <c r="F44" s="14"/>
      <c r="G44" s="89">
        <f>IFERROR(VLOOKUP(F44,COA!$A$1:$K$26,2,FALSE),0)</f>
        <v>0</v>
      </c>
      <c r="H44" s="11"/>
      <c r="I44" s="95"/>
      <c r="J44" s="78"/>
      <c r="K44" s="79"/>
      <c r="L44" s="146">
        <f t="shared" si="3"/>
        <v>504000</v>
      </c>
      <c r="M44" s="73"/>
      <c r="N44" s="73"/>
      <c r="O44" s="7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 x14ac:dyDescent="0.35">
      <c r="A45" s="9">
        <f t="shared" si="2"/>
        <v>37</v>
      </c>
      <c r="B45" s="16"/>
      <c r="C45" s="11">
        <f t="shared" si="0"/>
        <v>1</v>
      </c>
      <c r="D45" s="11">
        <v>5</v>
      </c>
      <c r="E45" s="11"/>
      <c r="F45" s="14"/>
      <c r="G45" s="89">
        <f>IFERROR(VLOOKUP(F45,COA!$A$1:$K$26,2,FALSE),0)</f>
        <v>0</v>
      </c>
      <c r="H45" s="11"/>
      <c r="I45" s="11"/>
      <c r="J45" s="78"/>
      <c r="K45" s="78"/>
      <c r="L45" s="146">
        <f t="shared" si="3"/>
        <v>504000</v>
      </c>
      <c r="M45" s="73"/>
      <c r="N45" s="73"/>
      <c r="O45" s="7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 x14ac:dyDescent="0.35">
      <c r="A46" s="9">
        <f t="shared" si="2"/>
        <v>38</v>
      </c>
      <c r="B46" s="16"/>
      <c r="C46" s="11">
        <f t="shared" si="0"/>
        <v>1</v>
      </c>
      <c r="D46" s="11">
        <v>5</v>
      </c>
      <c r="E46" s="11"/>
      <c r="F46" s="14"/>
      <c r="G46" s="89">
        <f>IFERROR(VLOOKUP(F46,COA!$A$1:$K$26,2,FALSE),0)</f>
        <v>0</v>
      </c>
      <c r="H46" s="11"/>
      <c r="I46" s="11"/>
      <c r="J46" s="78"/>
      <c r="K46" s="79"/>
      <c r="L46" s="146">
        <f t="shared" si="3"/>
        <v>504000</v>
      </c>
      <c r="M46" s="73"/>
      <c r="N46" s="73"/>
      <c r="O46" s="7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 x14ac:dyDescent="0.35">
      <c r="A47" s="9">
        <f t="shared" si="2"/>
        <v>39</v>
      </c>
      <c r="B47" s="15"/>
      <c r="C47" s="11">
        <f t="shared" si="0"/>
        <v>1</v>
      </c>
      <c r="D47" s="11">
        <v>5</v>
      </c>
      <c r="E47" s="11"/>
      <c r="F47" s="14"/>
      <c r="G47" s="89">
        <f>IFERROR(VLOOKUP(F47,COA!$A$1:$K$26,2,FALSE),0)</f>
        <v>0</v>
      </c>
      <c r="H47" s="11"/>
      <c r="I47" s="95"/>
      <c r="J47" s="78"/>
      <c r="K47" s="81"/>
      <c r="L47" s="146">
        <f t="shared" si="3"/>
        <v>504000</v>
      </c>
      <c r="M47" s="73"/>
      <c r="N47" s="73"/>
      <c r="O47" s="7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 x14ac:dyDescent="0.35">
      <c r="A48" s="9">
        <f t="shared" si="2"/>
        <v>40</v>
      </c>
      <c r="B48" s="10"/>
      <c r="C48" s="11">
        <f t="shared" si="0"/>
        <v>1</v>
      </c>
      <c r="D48" s="11">
        <v>5</v>
      </c>
      <c r="E48" s="11"/>
      <c r="F48" s="11"/>
      <c r="G48" s="89">
        <f>IFERROR(VLOOKUP(F48,COA!$A$1:$K$26,2,FALSE),0)</f>
        <v>0</v>
      </c>
      <c r="H48" s="11"/>
      <c r="I48" s="11"/>
      <c r="J48" s="77"/>
      <c r="K48" s="78"/>
      <c r="L48" s="146">
        <f t="shared" si="3"/>
        <v>504000</v>
      </c>
      <c r="M48" s="73"/>
      <c r="N48" s="73"/>
      <c r="O48" s="7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 x14ac:dyDescent="0.35">
      <c r="A49" s="9">
        <f t="shared" si="2"/>
        <v>41</v>
      </c>
      <c r="B49" s="10"/>
      <c r="C49" s="11">
        <f t="shared" si="0"/>
        <v>1</v>
      </c>
      <c r="D49" s="11">
        <v>5</v>
      </c>
      <c r="E49" s="11"/>
      <c r="F49" s="14"/>
      <c r="G49" s="89">
        <f>IFERROR(VLOOKUP(F49,COA!$A$1:$K$26,2,FALSE),0)</f>
        <v>0</v>
      </c>
      <c r="H49" s="11"/>
      <c r="I49" s="11"/>
      <c r="J49" s="78"/>
      <c r="K49" s="79"/>
      <c r="L49" s="146">
        <f t="shared" si="3"/>
        <v>504000</v>
      </c>
      <c r="M49" s="73"/>
      <c r="N49" s="73"/>
      <c r="O49" s="7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 x14ac:dyDescent="0.35">
      <c r="A50" s="9">
        <f t="shared" si="2"/>
        <v>42</v>
      </c>
      <c r="B50" s="10"/>
      <c r="C50" s="11">
        <f t="shared" si="0"/>
        <v>1</v>
      </c>
      <c r="D50" s="11">
        <v>5</v>
      </c>
      <c r="E50" s="11"/>
      <c r="F50" s="14"/>
      <c r="G50" s="89">
        <f>IFERROR(VLOOKUP(F50,COA!$A$1:$K$26,2,FALSE),0)</f>
        <v>0</v>
      </c>
      <c r="H50" s="11"/>
      <c r="I50" s="11"/>
      <c r="J50" s="79"/>
      <c r="K50" s="78"/>
      <c r="L50" s="146">
        <f t="shared" si="3"/>
        <v>504000</v>
      </c>
      <c r="M50" s="73"/>
      <c r="N50" s="73"/>
      <c r="O50" s="7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 x14ac:dyDescent="0.35">
      <c r="A51" s="9">
        <f t="shared" si="2"/>
        <v>43</v>
      </c>
      <c r="B51" s="16"/>
      <c r="C51" s="11">
        <f t="shared" si="0"/>
        <v>1</v>
      </c>
      <c r="D51" s="11">
        <v>5</v>
      </c>
      <c r="E51" s="11"/>
      <c r="F51" s="14"/>
      <c r="G51" s="89">
        <f>IFERROR(VLOOKUP(F51,COA!$A$1:$K$26,2,FALSE),0)</f>
        <v>0</v>
      </c>
      <c r="H51" s="11"/>
      <c r="I51" s="11"/>
      <c r="J51" s="79"/>
      <c r="K51" s="78"/>
      <c r="L51" s="146">
        <f t="shared" si="3"/>
        <v>504000</v>
      </c>
      <c r="M51" s="73"/>
      <c r="N51" s="73"/>
      <c r="O51" s="7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 x14ac:dyDescent="0.35">
      <c r="A52" s="9">
        <f t="shared" si="2"/>
        <v>44</v>
      </c>
      <c r="B52" s="16"/>
      <c r="C52" s="11">
        <f t="shared" si="0"/>
        <v>1</v>
      </c>
      <c r="D52" s="11">
        <v>5</v>
      </c>
      <c r="E52" s="11"/>
      <c r="F52" s="14"/>
      <c r="G52" s="89">
        <f>IFERROR(VLOOKUP(F52,COA!$A$1:$K$26,2,FALSE),0)</f>
        <v>0</v>
      </c>
      <c r="H52" s="11"/>
      <c r="I52" s="11"/>
      <c r="J52" s="78"/>
      <c r="K52" s="79"/>
      <c r="L52" s="146">
        <f t="shared" si="3"/>
        <v>504000</v>
      </c>
      <c r="M52" s="73"/>
      <c r="N52" s="73"/>
      <c r="O52" s="7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 x14ac:dyDescent="0.35">
      <c r="A53" s="9">
        <f t="shared" si="2"/>
        <v>45</v>
      </c>
      <c r="B53" s="15"/>
      <c r="C53" s="11">
        <f t="shared" si="0"/>
        <v>1</v>
      </c>
      <c r="D53" s="11">
        <v>5</v>
      </c>
      <c r="E53" s="11"/>
      <c r="F53" s="11"/>
      <c r="G53" s="89">
        <f>IFERROR(VLOOKUP(F53,COA!$A$1:$K$26,2,FALSE),0)</f>
        <v>0</v>
      </c>
      <c r="H53" s="11"/>
      <c r="I53" s="11"/>
      <c r="J53" s="78"/>
      <c r="K53" s="78"/>
      <c r="L53" s="146">
        <f t="shared" si="3"/>
        <v>504000</v>
      </c>
      <c r="M53" s="73"/>
      <c r="N53" s="73"/>
      <c r="O53" s="7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 x14ac:dyDescent="0.35">
      <c r="A54" s="9">
        <f t="shared" si="2"/>
        <v>46</v>
      </c>
      <c r="B54" s="15"/>
      <c r="C54" s="11">
        <f t="shared" si="0"/>
        <v>1</v>
      </c>
      <c r="D54" s="11">
        <v>5</v>
      </c>
      <c r="E54" s="11"/>
      <c r="F54" s="14"/>
      <c r="G54" s="89">
        <f>IFERROR(VLOOKUP(F54,COA!$A$1:$K$26,2,FALSE),0)</f>
        <v>0</v>
      </c>
      <c r="H54" s="11"/>
      <c r="I54" s="95"/>
      <c r="J54" s="82"/>
      <c r="K54" s="81"/>
      <c r="L54" s="146">
        <f t="shared" si="3"/>
        <v>504000</v>
      </c>
      <c r="M54" s="73"/>
      <c r="N54" s="73"/>
      <c r="O54" s="7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 x14ac:dyDescent="0.35">
      <c r="A55" s="9">
        <f t="shared" si="2"/>
        <v>47</v>
      </c>
      <c r="B55" s="15"/>
      <c r="C55" s="11">
        <f t="shared" si="0"/>
        <v>1</v>
      </c>
      <c r="D55" s="11">
        <v>5</v>
      </c>
      <c r="E55" s="11"/>
      <c r="F55" s="14"/>
      <c r="G55" s="89">
        <f>IFERROR(VLOOKUP(F55,COA!$A$1:$K$26,2,FALSE),0)</f>
        <v>0</v>
      </c>
      <c r="H55" s="11"/>
      <c r="I55" s="95"/>
      <c r="J55" s="82"/>
      <c r="K55" s="81"/>
      <c r="L55" s="146">
        <f t="shared" si="3"/>
        <v>504000</v>
      </c>
      <c r="M55" s="73"/>
      <c r="N55" s="73"/>
      <c r="O55" s="7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 x14ac:dyDescent="0.35">
      <c r="A56" s="9">
        <f t="shared" si="2"/>
        <v>48</v>
      </c>
      <c r="B56" s="15"/>
      <c r="C56" s="11">
        <f t="shared" si="0"/>
        <v>1</v>
      </c>
      <c r="D56" s="11">
        <v>5</v>
      </c>
      <c r="E56" s="11"/>
      <c r="F56" s="14"/>
      <c r="G56" s="89">
        <f>IFERROR(VLOOKUP(F56,COA!$A$1:$K$26,2,FALSE),0)</f>
        <v>0</v>
      </c>
      <c r="H56" s="11"/>
      <c r="I56" s="95"/>
      <c r="J56" s="82"/>
      <c r="K56" s="81"/>
      <c r="L56" s="146">
        <f t="shared" si="3"/>
        <v>504000</v>
      </c>
      <c r="M56" s="73"/>
      <c r="N56" s="73"/>
      <c r="O56" s="7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x14ac:dyDescent="0.35">
      <c r="A57" s="9">
        <f t="shared" si="2"/>
        <v>49</v>
      </c>
      <c r="B57" s="15"/>
      <c r="C57" s="11">
        <f t="shared" si="0"/>
        <v>1</v>
      </c>
      <c r="D57" s="11">
        <v>5</v>
      </c>
      <c r="E57" s="11"/>
      <c r="F57" s="14"/>
      <c r="G57" s="89">
        <f>IFERROR(VLOOKUP(F57,COA!$A$1:$K$26,2,FALSE),0)</f>
        <v>0</v>
      </c>
      <c r="H57" s="11"/>
      <c r="I57" s="95"/>
      <c r="J57" s="82"/>
      <c r="K57" s="81"/>
      <c r="L57" s="146">
        <f t="shared" si="3"/>
        <v>504000</v>
      </c>
      <c r="M57" s="73"/>
      <c r="N57" s="73"/>
      <c r="O57" s="7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 x14ac:dyDescent="0.35">
      <c r="A58" s="9">
        <f t="shared" si="2"/>
        <v>50</v>
      </c>
      <c r="B58" s="15"/>
      <c r="C58" s="11">
        <f t="shared" si="0"/>
        <v>1</v>
      </c>
      <c r="D58" s="11">
        <v>5</v>
      </c>
      <c r="E58" s="11"/>
      <c r="F58" s="14"/>
      <c r="G58" s="89">
        <f>IFERROR(VLOOKUP(F58,COA!$A$1:$K$26,2,FALSE),0)</f>
        <v>0</v>
      </c>
      <c r="H58" s="11"/>
      <c r="I58" s="95"/>
      <c r="J58" s="82"/>
      <c r="K58" s="81"/>
      <c r="L58" s="146">
        <f t="shared" si="3"/>
        <v>504000</v>
      </c>
      <c r="M58" s="73"/>
      <c r="N58" s="73"/>
      <c r="O58" s="7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 x14ac:dyDescent="0.35">
      <c r="A59" s="9">
        <f t="shared" si="2"/>
        <v>51</v>
      </c>
      <c r="B59" s="15"/>
      <c r="C59" s="11">
        <f t="shared" si="0"/>
        <v>1</v>
      </c>
      <c r="D59" s="11">
        <v>5</v>
      </c>
      <c r="E59" s="11"/>
      <c r="F59" s="14"/>
      <c r="G59" s="89">
        <f>IFERROR(VLOOKUP(F59,COA!$A$1:$K$26,2,FALSE),0)</f>
        <v>0</v>
      </c>
      <c r="H59" s="11"/>
      <c r="I59" s="95"/>
      <c r="J59" s="82"/>
      <c r="K59" s="81"/>
      <c r="L59" s="146">
        <f t="shared" si="3"/>
        <v>504000</v>
      </c>
      <c r="M59" s="73"/>
      <c r="N59" s="73"/>
      <c r="O59" s="7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 x14ac:dyDescent="0.35">
      <c r="A60" s="9">
        <f t="shared" si="2"/>
        <v>52</v>
      </c>
      <c r="B60" s="15"/>
      <c r="C60" s="11">
        <f t="shared" si="0"/>
        <v>1</v>
      </c>
      <c r="D60" s="11">
        <v>5</v>
      </c>
      <c r="E60" s="11"/>
      <c r="F60" s="11"/>
      <c r="G60" s="89">
        <f>IFERROR(VLOOKUP(F60,COA!$A$1:$K$26,2,FALSE),0)</f>
        <v>0</v>
      </c>
      <c r="H60" s="11"/>
      <c r="I60" s="11"/>
      <c r="J60" s="78"/>
      <c r="K60" s="78"/>
      <c r="L60" s="146">
        <f t="shared" si="3"/>
        <v>504000</v>
      </c>
      <c r="M60" s="73"/>
      <c r="N60" s="73"/>
      <c r="O60" s="7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 x14ac:dyDescent="0.35">
      <c r="A61" s="9">
        <f t="shared" si="2"/>
        <v>53</v>
      </c>
      <c r="B61" s="15"/>
      <c r="C61" s="11">
        <f t="shared" si="0"/>
        <v>1</v>
      </c>
      <c r="D61" s="11">
        <v>5</v>
      </c>
      <c r="E61" s="11"/>
      <c r="F61" s="14"/>
      <c r="G61" s="89">
        <f>IFERROR(VLOOKUP(F61,COA!$A$1:$K$26,2,FALSE),0)</f>
        <v>0</v>
      </c>
      <c r="H61" s="11"/>
      <c r="I61" s="11"/>
      <c r="J61" s="78"/>
      <c r="K61" s="78"/>
      <c r="L61" s="146">
        <f t="shared" si="3"/>
        <v>504000</v>
      </c>
      <c r="M61" s="73"/>
      <c r="N61" s="73"/>
      <c r="O61" s="7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 x14ac:dyDescent="0.35">
      <c r="A62" s="9">
        <f t="shared" si="2"/>
        <v>54</v>
      </c>
      <c r="B62" s="15"/>
      <c r="C62" s="11">
        <f t="shared" si="0"/>
        <v>1</v>
      </c>
      <c r="D62" s="11">
        <v>5</v>
      </c>
      <c r="E62" s="11"/>
      <c r="F62" s="14"/>
      <c r="G62" s="89">
        <f>IFERROR(VLOOKUP(F62,COA!$A$1:$K$26,2,FALSE),0)</f>
        <v>0</v>
      </c>
      <c r="H62" s="11"/>
      <c r="I62" s="11"/>
      <c r="J62" s="78"/>
      <c r="K62" s="79"/>
      <c r="L62" s="146">
        <f t="shared" si="3"/>
        <v>504000</v>
      </c>
      <c r="M62" s="73"/>
      <c r="N62" s="73"/>
      <c r="O62" s="7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 x14ac:dyDescent="0.35">
      <c r="A63" s="9">
        <f t="shared" si="2"/>
        <v>55</v>
      </c>
      <c r="B63" s="15"/>
      <c r="C63" s="11">
        <f t="shared" si="0"/>
        <v>1</v>
      </c>
      <c r="D63" s="11">
        <v>5</v>
      </c>
      <c r="E63" s="11"/>
      <c r="F63" s="14"/>
      <c r="G63" s="89">
        <f>IFERROR(VLOOKUP(F63,COA!$A$1:$K$26,2,FALSE),0)</f>
        <v>0</v>
      </c>
      <c r="H63" s="11"/>
      <c r="I63" s="11"/>
      <c r="J63" s="78"/>
      <c r="K63" s="79"/>
      <c r="L63" s="146">
        <f t="shared" si="3"/>
        <v>504000</v>
      </c>
      <c r="M63" s="73"/>
      <c r="N63" s="73"/>
      <c r="O63" s="7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 x14ac:dyDescent="0.35">
      <c r="A64" s="9">
        <f t="shared" si="2"/>
        <v>56</v>
      </c>
      <c r="B64" s="15"/>
      <c r="C64" s="11">
        <f t="shared" si="0"/>
        <v>1</v>
      </c>
      <c r="D64" s="11">
        <v>5</v>
      </c>
      <c r="E64" s="11"/>
      <c r="F64" s="14"/>
      <c r="G64" s="89">
        <f>IFERROR(VLOOKUP(F64,COA!$A$1:$K$26,2,FALSE),0)</f>
        <v>0</v>
      </c>
      <c r="H64" s="89"/>
      <c r="I64" s="11"/>
      <c r="J64" s="78"/>
      <c r="K64" s="79"/>
      <c r="L64" s="146">
        <f t="shared" si="3"/>
        <v>504000</v>
      </c>
      <c r="M64" s="73"/>
      <c r="N64" s="73"/>
      <c r="O64" s="7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 x14ac:dyDescent="0.35">
      <c r="A65" s="9">
        <f t="shared" si="2"/>
        <v>57</v>
      </c>
      <c r="B65" s="15"/>
      <c r="C65" s="11">
        <f t="shared" si="0"/>
        <v>1</v>
      </c>
      <c r="D65" s="11">
        <v>5</v>
      </c>
      <c r="E65" s="11"/>
      <c r="F65" s="14"/>
      <c r="G65" s="89">
        <f>IFERROR(VLOOKUP(F65,COA!$A$1:$K$26,2,FALSE),0)</f>
        <v>0</v>
      </c>
      <c r="H65" s="11"/>
      <c r="I65" s="95"/>
      <c r="J65" s="82"/>
      <c r="K65" s="81"/>
      <c r="L65" s="146">
        <f t="shared" si="3"/>
        <v>504000</v>
      </c>
      <c r="M65" s="73"/>
      <c r="N65" s="73"/>
      <c r="O65" s="7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 x14ac:dyDescent="0.35">
      <c r="A66" s="9">
        <f t="shared" si="2"/>
        <v>58</v>
      </c>
      <c r="B66" s="15"/>
      <c r="C66" s="11">
        <f t="shared" si="0"/>
        <v>1</v>
      </c>
      <c r="D66" s="11">
        <v>5</v>
      </c>
      <c r="E66" s="11"/>
      <c r="F66" s="11"/>
      <c r="G66" s="89">
        <f>IFERROR(VLOOKUP(F66,COA!$A$1:$K$26,2,FALSE),0)</f>
        <v>0</v>
      </c>
      <c r="H66" s="89"/>
      <c r="I66" s="11"/>
      <c r="J66" s="78"/>
      <c r="K66" s="79"/>
      <c r="L66" s="146">
        <f t="shared" si="3"/>
        <v>504000</v>
      </c>
      <c r="M66" s="73"/>
      <c r="N66" s="73"/>
      <c r="O66" s="7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 x14ac:dyDescent="0.35">
      <c r="A67" s="9">
        <f t="shared" si="2"/>
        <v>59</v>
      </c>
      <c r="B67" s="15"/>
      <c r="C67" s="11">
        <f t="shared" si="0"/>
        <v>1</v>
      </c>
      <c r="D67" s="11">
        <v>5</v>
      </c>
      <c r="E67" s="11"/>
      <c r="F67" s="14"/>
      <c r="G67" s="89">
        <f>IFERROR(VLOOKUP(F67,COA!$A$1:$K$26,2,FALSE),0)</f>
        <v>0</v>
      </c>
      <c r="H67" s="11"/>
      <c r="I67" s="95"/>
      <c r="J67" s="78"/>
      <c r="K67" s="78"/>
      <c r="L67" s="146">
        <f t="shared" si="3"/>
        <v>504000</v>
      </c>
      <c r="M67" s="73"/>
      <c r="N67" s="73"/>
      <c r="O67" s="7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 x14ac:dyDescent="0.35">
      <c r="A68" s="9">
        <f t="shared" si="2"/>
        <v>60</v>
      </c>
      <c r="B68" s="15"/>
      <c r="C68" s="11">
        <f t="shared" si="0"/>
        <v>1</v>
      </c>
      <c r="D68" s="11">
        <v>5</v>
      </c>
      <c r="E68" s="11"/>
      <c r="F68" s="14"/>
      <c r="G68" s="89">
        <f>IFERROR(VLOOKUP(F68,COA!$A$1:$K$26,2,FALSE),0)</f>
        <v>0</v>
      </c>
      <c r="H68" s="11"/>
      <c r="I68" s="95"/>
      <c r="J68" s="78"/>
      <c r="K68" s="78"/>
      <c r="L68" s="146">
        <f t="shared" si="3"/>
        <v>504000</v>
      </c>
      <c r="M68" s="73"/>
      <c r="N68" s="73"/>
      <c r="O68" s="7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 x14ac:dyDescent="0.35">
      <c r="A69" s="9">
        <f t="shared" si="2"/>
        <v>61</v>
      </c>
      <c r="B69" s="15"/>
      <c r="C69" s="11">
        <f t="shared" si="0"/>
        <v>1</v>
      </c>
      <c r="D69" s="11">
        <v>5</v>
      </c>
      <c r="E69" s="11"/>
      <c r="F69" s="14"/>
      <c r="G69" s="89">
        <f>IFERROR(VLOOKUP(F69,COA!$A$1:$K$26,2,FALSE),0)</f>
        <v>0</v>
      </c>
      <c r="H69" s="11"/>
      <c r="I69" s="95"/>
      <c r="J69" s="78"/>
      <c r="K69" s="79"/>
      <c r="L69" s="146">
        <f t="shared" si="3"/>
        <v>504000</v>
      </c>
      <c r="M69" s="73"/>
      <c r="N69" s="73"/>
      <c r="O69" s="7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 x14ac:dyDescent="0.35">
      <c r="A70" s="9">
        <f t="shared" si="2"/>
        <v>62</v>
      </c>
      <c r="B70" s="15"/>
      <c r="C70" s="11">
        <f t="shared" si="0"/>
        <v>1</v>
      </c>
      <c r="D70" s="11">
        <v>5</v>
      </c>
      <c r="E70" s="11"/>
      <c r="F70" s="14"/>
      <c r="G70" s="89">
        <f>IFERROR(VLOOKUP(F70,COA!$A$1:$K$26,2,FALSE),0)</f>
        <v>0</v>
      </c>
      <c r="H70" s="11"/>
      <c r="I70" s="95"/>
      <c r="J70" s="78"/>
      <c r="K70" s="79"/>
      <c r="L70" s="146">
        <f t="shared" si="3"/>
        <v>504000</v>
      </c>
      <c r="M70" s="73"/>
      <c r="N70" s="73"/>
      <c r="O70" s="7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 x14ac:dyDescent="0.35">
      <c r="A71" s="9">
        <f t="shared" si="2"/>
        <v>63</v>
      </c>
      <c r="B71" s="15"/>
      <c r="C71" s="11">
        <f t="shared" si="0"/>
        <v>1</v>
      </c>
      <c r="D71" s="11">
        <v>5</v>
      </c>
      <c r="E71" s="11"/>
      <c r="F71" s="14"/>
      <c r="G71" s="89">
        <f>IFERROR(VLOOKUP(F71,COA!$A$1:$K$26,2,FALSE),0)</f>
        <v>0</v>
      </c>
      <c r="H71" s="11"/>
      <c r="I71" s="95"/>
      <c r="J71" s="78"/>
      <c r="K71" s="79"/>
      <c r="L71" s="146">
        <f t="shared" si="3"/>
        <v>504000</v>
      </c>
      <c r="M71" s="73"/>
      <c r="N71" s="73"/>
      <c r="O71" s="7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 x14ac:dyDescent="0.35">
      <c r="A72" s="9">
        <f t="shared" si="2"/>
        <v>64</v>
      </c>
      <c r="B72" s="15"/>
      <c r="C72" s="11">
        <f t="shared" ref="C72:C135" si="4">MONTH(B72)</f>
        <v>1</v>
      </c>
      <c r="D72" s="11">
        <v>5</v>
      </c>
      <c r="E72" s="11"/>
      <c r="F72" s="14"/>
      <c r="G72" s="89">
        <f>IFERROR(VLOOKUP(F72,COA!$A$1:$K$26,2,FALSE),0)</f>
        <v>0</v>
      </c>
      <c r="H72" s="11"/>
      <c r="I72" s="95"/>
      <c r="J72" s="78"/>
      <c r="K72" s="78"/>
      <c r="L72" s="146">
        <f t="shared" si="3"/>
        <v>504000</v>
      </c>
      <c r="M72" s="73"/>
      <c r="N72" s="73"/>
      <c r="O72" s="7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 x14ac:dyDescent="0.35">
      <c r="A73" s="9">
        <f t="shared" si="2"/>
        <v>65</v>
      </c>
      <c r="B73" s="15"/>
      <c r="C73" s="11">
        <f t="shared" si="4"/>
        <v>1</v>
      </c>
      <c r="D73" s="11">
        <v>5</v>
      </c>
      <c r="E73" s="11"/>
      <c r="F73" s="14"/>
      <c r="G73" s="89">
        <f>IFERROR(VLOOKUP(F73,COA!$A$1:$K$26,2,FALSE),0)</f>
        <v>0</v>
      </c>
      <c r="H73" s="11"/>
      <c r="I73" s="95"/>
      <c r="J73" s="78"/>
      <c r="K73" s="79"/>
      <c r="L73" s="146">
        <f t="shared" si="3"/>
        <v>504000</v>
      </c>
      <c r="M73" s="73"/>
      <c r="N73" s="73"/>
      <c r="O73" s="7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 x14ac:dyDescent="0.35">
      <c r="A74" s="9">
        <f t="shared" si="2"/>
        <v>66</v>
      </c>
      <c r="B74" s="15"/>
      <c r="C74" s="11">
        <f t="shared" si="4"/>
        <v>1</v>
      </c>
      <c r="D74" s="11">
        <v>5</v>
      </c>
      <c r="E74" s="11"/>
      <c r="F74" s="14"/>
      <c r="G74" s="89">
        <f>IFERROR(VLOOKUP(F74,COA!$A$1:$K$26,2,FALSE),0)</f>
        <v>0</v>
      </c>
      <c r="H74" s="11"/>
      <c r="I74" s="95"/>
      <c r="J74" s="78"/>
      <c r="K74" s="81"/>
      <c r="L74" s="146">
        <f t="shared" si="3"/>
        <v>504000</v>
      </c>
      <c r="M74" s="73"/>
      <c r="N74" s="73"/>
      <c r="O74" s="7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 x14ac:dyDescent="0.35">
      <c r="A75" s="9">
        <f t="shared" ref="A75:A138" si="5">A74+1</f>
        <v>67</v>
      </c>
      <c r="B75" s="15"/>
      <c r="C75" s="11">
        <f t="shared" si="4"/>
        <v>1</v>
      </c>
      <c r="D75" s="11">
        <v>5</v>
      </c>
      <c r="E75" s="11"/>
      <c r="F75" s="14"/>
      <c r="G75" s="89">
        <f>IFERROR(VLOOKUP(F75,COA!$A$1:$K$26,2,FALSE),0)</f>
        <v>0</v>
      </c>
      <c r="H75" s="11"/>
      <c r="I75" s="95"/>
      <c r="J75" s="78"/>
      <c r="K75" s="81"/>
      <c r="L75" s="146">
        <f t="shared" ref="L75:L138" si="6">L74+J75-K75</f>
        <v>504000</v>
      </c>
      <c r="M75" s="73"/>
      <c r="N75" s="73"/>
      <c r="O75" s="7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 x14ac:dyDescent="0.35">
      <c r="A76" s="9">
        <f t="shared" si="5"/>
        <v>68</v>
      </c>
      <c r="B76" s="15"/>
      <c r="C76" s="11">
        <f t="shared" si="4"/>
        <v>1</v>
      </c>
      <c r="D76" s="11">
        <v>5</v>
      </c>
      <c r="E76" s="11"/>
      <c r="F76" s="14"/>
      <c r="G76" s="89">
        <f>IFERROR(VLOOKUP(F76,COA!$A$1:$K$26,2,FALSE),0)</f>
        <v>0</v>
      </c>
      <c r="H76" s="11"/>
      <c r="I76" s="95"/>
      <c r="J76" s="78"/>
      <c r="K76" s="79"/>
      <c r="L76" s="146">
        <f t="shared" si="6"/>
        <v>504000</v>
      </c>
      <c r="M76" s="73"/>
      <c r="N76" s="73"/>
      <c r="O76" s="7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 x14ac:dyDescent="0.35">
      <c r="A77" s="9">
        <f t="shared" si="5"/>
        <v>69</v>
      </c>
      <c r="B77" s="15"/>
      <c r="C77" s="11">
        <f t="shared" si="4"/>
        <v>1</v>
      </c>
      <c r="D77" s="11">
        <v>5</v>
      </c>
      <c r="E77" s="11"/>
      <c r="F77" s="14"/>
      <c r="G77" s="89">
        <f>IFERROR(VLOOKUP(F77,COA!$A$1:$K$26,2,FALSE),0)</f>
        <v>0</v>
      </c>
      <c r="H77" s="11"/>
      <c r="I77" s="95"/>
      <c r="J77" s="78"/>
      <c r="K77" s="79"/>
      <c r="L77" s="146">
        <f t="shared" si="6"/>
        <v>504000</v>
      </c>
      <c r="M77" s="73"/>
      <c r="N77" s="73"/>
      <c r="O77" s="7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 x14ac:dyDescent="0.35">
      <c r="A78" s="9">
        <f t="shared" si="5"/>
        <v>70</v>
      </c>
      <c r="B78" s="15"/>
      <c r="C78" s="11">
        <f t="shared" si="4"/>
        <v>1</v>
      </c>
      <c r="D78" s="11">
        <v>5</v>
      </c>
      <c r="E78" s="11"/>
      <c r="F78" s="14"/>
      <c r="G78" s="89">
        <f>IFERROR(VLOOKUP(F78,COA!$A$1:$K$26,2,FALSE),0)</f>
        <v>0</v>
      </c>
      <c r="H78" s="11"/>
      <c r="I78" s="95"/>
      <c r="J78" s="78"/>
      <c r="K78" s="81"/>
      <c r="L78" s="146">
        <f t="shared" si="6"/>
        <v>504000</v>
      </c>
      <c r="M78" s="73"/>
      <c r="N78" s="73"/>
      <c r="O78" s="7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 x14ac:dyDescent="0.35">
      <c r="A79" s="9">
        <f t="shared" si="5"/>
        <v>71</v>
      </c>
      <c r="B79" s="15"/>
      <c r="C79" s="11">
        <f t="shared" si="4"/>
        <v>1</v>
      </c>
      <c r="D79" s="11">
        <v>5</v>
      </c>
      <c r="E79" s="11"/>
      <c r="F79" s="14"/>
      <c r="G79" s="89">
        <f>IFERROR(VLOOKUP(F79,COA!$A$1:$K$26,2,FALSE),0)</f>
        <v>0</v>
      </c>
      <c r="H79" s="11"/>
      <c r="I79" s="95"/>
      <c r="J79" s="82"/>
      <c r="K79" s="81"/>
      <c r="L79" s="146">
        <f t="shared" si="6"/>
        <v>504000</v>
      </c>
      <c r="M79" s="73"/>
      <c r="N79" s="73"/>
      <c r="O79" s="7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 x14ac:dyDescent="0.35">
      <c r="A80" s="9">
        <f t="shared" si="5"/>
        <v>72</v>
      </c>
      <c r="B80" s="15"/>
      <c r="C80" s="11">
        <f t="shared" si="4"/>
        <v>1</v>
      </c>
      <c r="D80" s="11">
        <v>5</v>
      </c>
      <c r="E80" s="11"/>
      <c r="F80" s="14"/>
      <c r="G80" s="89">
        <f>IFERROR(VLOOKUP(F80,COA!$A$1:$K$26,2,FALSE),0)</f>
        <v>0</v>
      </c>
      <c r="H80" s="11"/>
      <c r="I80" s="95"/>
      <c r="J80" s="82"/>
      <c r="K80" s="79"/>
      <c r="L80" s="146">
        <f t="shared" si="6"/>
        <v>504000</v>
      </c>
      <c r="M80" s="73"/>
      <c r="N80" s="73"/>
      <c r="O80" s="7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 x14ac:dyDescent="0.35">
      <c r="A81" s="9">
        <f t="shared" si="5"/>
        <v>73</v>
      </c>
      <c r="B81" s="15"/>
      <c r="C81" s="11">
        <f t="shared" si="4"/>
        <v>1</v>
      </c>
      <c r="D81" s="11">
        <v>5</v>
      </c>
      <c r="E81" s="11"/>
      <c r="F81" s="14"/>
      <c r="G81" s="89">
        <f>IFERROR(VLOOKUP(F81,COA!$A$1:$K$26,2,FALSE),0)</f>
        <v>0</v>
      </c>
      <c r="H81" s="11"/>
      <c r="I81" s="95"/>
      <c r="J81" s="82"/>
      <c r="K81" s="79"/>
      <c r="L81" s="146">
        <f t="shared" si="6"/>
        <v>504000</v>
      </c>
      <c r="M81" s="73"/>
      <c r="N81" s="73"/>
      <c r="O81" s="7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 x14ac:dyDescent="0.35">
      <c r="A82" s="9">
        <f t="shared" si="5"/>
        <v>74</v>
      </c>
      <c r="B82" s="15"/>
      <c r="C82" s="11">
        <f t="shared" si="4"/>
        <v>1</v>
      </c>
      <c r="D82" s="11">
        <v>5</v>
      </c>
      <c r="E82" s="11"/>
      <c r="F82" s="14"/>
      <c r="G82" s="89">
        <f>IFERROR(VLOOKUP(F82,COA!$A$1:$K$26,2,FALSE),0)</f>
        <v>0</v>
      </c>
      <c r="H82" s="11"/>
      <c r="I82" s="95"/>
      <c r="J82" s="82"/>
      <c r="K82" s="81"/>
      <c r="L82" s="146">
        <f t="shared" si="6"/>
        <v>504000</v>
      </c>
      <c r="M82" s="73"/>
      <c r="N82" s="73"/>
      <c r="O82" s="7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 x14ac:dyDescent="0.35">
      <c r="A83" s="9">
        <f t="shared" si="5"/>
        <v>75</v>
      </c>
      <c r="B83" s="15"/>
      <c r="C83" s="11">
        <f t="shared" si="4"/>
        <v>1</v>
      </c>
      <c r="D83" s="11">
        <v>5</v>
      </c>
      <c r="E83" s="11"/>
      <c r="F83" s="14"/>
      <c r="G83" s="89">
        <f>IFERROR(VLOOKUP(F83,COA!$A$1:$K$26,2,FALSE),0)</f>
        <v>0</v>
      </c>
      <c r="H83" s="11"/>
      <c r="I83" s="95"/>
      <c r="J83" s="78"/>
      <c r="K83" s="81"/>
      <c r="L83" s="146">
        <f t="shared" si="6"/>
        <v>504000</v>
      </c>
      <c r="M83" s="73"/>
      <c r="N83" s="73"/>
      <c r="O83" s="7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 x14ac:dyDescent="0.35">
      <c r="A84" s="9">
        <f t="shared" si="5"/>
        <v>76</v>
      </c>
      <c r="B84" s="15"/>
      <c r="C84" s="11">
        <f t="shared" si="4"/>
        <v>1</v>
      </c>
      <c r="D84" s="11">
        <v>5</v>
      </c>
      <c r="E84" s="11"/>
      <c r="F84" s="14"/>
      <c r="G84" s="89">
        <f>IFERROR(VLOOKUP(F84,COA!$A$1:$K$26,2,FALSE),0)</f>
        <v>0</v>
      </c>
      <c r="H84" s="11"/>
      <c r="I84" s="95"/>
      <c r="J84" s="79"/>
      <c r="K84" s="78"/>
      <c r="L84" s="146">
        <f t="shared" si="6"/>
        <v>504000</v>
      </c>
      <c r="M84" s="73"/>
      <c r="N84" s="73"/>
      <c r="O84" s="7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 x14ac:dyDescent="0.35">
      <c r="A85" s="9">
        <f t="shared" si="5"/>
        <v>77</v>
      </c>
      <c r="B85" s="15"/>
      <c r="C85" s="11">
        <f t="shared" si="4"/>
        <v>1</v>
      </c>
      <c r="D85" s="11">
        <v>5</v>
      </c>
      <c r="E85" s="11"/>
      <c r="F85" s="14"/>
      <c r="G85" s="89">
        <f>IFERROR(VLOOKUP(F85,COA!$A$1:$K$26,2,FALSE),0)</f>
        <v>0</v>
      </c>
      <c r="H85" s="11"/>
      <c r="I85" s="95"/>
      <c r="J85" s="79"/>
      <c r="K85" s="78"/>
      <c r="L85" s="146">
        <f t="shared" si="6"/>
        <v>504000</v>
      </c>
      <c r="M85" s="73"/>
      <c r="N85" s="73"/>
      <c r="O85" s="7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 x14ac:dyDescent="0.35">
      <c r="A86" s="9">
        <f t="shared" si="5"/>
        <v>78</v>
      </c>
      <c r="B86" s="15"/>
      <c r="C86" s="11">
        <f t="shared" si="4"/>
        <v>1</v>
      </c>
      <c r="D86" s="11">
        <v>5</v>
      </c>
      <c r="E86" s="11"/>
      <c r="F86" s="14"/>
      <c r="G86" s="89">
        <f>IFERROR(VLOOKUP(F86,COA!$A$1:$K$26,2,FALSE),0)</f>
        <v>0</v>
      </c>
      <c r="H86" s="11"/>
      <c r="I86" s="95"/>
      <c r="J86" s="78"/>
      <c r="K86" s="79"/>
      <c r="L86" s="146">
        <f t="shared" si="6"/>
        <v>504000</v>
      </c>
      <c r="M86" s="73"/>
      <c r="N86" s="73"/>
      <c r="O86" s="7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 x14ac:dyDescent="0.35">
      <c r="A87" s="9">
        <f t="shared" si="5"/>
        <v>79</v>
      </c>
      <c r="B87" s="15"/>
      <c r="C87" s="11">
        <f t="shared" si="4"/>
        <v>1</v>
      </c>
      <c r="D87" s="11">
        <v>5</v>
      </c>
      <c r="E87" s="11"/>
      <c r="F87" s="14"/>
      <c r="G87" s="89">
        <f>IFERROR(VLOOKUP(F87,COA!$A$1:$K$26,2,FALSE),0)</f>
        <v>0</v>
      </c>
      <c r="H87" s="11"/>
      <c r="I87" s="95"/>
      <c r="J87" s="78"/>
      <c r="K87" s="78"/>
      <c r="L87" s="146">
        <f t="shared" si="6"/>
        <v>504000</v>
      </c>
      <c r="M87" s="73"/>
      <c r="N87" s="73"/>
      <c r="O87" s="7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 x14ac:dyDescent="0.35">
      <c r="A88" s="9">
        <f t="shared" si="5"/>
        <v>80</v>
      </c>
      <c r="B88" s="15"/>
      <c r="C88" s="11">
        <f t="shared" si="4"/>
        <v>1</v>
      </c>
      <c r="D88" s="11">
        <v>5</v>
      </c>
      <c r="E88" s="11"/>
      <c r="F88" s="14"/>
      <c r="G88" s="89">
        <f>IFERROR(VLOOKUP(F88,COA!$A$1:$K$26,2,FALSE),0)</f>
        <v>0</v>
      </c>
      <c r="H88" s="11"/>
      <c r="I88" s="95"/>
      <c r="J88" s="78"/>
      <c r="K88" s="79"/>
      <c r="L88" s="146">
        <f t="shared" si="6"/>
        <v>504000</v>
      </c>
      <c r="M88" s="73"/>
      <c r="N88" s="73"/>
      <c r="O88" s="7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 x14ac:dyDescent="0.35">
      <c r="A89" s="9">
        <f t="shared" si="5"/>
        <v>81</v>
      </c>
      <c r="B89" s="10"/>
      <c r="C89" s="11">
        <f t="shared" si="4"/>
        <v>1</v>
      </c>
      <c r="D89" s="11">
        <v>5</v>
      </c>
      <c r="E89" s="11"/>
      <c r="F89" s="14"/>
      <c r="G89" s="89">
        <f>IFERROR(VLOOKUP(F89,COA!$A$1:$K$26,2,FALSE),0)</f>
        <v>0</v>
      </c>
      <c r="H89" s="89"/>
      <c r="I89" s="11"/>
      <c r="J89" s="78"/>
      <c r="K89" s="79"/>
      <c r="L89" s="146">
        <f t="shared" si="6"/>
        <v>504000</v>
      </c>
      <c r="M89" s="73"/>
      <c r="N89" s="73"/>
      <c r="O89" s="7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 x14ac:dyDescent="0.35">
      <c r="A90" s="9">
        <f t="shared" si="5"/>
        <v>82</v>
      </c>
      <c r="B90" s="10"/>
      <c r="C90" s="11">
        <f t="shared" si="4"/>
        <v>1</v>
      </c>
      <c r="D90" s="11">
        <v>5</v>
      </c>
      <c r="E90" s="11"/>
      <c r="F90" s="14"/>
      <c r="G90" s="89">
        <f>IFERROR(VLOOKUP(F90,COA!$A$1:$K$26,2,FALSE),0)</f>
        <v>0</v>
      </c>
      <c r="H90" s="89"/>
      <c r="I90" s="11"/>
      <c r="J90" s="79"/>
      <c r="K90" s="78"/>
      <c r="L90" s="146">
        <f t="shared" si="6"/>
        <v>504000</v>
      </c>
      <c r="M90" s="73"/>
      <c r="N90" s="73"/>
      <c r="O90" s="7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 x14ac:dyDescent="0.35">
      <c r="A91" s="9">
        <f t="shared" si="5"/>
        <v>83</v>
      </c>
      <c r="B91" s="15"/>
      <c r="C91" s="11">
        <f t="shared" si="4"/>
        <v>1</v>
      </c>
      <c r="D91" s="11">
        <v>5</v>
      </c>
      <c r="E91" s="11"/>
      <c r="F91" s="14"/>
      <c r="G91" s="89">
        <f>IFERROR(VLOOKUP(F91,COA!$A$1:$K$26,2,FALSE),0)</f>
        <v>0</v>
      </c>
      <c r="H91" s="11"/>
      <c r="I91" s="95"/>
      <c r="J91" s="78"/>
      <c r="K91" s="79"/>
      <c r="L91" s="146">
        <f t="shared" si="6"/>
        <v>504000</v>
      </c>
      <c r="M91" s="73"/>
      <c r="N91" s="73"/>
      <c r="O91" s="7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 x14ac:dyDescent="0.35">
      <c r="A92" s="9">
        <f t="shared" si="5"/>
        <v>84</v>
      </c>
      <c r="B92" s="10"/>
      <c r="C92" s="11">
        <f t="shared" si="4"/>
        <v>1</v>
      </c>
      <c r="D92" s="11">
        <v>5</v>
      </c>
      <c r="E92" s="11"/>
      <c r="F92" s="11"/>
      <c r="G92" s="89">
        <f>IFERROR(VLOOKUP(F92,COA!$A$1:$K$26,2,FALSE),0)</f>
        <v>0</v>
      </c>
      <c r="H92" s="11"/>
      <c r="I92" s="11"/>
      <c r="J92" s="78"/>
      <c r="K92" s="78"/>
      <c r="L92" s="146">
        <f t="shared" si="6"/>
        <v>504000</v>
      </c>
      <c r="M92" s="73"/>
      <c r="N92" s="73"/>
      <c r="O92" s="7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 x14ac:dyDescent="0.35">
      <c r="A93" s="9">
        <f t="shared" si="5"/>
        <v>85</v>
      </c>
      <c r="B93" s="10"/>
      <c r="C93" s="11">
        <f t="shared" si="4"/>
        <v>1</v>
      </c>
      <c r="D93" s="11">
        <v>5</v>
      </c>
      <c r="E93" s="11"/>
      <c r="F93" s="11"/>
      <c r="G93" s="89">
        <f>IFERROR(VLOOKUP(F93,COA!$A$1:$K$26,2,FALSE),0)</f>
        <v>0</v>
      </c>
      <c r="H93" s="11"/>
      <c r="I93" s="11"/>
      <c r="J93" s="78"/>
      <c r="K93" s="78"/>
      <c r="L93" s="146">
        <f t="shared" si="6"/>
        <v>504000</v>
      </c>
      <c r="M93" s="73"/>
      <c r="N93" s="73"/>
      <c r="O93" s="7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 x14ac:dyDescent="0.35">
      <c r="A94" s="9">
        <f t="shared" si="5"/>
        <v>86</v>
      </c>
      <c r="B94" s="10"/>
      <c r="C94" s="11">
        <f t="shared" si="4"/>
        <v>1</v>
      </c>
      <c r="D94" s="11">
        <v>5</v>
      </c>
      <c r="E94" s="11"/>
      <c r="F94" s="11"/>
      <c r="G94" s="89">
        <f>IFERROR(VLOOKUP(F94,COA!$A$1:$K$26,2,FALSE),0)</f>
        <v>0</v>
      </c>
      <c r="H94" s="11"/>
      <c r="I94" s="11"/>
      <c r="J94" s="78"/>
      <c r="K94" s="78"/>
      <c r="L94" s="146">
        <f t="shared" si="6"/>
        <v>504000</v>
      </c>
      <c r="M94" s="73"/>
      <c r="N94" s="73"/>
      <c r="O94" s="7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 x14ac:dyDescent="0.35">
      <c r="A95" s="9">
        <f t="shared" si="5"/>
        <v>87</v>
      </c>
      <c r="B95" s="10"/>
      <c r="C95" s="11">
        <f t="shared" si="4"/>
        <v>1</v>
      </c>
      <c r="D95" s="11">
        <v>5</v>
      </c>
      <c r="E95" s="11"/>
      <c r="F95" s="11"/>
      <c r="G95" s="89">
        <f>IFERROR(VLOOKUP(F95,COA!$A$1:$K$26,2,FALSE),0)</f>
        <v>0</v>
      </c>
      <c r="H95" s="11"/>
      <c r="I95" s="11"/>
      <c r="J95" s="78"/>
      <c r="K95" s="78"/>
      <c r="L95" s="146">
        <f t="shared" si="6"/>
        <v>504000</v>
      </c>
      <c r="M95" s="73"/>
      <c r="N95" s="73"/>
      <c r="O95" s="7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 x14ac:dyDescent="0.35">
      <c r="A96" s="9">
        <f t="shared" si="5"/>
        <v>88</v>
      </c>
      <c r="B96" s="10"/>
      <c r="C96" s="11">
        <f t="shared" si="4"/>
        <v>1</v>
      </c>
      <c r="D96" s="11">
        <v>5</v>
      </c>
      <c r="E96" s="11"/>
      <c r="F96" s="11"/>
      <c r="G96" s="89">
        <f>IFERROR(VLOOKUP(F96,COA!$A$1:$K$26,2,FALSE),0)</f>
        <v>0</v>
      </c>
      <c r="H96" s="11"/>
      <c r="I96" s="11"/>
      <c r="J96" s="78"/>
      <c r="K96" s="79"/>
      <c r="L96" s="146">
        <f t="shared" si="6"/>
        <v>504000</v>
      </c>
      <c r="M96" s="73"/>
      <c r="N96" s="73"/>
      <c r="O96" s="7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 x14ac:dyDescent="0.35">
      <c r="A97" s="9">
        <f t="shared" si="5"/>
        <v>89</v>
      </c>
      <c r="B97" s="10"/>
      <c r="C97" s="11">
        <f t="shared" si="4"/>
        <v>1</v>
      </c>
      <c r="D97" s="11">
        <v>5</v>
      </c>
      <c r="E97" s="11"/>
      <c r="F97" s="11"/>
      <c r="G97" s="89">
        <f>IFERROR(VLOOKUP(F97,COA!$A$1:$K$26,2,FALSE),0)</f>
        <v>0</v>
      </c>
      <c r="H97" s="11"/>
      <c r="I97" s="11"/>
      <c r="J97" s="78"/>
      <c r="K97" s="79"/>
      <c r="L97" s="146">
        <f t="shared" si="6"/>
        <v>504000</v>
      </c>
      <c r="M97" s="73"/>
      <c r="N97" s="73"/>
      <c r="O97" s="7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 x14ac:dyDescent="0.35">
      <c r="A98" s="9">
        <f t="shared" si="5"/>
        <v>90</v>
      </c>
      <c r="B98" s="10"/>
      <c r="C98" s="11">
        <f t="shared" si="4"/>
        <v>1</v>
      </c>
      <c r="D98" s="11">
        <v>5</v>
      </c>
      <c r="E98" s="11"/>
      <c r="F98" s="11"/>
      <c r="G98" s="89">
        <f>IFERROR(VLOOKUP(F98,COA!$A$1:$K$26,2,FALSE),0)</f>
        <v>0</v>
      </c>
      <c r="H98" s="11"/>
      <c r="I98" s="11"/>
      <c r="J98" s="78"/>
      <c r="K98" s="79"/>
      <c r="L98" s="146">
        <f t="shared" si="6"/>
        <v>504000</v>
      </c>
      <c r="M98" s="73"/>
      <c r="N98" s="73"/>
      <c r="O98" s="7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 x14ac:dyDescent="0.35">
      <c r="A99" s="9">
        <f t="shared" si="5"/>
        <v>91</v>
      </c>
      <c r="B99" s="10"/>
      <c r="C99" s="11">
        <f t="shared" si="4"/>
        <v>1</v>
      </c>
      <c r="D99" s="11">
        <v>5</v>
      </c>
      <c r="E99" s="11"/>
      <c r="F99" s="11"/>
      <c r="G99" s="89">
        <f>IFERROR(VLOOKUP(F99,COA!$A$1:$K$26,2,FALSE),0)</f>
        <v>0</v>
      </c>
      <c r="H99" s="11"/>
      <c r="I99" s="11"/>
      <c r="J99" s="78"/>
      <c r="K99" s="79"/>
      <c r="L99" s="146">
        <f t="shared" si="6"/>
        <v>504000</v>
      </c>
      <c r="M99" s="73"/>
      <c r="N99" s="73"/>
      <c r="O99" s="7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 x14ac:dyDescent="0.35">
      <c r="A100" s="9">
        <f t="shared" si="5"/>
        <v>92</v>
      </c>
      <c r="B100" s="10"/>
      <c r="C100" s="11">
        <f t="shared" si="4"/>
        <v>1</v>
      </c>
      <c r="D100" s="11">
        <v>5</v>
      </c>
      <c r="E100" s="11"/>
      <c r="F100" s="11"/>
      <c r="G100" s="89">
        <f>IFERROR(VLOOKUP(F100,COA!$A$1:$K$26,2,FALSE),0)</f>
        <v>0</v>
      </c>
      <c r="H100" s="11"/>
      <c r="I100" s="11"/>
      <c r="J100" s="78"/>
      <c r="K100" s="79"/>
      <c r="L100" s="146">
        <f t="shared" si="6"/>
        <v>504000</v>
      </c>
      <c r="M100" s="73"/>
      <c r="N100" s="73"/>
      <c r="O100" s="7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 x14ac:dyDescent="0.35">
      <c r="A101" s="9">
        <f t="shared" si="5"/>
        <v>93</v>
      </c>
      <c r="B101" s="10"/>
      <c r="C101" s="11">
        <f t="shared" si="4"/>
        <v>1</v>
      </c>
      <c r="D101" s="11">
        <v>5</v>
      </c>
      <c r="E101" s="11"/>
      <c r="F101" s="11"/>
      <c r="G101" s="89">
        <f>IFERROR(VLOOKUP(F101,COA!$A$1:$K$26,2,FALSE),0)</f>
        <v>0</v>
      </c>
      <c r="H101" s="11"/>
      <c r="I101" s="11"/>
      <c r="J101" s="78"/>
      <c r="K101" s="78"/>
      <c r="L101" s="146">
        <f t="shared" si="6"/>
        <v>504000</v>
      </c>
      <c r="M101" s="73"/>
      <c r="N101" s="73"/>
      <c r="O101" s="7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 x14ac:dyDescent="0.35">
      <c r="A102" s="9">
        <f t="shared" si="5"/>
        <v>94</v>
      </c>
      <c r="B102" s="10"/>
      <c r="C102" s="11">
        <f t="shared" si="4"/>
        <v>1</v>
      </c>
      <c r="D102" s="11">
        <v>5</v>
      </c>
      <c r="E102" s="11"/>
      <c r="F102" s="11"/>
      <c r="G102" s="89">
        <f>IFERROR(VLOOKUP(F102,COA!$A$1:$K$26,2,FALSE),0)</f>
        <v>0</v>
      </c>
      <c r="H102" s="11"/>
      <c r="I102" s="11"/>
      <c r="J102" s="78"/>
      <c r="K102" s="78"/>
      <c r="L102" s="146">
        <f t="shared" si="6"/>
        <v>504000</v>
      </c>
      <c r="M102" s="73"/>
      <c r="N102" s="73"/>
      <c r="O102" s="7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 x14ac:dyDescent="0.35">
      <c r="A103" s="9">
        <f t="shared" si="5"/>
        <v>95</v>
      </c>
      <c r="B103" s="10"/>
      <c r="C103" s="11">
        <f t="shared" si="4"/>
        <v>1</v>
      </c>
      <c r="D103" s="11">
        <v>5</v>
      </c>
      <c r="E103" s="11"/>
      <c r="F103" s="11"/>
      <c r="G103" s="89">
        <f>IFERROR(VLOOKUP(F103,COA!$A$1:$K$26,2,FALSE),0)</f>
        <v>0</v>
      </c>
      <c r="H103" s="11"/>
      <c r="I103" s="11"/>
      <c r="J103" s="78"/>
      <c r="K103" s="79"/>
      <c r="L103" s="146">
        <f t="shared" si="6"/>
        <v>504000</v>
      </c>
      <c r="M103" s="73"/>
      <c r="N103" s="73"/>
      <c r="O103" s="7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 x14ac:dyDescent="0.35">
      <c r="A104" s="9">
        <f t="shared" si="5"/>
        <v>96</v>
      </c>
      <c r="B104" s="10"/>
      <c r="C104" s="11">
        <f t="shared" si="4"/>
        <v>1</v>
      </c>
      <c r="D104" s="11">
        <v>5</v>
      </c>
      <c r="E104" s="11"/>
      <c r="F104" s="11"/>
      <c r="G104" s="89">
        <f>IFERROR(VLOOKUP(F104,COA!$A$1:$K$26,2,FALSE),0)</f>
        <v>0</v>
      </c>
      <c r="H104" s="11"/>
      <c r="I104" s="11"/>
      <c r="J104" s="78"/>
      <c r="K104" s="79"/>
      <c r="L104" s="146">
        <f t="shared" si="6"/>
        <v>504000</v>
      </c>
      <c r="M104" s="73"/>
      <c r="N104" s="73"/>
      <c r="O104" s="7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 x14ac:dyDescent="0.35">
      <c r="A105" s="9">
        <f t="shared" si="5"/>
        <v>97</v>
      </c>
      <c r="B105" s="10"/>
      <c r="C105" s="11">
        <f t="shared" si="4"/>
        <v>1</v>
      </c>
      <c r="D105" s="11">
        <v>5</v>
      </c>
      <c r="E105" s="11"/>
      <c r="F105" s="11"/>
      <c r="G105" s="89">
        <f>IFERROR(VLOOKUP(F105,COA!$A$1:$K$26,2,FALSE),0)</f>
        <v>0</v>
      </c>
      <c r="H105" s="11"/>
      <c r="I105" s="11"/>
      <c r="J105" s="78"/>
      <c r="K105" s="79"/>
      <c r="L105" s="146">
        <f t="shared" si="6"/>
        <v>504000</v>
      </c>
      <c r="M105" s="73"/>
      <c r="N105" s="73"/>
      <c r="O105" s="7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 x14ac:dyDescent="0.35">
      <c r="A106" s="9">
        <f t="shared" si="5"/>
        <v>98</v>
      </c>
      <c r="B106" s="15"/>
      <c r="C106" s="11">
        <f t="shared" si="4"/>
        <v>1</v>
      </c>
      <c r="D106" s="11">
        <v>5</v>
      </c>
      <c r="E106" s="11"/>
      <c r="F106" s="14"/>
      <c r="G106" s="89">
        <f>IFERROR(VLOOKUP(F106,COA!$A$1:$K$26,2,FALSE),0)</f>
        <v>0</v>
      </c>
      <c r="H106" s="11"/>
      <c r="I106" s="95"/>
      <c r="J106" s="78"/>
      <c r="K106" s="78"/>
      <c r="L106" s="146">
        <f t="shared" si="6"/>
        <v>504000</v>
      </c>
      <c r="M106" s="73"/>
      <c r="N106" s="73"/>
      <c r="O106" s="7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 x14ac:dyDescent="0.35">
      <c r="A107" s="9">
        <f t="shared" si="5"/>
        <v>99</v>
      </c>
      <c r="B107" s="15"/>
      <c r="C107" s="11">
        <f t="shared" si="4"/>
        <v>1</v>
      </c>
      <c r="D107" s="11">
        <v>5</v>
      </c>
      <c r="E107" s="11"/>
      <c r="F107" s="14"/>
      <c r="G107" s="89">
        <f>IFERROR(VLOOKUP(F107,COA!$A$1:$K$26,2,FALSE),0)</f>
        <v>0</v>
      </c>
      <c r="H107" s="11"/>
      <c r="I107" s="95"/>
      <c r="J107" s="78"/>
      <c r="K107" s="78"/>
      <c r="L107" s="146">
        <f t="shared" si="6"/>
        <v>504000</v>
      </c>
      <c r="M107" s="73"/>
      <c r="N107" s="73"/>
      <c r="O107" s="7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 x14ac:dyDescent="0.35">
      <c r="A108" s="9">
        <f t="shared" si="5"/>
        <v>100</v>
      </c>
      <c r="B108" s="15"/>
      <c r="C108" s="11">
        <f t="shared" si="4"/>
        <v>1</v>
      </c>
      <c r="D108" s="11">
        <v>5</v>
      </c>
      <c r="E108" s="11"/>
      <c r="F108" s="14"/>
      <c r="G108" s="89">
        <f>IFERROR(VLOOKUP(F108,COA!$A$1:$K$26,2,FALSE),0)</f>
        <v>0</v>
      </c>
      <c r="H108" s="11"/>
      <c r="I108" s="95"/>
      <c r="J108" s="78"/>
      <c r="K108" s="78"/>
      <c r="L108" s="146">
        <f t="shared" si="6"/>
        <v>504000</v>
      </c>
      <c r="M108" s="73"/>
      <c r="N108" s="73"/>
      <c r="O108" s="7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 x14ac:dyDescent="0.35">
      <c r="A109" s="9">
        <f t="shared" si="5"/>
        <v>101</v>
      </c>
      <c r="B109" s="15"/>
      <c r="C109" s="11">
        <f t="shared" si="4"/>
        <v>1</v>
      </c>
      <c r="D109" s="11">
        <v>5</v>
      </c>
      <c r="E109" s="11"/>
      <c r="F109" s="14"/>
      <c r="G109" s="89">
        <f>IFERROR(VLOOKUP(F109,COA!$A$1:$K$26,2,FALSE),0)</f>
        <v>0</v>
      </c>
      <c r="H109" s="11"/>
      <c r="I109" s="95"/>
      <c r="J109" s="78"/>
      <c r="K109" s="81"/>
      <c r="L109" s="146">
        <f t="shared" si="6"/>
        <v>504000</v>
      </c>
      <c r="M109" s="73"/>
      <c r="N109" s="73"/>
      <c r="O109" s="7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 x14ac:dyDescent="0.35">
      <c r="A110" s="9">
        <f t="shared" si="5"/>
        <v>102</v>
      </c>
      <c r="B110" s="15"/>
      <c r="C110" s="11">
        <f t="shared" si="4"/>
        <v>1</v>
      </c>
      <c r="D110" s="11">
        <v>5</v>
      </c>
      <c r="E110" s="11"/>
      <c r="F110" s="14"/>
      <c r="G110" s="89">
        <f>IFERROR(VLOOKUP(F110,COA!$A$1:$K$26,2,FALSE),0)</f>
        <v>0</v>
      </c>
      <c r="H110" s="11"/>
      <c r="I110" s="95"/>
      <c r="J110" s="78"/>
      <c r="K110" s="81"/>
      <c r="L110" s="146">
        <f t="shared" si="6"/>
        <v>504000</v>
      </c>
      <c r="M110" s="73"/>
      <c r="N110" s="73"/>
      <c r="O110" s="7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 x14ac:dyDescent="0.35">
      <c r="A111" s="9">
        <f t="shared" si="5"/>
        <v>103</v>
      </c>
      <c r="B111" s="15"/>
      <c r="C111" s="11">
        <f t="shared" si="4"/>
        <v>1</v>
      </c>
      <c r="D111" s="11">
        <v>5</v>
      </c>
      <c r="E111" s="11"/>
      <c r="F111" s="14"/>
      <c r="G111" s="89">
        <f>IFERROR(VLOOKUP(F111,COA!$A$1:$K$26,2,FALSE),0)</f>
        <v>0</v>
      </c>
      <c r="H111" s="11"/>
      <c r="I111" s="95"/>
      <c r="J111" s="78"/>
      <c r="K111" s="81"/>
      <c r="L111" s="146">
        <f t="shared" si="6"/>
        <v>504000</v>
      </c>
      <c r="M111" s="73"/>
      <c r="N111" s="73"/>
      <c r="O111" s="7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 x14ac:dyDescent="0.35">
      <c r="A112" s="9">
        <f t="shared" si="5"/>
        <v>104</v>
      </c>
      <c r="B112" s="15"/>
      <c r="C112" s="11">
        <f t="shared" si="4"/>
        <v>1</v>
      </c>
      <c r="D112" s="11">
        <v>5</v>
      </c>
      <c r="E112" s="11"/>
      <c r="F112" s="14"/>
      <c r="G112" s="89">
        <f>IFERROR(VLOOKUP(F112,COA!$A$1:$K$26,2,FALSE),0)</f>
        <v>0</v>
      </c>
      <c r="H112" s="11"/>
      <c r="I112" s="95"/>
      <c r="J112" s="78"/>
      <c r="K112" s="81"/>
      <c r="L112" s="146">
        <f t="shared" si="6"/>
        <v>504000</v>
      </c>
      <c r="M112" s="73"/>
      <c r="N112" s="73"/>
      <c r="O112" s="7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 x14ac:dyDescent="0.35">
      <c r="A113" s="9">
        <f t="shared" si="5"/>
        <v>105</v>
      </c>
      <c r="B113" s="15"/>
      <c r="C113" s="11">
        <f t="shared" si="4"/>
        <v>1</v>
      </c>
      <c r="D113" s="11">
        <v>5</v>
      </c>
      <c r="E113" s="11"/>
      <c r="F113" s="14"/>
      <c r="G113" s="89">
        <f>IFERROR(VLOOKUP(F113,COA!$A$1:$K$26,2,FALSE),0)</f>
        <v>0</v>
      </c>
      <c r="H113" s="11"/>
      <c r="I113" s="95"/>
      <c r="J113" s="78"/>
      <c r="K113" s="81"/>
      <c r="L113" s="146">
        <f t="shared" si="6"/>
        <v>504000</v>
      </c>
      <c r="M113" s="73"/>
      <c r="N113" s="73"/>
      <c r="O113" s="7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 x14ac:dyDescent="0.35">
      <c r="A114" s="9">
        <f t="shared" si="5"/>
        <v>106</v>
      </c>
      <c r="B114" s="15"/>
      <c r="C114" s="11">
        <f t="shared" si="4"/>
        <v>1</v>
      </c>
      <c r="D114" s="11">
        <v>5</v>
      </c>
      <c r="E114" s="11"/>
      <c r="F114" s="14"/>
      <c r="G114" s="89">
        <f>IFERROR(VLOOKUP(F114,COA!$A$1:$K$26,2,FALSE),0)</f>
        <v>0</v>
      </c>
      <c r="H114" s="11"/>
      <c r="I114" s="95"/>
      <c r="J114" s="78"/>
      <c r="K114" s="81"/>
      <c r="L114" s="146">
        <f t="shared" si="6"/>
        <v>504000</v>
      </c>
      <c r="M114" s="73"/>
      <c r="N114" s="73"/>
      <c r="O114" s="7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 x14ac:dyDescent="0.35">
      <c r="A115" s="9">
        <f t="shared" si="5"/>
        <v>107</v>
      </c>
      <c r="B115" s="15"/>
      <c r="C115" s="11">
        <f t="shared" si="4"/>
        <v>1</v>
      </c>
      <c r="D115" s="11">
        <v>5</v>
      </c>
      <c r="E115" s="11"/>
      <c r="F115" s="14"/>
      <c r="G115" s="89">
        <f>IFERROR(VLOOKUP(F115,COA!$A$1:$K$26,2,FALSE),0)</f>
        <v>0</v>
      </c>
      <c r="H115" s="11"/>
      <c r="I115" s="95"/>
      <c r="J115" s="78"/>
      <c r="K115" s="81"/>
      <c r="L115" s="146">
        <f t="shared" si="6"/>
        <v>504000</v>
      </c>
      <c r="M115" s="137"/>
      <c r="N115" s="137"/>
      <c r="O115" s="137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spans="1:29" ht="14.25" customHeight="1" x14ac:dyDescent="0.35">
      <c r="A116" s="9">
        <f t="shared" si="5"/>
        <v>108</v>
      </c>
      <c r="B116" s="15"/>
      <c r="C116" s="11">
        <f t="shared" si="4"/>
        <v>1</v>
      </c>
      <c r="D116" s="11">
        <v>5</v>
      </c>
      <c r="E116" s="11"/>
      <c r="F116" s="14"/>
      <c r="G116" s="89">
        <f>IFERROR(VLOOKUP(F116,COA!$A$1:$K$26,2,FALSE),0)</f>
        <v>0</v>
      </c>
      <c r="H116" s="11"/>
      <c r="I116" s="95"/>
      <c r="J116" s="78"/>
      <c r="K116" s="81"/>
      <c r="L116" s="146">
        <f t="shared" si="6"/>
        <v>504000</v>
      </c>
      <c r="M116" s="73"/>
      <c r="N116" s="73"/>
      <c r="O116" s="7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 x14ac:dyDescent="0.35">
      <c r="A117" s="9">
        <f t="shared" si="5"/>
        <v>109</v>
      </c>
      <c r="B117" s="15"/>
      <c r="C117" s="11">
        <f t="shared" si="4"/>
        <v>1</v>
      </c>
      <c r="D117" s="11">
        <v>5</v>
      </c>
      <c r="E117" s="11"/>
      <c r="F117" s="14"/>
      <c r="G117" s="89">
        <f>IFERROR(VLOOKUP(F117,COA!$A$1:$K$26,2,FALSE),0)</f>
        <v>0</v>
      </c>
      <c r="H117" s="11"/>
      <c r="I117" s="95"/>
      <c r="J117" s="78"/>
      <c r="K117" s="81"/>
      <c r="L117" s="146">
        <f t="shared" si="6"/>
        <v>504000</v>
      </c>
      <c r="M117" s="73"/>
      <c r="N117" s="73"/>
      <c r="O117" s="7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 x14ac:dyDescent="0.35">
      <c r="A118" s="9">
        <f t="shared" si="5"/>
        <v>110</v>
      </c>
      <c r="B118" s="15"/>
      <c r="C118" s="11">
        <f t="shared" si="4"/>
        <v>1</v>
      </c>
      <c r="D118" s="11">
        <v>5</v>
      </c>
      <c r="E118" s="11"/>
      <c r="F118" s="14"/>
      <c r="G118" s="89">
        <f>IFERROR(VLOOKUP(F118,COA!$A$1:$K$26,2,FALSE),0)</f>
        <v>0</v>
      </c>
      <c r="H118" s="11"/>
      <c r="I118" s="95"/>
      <c r="J118" s="78"/>
      <c r="K118" s="81"/>
      <c r="L118" s="146">
        <f t="shared" si="6"/>
        <v>504000</v>
      </c>
      <c r="M118" s="73"/>
      <c r="N118" s="73"/>
      <c r="O118" s="7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customHeight="1" x14ac:dyDescent="0.35">
      <c r="A119" s="9">
        <f t="shared" si="5"/>
        <v>111</v>
      </c>
      <c r="B119" s="15"/>
      <c r="C119" s="11">
        <f t="shared" si="4"/>
        <v>1</v>
      </c>
      <c r="D119" s="11">
        <v>5</v>
      </c>
      <c r="E119" s="11"/>
      <c r="F119" s="14"/>
      <c r="G119" s="89">
        <f>IFERROR(VLOOKUP(F119,COA!$A$1:$K$26,2,FALSE),0)</f>
        <v>0</v>
      </c>
      <c r="H119" s="11"/>
      <c r="I119" s="95"/>
      <c r="J119" s="78"/>
      <c r="K119" s="81"/>
      <c r="L119" s="146">
        <f t="shared" si="6"/>
        <v>504000</v>
      </c>
      <c r="M119" s="73"/>
      <c r="N119" s="73"/>
      <c r="O119" s="7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 x14ac:dyDescent="0.35">
      <c r="A120" s="9">
        <f t="shared" si="5"/>
        <v>112</v>
      </c>
      <c r="B120" s="15"/>
      <c r="C120" s="11">
        <f t="shared" si="4"/>
        <v>1</v>
      </c>
      <c r="D120" s="11">
        <v>5</v>
      </c>
      <c r="E120" s="11"/>
      <c r="F120" s="14"/>
      <c r="G120" s="89">
        <f>IFERROR(VLOOKUP(F120,COA!$A$1:$K$26,2,FALSE),0)</f>
        <v>0</v>
      </c>
      <c r="H120" s="11"/>
      <c r="I120" s="95"/>
      <c r="J120" s="78"/>
      <c r="K120" s="81"/>
      <c r="L120" s="146">
        <f t="shared" si="6"/>
        <v>504000</v>
      </c>
      <c r="M120" s="73"/>
      <c r="N120" s="73"/>
      <c r="O120" s="7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 x14ac:dyDescent="0.35">
      <c r="A121" s="9">
        <f t="shared" si="5"/>
        <v>113</v>
      </c>
      <c r="B121" s="15"/>
      <c r="C121" s="11">
        <f t="shared" si="4"/>
        <v>1</v>
      </c>
      <c r="D121" s="11">
        <v>5</v>
      </c>
      <c r="E121" s="11"/>
      <c r="F121" s="14"/>
      <c r="G121" s="89">
        <f>IFERROR(VLOOKUP(F121,COA!$A$1:$K$26,2,FALSE),0)</f>
        <v>0</v>
      </c>
      <c r="H121" s="11"/>
      <c r="I121" s="95"/>
      <c r="J121" s="78"/>
      <c r="K121" s="79"/>
      <c r="L121" s="146">
        <f t="shared" si="6"/>
        <v>504000</v>
      </c>
      <c r="M121" s="73"/>
      <c r="N121" s="73"/>
      <c r="O121" s="7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 x14ac:dyDescent="0.35">
      <c r="A122" s="9">
        <f t="shared" si="5"/>
        <v>114</v>
      </c>
      <c r="B122" s="15"/>
      <c r="C122" s="11">
        <f t="shared" si="4"/>
        <v>1</v>
      </c>
      <c r="D122" s="11">
        <v>5</v>
      </c>
      <c r="E122" s="11"/>
      <c r="F122" s="14"/>
      <c r="G122" s="89">
        <f>IFERROR(VLOOKUP(F122,COA!$A$1:$K$26,2,FALSE),0)</f>
        <v>0</v>
      </c>
      <c r="H122" s="11"/>
      <c r="I122" s="95"/>
      <c r="J122" s="78"/>
      <c r="K122" s="79"/>
      <c r="L122" s="146">
        <f t="shared" si="6"/>
        <v>504000</v>
      </c>
      <c r="M122" s="73"/>
      <c r="N122" s="73"/>
      <c r="O122" s="7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 x14ac:dyDescent="0.35">
      <c r="A123" s="9">
        <f t="shared" si="5"/>
        <v>115</v>
      </c>
      <c r="B123" s="10"/>
      <c r="C123" s="11">
        <f t="shared" si="4"/>
        <v>1</v>
      </c>
      <c r="D123" s="11">
        <v>5</v>
      </c>
      <c r="E123" s="11"/>
      <c r="F123" s="11"/>
      <c r="G123" s="89">
        <f>IFERROR(VLOOKUP(F123,COA!$A$1:$K$26,2,FALSE),0)</f>
        <v>0</v>
      </c>
      <c r="H123" s="11"/>
      <c r="I123" s="11"/>
      <c r="J123" s="77"/>
      <c r="K123" s="78"/>
      <c r="L123" s="146">
        <f t="shared" si="6"/>
        <v>504000</v>
      </c>
      <c r="M123" s="73"/>
      <c r="N123" s="73"/>
      <c r="O123" s="7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 x14ac:dyDescent="0.35">
      <c r="A124" s="9">
        <f t="shared" si="5"/>
        <v>116</v>
      </c>
      <c r="B124" s="10"/>
      <c r="C124" s="11">
        <f t="shared" si="4"/>
        <v>1</v>
      </c>
      <c r="D124" s="11">
        <v>5</v>
      </c>
      <c r="E124" s="11"/>
      <c r="F124" s="11"/>
      <c r="G124" s="89">
        <f>IFERROR(VLOOKUP(F124,COA!$A$1:$K$26,2,FALSE),0)</f>
        <v>0</v>
      </c>
      <c r="H124" s="11"/>
      <c r="I124" s="11"/>
      <c r="J124" s="78"/>
      <c r="K124" s="78"/>
      <c r="L124" s="146">
        <f t="shared" si="6"/>
        <v>504000</v>
      </c>
      <c r="M124" s="73"/>
      <c r="N124" s="73"/>
      <c r="O124" s="7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 x14ac:dyDescent="0.35">
      <c r="A125" s="9">
        <f t="shared" si="5"/>
        <v>117</v>
      </c>
      <c r="B125" s="10"/>
      <c r="C125" s="11">
        <f t="shared" si="4"/>
        <v>1</v>
      </c>
      <c r="D125" s="11">
        <v>5</v>
      </c>
      <c r="E125" s="11"/>
      <c r="F125" s="11"/>
      <c r="G125" s="89">
        <f>IFERROR(VLOOKUP(F125,COA!$A$1:$K$26,2,FALSE),0)</f>
        <v>0</v>
      </c>
      <c r="H125" s="11"/>
      <c r="I125" s="11"/>
      <c r="J125" s="78"/>
      <c r="K125" s="78"/>
      <c r="L125" s="146">
        <f t="shared" si="6"/>
        <v>504000</v>
      </c>
      <c r="M125" s="73"/>
      <c r="N125" s="73"/>
      <c r="O125" s="7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 x14ac:dyDescent="0.35">
      <c r="A126" s="9">
        <f t="shared" si="5"/>
        <v>118</v>
      </c>
      <c r="B126" s="10"/>
      <c r="C126" s="11">
        <f t="shared" si="4"/>
        <v>1</v>
      </c>
      <c r="D126" s="11">
        <v>5</v>
      </c>
      <c r="E126" s="11"/>
      <c r="F126" s="11"/>
      <c r="G126" s="89">
        <f>IFERROR(VLOOKUP(F126,COA!$A$1:$K$26,2,FALSE),0)</f>
        <v>0</v>
      </c>
      <c r="H126" s="11"/>
      <c r="I126" s="11"/>
      <c r="J126" s="78"/>
      <c r="K126" s="78"/>
      <c r="L126" s="146">
        <f t="shared" si="6"/>
        <v>504000</v>
      </c>
      <c r="M126" s="73"/>
      <c r="N126" s="73"/>
      <c r="O126" s="7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 x14ac:dyDescent="0.35">
      <c r="A127" s="9">
        <f t="shared" si="5"/>
        <v>119</v>
      </c>
      <c r="B127" s="10"/>
      <c r="C127" s="11">
        <f t="shared" si="4"/>
        <v>1</v>
      </c>
      <c r="D127" s="11">
        <v>5</v>
      </c>
      <c r="E127" s="11"/>
      <c r="F127" s="11"/>
      <c r="G127" s="89">
        <f>IFERROR(VLOOKUP(F127,COA!$A$1:$K$26,2,FALSE),0)</f>
        <v>0</v>
      </c>
      <c r="H127" s="11"/>
      <c r="I127" s="11"/>
      <c r="J127" s="78"/>
      <c r="K127" s="78"/>
      <c r="L127" s="146">
        <f t="shared" si="6"/>
        <v>504000</v>
      </c>
      <c r="M127" s="73"/>
      <c r="N127" s="73"/>
      <c r="O127" s="7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 x14ac:dyDescent="0.35">
      <c r="A128" s="9">
        <f t="shared" si="5"/>
        <v>120</v>
      </c>
      <c r="B128" s="10"/>
      <c r="C128" s="11">
        <f t="shared" si="4"/>
        <v>1</v>
      </c>
      <c r="D128" s="11">
        <v>5</v>
      </c>
      <c r="E128" s="11"/>
      <c r="F128" s="11"/>
      <c r="G128" s="89">
        <f>IFERROR(VLOOKUP(F128,COA!$A$1:$K$26,2,FALSE),0)</f>
        <v>0</v>
      </c>
      <c r="H128" s="11"/>
      <c r="I128" s="11"/>
      <c r="J128" s="78"/>
      <c r="K128" s="78"/>
      <c r="L128" s="146">
        <f t="shared" si="6"/>
        <v>504000</v>
      </c>
      <c r="M128" s="73"/>
      <c r="N128" s="73"/>
      <c r="O128" s="7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 x14ac:dyDescent="0.35">
      <c r="A129" s="9">
        <f t="shared" si="5"/>
        <v>121</v>
      </c>
      <c r="B129" s="10"/>
      <c r="C129" s="11">
        <f t="shared" si="4"/>
        <v>1</v>
      </c>
      <c r="D129" s="11">
        <v>5</v>
      </c>
      <c r="E129" s="11"/>
      <c r="F129" s="11"/>
      <c r="G129" s="89">
        <f>IFERROR(VLOOKUP(F129,COA!$A$1:$K$26,2,FALSE),0)</f>
        <v>0</v>
      </c>
      <c r="H129" s="11"/>
      <c r="I129" s="11"/>
      <c r="J129" s="78"/>
      <c r="K129" s="78"/>
      <c r="L129" s="146">
        <f t="shared" si="6"/>
        <v>504000</v>
      </c>
      <c r="M129" s="73"/>
      <c r="N129" s="73"/>
      <c r="O129" s="7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 x14ac:dyDescent="0.35">
      <c r="A130" s="9">
        <f t="shared" si="5"/>
        <v>122</v>
      </c>
      <c r="B130" s="10"/>
      <c r="C130" s="11">
        <f t="shared" si="4"/>
        <v>1</v>
      </c>
      <c r="D130" s="11">
        <v>5</v>
      </c>
      <c r="E130" s="11"/>
      <c r="F130" s="11"/>
      <c r="G130" s="89">
        <f>IFERROR(VLOOKUP(F130,COA!$A$1:$K$26,2,FALSE),0)</f>
        <v>0</v>
      </c>
      <c r="H130" s="11"/>
      <c r="I130" s="11"/>
      <c r="J130" s="78"/>
      <c r="K130" s="78"/>
      <c r="L130" s="146">
        <f t="shared" si="6"/>
        <v>504000</v>
      </c>
      <c r="M130" s="73"/>
      <c r="N130" s="73"/>
      <c r="O130" s="7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 x14ac:dyDescent="0.35">
      <c r="A131" s="9">
        <f t="shared" si="5"/>
        <v>123</v>
      </c>
      <c r="B131" s="10"/>
      <c r="C131" s="11">
        <f t="shared" si="4"/>
        <v>1</v>
      </c>
      <c r="D131" s="11">
        <v>5</v>
      </c>
      <c r="E131" s="11"/>
      <c r="F131" s="11"/>
      <c r="G131" s="89">
        <f>IFERROR(VLOOKUP(F131,COA!$A$1:$K$26,2,FALSE),0)</f>
        <v>0</v>
      </c>
      <c r="H131" s="11"/>
      <c r="I131" s="11"/>
      <c r="J131" s="78"/>
      <c r="K131" s="79"/>
      <c r="L131" s="146">
        <f t="shared" si="6"/>
        <v>504000</v>
      </c>
      <c r="M131" s="73"/>
      <c r="N131" s="73"/>
      <c r="O131" s="7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 x14ac:dyDescent="0.35">
      <c r="A132" s="9">
        <f t="shared" si="5"/>
        <v>124</v>
      </c>
      <c r="B132" s="10"/>
      <c r="C132" s="11">
        <f t="shared" si="4"/>
        <v>1</v>
      </c>
      <c r="D132" s="11">
        <v>5</v>
      </c>
      <c r="E132" s="11"/>
      <c r="F132" s="11"/>
      <c r="G132" s="89">
        <f>IFERROR(VLOOKUP(F132,COA!$A$1:$K$26,2,FALSE),0)</f>
        <v>0</v>
      </c>
      <c r="H132" s="11"/>
      <c r="I132" s="11"/>
      <c r="J132" s="78"/>
      <c r="K132" s="79"/>
      <c r="L132" s="146">
        <f t="shared" si="6"/>
        <v>504000</v>
      </c>
      <c r="M132" s="73"/>
      <c r="N132" s="73"/>
      <c r="O132" s="7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 x14ac:dyDescent="0.35">
      <c r="A133" s="9">
        <f t="shared" si="5"/>
        <v>125</v>
      </c>
      <c r="B133" s="10"/>
      <c r="C133" s="11">
        <f t="shared" si="4"/>
        <v>1</v>
      </c>
      <c r="D133" s="11">
        <v>5</v>
      </c>
      <c r="E133" s="11"/>
      <c r="F133" s="11"/>
      <c r="G133" s="89">
        <f>IFERROR(VLOOKUP(F133,COA!$A$1:$K$26,2,FALSE),0)</f>
        <v>0</v>
      </c>
      <c r="H133" s="11"/>
      <c r="I133" s="11"/>
      <c r="J133" s="78"/>
      <c r="K133" s="79"/>
      <c r="L133" s="146">
        <f t="shared" si="6"/>
        <v>504000</v>
      </c>
      <c r="M133" s="73"/>
      <c r="N133" s="73"/>
      <c r="O133" s="7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 x14ac:dyDescent="0.35">
      <c r="A134" s="9">
        <f t="shared" si="5"/>
        <v>126</v>
      </c>
      <c r="B134" s="10"/>
      <c r="C134" s="11">
        <f t="shared" si="4"/>
        <v>1</v>
      </c>
      <c r="D134" s="11">
        <v>5</v>
      </c>
      <c r="E134" s="11"/>
      <c r="F134" s="11"/>
      <c r="G134" s="89">
        <f>IFERROR(VLOOKUP(F134,COA!$A$1:$K$26,2,FALSE),0)</f>
        <v>0</v>
      </c>
      <c r="H134" s="11"/>
      <c r="I134" s="11"/>
      <c r="J134" s="78"/>
      <c r="K134" s="79"/>
      <c r="L134" s="146">
        <f t="shared" si="6"/>
        <v>504000</v>
      </c>
      <c r="M134" s="73"/>
      <c r="N134" s="73"/>
      <c r="O134" s="7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 x14ac:dyDescent="0.35">
      <c r="A135" s="9">
        <f t="shared" si="5"/>
        <v>127</v>
      </c>
      <c r="B135" s="10"/>
      <c r="C135" s="11">
        <f t="shared" si="4"/>
        <v>1</v>
      </c>
      <c r="D135" s="11">
        <v>5</v>
      </c>
      <c r="E135" s="11"/>
      <c r="F135" s="11"/>
      <c r="G135" s="89">
        <f>IFERROR(VLOOKUP(F135,COA!$A$1:$K$26,2,FALSE),0)</f>
        <v>0</v>
      </c>
      <c r="H135" s="11"/>
      <c r="I135" s="11"/>
      <c r="J135" s="78"/>
      <c r="K135" s="78"/>
      <c r="L135" s="146">
        <f t="shared" si="6"/>
        <v>504000</v>
      </c>
      <c r="M135" s="73"/>
      <c r="N135" s="73"/>
      <c r="O135" s="7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 x14ac:dyDescent="0.35">
      <c r="A136" s="9">
        <f t="shared" si="5"/>
        <v>128</v>
      </c>
      <c r="B136" s="10"/>
      <c r="C136" s="11">
        <f t="shared" ref="C136:C199" si="7">MONTH(B136)</f>
        <v>1</v>
      </c>
      <c r="D136" s="11">
        <v>5</v>
      </c>
      <c r="E136" s="11"/>
      <c r="F136" s="11"/>
      <c r="G136" s="89">
        <f>IFERROR(VLOOKUP(F136,COA!$A$1:$K$26,2,FALSE),0)</f>
        <v>0</v>
      </c>
      <c r="H136" s="11"/>
      <c r="I136" s="11"/>
      <c r="J136" s="78"/>
      <c r="K136" s="78"/>
      <c r="L136" s="146">
        <f t="shared" si="6"/>
        <v>504000</v>
      </c>
      <c r="M136" s="73"/>
      <c r="N136" s="73"/>
      <c r="O136" s="7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 x14ac:dyDescent="0.35">
      <c r="A137" s="9">
        <f t="shared" si="5"/>
        <v>129</v>
      </c>
      <c r="B137" s="10"/>
      <c r="C137" s="11">
        <f t="shared" si="7"/>
        <v>1</v>
      </c>
      <c r="D137" s="11">
        <v>5</v>
      </c>
      <c r="E137" s="11"/>
      <c r="F137" s="11"/>
      <c r="G137" s="89">
        <f>IFERROR(VLOOKUP(F137,COA!$A$1:$K$26,2,FALSE),0)</f>
        <v>0</v>
      </c>
      <c r="H137" s="11"/>
      <c r="I137" s="11"/>
      <c r="J137" s="78"/>
      <c r="K137" s="78"/>
      <c r="L137" s="146">
        <f t="shared" si="6"/>
        <v>504000</v>
      </c>
      <c r="M137" s="73"/>
      <c r="N137" s="73"/>
      <c r="O137" s="7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 x14ac:dyDescent="0.35">
      <c r="A138" s="9">
        <f t="shared" si="5"/>
        <v>130</v>
      </c>
      <c r="B138" s="15"/>
      <c r="C138" s="11">
        <f t="shared" si="7"/>
        <v>1</v>
      </c>
      <c r="D138" s="11">
        <v>5</v>
      </c>
      <c r="E138" s="11"/>
      <c r="F138" s="14"/>
      <c r="G138" s="89">
        <f>IFERROR(VLOOKUP(F138,COA!$A$1:$K$26,2,FALSE),0)</f>
        <v>0</v>
      </c>
      <c r="H138" s="11"/>
      <c r="I138" s="95"/>
      <c r="J138" s="78"/>
      <c r="K138" s="79"/>
      <c r="L138" s="146">
        <f t="shared" si="6"/>
        <v>504000</v>
      </c>
      <c r="M138" s="73"/>
      <c r="N138" s="73"/>
      <c r="O138" s="7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 x14ac:dyDescent="0.35">
      <c r="A139" s="9">
        <f t="shared" ref="A139:A202" si="8">A138+1</f>
        <v>131</v>
      </c>
      <c r="B139" s="10"/>
      <c r="C139" s="11">
        <f t="shared" si="7"/>
        <v>1</v>
      </c>
      <c r="D139" s="11">
        <v>5</v>
      </c>
      <c r="E139" s="11"/>
      <c r="F139" s="11"/>
      <c r="G139" s="89">
        <f>IFERROR(VLOOKUP(F139,COA!$A$1:$K$26,2,FALSE),0)</f>
        <v>0</v>
      </c>
      <c r="H139" s="11"/>
      <c r="I139" s="11"/>
      <c r="J139" s="77"/>
      <c r="K139" s="78"/>
      <c r="L139" s="146">
        <f t="shared" ref="L139:L202" si="9">L138+J139-K139</f>
        <v>504000</v>
      </c>
      <c r="M139" s="73"/>
      <c r="N139" s="73"/>
      <c r="O139" s="7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 x14ac:dyDescent="0.35">
      <c r="A140" s="9">
        <f t="shared" si="8"/>
        <v>132</v>
      </c>
      <c r="B140" s="15"/>
      <c r="C140" s="11">
        <f t="shared" si="7"/>
        <v>1</v>
      </c>
      <c r="D140" s="11">
        <v>5</v>
      </c>
      <c r="E140" s="11"/>
      <c r="F140" s="14"/>
      <c r="G140" s="89">
        <f>IFERROR(VLOOKUP(F140,COA!$A$1:$K$26,2,FALSE),0)</f>
        <v>0</v>
      </c>
      <c r="H140" s="11"/>
      <c r="I140" s="95"/>
      <c r="J140" s="78"/>
      <c r="K140" s="78"/>
      <c r="L140" s="146">
        <f t="shared" si="9"/>
        <v>504000</v>
      </c>
      <c r="M140" s="73"/>
      <c r="N140" s="73"/>
      <c r="O140" s="7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 x14ac:dyDescent="0.35">
      <c r="A141" s="9">
        <f t="shared" si="8"/>
        <v>133</v>
      </c>
      <c r="B141" s="15"/>
      <c r="C141" s="11">
        <f t="shared" si="7"/>
        <v>1</v>
      </c>
      <c r="D141" s="11">
        <v>5</v>
      </c>
      <c r="E141" s="11"/>
      <c r="F141" s="14"/>
      <c r="G141" s="89">
        <f>IFERROR(VLOOKUP(F141,COA!$A$1:$K$26,2,FALSE),0)</f>
        <v>0</v>
      </c>
      <c r="H141" s="11"/>
      <c r="I141" s="95"/>
      <c r="J141" s="78"/>
      <c r="K141" s="78"/>
      <c r="L141" s="146">
        <f t="shared" si="9"/>
        <v>504000</v>
      </c>
      <c r="M141" s="73"/>
      <c r="N141" s="73"/>
      <c r="O141" s="7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 x14ac:dyDescent="0.35">
      <c r="A142" s="9">
        <f t="shared" si="8"/>
        <v>134</v>
      </c>
      <c r="B142" s="15"/>
      <c r="C142" s="11">
        <f t="shared" si="7"/>
        <v>1</v>
      </c>
      <c r="D142" s="11">
        <v>5</v>
      </c>
      <c r="E142" s="11"/>
      <c r="F142" s="14"/>
      <c r="G142" s="89">
        <f>IFERROR(VLOOKUP(F142,COA!$A$1:$K$26,2,FALSE),0)</f>
        <v>0</v>
      </c>
      <c r="H142" s="11"/>
      <c r="I142" s="95"/>
      <c r="J142" s="78"/>
      <c r="K142" s="79"/>
      <c r="L142" s="146">
        <f t="shared" si="9"/>
        <v>504000</v>
      </c>
      <c r="M142" s="73"/>
      <c r="N142" s="73"/>
      <c r="O142" s="7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 x14ac:dyDescent="0.35">
      <c r="A143" s="9">
        <f t="shared" si="8"/>
        <v>135</v>
      </c>
      <c r="B143" s="15"/>
      <c r="C143" s="11">
        <f t="shared" si="7"/>
        <v>1</v>
      </c>
      <c r="D143" s="11">
        <v>5</v>
      </c>
      <c r="E143" s="11"/>
      <c r="F143" s="14"/>
      <c r="G143" s="89">
        <f>IFERROR(VLOOKUP(F143,COA!$A$1:$K$26,2,FALSE),0)</f>
        <v>0</v>
      </c>
      <c r="H143" s="11"/>
      <c r="I143" s="95"/>
      <c r="J143" s="78"/>
      <c r="K143" s="79"/>
      <c r="L143" s="146">
        <f t="shared" si="9"/>
        <v>504000</v>
      </c>
      <c r="M143" s="73"/>
      <c r="N143" s="73"/>
      <c r="O143" s="7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 x14ac:dyDescent="0.35">
      <c r="A144" s="9">
        <f t="shared" si="8"/>
        <v>136</v>
      </c>
      <c r="B144" s="15"/>
      <c r="C144" s="11">
        <f t="shared" si="7"/>
        <v>1</v>
      </c>
      <c r="D144" s="11">
        <v>5</v>
      </c>
      <c r="E144" s="11"/>
      <c r="F144" s="14"/>
      <c r="G144" s="89">
        <f>IFERROR(VLOOKUP(F144,COA!$A$1:$K$26,2,FALSE),0)</f>
        <v>0</v>
      </c>
      <c r="H144" s="11"/>
      <c r="I144" s="95"/>
      <c r="J144" s="78"/>
      <c r="K144" s="79"/>
      <c r="L144" s="146">
        <f t="shared" si="9"/>
        <v>504000</v>
      </c>
      <c r="M144" s="73"/>
      <c r="N144" s="73"/>
      <c r="O144" s="7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 x14ac:dyDescent="0.35">
      <c r="A145" s="9">
        <f t="shared" si="8"/>
        <v>137</v>
      </c>
      <c r="B145" s="15"/>
      <c r="C145" s="11">
        <f t="shared" si="7"/>
        <v>1</v>
      </c>
      <c r="D145" s="11">
        <v>5</v>
      </c>
      <c r="E145" s="11"/>
      <c r="F145" s="14"/>
      <c r="G145" s="89">
        <f>IFERROR(VLOOKUP(F145,COA!$A$1:$K$26,2,FALSE),0)</f>
        <v>0</v>
      </c>
      <c r="H145" s="11"/>
      <c r="I145" s="95"/>
      <c r="J145" s="78"/>
      <c r="K145" s="79"/>
      <c r="L145" s="146">
        <f t="shared" si="9"/>
        <v>504000</v>
      </c>
      <c r="M145" s="73"/>
      <c r="N145" s="73"/>
      <c r="O145" s="7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 x14ac:dyDescent="0.35">
      <c r="A146" s="9">
        <f t="shared" si="8"/>
        <v>138</v>
      </c>
      <c r="B146" s="15"/>
      <c r="C146" s="11">
        <f t="shared" si="7"/>
        <v>1</v>
      </c>
      <c r="D146" s="11">
        <v>5</v>
      </c>
      <c r="E146" s="11"/>
      <c r="F146" s="14"/>
      <c r="G146" s="89">
        <f>IFERROR(VLOOKUP(F146,COA!$A$1:$K$26,2,FALSE),0)</f>
        <v>0</v>
      </c>
      <c r="H146" s="11"/>
      <c r="I146" s="95"/>
      <c r="J146" s="78"/>
      <c r="K146" s="79"/>
      <c r="L146" s="146">
        <f t="shared" si="9"/>
        <v>504000</v>
      </c>
      <c r="M146" s="73"/>
      <c r="N146" s="73"/>
      <c r="O146" s="7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 x14ac:dyDescent="0.35">
      <c r="A147" s="9">
        <f t="shared" si="8"/>
        <v>139</v>
      </c>
      <c r="B147" s="15"/>
      <c r="C147" s="11">
        <f t="shared" si="7"/>
        <v>1</v>
      </c>
      <c r="D147" s="11">
        <v>5</v>
      </c>
      <c r="E147" s="11"/>
      <c r="F147" s="14"/>
      <c r="G147" s="89">
        <f>IFERROR(VLOOKUP(F147,COA!$A$1:$K$26,2,FALSE),0)</f>
        <v>0</v>
      </c>
      <c r="H147" s="11"/>
      <c r="I147" s="95"/>
      <c r="J147" s="78"/>
      <c r="K147" s="79"/>
      <c r="L147" s="146">
        <f t="shared" si="9"/>
        <v>504000</v>
      </c>
      <c r="M147" s="73"/>
      <c r="N147" s="73"/>
      <c r="O147" s="7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 x14ac:dyDescent="0.35">
      <c r="A148" s="9">
        <f t="shared" si="8"/>
        <v>140</v>
      </c>
      <c r="B148" s="15"/>
      <c r="C148" s="11">
        <f t="shared" si="7"/>
        <v>1</v>
      </c>
      <c r="D148" s="11">
        <v>5</v>
      </c>
      <c r="E148" s="11"/>
      <c r="F148" s="14"/>
      <c r="G148" s="89">
        <f>IFERROR(VLOOKUP(F148,COA!$A$1:$K$26,2,FALSE),0)</f>
        <v>0</v>
      </c>
      <c r="H148" s="11"/>
      <c r="I148" s="95"/>
      <c r="J148" s="78"/>
      <c r="K148" s="79"/>
      <c r="L148" s="146">
        <f t="shared" si="9"/>
        <v>504000</v>
      </c>
      <c r="M148" s="73"/>
      <c r="N148" s="73"/>
      <c r="O148" s="7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 x14ac:dyDescent="0.35">
      <c r="A149" s="9">
        <f t="shared" si="8"/>
        <v>141</v>
      </c>
      <c r="B149" s="15"/>
      <c r="C149" s="11">
        <f t="shared" si="7"/>
        <v>1</v>
      </c>
      <c r="D149" s="11">
        <v>5</v>
      </c>
      <c r="E149" s="11"/>
      <c r="F149" s="11"/>
      <c r="G149" s="89">
        <f>IFERROR(VLOOKUP(F149,COA!$A$1:$K$26,2,FALSE),0)</f>
        <v>0</v>
      </c>
      <c r="H149" s="89"/>
      <c r="I149" s="11"/>
      <c r="J149" s="78"/>
      <c r="K149" s="79"/>
      <c r="L149" s="146">
        <f t="shared" si="9"/>
        <v>504000</v>
      </c>
      <c r="M149" s="73"/>
      <c r="N149" s="73"/>
      <c r="O149" s="7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 x14ac:dyDescent="0.35">
      <c r="A150" s="9">
        <f t="shared" si="8"/>
        <v>142</v>
      </c>
      <c r="B150" s="15"/>
      <c r="C150" s="11">
        <f t="shared" si="7"/>
        <v>1</v>
      </c>
      <c r="D150" s="11">
        <v>5</v>
      </c>
      <c r="E150" s="11"/>
      <c r="F150" s="14"/>
      <c r="G150" s="89">
        <f>IFERROR(VLOOKUP(F150,COA!$A$1:$K$26,2,FALSE),0)</f>
        <v>0</v>
      </c>
      <c r="H150" s="89"/>
      <c r="I150" s="11"/>
      <c r="J150" s="78"/>
      <c r="K150" s="78"/>
      <c r="L150" s="146">
        <f t="shared" si="9"/>
        <v>504000</v>
      </c>
      <c r="M150" s="73"/>
      <c r="N150" s="73"/>
      <c r="O150" s="7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 x14ac:dyDescent="0.35">
      <c r="A151" s="9">
        <f t="shared" si="8"/>
        <v>143</v>
      </c>
      <c r="B151" s="15"/>
      <c r="C151" s="11">
        <f t="shared" si="7"/>
        <v>1</v>
      </c>
      <c r="D151" s="11">
        <v>5</v>
      </c>
      <c r="E151" s="11"/>
      <c r="F151" s="14"/>
      <c r="G151" s="89">
        <f>IFERROR(VLOOKUP(F151,COA!$A$1:$K$26,2,FALSE),0)</f>
        <v>0</v>
      </c>
      <c r="H151" s="11"/>
      <c r="I151" s="95"/>
      <c r="J151" s="78"/>
      <c r="K151" s="79"/>
      <c r="L151" s="146">
        <f t="shared" si="9"/>
        <v>504000</v>
      </c>
      <c r="M151" s="73"/>
      <c r="N151" s="73"/>
      <c r="O151" s="7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 x14ac:dyDescent="0.35">
      <c r="A152" s="9">
        <f t="shared" si="8"/>
        <v>144</v>
      </c>
      <c r="B152" s="15"/>
      <c r="C152" s="11">
        <f t="shared" si="7"/>
        <v>1</v>
      </c>
      <c r="D152" s="11">
        <v>5</v>
      </c>
      <c r="E152" s="11"/>
      <c r="F152" s="14"/>
      <c r="G152" s="89">
        <f>IFERROR(VLOOKUP(F152,COA!$A$1:$K$26,2,FALSE),0)</f>
        <v>0</v>
      </c>
      <c r="H152" s="11"/>
      <c r="I152" s="95"/>
      <c r="J152" s="78"/>
      <c r="K152" s="79"/>
      <c r="L152" s="146">
        <f t="shared" si="9"/>
        <v>504000</v>
      </c>
      <c r="M152" s="73"/>
      <c r="N152" s="73"/>
      <c r="O152" s="7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 x14ac:dyDescent="0.35">
      <c r="A153" s="9">
        <f t="shared" si="8"/>
        <v>145</v>
      </c>
      <c r="B153" s="15"/>
      <c r="C153" s="11">
        <f t="shared" si="7"/>
        <v>1</v>
      </c>
      <c r="D153" s="11">
        <v>5</v>
      </c>
      <c r="E153" s="11"/>
      <c r="F153" s="11"/>
      <c r="G153" s="89">
        <f>IFERROR(VLOOKUP(F153,COA!$A$1:$K$26,2,FALSE),0)</f>
        <v>0</v>
      </c>
      <c r="H153" s="11"/>
      <c r="I153" s="11"/>
      <c r="J153" s="78"/>
      <c r="K153" s="78"/>
      <c r="L153" s="146">
        <f t="shared" si="9"/>
        <v>504000</v>
      </c>
      <c r="M153" s="73"/>
      <c r="N153" s="73"/>
      <c r="O153" s="7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 x14ac:dyDescent="0.35">
      <c r="A154" s="9">
        <f t="shared" si="8"/>
        <v>146</v>
      </c>
      <c r="B154" s="15"/>
      <c r="C154" s="11">
        <f t="shared" si="7"/>
        <v>1</v>
      </c>
      <c r="D154" s="11">
        <v>5</v>
      </c>
      <c r="E154" s="11"/>
      <c r="F154" s="14"/>
      <c r="G154" s="89">
        <f>IFERROR(VLOOKUP(F154,COA!$A$1:$K$26,2,FALSE),0)</f>
        <v>0</v>
      </c>
      <c r="H154" s="95"/>
      <c r="I154" s="11"/>
      <c r="J154" s="78"/>
      <c r="K154" s="78"/>
      <c r="L154" s="146">
        <f t="shared" si="9"/>
        <v>504000</v>
      </c>
      <c r="M154" s="73"/>
      <c r="N154" s="73"/>
      <c r="O154" s="7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 x14ac:dyDescent="0.35">
      <c r="A155" s="9">
        <f t="shared" si="8"/>
        <v>147</v>
      </c>
      <c r="B155" s="15"/>
      <c r="C155" s="11">
        <f t="shared" si="7"/>
        <v>1</v>
      </c>
      <c r="D155" s="11">
        <v>5</v>
      </c>
      <c r="E155" s="11"/>
      <c r="F155" s="14"/>
      <c r="G155" s="89">
        <f>IFERROR(VLOOKUP(F155,COA!$A$1:$K$26,2,FALSE),0)</f>
        <v>0</v>
      </c>
      <c r="H155" s="89"/>
      <c r="I155" s="11"/>
      <c r="J155" s="78"/>
      <c r="K155" s="78"/>
      <c r="L155" s="146">
        <f t="shared" si="9"/>
        <v>504000</v>
      </c>
      <c r="M155" s="73"/>
      <c r="N155" s="73"/>
      <c r="O155" s="7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 x14ac:dyDescent="0.35">
      <c r="A156" s="9">
        <f t="shared" si="8"/>
        <v>148</v>
      </c>
      <c r="B156" s="15"/>
      <c r="C156" s="11">
        <f t="shared" si="7"/>
        <v>1</v>
      </c>
      <c r="D156" s="11">
        <v>5</v>
      </c>
      <c r="E156" s="11"/>
      <c r="F156" s="11"/>
      <c r="G156" s="89">
        <f>IFERROR(VLOOKUP(F156,COA!$A$1:$K$26,2,FALSE),0)</f>
        <v>0</v>
      </c>
      <c r="H156" s="89"/>
      <c r="I156" s="11"/>
      <c r="J156" s="78"/>
      <c r="K156" s="78"/>
      <c r="L156" s="146">
        <f t="shared" si="9"/>
        <v>504000</v>
      </c>
      <c r="M156" s="73"/>
      <c r="N156" s="73"/>
      <c r="O156" s="7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35">
      <c r="A157" s="9">
        <f t="shared" si="8"/>
        <v>149</v>
      </c>
      <c r="B157" s="15"/>
      <c r="C157" s="11">
        <f t="shared" si="7"/>
        <v>1</v>
      </c>
      <c r="D157" s="11">
        <v>5</v>
      </c>
      <c r="E157" s="13"/>
      <c r="F157" s="11"/>
      <c r="G157" s="89">
        <f>IFERROR(VLOOKUP(F157,COA!$A$1:$K$26,2,FALSE),0)</f>
        <v>0</v>
      </c>
      <c r="H157" s="89"/>
      <c r="I157" s="11"/>
      <c r="J157" s="78"/>
      <c r="K157" s="78"/>
      <c r="L157" s="146">
        <f t="shared" si="9"/>
        <v>504000</v>
      </c>
      <c r="M157" s="73"/>
      <c r="N157" s="73"/>
      <c r="O157" s="7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 x14ac:dyDescent="0.35">
      <c r="A158" s="9">
        <f t="shared" si="8"/>
        <v>150</v>
      </c>
      <c r="B158" s="15"/>
      <c r="C158" s="11">
        <f t="shared" si="7"/>
        <v>1</v>
      </c>
      <c r="D158" s="11">
        <v>5</v>
      </c>
      <c r="E158" s="11"/>
      <c r="F158" s="11"/>
      <c r="G158" s="89">
        <f>IFERROR(VLOOKUP(F158,COA!$A$1:$K$26,2,FALSE),0)</f>
        <v>0</v>
      </c>
      <c r="H158" s="89"/>
      <c r="I158" s="11"/>
      <c r="J158" s="78"/>
      <c r="K158" s="78"/>
      <c r="L158" s="146">
        <f t="shared" si="9"/>
        <v>504000</v>
      </c>
      <c r="M158" s="73"/>
      <c r="N158" s="73"/>
      <c r="O158" s="7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 x14ac:dyDescent="0.35">
      <c r="A159" s="9">
        <f t="shared" si="8"/>
        <v>151</v>
      </c>
      <c r="B159" s="15"/>
      <c r="C159" s="11">
        <f t="shared" si="7"/>
        <v>1</v>
      </c>
      <c r="D159" s="11">
        <v>5</v>
      </c>
      <c r="E159" s="11"/>
      <c r="F159" s="11"/>
      <c r="G159" s="89">
        <f>IFERROR(VLOOKUP(F159,COA!$A$1:$K$26,2,FALSE),0)</f>
        <v>0</v>
      </c>
      <c r="H159" s="11"/>
      <c r="I159" s="11"/>
      <c r="J159" s="78"/>
      <c r="K159" s="79"/>
      <c r="L159" s="146">
        <f t="shared" si="9"/>
        <v>504000</v>
      </c>
      <c r="M159" s="73"/>
      <c r="N159" s="73"/>
      <c r="O159" s="7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 x14ac:dyDescent="0.35">
      <c r="A160" s="9">
        <f t="shared" si="8"/>
        <v>152</v>
      </c>
      <c r="B160" s="15"/>
      <c r="C160" s="11">
        <f t="shared" si="7"/>
        <v>1</v>
      </c>
      <c r="D160" s="11">
        <v>5</v>
      </c>
      <c r="E160" s="11"/>
      <c r="F160" s="14"/>
      <c r="G160" s="89">
        <f>IFERROR(VLOOKUP(F160,COA!$A$1:$K$26,2,FALSE),0)</f>
        <v>0</v>
      </c>
      <c r="H160" s="11"/>
      <c r="I160" s="95"/>
      <c r="J160" s="82"/>
      <c r="K160" s="79"/>
      <c r="L160" s="146">
        <f t="shared" si="9"/>
        <v>504000</v>
      </c>
      <c r="M160" s="73"/>
      <c r="N160" s="73"/>
      <c r="O160" s="7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 x14ac:dyDescent="0.35">
      <c r="A161" s="9">
        <f t="shared" si="8"/>
        <v>153</v>
      </c>
      <c r="B161" s="15"/>
      <c r="C161" s="11">
        <f t="shared" si="7"/>
        <v>1</v>
      </c>
      <c r="D161" s="11">
        <v>5</v>
      </c>
      <c r="E161" s="11"/>
      <c r="F161" s="14"/>
      <c r="G161" s="89">
        <f>IFERROR(VLOOKUP(F161,COA!$A$1:$K$26,2,FALSE),0)</f>
        <v>0</v>
      </c>
      <c r="H161" s="11"/>
      <c r="I161" s="95"/>
      <c r="J161" s="82"/>
      <c r="K161" s="81"/>
      <c r="L161" s="146">
        <f t="shared" si="9"/>
        <v>504000</v>
      </c>
      <c r="M161" s="73"/>
      <c r="N161" s="73"/>
      <c r="O161" s="7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 x14ac:dyDescent="0.35">
      <c r="A162" s="9">
        <f t="shared" si="8"/>
        <v>154</v>
      </c>
      <c r="B162" s="15"/>
      <c r="C162" s="11">
        <f t="shared" si="7"/>
        <v>1</v>
      </c>
      <c r="D162" s="11">
        <v>5</v>
      </c>
      <c r="E162" s="11"/>
      <c r="F162" s="14"/>
      <c r="G162" s="89">
        <f>IFERROR(VLOOKUP(F162,COA!$A$1:$K$26,2,FALSE),0)</f>
        <v>0</v>
      </c>
      <c r="H162" s="11"/>
      <c r="I162" s="95"/>
      <c r="J162" s="82"/>
      <c r="K162" s="79"/>
      <c r="L162" s="146">
        <f t="shared" si="9"/>
        <v>504000</v>
      </c>
      <c r="M162" s="73"/>
      <c r="N162" s="73"/>
      <c r="O162" s="7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 x14ac:dyDescent="0.35">
      <c r="A163" s="9">
        <f t="shared" si="8"/>
        <v>155</v>
      </c>
      <c r="B163" s="15"/>
      <c r="C163" s="11">
        <f t="shared" si="7"/>
        <v>1</v>
      </c>
      <c r="D163" s="11">
        <v>5</v>
      </c>
      <c r="E163" s="11"/>
      <c r="F163" s="14"/>
      <c r="G163" s="89">
        <f>IFERROR(VLOOKUP(F163,COA!$A$1:$K$26,2,FALSE),0)</f>
        <v>0</v>
      </c>
      <c r="H163" s="11"/>
      <c r="I163" s="95"/>
      <c r="J163" s="82"/>
      <c r="K163" s="79"/>
      <c r="L163" s="146">
        <f t="shared" si="9"/>
        <v>504000</v>
      </c>
      <c r="M163" s="73"/>
      <c r="N163" s="73"/>
      <c r="O163" s="7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 x14ac:dyDescent="0.35">
      <c r="A164" s="9">
        <f t="shared" si="8"/>
        <v>156</v>
      </c>
      <c r="B164" s="15"/>
      <c r="C164" s="11">
        <f t="shared" si="7"/>
        <v>1</v>
      </c>
      <c r="D164" s="11">
        <v>5</v>
      </c>
      <c r="E164" s="11"/>
      <c r="F164" s="14"/>
      <c r="G164" s="89">
        <f>IFERROR(VLOOKUP(F164,COA!$A$1:$K$26,2,FALSE),0)</f>
        <v>0</v>
      </c>
      <c r="H164" s="11"/>
      <c r="I164" s="95"/>
      <c r="J164" s="82"/>
      <c r="K164" s="79"/>
      <c r="L164" s="146">
        <f t="shared" si="9"/>
        <v>504000</v>
      </c>
      <c r="M164" s="73"/>
      <c r="N164" s="73"/>
      <c r="O164" s="7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 x14ac:dyDescent="0.35">
      <c r="A165" s="9">
        <f t="shared" si="8"/>
        <v>157</v>
      </c>
      <c r="B165" s="15"/>
      <c r="C165" s="11">
        <f t="shared" si="7"/>
        <v>1</v>
      </c>
      <c r="D165" s="11">
        <v>5</v>
      </c>
      <c r="E165" s="11"/>
      <c r="F165" s="14"/>
      <c r="G165" s="89">
        <f>IFERROR(VLOOKUP(F165,COA!$A$1:$K$26,2,FALSE),0)</f>
        <v>0</v>
      </c>
      <c r="H165" s="11"/>
      <c r="I165" s="95"/>
      <c r="J165" s="82"/>
      <c r="K165" s="78"/>
      <c r="L165" s="146">
        <f t="shared" si="9"/>
        <v>504000</v>
      </c>
      <c r="M165" s="73"/>
      <c r="N165" s="73"/>
      <c r="O165" s="7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 x14ac:dyDescent="0.35">
      <c r="A166" s="9">
        <f t="shared" si="8"/>
        <v>158</v>
      </c>
      <c r="B166" s="15"/>
      <c r="C166" s="11">
        <f t="shared" si="7"/>
        <v>1</v>
      </c>
      <c r="D166" s="11">
        <v>5</v>
      </c>
      <c r="E166" s="11"/>
      <c r="F166" s="14"/>
      <c r="G166" s="89">
        <f>IFERROR(VLOOKUP(F166,COA!$A$1:$K$26,2,FALSE),0)</f>
        <v>0</v>
      </c>
      <c r="H166" s="11"/>
      <c r="I166" s="95"/>
      <c r="J166" s="82"/>
      <c r="K166" s="78"/>
      <c r="L166" s="146">
        <f t="shared" si="9"/>
        <v>504000</v>
      </c>
      <c r="M166" s="73"/>
      <c r="N166" s="73"/>
      <c r="O166" s="7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 x14ac:dyDescent="0.35">
      <c r="A167" s="9">
        <f t="shared" si="8"/>
        <v>159</v>
      </c>
      <c r="B167" s="15"/>
      <c r="C167" s="11">
        <f t="shared" si="7"/>
        <v>1</v>
      </c>
      <c r="D167" s="11">
        <v>5</v>
      </c>
      <c r="E167" s="13"/>
      <c r="F167" s="14"/>
      <c r="G167" s="89">
        <f>IFERROR(VLOOKUP(F167,COA!$A$1:$K$26,2,FALSE),0)</f>
        <v>0</v>
      </c>
      <c r="H167" s="11"/>
      <c r="I167" s="95"/>
      <c r="J167" s="82"/>
      <c r="K167" s="78"/>
      <c r="L167" s="146">
        <f t="shared" si="9"/>
        <v>504000</v>
      </c>
      <c r="M167" s="73"/>
      <c r="N167" s="73"/>
      <c r="O167" s="7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 x14ac:dyDescent="0.35">
      <c r="A168" s="9">
        <f t="shared" si="8"/>
        <v>160</v>
      </c>
      <c r="B168" s="15"/>
      <c r="C168" s="11">
        <f t="shared" si="7"/>
        <v>1</v>
      </c>
      <c r="D168" s="11">
        <v>5</v>
      </c>
      <c r="E168" s="11"/>
      <c r="F168" s="14"/>
      <c r="G168" s="89">
        <f>IFERROR(VLOOKUP(F168,COA!$A$1:$K$26,2,FALSE),0)</f>
        <v>0</v>
      </c>
      <c r="H168" s="11"/>
      <c r="I168" s="95"/>
      <c r="J168" s="82"/>
      <c r="K168" s="78"/>
      <c r="L168" s="146">
        <f t="shared" si="9"/>
        <v>504000</v>
      </c>
      <c r="M168" s="73"/>
      <c r="N168" s="73"/>
      <c r="O168" s="7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 x14ac:dyDescent="0.35">
      <c r="A169" s="9">
        <f t="shared" si="8"/>
        <v>161</v>
      </c>
      <c r="B169" s="15"/>
      <c r="C169" s="11">
        <f t="shared" si="7"/>
        <v>1</v>
      </c>
      <c r="D169" s="11">
        <v>5</v>
      </c>
      <c r="E169" s="11"/>
      <c r="F169" s="14"/>
      <c r="G169" s="89">
        <f>IFERROR(VLOOKUP(F169,COA!$A$1:$K$26,2,FALSE),0)</f>
        <v>0</v>
      </c>
      <c r="H169" s="11"/>
      <c r="I169" s="95"/>
      <c r="J169" s="82"/>
      <c r="K169" s="78"/>
      <c r="L169" s="146">
        <f t="shared" si="9"/>
        <v>504000</v>
      </c>
      <c r="M169" s="73"/>
      <c r="N169" s="73"/>
      <c r="O169" s="7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 x14ac:dyDescent="0.35">
      <c r="A170" s="9">
        <f t="shared" si="8"/>
        <v>162</v>
      </c>
      <c r="B170" s="15"/>
      <c r="C170" s="11">
        <f t="shared" si="7"/>
        <v>1</v>
      </c>
      <c r="D170" s="11">
        <v>5</v>
      </c>
      <c r="E170" s="11"/>
      <c r="F170" s="14"/>
      <c r="G170" s="89">
        <f>IFERROR(VLOOKUP(F170,COA!$A$1:$K$26,2,FALSE),0)</f>
        <v>0</v>
      </c>
      <c r="H170" s="11"/>
      <c r="I170" s="95"/>
      <c r="J170" s="87"/>
      <c r="K170" s="78"/>
      <c r="L170" s="146">
        <f t="shared" si="9"/>
        <v>504000</v>
      </c>
      <c r="M170" s="73"/>
      <c r="N170" s="73"/>
      <c r="O170" s="7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 x14ac:dyDescent="0.35">
      <c r="A171" s="9">
        <f t="shared" si="8"/>
        <v>163</v>
      </c>
      <c r="B171" s="15"/>
      <c r="C171" s="11">
        <f t="shared" si="7"/>
        <v>1</v>
      </c>
      <c r="D171" s="11">
        <v>5</v>
      </c>
      <c r="E171" s="11"/>
      <c r="F171" s="14"/>
      <c r="G171" s="89">
        <f>IFERROR(VLOOKUP(F171,COA!$A$1:$K$26,2,FALSE),0)</f>
        <v>0</v>
      </c>
      <c r="H171" s="11"/>
      <c r="I171" s="95"/>
      <c r="J171" s="87"/>
      <c r="K171" s="78"/>
      <c r="L171" s="146">
        <f t="shared" si="9"/>
        <v>504000</v>
      </c>
      <c r="M171" s="73"/>
      <c r="N171" s="73"/>
      <c r="O171" s="7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 x14ac:dyDescent="0.35">
      <c r="A172" s="9">
        <f t="shared" si="8"/>
        <v>164</v>
      </c>
      <c r="B172" s="15"/>
      <c r="C172" s="11">
        <f t="shared" si="7"/>
        <v>1</v>
      </c>
      <c r="D172" s="11">
        <v>5</v>
      </c>
      <c r="E172" s="11"/>
      <c r="F172" s="14"/>
      <c r="G172" s="89">
        <f>IFERROR(VLOOKUP(F172,COA!$A$1:$K$26,2,FALSE),0)</f>
        <v>0</v>
      </c>
      <c r="H172" s="11"/>
      <c r="I172" s="95"/>
      <c r="J172" s="82"/>
      <c r="K172" s="79"/>
      <c r="L172" s="146">
        <f t="shared" si="9"/>
        <v>504000</v>
      </c>
      <c r="M172" s="73"/>
      <c r="N172" s="73"/>
      <c r="O172" s="7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 x14ac:dyDescent="0.35">
      <c r="A173" s="9">
        <f t="shared" si="8"/>
        <v>165</v>
      </c>
      <c r="B173" s="15"/>
      <c r="C173" s="11">
        <f t="shared" si="7"/>
        <v>1</v>
      </c>
      <c r="D173" s="11">
        <v>5</v>
      </c>
      <c r="E173" s="11"/>
      <c r="F173" s="14"/>
      <c r="G173" s="89">
        <f>IFERROR(VLOOKUP(F173,COA!$A$1:$K$26,2,FALSE),0)</f>
        <v>0</v>
      </c>
      <c r="H173" s="11"/>
      <c r="I173" s="95"/>
      <c r="J173" s="78"/>
      <c r="K173" s="79"/>
      <c r="L173" s="146">
        <f t="shared" si="9"/>
        <v>504000</v>
      </c>
      <c r="M173" s="73"/>
      <c r="N173" s="73"/>
      <c r="O173" s="7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 x14ac:dyDescent="0.35">
      <c r="A174" s="9">
        <f t="shared" si="8"/>
        <v>166</v>
      </c>
      <c r="B174" s="15"/>
      <c r="C174" s="11">
        <f t="shared" si="7"/>
        <v>1</v>
      </c>
      <c r="D174" s="11">
        <v>5</v>
      </c>
      <c r="E174" s="11"/>
      <c r="F174" s="14"/>
      <c r="G174" s="89">
        <f>IFERROR(VLOOKUP(F174,COA!$A$1:$K$26,2,FALSE),0)</f>
        <v>0</v>
      </c>
      <c r="H174" s="11"/>
      <c r="I174" s="96"/>
      <c r="J174" s="78"/>
      <c r="K174" s="79"/>
      <c r="L174" s="146">
        <f t="shared" si="9"/>
        <v>504000</v>
      </c>
      <c r="M174" s="73"/>
      <c r="N174" s="73"/>
      <c r="O174" s="7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 x14ac:dyDescent="0.35">
      <c r="A175" s="9">
        <f t="shared" si="8"/>
        <v>167</v>
      </c>
      <c r="B175" s="15"/>
      <c r="C175" s="11">
        <f t="shared" si="7"/>
        <v>1</v>
      </c>
      <c r="D175" s="11">
        <v>5</v>
      </c>
      <c r="E175" s="11"/>
      <c r="F175" s="14"/>
      <c r="G175" s="89">
        <f>IFERROR(VLOOKUP(F175,COA!$A$1:$K$26,2,FALSE),0)</f>
        <v>0</v>
      </c>
      <c r="H175" s="11"/>
      <c r="I175" s="96"/>
      <c r="J175" s="78"/>
      <c r="K175" s="79"/>
      <c r="L175" s="146">
        <f t="shared" si="9"/>
        <v>504000</v>
      </c>
      <c r="M175" s="73"/>
      <c r="N175" s="73"/>
      <c r="O175" s="7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 x14ac:dyDescent="0.35">
      <c r="A176" s="9">
        <f t="shared" si="8"/>
        <v>168</v>
      </c>
      <c r="B176" s="15"/>
      <c r="C176" s="11">
        <f t="shared" si="7"/>
        <v>1</v>
      </c>
      <c r="D176" s="11">
        <v>5</v>
      </c>
      <c r="E176" s="11"/>
      <c r="F176" s="14"/>
      <c r="G176" s="89">
        <f>IFERROR(VLOOKUP(F176,COA!$A$1:$K$26,2,FALSE),0)</f>
        <v>0</v>
      </c>
      <c r="H176" s="11"/>
      <c r="I176" s="96"/>
      <c r="J176" s="82"/>
      <c r="K176" s="79"/>
      <c r="L176" s="146">
        <f t="shared" si="9"/>
        <v>504000</v>
      </c>
      <c r="M176" s="73"/>
      <c r="N176" s="73"/>
      <c r="O176" s="7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 x14ac:dyDescent="0.35">
      <c r="A177" s="9">
        <f t="shared" si="8"/>
        <v>169</v>
      </c>
      <c r="B177" s="10"/>
      <c r="C177" s="11">
        <f t="shared" si="7"/>
        <v>1</v>
      </c>
      <c r="D177" s="11">
        <v>5</v>
      </c>
      <c r="E177" s="11"/>
      <c r="F177" s="11"/>
      <c r="G177" s="89">
        <f>IFERROR(VLOOKUP(F177,COA!$A$1:$K$26,2,FALSE),0)</f>
        <v>0</v>
      </c>
      <c r="H177" s="11"/>
      <c r="I177" s="13"/>
      <c r="J177" s="77"/>
      <c r="K177" s="78"/>
      <c r="L177" s="146">
        <f t="shared" si="9"/>
        <v>504000</v>
      </c>
      <c r="M177" s="73"/>
      <c r="N177" s="73"/>
      <c r="O177" s="7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 x14ac:dyDescent="0.35">
      <c r="A178" s="9">
        <f t="shared" si="8"/>
        <v>170</v>
      </c>
      <c r="B178" s="10"/>
      <c r="C178" s="11">
        <f t="shared" si="7"/>
        <v>1</v>
      </c>
      <c r="D178" s="11">
        <v>5</v>
      </c>
      <c r="E178" s="11"/>
      <c r="F178" s="11"/>
      <c r="G178" s="89">
        <f>IFERROR(VLOOKUP(F178,COA!$A$1:$K$26,2,FALSE),0)</f>
        <v>0</v>
      </c>
      <c r="H178" s="11"/>
      <c r="I178" s="13"/>
      <c r="J178" s="77"/>
      <c r="K178" s="78"/>
      <c r="L178" s="146">
        <f t="shared" si="9"/>
        <v>504000</v>
      </c>
      <c r="M178" s="73"/>
      <c r="N178" s="73"/>
      <c r="O178" s="7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35">
      <c r="A179" s="9">
        <f t="shared" si="8"/>
        <v>171</v>
      </c>
      <c r="B179" s="10"/>
      <c r="C179" s="11">
        <f t="shared" si="7"/>
        <v>1</v>
      </c>
      <c r="D179" s="11">
        <v>5</v>
      </c>
      <c r="E179" s="11"/>
      <c r="F179" s="11"/>
      <c r="G179" s="89">
        <f>IFERROR(VLOOKUP(F179,COA!$A$1:$K$26,2,FALSE),0)</f>
        <v>0</v>
      </c>
      <c r="H179" s="13"/>
      <c r="I179" s="13"/>
      <c r="J179" s="77"/>
      <c r="K179" s="78"/>
      <c r="L179" s="146">
        <f t="shared" si="9"/>
        <v>504000</v>
      </c>
      <c r="M179" s="73"/>
      <c r="N179" s="73"/>
      <c r="O179" s="7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 x14ac:dyDescent="0.35">
      <c r="A180" s="9">
        <f t="shared" si="8"/>
        <v>172</v>
      </c>
      <c r="B180" s="15"/>
      <c r="C180" s="11">
        <f t="shared" si="7"/>
        <v>1</v>
      </c>
      <c r="D180" s="11">
        <v>5</v>
      </c>
      <c r="E180" s="11"/>
      <c r="F180" s="14"/>
      <c r="G180" s="89">
        <f>IFERROR(VLOOKUP(F180,COA!$A$1:$K$26,2,FALSE),0)</f>
        <v>0</v>
      </c>
      <c r="H180" s="13"/>
      <c r="I180" s="96"/>
      <c r="J180" s="82"/>
      <c r="K180" s="81"/>
      <c r="L180" s="146">
        <f t="shared" si="9"/>
        <v>504000</v>
      </c>
      <c r="M180" s="73"/>
      <c r="N180" s="73"/>
      <c r="O180" s="7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 x14ac:dyDescent="0.35">
      <c r="A181" s="9">
        <f t="shared" si="8"/>
        <v>173</v>
      </c>
      <c r="B181" s="15"/>
      <c r="C181" s="11">
        <f t="shared" si="7"/>
        <v>1</v>
      </c>
      <c r="D181" s="11">
        <v>5</v>
      </c>
      <c r="E181" s="11"/>
      <c r="F181" s="14"/>
      <c r="G181" s="89">
        <f>IFERROR(VLOOKUP(F181,COA!$A$1:$K$26,2,FALSE),0)</f>
        <v>0</v>
      </c>
      <c r="H181" s="13"/>
      <c r="I181" s="96"/>
      <c r="J181" s="82"/>
      <c r="K181" s="81"/>
      <c r="L181" s="146">
        <f t="shared" si="9"/>
        <v>504000</v>
      </c>
      <c r="M181" s="73"/>
      <c r="N181" s="73"/>
      <c r="O181" s="7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 x14ac:dyDescent="0.35">
      <c r="A182" s="9">
        <f t="shared" si="8"/>
        <v>174</v>
      </c>
      <c r="B182" s="15"/>
      <c r="C182" s="11">
        <f t="shared" si="7"/>
        <v>1</v>
      </c>
      <c r="D182" s="11">
        <v>5</v>
      </c>
      <c r="E182" s="11"/>
      <c r="F182" s="11"/>
      <c r="G182" s="89">
        <f>IFERROR(VLOOKUP(F182,COA!$A$1:$K$26,2,FALSE),0)</f>
        <v>0</v>
      </c>
      <c r="H182" s="13"/>
      <c r="I182" s="13"/>
      <c r="J182" s="78"/>
      <c r="K182" s="78"/>
      <c r="L182" s="146">
        <f t="shared" si="9"/>
        <v>504000</v>
      </c>
      <c r="M182" s="73"/>
      <c r="N182" s="73"/>
      <c r="O182" s="7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 x14ac:dyDescent="0.35">
      <c r="A183" s="9">
        <f t="shared" si="8"/>
        <v>175</v>
      </c>
      <c r="B183" s="15"/>
      <c r="C183" s="11">
        <f t="shared" si="7"/>
        <v>1</v>
      </c>
      <c r="D183" s="11">
        <v>5</v>
      </c>
      <c r="E183" s="11"/>
      <c r="F183" s="11"/>
      <c r="G183" s="89">
        <f>IFERROR(VLOOKUP(F183,COA!$A$1:$K$26,2,FALSE),0)</f>
        <v>0</v>
      </c>
      <c r="H183" s="13"/>
      <c r="I183" s="13"/>
      <c r="J183" s="78"/>
      <c r="K183" s="78"/>
      <c r="L183" s="146">
        <f t="shared" si="9"/>
        <v>504000</v>
      </c>
      <c r="M183" s="73"/>
      <c r="N183" s="73"/>
      <c r="O183" s="7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 x14ac:dyDescent="0.35">
      <c r="A184" s="9">
        <f t="shared" si="8"/>
        <v>176</v>
      </c>
      <c r="B184" s="15"/>
      <c r="C184" s="11">
        <f t="shared" si="7"/>
        <v>1</v>
      </c>
      <c r="D184" s="11">
        <v>5</v>
      </c>
      <c r="E184" s="11"/>
      <c r="F184" s="11"/>
      <c r="G184" s="89">
        <f>IFERROR(VLOOKUP(F184,COA!$A$1:$K$26,2,FALSE),0)</f>
        <v>0</v>
      </c>
      <c r="H184" s="13"/>
      <c r="I184" s="13"/>
      <c r="J184" s="78"/>
      <c r="K184" s="78"/>
      <c r="L184" s="146">
        <f t="shared" si="9"/>
        <v>504000</v>
      </c>
      <c r="M184" s="73"/>
      <c r="N184" s="73"/>
      <c r="O184" s="7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 x14ac:dyDescent="0.35">
      <c r="A185" s="9">
        <f t="shared" si="8"/>
        <v>177</v>
      </c>
      <c r="B185" s="15"/>
      <c r="C185" s="11">
        <f t="shared" si="7"/>
        <v>1</v>
      </c>
      <c r="D185" s="11">
        <v>5</v>
      </c>
      <c r="E185" s="11"/>
      <c r="F185" s="11"/>
      <c r="G185" s="89">
        <f>IFERROR(VLOOKUP(F185,COA!$A$1:$K$26,2,FALSE),0)</f>
        <v>0</v>
      </c>
      <c r="H185" s="13"/>
      <c r="I185" s="13"/>
      <c r="J185" s="78"/>
      <c r="K185" s="78"/>
      <c r="L185" s="146">
        <f t="shared" si="9"/>
        <v>504000</v>
      </c>
      <c r="M185" s="73"/>
      <c r="N185" s="73"/>
      <c r="O185" s="7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 x14ac:dyDescent="0.35">
      <c r="A186" s="9">
        <f t="shared" si="8"/>
        <v>178</v>
      </c>
      <c r="B186" s="15"/>
      <c r="C186" s="11">
        <f t="shared" si="7"/>
        <v>1</v>
      </c>
      <c r="D186" s="11">
        <v>5</v>
      </c>
      <c r="E186" s="11"/>
      <c r="F186" s="11"/>
      <c r="G186" s="89">
        <f>IFERROR(VLOOKUP(F186,COA!$A$1:$K$26,2,FALSE),0)</f>
        <v>0</v>
      </c>
      <c r="H186" s="13"/>
      <c r="I186" s="13"/>
      <c r="J186" s="78"/>
      <c r="K186" s="78"/>
      <c r="L186" s="146">
        <f t="shared" si="9"/>
        <v>504000</v>
      </c>
      <c r="M186" s="73"/>
      <c r="N186" s="73"/>
      <c r="O186" s="7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 x14ac:dyDescent="0.35">
      <c r="A187" s="9">
        <f t="shared" si="8"/>
        <v>179</v>
      </c>
      <c r="B187" s="15"/>
      <c r="C187" s="11">
        <f t="shared" si="7"/>
        <v>1</v>
      </c>
      <c r="D187" s="11">
        <v>5</v>
      </c>
      <c r="E187" s="11"/>
      <c r="F187" s="14"/>
      <c r="G187" s="89">
        <f>IFERROR(VLOOKUP(F187,COA!$A$1:$K$26,2,FALSE),0)</f>
        <v>0</v>
      </c>
      <c r="H187" s="13"/>
      <c r="I187" s="13"/>
      <c r="J187" s="78"/>
      <c r="K187" s="78"/>
      <c r="L187" s="146">
        <f t="shared" si="9"/>
        <v>504000</v>
      </c>
      <c r="M187" s="73"/>
      <c r="N187" s="73"/>
      <c r="O187" s="7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 x14ac:dyDescent="0.35">
      <c r="A188" s="9">
        <f t="shared" si="8"/>
        <v>180</v>
      </c>
      <c r="B188" s="15"/>
      <c r="C188" s="11">
        <f t="shared" si="7"/>
        <v>1</v>
      </c>
      <c r="D188" s="11">
        <v>5</v>
      </c>
      <c r="E188" s="11"/>
      <c r="F188" s="14"/>
      <c r="G188" s="89">
        <f>IFERROR(VLOOKUP(F188,COA!$A$1:$K$26,2,FALSE),0)</f>
        <v>0</v>
      </c>
      <c r="H188" s="13"/>
      <c r="I188" s="13"/>
      <c r="J188" s="78"/>
      <c r="K188" s="78"/>
      <c r="L188" s="146">
        <f t="shared" si="9"/>
        <v>504000</v>
      </c>
      <c r="M188" s="73"/>
      <c r="N188" s="73"/>
      <c r="O188" s="7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 x14ac:dyDescent="0.35">
      <c r="A189" s="9">
        <f t="shared" si="8"/>
        <v>181</v>
      </c>
      <c r="B189" s="15"/>
      <c r="C189" s="11">
        <f t="shared" si="7"/>
        <v>1</v>
      </c>
      <c r="D189" s="11">
        <v>5</v>
      </c>
      <c r="E189" s="11"/>
      <c r="F189" s="14"/>
      <c r="G189" s="89">
        <f>IFERROR(VLOOKUP(F189,COA!$A$1:$K$26,2,FALSE),0)</f>
        <v>0</v>
      </c>
      <c r="H189" s="13"/>
      <c r="I189" s="13"/>
      <c r="J189" s="78"/>
      <c r="K189" s="78"/>
      <c r="L189" s="146">
        <f t="shared" si="9"/>
        <v>504000</v>
      </c>
      <c r="M189" s="73"/>
      <c r="N189" s="73"/>
      <c r="O189" s="7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 x14ac:dyDescent="0.35">
      <c r="A190" s="9">
        <f t="shared" si="8"/>
        <v>182</v>
      </c>
      <c r="B190" s="15"/>
      <c r="C190" s="11">
        <f t="shared" si="7"/>
        <v>1</v>
      </c>
      <c r="D190" s="11">
        <v>5</v>
      </c>
      <c r="E190" s="13"/>
      <c r="F190" s="14"/>
      <c r="G190" s="89">
        <f>IFERROR(VLOOKUP(F190,COA!$A$1:$K$26,2,FALSE),0)</f>
        <v>0</v>
      </c>
      <c r="H190" s="13"/>
      <c r="I190" s="13"/>
      <c r="J190" s="78"/>
      <c r="K190" s="78"/>
      <c r="L190" s="146">
        <f t="shared" si="9"/>
        <v>504000</v>
      </c>
      <c r="M190" s="73"/>
      <c r="N190" s="73"/>
      <c r="O190" s="7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 x14ac:dyDescent="0.35">
      <c r="A191" s="9">
        <f t="shared" si="8"/>
        <v>183</v>
      </c>
      <c r="B191" s="15"/>
      <c r="C191" s="11">
        <f t="shared" si="7"/>
        <v>1</v>
      </c>
      <c r="D191" s="11">
        <v>5</v>
      </c>
      <c r="E191" s="13"/>
      <c r="F191" s="14"/>
      <c r="G191" s="89">
        <f>IFERROR(VLOOKUP(F191,COA!$A$1:$K$26,2,FALSE),0)</f>
        <v>0</v>
      </c>
      <c r="H191" s="13"/>
      <c r="I191" s="13"/>
      <c r="J191" s="78"/>
      <c r="K191" s="78"/>
      <c r="L191" s="146">
        <f t="shared" si="9"/>
        <v>504000</v>
      </c>
      <c r="M191" s="73"/>
      <c r="N191" s="73"/>
      <c r="O191" s="7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 x14ac:dyDescent="0.35">
      <c r="A192" s="9">
        <f t="shared" si="8"/>
        <v>184</v>
      </c>
      <c r="B192" s="15"/>
      <c r="C192" s="11">
        <f t="shared" si="7"/>
        <v>1</v>
      </c>
      <c r="D192" s="11">
        <v>5</v>
      </c>
      <c r="E192" s="13"/>
      <c r="F192" s="14"/>
      <c r="G192" s="89">
        <f>IFERROR(VLOOKUP(F192,COA!$A$1:$K$26,2,FALSE),0)</f>
        <v>0</v>
      </c>
      <c r="H192" s="13"/>
      <c r="I192" s="96"/>
      <c r="J192" s="78"/>
      <c r="K192" s="79"/>
      <c r="L192" s="146">
        <f t="shared" si="9"/>
        <v>504000</v>
      </c>
      <c r="M192" s="73"/>
      <c r="N192" s="73"/>
      <c r="O192" s="7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 x14ac:dyDescent="0.35">
      <c r="A193" s="9">
        <f t="shared" si="8"/>
        <v>185</v>
      </c>
      <c r="B193" s="15"/>
      <c r="C193" s="11">
        <f t="shared" si="7"/>
        <v>1</v>
      </c>
      <c r="D193" s="11">
        <v>5</v>
      </c>
      <c r="E193" s="13"/>
      <c r="F193" s="14"/>
      <c r="G193" s="89">
        <f>IFERROR(VLOOKUP(F193,COA!$A$1:$K$26,2,FALSE),0)</f>
        <v>0</v>
      </c>
      <c r="H193" s="13"/>
      <c r="I193" s="96"/>
      <c r="J193" s="82"/>
      <c r="K193" s="81"/>
      <c r="L193" s="146">
        <f t="shared" si="9"/>
        <v>504000</v>
      </c>
      <c r="M193" s="73"/>
      <c r="N193" s="73"/>
      <c r="O193" s="7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 x14ac:dyDescent="0.35">
      <c r="A194" s="9">
        <f t="shared" si="8"/>
        <v>186</v>
      </c>
      <c r="B194" s="15"/>
      <c r="C194" s="11">
        <f t="shared" si="7"/>
        <v>1</v>
      </c>
      <c r="D194" s="11">
        <v>5</v>
      </c>
      <c r="E194" s="13"/>
      <c r="F194" s="14"/>
      <c r="G194" s="89">
        <f>IFERROR(VLOOKUP(F194,COA!$A$1:$K$26,2,FALSE),0)</f>
        <v>0</v>
      </c>
      <c r="H194" s="96"/>
      <c r="I194" s="96"/>
      <c r="J194" s="82"/>
      <c r="K194" s="81"/>
      <c r="L194" s="146">
        <f t="shared" si="9"/>
        <v>504000</v>
      </c>
      <c r="M194" s="73"/>
      <c r="N194" s="73"/>
      <c r="O194" s="7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 x14ac:dyDescent="0.35">
      <c r="A195" s="9">
        <f t="shared" si="8"/>
        <v>187</v>
      </c>
      <c r="B195" s="15"/>
      <c r="C195" s="11">
        <f t="shared" si="7"/>
        <v>1</v>
      </c>
      <c r="D195" s="11">
        <v>5</v>
      </c>
      <c r="E195" s="13"/>
      <c r="F195" s="14"/>
      <c r="G195" s="89">
        <f>IFERROR(VLOOKUP(F195,COA!$A$1:$K$26,2,FALSE),0)</f>
        <v>0</v>
      </c>
      <c r="H195" s="96"/>
      <c r="I195" s="96"/>
      <c r="J195" s="82"/>
      <c r="K195" s="81"/>
      <c r="L195" s="146">
        <f t="shared" si="9"/>
        <v>504000</v>
      </c>
      <c r="M195" s="73"/>
      <c r="N195" s="73"/>
      <c r="O195" s="7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 x14ac:dyDescent="0.35">
      <c r="A196" s="9">
        <f t="shared" si="8"/>
        <v>188</v>
      </c>
      <c r="B196" s="15"/>
      <c r="C196" s="11">
        <f t="shared" si="7"/>
        <v>1</v>
      </c>
      <c r="D196" s="11">
        <v>5</v>
      </c>
      <c r="E196" s="13"/>
      <c r="F196" s="14"/>
      <c r="G196" s="89">
        <f>IFERROR(VLOOKUP(F196,COA!$A$1:$K$26,2,FALSE),0)</f>
        <v>0</v>
      </c>
      <c r="H196" s="96"/>
      <c r="I196" s="96"/>
      <c r="J196" s="82"/>
      <c r="K196" s="81"/>
      <c r="L196" s="146">
        <f t="shared" si="9"/>
        <v>504000</v>
      </c>
      <c r="M196" s="73"/>
      <c r="N196" s="73"/>
      <c r="O196" s="7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 x14ac:dyDescent="0.35">
      <c r="A197" s="9">
        <f t="shared" si="8"/>
        <v>189</v>
      </c>
      <c r="B197" s="15"/>
      <c r="C197" s="11">
        <f t="shared" si="7"/>
        <v>1</v>
      </c>
      <c r="D197" s="11">
        <v>5</v>
      </c>
      <c r="E197" s="13"/>
      <c r="F197" s="14"/>
      <c r="G197" s="89">
        <f>IFERROR(VLOOKUP(F197,COA!$A$1:$K$26,2,FALSE),0)</f>
        <v>0</v>
      </c>
      <c r="H197" s="96"/>
      <c r="I197" s="96"/>
      <c r="J197" s="82"/>
      <c r="K197" s="81"/>
      <c r="L197" s="146">
        <f t="shared" si="9"/>
        <v>504000</v>
      </c>
      <c r="M197" s="73"/>
      <c r="N197" s="73"/>
      <c r="O197" s="7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 x14ac:dyDescent="0.35">
      <c r="A198" s="9">
        <f t="shared" si="8"/>
        <v>190</v>
      </c>
      <c r="B198" s="15"/>
      <c r="C198" s="11">
        <f t="shared" si="7"/>
        <v>1</v>
      </c>
      <c r="D198" s="11">
        <v>5</v>
      </c>
      <c r="E198" s="13"/>
      <c r="F198" s="14"/>
      <c r="G198" s="89">
        <f>IFERROR(VLOOKUP(F198,COA!$A$1:$K$26,2,FALSE),0)</f>
        <v>0</v>
      </c>
      <c r="H198" s="96"/>
      <c r="I198" s="96"/>
      <c r="J198" s="82"/>
      <c r="K198" s="81"/>
      <c r="L198" s="146">
        <f t="shared" si="9"/>
        <v>504000</v>
      </c>
      <c r="M198" s="73"/>
      <c r="N198" s="73"/>
      <c r="O198" s="7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 x14ac:dyDescent="0.35">
      <c r="A199" s="9">
        <f t="shared" si="8"/>
        <v>191</v>
      </c>
      <c r="B199" s="15"/>
      <c r="C199" s="11">
        <f t="shared" si="7"/>
        <v>1</v>
      </c>
      <c r="D199" s="11">
        <v>5</v>
      </c>
      <c r="E199" s="13"/>
      <c r="F199" s="14"/>
      <c r="G199" s="89">
        <f>IFERROR(VLOOKUP(F199,COA!$A$1:$K$26,2,FALSE),0)</f>
        <v>0</v>
      </c>
      <c r="H199" s="96"/>
      <c r="I199" s="96"/>
      <c r="J199" s="82"/>
      <c r="K199" s="81"/>
      <c r="L199" s="146">
        <f t="shared" si="9"/>
        <v>504000</v>
      </c>
      <c r="M199" s="73"/>
      <c r="N199" s="73"/>
      <c r="O199" s="7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 x14ac:dyDescent="0.35">
      <c r="A200" s="9">
        <f t="shared" si="8"/>
        <v>192</v>
      </c>
      <c r="B200" s="15"/>
      <c r="C200" s="11">
        <f t="shared" ref="C200:C263" si="10">MONTH(B200)</f>
        <v>1</v>
      </c>
      <c r="D200" s="11">
        <v>5</v>
      </c>
      <c r="E200" s="13"/>
      <c r="F200" s="14"/>
      <c r="G200" s="89">
        <f>IFERROR(VLOOKUP(F200,COA!$A$1:$K$26,2,FALSE),0)</f>
        <v>0</v>
      </c>
      <c r="H200" s="96"/>
      <c r="I200" s="96"/>
      <c r="J200" s="82"/>
      <c r="K200" s="81"/>
      <c r="L200" s="146">
        <f t="shared" si="9"/>
        <v>504000</v>
      </c>
      <c r="M200" s="73"/>
      <c r="N200" s="73"/>
      <c r="O200" s="7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35">
      <c r="A201" s="9">
        <f t="shared" si="8"/>
        <v>193</v>
      </c>
      <c r="B201" s="15"/>
      <c r="C201" s="11">
        <f t="shared" si="10"/>
        <v>1</v>
      </c>
      <c r="D201" s="11">
        <v>5</v>
      </c>
      <c r="E201" s="13"/>
      <c r="F201" s="14"/>
      <c r="G201" s="89">
        <f>IFERROR(VLOOKUP(F201,COA!$A$1:$K$26,2,FALSE),0)</f>
        <v>0</v>
      </c>
      <c r="H201" s="96"/>
      <c r="I201" s="96"/>
      <c r="J201" s="82"/>
      <c r="K201" s="81"/>
      <c r="L201" s="146">
        <f t="shared" si="9"/>
        <v>504000</v>
      </c>
      <c r="M201" s="73"/>
      <c r="N201" s="73"/>
      <c r="O201" s="7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 x14ac:dyDescent="0.35">
      <c r="A202" s="9">
        <f t="shared" si="8"/>
        <v>194</v>
      </c>
      <c r="B202" s="15"/>
      <c r="C202" s="11">
        <f t="shared" si="10"/>
        <v>1</v>
      </c>
      <c r="D202" s="11">
        <v>5</v>
      </c>
      <c r="E202" s="13"/>
      <c r="F202" s="14"/>
      <c r="G202" s="89">
        <f>IFERROR(VLOOKUP(F202,COA!$A$1:$K$26,2,FALSE),0)</f>
        <v>0</v>
      </c>
      <c r="H202" s="96"/>
      <c r="I202" s="96"/>
      <c r="J202" s="82"/>
      <c r="K202" s="81"/>
      <c r="L202" s="146">
        <f t="shared" si="9"/>
        <v>504000</v>
      </c>
      <c r="M202" s="73"/>
      <c r="N202" s="73"/>
      <c r="O202" s="7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 x14ac:dyDescent="0.35">
      <c r="A203" s="9">
        <f t="shared" ref="A203:A266" si="11">A202+1</f>
        <v>195</v>
      </c>
      <c r="B203" s="15"/>
      <c r="C203" s="11">
        <f t="shared" si="10"/>
        <v>1</v>
      </c>
      <c r="D203" s="11">
        <v>5</v>
      </c>
      <c r="E203" s="13"/>
      <c r="F203" s="14"/>
      <c r="G203" s="89">
        <f>IFERROR(VLOOKUP(F203,COA!$A$1:$K$26,2,FALSE),0)</f>
        <v>0</v>
      </c>
      <c r="H203" s="96"/>
      <c r="I203" s="96"/>
      <c r="J203" s="82"/>
      <c r="K203" s="81"/>
      <c r="L203" s="146">
        <f t="shared" ref="L203:L266" si="12">L202+J203-K203</f>
        <v>504000</v>
      </c>
      <c r="M203" s="73"/>
      <c r="N203" s="73"/>
      <c r="O203" s="7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 x14ac:dyDescent="0.35">
      <c r="A204" s="9">
        <f t="shared" si="11"/>
        <v>196</v>
      </c>
      <c r="B204" s="15"/>
      <c r="C204" s="11">
        <f t="shared" si="10"/>
        <v>1</v>
      </c>
      <c r="D204" s="11">
        <v>5</v>
      </c>
      <c r="E204" s="13"/>
      <c r="F204" s="14"/>
      <c r="G204" s="89">
        <f>IFERROR(VLOOKUP(F204,COA!$A$1:$K$26,2,FALSE),0)</f>
        <v>0</v>
      </c>
      <c r="H204" s="96"/>
      <c r="I204" s="96"/>
      <c r="J204" s="82"/>
      <c r="K204" s="81"/>
      <c r="L204" s="146">
        <f t="shared" si="12"/>
        <v>504000</v>
      </c>
      <c r="M204" s="73"/>
      <c r="N204" s="73"/>
      <c r="O204" s="7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 x14ac:dyDescent="0.35">
      <c r="A205" s="9">
        <f t="shared" si="11"/>
        <v>197</v>
      </c>
      <c r="B205" s="15"/>
      <c r="C205" s="11">
        <f t="shared" si="10"/>
        <v>1</v>
      </c>
      <c r="D205" s="11">
        <v>5</v>
      </c>
      <c r="E205" s="13"/>
      <c r="F205" s="14"/>
      <c r="G205" s="89">
        <f>IFERROR(VLOOKUP(F205,COA!$A$1:$K$26,2,FALSE),0)</f>
        <v>0</v>
      </c>
      <c r="H205" s="96"/>
      <c r="I205" s="96"/>
      <c r="J205" s="82"/>
      <c r="K205" s="81"/>
      <c r="L205" s="146">
        <f t="shared" si="12"/>
        <v>504000</v>
      </c>
      <c r="M205" s="73"/>
      <c r="N205" s="73"/>
      <c r="O205" s="7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 x14ac:dyDescent="0.35">
      <c r="A206" s="9">
        <f t="shared" si="11"/>
        <v>198</v>
      </c>
      <c r="B206" s="15"/>
      <c r="C206" s="11">
        <f t="shared" si="10"/>
        <v>1</v>
      </c>
      <c r="D206" s="11">
        <v>5</v>
      </c>
      <c r="E206" s="13"/>
      <c r="F206" s="14"/>
      <c r="G206" s="89">
        <f>IFERROR(VLOOKUP(F206,COA!$A$1:$K$26,2,FALSE),0)</f>
        <v>0</v>
      </c>
      <c r="H206" s="96"/>
      <c r="I206" s="96"/>
      <c r="J206" s="82"/>
      <c r="K206" s="81"/>
      <c r="L206" s="146">
        <f t="shared" si="12"/>
        <v>504000</v>
      </c>
      <c r="M206" s="73"/>
      <c r="N206" s="73"/>
      <c r="O206" s="7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 x14ac:dyDescent="0.35">
      <c r="A207" s="9">
        <f t="shared" si="11"/>
        <v>199</v>
      </c>
      <c r="B207" s="15"/>
      <c r="C207" s="11">
        <f t="shared" si="10"/>
        <v>1</v>
      </c>
      <c r="D207" s="11">
        <v>5</v>
      </c>
      <c r="E207" s="13"/>
      <c r="F207" s="14"/>
      <c r="G207" s="89">
        <f>IFERROR(VLOOKUP(F207,COA!$A$1:$K$26,2,FALSE),0)</f>
        <v>0</v>
      </c>
      <c r="H207" s="96"/>
      <c r="I207" s="96"/>
      <c r="J207" s="82"/>
      <c r="K207" s="81"/>
      <c r="L207" s="146">
        <f t="shared" si="12"/>
        <v>504000</v>
      </c>
      <c r="M207" s="73"/>
      <c r="N207" s="73"/>
      <c r="O207" s="7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 x14ac:dyDescent="0.35">
      <c r="A208" s="9">
        <f t="shared" si="11"/>
        <v>200</v>
      </c>
      <c r="B208" s="15"/>
      <c r="C208" s="11">
        <f t="shared" si="10"/>
        <v>1</v>
      </c>
      <c r="D208" s="11">
        <v>5</v>
      </c>
      <c r="E208" s="13"/>
      <c r="F208" s="14"/>
      <c r="G208" s="89">
        <f>IFERROR(VLOOKUP(F208,COA!$A$1:$K$26,2,FALSE),0)</f>
        <v>0</v>
      </c>
      <c r="H208" s="96"/>
      <c r="I208" s="96"/>
      <c r="J208" s="82"/>
      <c r="K208" s="81"/>
      <c r="L208" s="146">
        <f t="shared" si="12"/>
        <v>504000</v>
      </c>
      <c r="M208" s="73"/>
      <c r="N208" s="73"/>
      <c r="O208" s="7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 x14ac:dyDescent="0.35">
      <c r="A209" s="9">
        <f t="shared" si="11"/>
        <v>201</v>
      </c>
      <c r="B209" s="15"/>
      <c r="C209" s="11">
        <f t="shared" si="10"/>
        <v>1</v>
      </c>
      <c r="D209" s="11">
        <v>5</v>
      </c>
      <c r="E209" s="13"/>
      <c r="F209" s="14"/>
      <c r="G209" s="89">
        <f>IFERROR(VLOOKUP(F209,COA!$A$1:$K$26,2,FALSE),0)</f>
        <v>0</v>
      </c>
      <c r="H209" s="96"/>
      <c r="I209" s="96"/>
      <c r="J209" s="82"/>
      <c r="K209" s="81"/>
      <c r="L209" s="146">
        <f t="shared" si="12"/>
        <v>504000</v>
      </c>
      <c r="M209" s="73"/>
      <c r="N209" s="73"/>
      <c r="O209" s="7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 x14ac:dyDescent="0.35">
      <c r="A210" s="9">
        <f t="shared" si="11"/>
        <v>202</v>
      </c>
      <c r="B210" s="15"/>
      <c r="C210" s="11">
        <f t="shared" si="10"/>
        <v>1</v>
      </c>
      <c r="D210" s="11">
        <v>5</v>
      </c>
      <c r="E210" s="13"/>
      <c r="F210" s="14"/>
      <c r="G210" s="89">
        <f>IFERROR(VLOOKUP(F210,COA!$A$1:$K$26,2,FALSE),0)</f>
        <v>0</v>
      </c>
      <c r="H210" s="96"/>
      <c r="I210" s="96"/>
      <c r="J210" s="82"/>
      <c r="K210" s="81"/>
      <c r="L210" s="146">
        <f t="shared" si="12"/>
        <v>504000</v>
      </c>
      <c r="M210" s="73"/>
      <c r="N210" s="73"/>
      <c r="O210" s="7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 x14ac:dyDescent="0.35">
      <c r="A211" s="9">
        <f t="shared" si="11"/>
        <v>203</v>
      </c>
      <c r="B211" s="15"/>
      <c r="C211" s="11">
        <f t="shared" si="10"/>
        <v>1</v>
      </c>
      <c r="D211" s="11">
        <v>5</v>
      </c>
      <c r="E211" s="91"/>
      <c r="F211" s="11"/>
      <c r="G211" s="89">
        <f>IFERROR(VLOOKUP(F211,COA!$A$1:$K$26,2,FALSE),0)</f>
        <v>0</v>
      </c>
      <c r="H211" s="91"/>
      <c r="I211" s="91"/>
      <c r="J211" s="90"/>
      <c r="K211" s="78"/>
      <c r="L211" s="146">
        <f t="shared" si="12"/>
        <v>504000</v>
      </c>
      <c r="M211" s="73"/>
      <c r="N211" s="73"/>
      <c r="O211" s="7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 x14ac:dyDescent="0.35">
      <c r="A212" s="9">
        <f t="shared" si="11"/>
        <v>204</v>
      </c>
      <c r="B212" s="15"/>
      <c r="C212" s="11">
        <f t="shared" si="10"/>
        <v>1</v>
      </c>
      <c r="D212" s="11">
        <v>5</v>
      </c>
      <c r="E212" s="91"/>
      <c r="F212" s="11"/>
      <c r="G212" s="89">
        <f>IFERROR(VLOOKUP(F212,COA!$A$1:$K$26,2,FALSE),0)</f>
        <v>0</v>
      </c>
      <c r="H212" s="91"/>
      <c r="I212" s="91"/>
      <c r="J212" s="90"/>
      <c r="K212" s="78"/>
      <c r="L212" s="146">
        <f t="shared" si="12"/>
        <v>504000</v>
      </c>
      <c r="M212" s="73"/>
      <c r="N212" s="73"/>
      <c r="O212" s="7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 x14ac:dyDescent="0.35">
      <c r="A213" s="9">
        <f t="shared" si="11"/>
        <v>205</v>
      </c>
      <c r="B213" s="15"/>
      <c r="C213" s="11">
        <f t="shared" si="10"/>
        <v>1</v>
      </c>
      <c r="D213" s="11">
        <v>5</v>
      </c>
      <c r="E213" s="91"/>
      <c r="F213" s="14"/>
      <c r="G213" s="89">
        <f>IFERROR(VLOOKUP(F213,COA!$A$1:$K$26,2,FALSE),0)</f>
        <v>0</v>
      </c>
      <c r="H213" s="89"/>
      <c r="I213" s="91"/>
      <c r="J213" s="93"/>
      <c r="K213" s="78"/>
      <c r="L213" s="146">
        <f t="shared" si="12"/>
        <v>504000</v>
      </c>
      <c r="M213" s="73"/>
      <c r="N213" s="73"/>
      <c r="O213" s="7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 x14ac:dyDescent="0.35">
      <c r="A214" s="9">
        <f t="shared" si="11"/>
        <v>206</v>
      </c>
      <c r="B214" s="15"/>
      <c r="C214" s="11">
        <f t="shared" si="10"/>
        <v>1</v>
      </c>
      <c r="D214" s="11">
        <v>5</v>
      </c>
      <c r="E214" s="91"/>
      <c r="F214" s="11"/>
      <c r="G214" s="89">
        <f>IFERROR(VLOOKUP(F214,COA!$A$1:$K$26,2,FALSE),0)</f>
        <v>0</v>
      </c>
      <c r="H214" s="91"/>
      <c r="I214" s="91"/>
      <c r="J214" s="93"/>
      <c r="K214" s="78"/>
      <c r="L214" s="146">
        <f t="shared" si="12"/>
        <v>504000</v>
      </c>
      <c r="M214" s="73"/>
      <c r="N214" s="73"/>
      <c r="O214" s="7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 x14ac:dyDescent="0.35">
      <c r="A215" s="9">
        <f t="shared" si="11"/>
        <v>207</v>
      </c>
      <c r="B215" s="15"/>
      <c r="C215" s="11">
        <f t="shared" si="10"/>
        <v>1</v>
      </c>
      <c r="D215" s="11">
        <v>5</v>
      </c>
      <c r="E215" s="91"/>
      <c r="F215" s="14"/>
      <c r="G215" s="89">
        <f>IFERROR(VLOOKUP(F215,COA!$A$1:$K$26,2,FALSE),0)</f>
        <v>0</v>
      </c>
      <c r="H215" s="91"/>
      <c r="I215" s="91"/>
      <c r="J215" s="93"/>
      <c r="K215" s="78"/>
      <c r="L215" s="146">
        <f t="shared" si="12"/>
        <v>504000</v>
      </c>
      <c r="M215" s="73"/>
      <c r="N215" s="73"/>
      <c r="O215" s="7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 x14ac:dyDescent="0.35">
      <c r="A216" s="9">
        <f t="shared" si="11"/>
        <v>208</v>
      </c>
      <c r="B216" s="15"/>
      <c r="C216" s="11">
        <f t="shared" si="10"/>
        <v>1</v>
      </c>
      <c r="D216" s="11">
        <v>5</v>
      </c>
      <c r="E216" s="91"/>
      <c r="F216" s="14"/>
      <c r="G216" s="89">
        <f>IFERROR(VLOOKUP(F216,COA!$A$1:$K$26,2,FALSE),0)</f>
        <v>0</v>
      </c>
      <c r="H216" s="91"/>
      <c r="I216" s="91"/>
      <c r="J216" s="93"/>
      <c r="K216" s="78"/>
      <c r="L216" s="146">
        <f t="shared" si="12"/>
        <v>504000</v>
      </c>
      <c r="M216" s="73"/>
      <c r="N216" s="73"/>
      <c r="O216" s="7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 x14ac:dyDescent="0.35">
      <c r="A217" s="9">
        <f t="shared" si="11"/>
        <v>209</v>
      </c>
      <c r="B217" s="15"/>
      <c r="C217" s="11">
        <f t="shared" si="10"/>
        <v>1</v>
      </c>
      <c r="D217" s="11">
        <v>5</v>
      </c>
      <c r="E217" s="91"/>
      <c r="F217" s="11"/>
      <c r="G217" s="89">
        <f>IFERROR(VLOOKUP(F217,COA!$A$1:$K$26,2,FALSE),0)</f>
        <v>0</v>
      </c>
      <c r="H217" s="91"/>
      <c r="I217" s="91"/>
      <c r="J217" s="93"/>
      <c r="K217" s="78"/>
      <c r="L217" s="146">
        <f t="shared" si="12"/>
        <v>504000</v>
      </c>
      <c r="M217" s="73"/>
      <c r="N217" s="73"/>
      <c r="O217" s="7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 x14ac:dyDescent="0.35">
      <c r="A218" s="9">
        <f t="shared" si="11"/>
        <v>210</v>
      </c>
      <c r="B218" s="15"/>
      <c r="C218" s="11">
        <f t="shared" si="10"/>
        <v>1</v>
      </c>
      <c r="D218" s="11">
        <v>5</v>
      </c>
      <c r="E218" s="91"/>
      <c r="F218" s="11"/>
      <c r="G218" s="89">
        <f>IFERROR(VLOOKUP(F218,COA!$A$1:$K$26,2,FALSE),0)</f>
        <v>0</v>
      </c>
      <c r="H218" s="91"/>
      <c r="I218" s="91"/>
      <c r="J218" s="93"/>
      <c r="K218" s="78"/>
      <c r="L218" s="146">
        <f t="shared" si="12"/>
        <v>504000</v>
      </c>
      <c r="M218" s="73"/>
      <c r="N218" s="73"/>
      <c r="O218" s="7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 x14ac:dyDescent="0.35">
      <c r="A219" s="9">
        <f t="shared" si="11"/>
        <v>211</v>
      </c>
      <c r="B219" s="15"/>
      <c r="C219" s="11">
        <f t="shared" si="10"/>
        <v>1</v>
      </c>
      <c r="D219" s="11">
        <v>5</v>
      </c>
      <c r="E219" s="91"/>
      <c r="F219" s="11"/>
      <c r="G219" s="89">
        <f>IFERROR(VLOOKUP(F219,COA!$A$1:$K$26,2,FALSE),0)</f>
        <v>0</v>
      </c>
      <c r="H219" s="91"/>
      <c r="I219" s="91"/>
      <c r="J219" s="93"/>
      <c r="K219" s="78"/>
      <c r="L219" s="146">
        <f t="shared" si="12"/>
        <v>504000</v>
      </c>
      <c r="M219" s="73"/>
      <c r="N219" s="73"/>
      <c r="O219" s="7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 x14ac:dyDescent="0.35">
      <c r="A220" s="9">
        <f t="shared" si="11"/>
        <v>212</v>
      </c>
      <c r="B220" s="15"/>
      <c r="C220" s="11">
        <f t="shared" si="10"/>
        <v>1</v>
      </c>
      <c r="D220" s="11">
        <v>5</v>
      </c>
      <c r="E220" s="91"/>
      <c r="F220" s="11"/>
      <c r="G220" s="89">
        <f>IFERROR(VLOOKUP(F220,COA!$A$1:$K$26,2,FALSE),0)</f>
        <v>0</v>
      </c>
      <c r="H220" s="91"/>
      <c r="I220" s="91"/>
      <c r="J220" s="93"/>
      <c r="K220" s="78"/>
      <c r="L220" s="146">
        <f t="shared" si="12"/>
        <v>504000</v>
      </c>
      <c r="M220" s="73"/>
      <c r="N220" s="73"/>
      <c r="O220" s="7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 x14ac:dyDescent="0.35">
      <c r="A221" s="9">
        <f t="shared" si="11"/>
        <v>213</v>
      </c>
      <c r="B221" s="15"/>
      <c r="C221" s="11">
        <f t="shared" si="10"/>
        <v>1</v>
      </c>
      <c r="D221" s="11">
        <v>5</v>
      </c>
      <c r="E221" s="91"/>
      <c r="F221" s="11"/>
      <c r="G221" s="89">
        <f>IFERROR(VLOOKUP(F221,COA!$A$1:$K$26,2,FALSE),0)</f>
        <v>0</v>
      </c>
      <c r="H221" s="91"/>
      <c r="I221" s="91"/>
      <c r="J221" s="93"/>
      <c r="K221" s="78"/>
      <c r="L221" s="146">
        <f t="shared" si="12"/>
        <v>504000</v>
      </c>
      <c r="M221" s="73"/>
      <c r="N221" s="73"/>
      <c r="O221" s="7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 x14ac:dyDescent="0.35">
      <c r="A222" s="9">
        <f t="shared" si="11"/>
        <v>214</v>
      </c>
      <c r="B222" s="15"/>
      <c r="C222" s="11">
        <f t="shared" si="10"/>
        <v>1</v>
      </c>
      <c r="D222" s="11">
        <v>5</v>
      </c>
      <c r="E222" s="13"/>
      <c r="F222" s="11"/>
      <c r="G222" s="89">
        <f>IFERROR(VLOOKUP(F222,COA!$A$1:$K$26,2,FALSE),0)</f>
        <v>0</v>
      </c>
      <c r="H222" s="13"/>
      <c r="I222" s="13"/>
      <c r="J222" s="78"/>
      <c r="K222" s="79"/>
      <c r="L222" s="146">
        <f t="shared" si="12"/>
        <v>504000</v>
      </c>
      <c r="M222" s="73"/>
      <c r="N222" s="73"/>
      <c r="O222" s="7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 x14ac:dyDescent="0.35">
      <c r="A223" s="9">
        <f t="shared" si="11"/>
        <v>215</v>
      </c>
      <c r="B223" s="15"/>
      <c r="C223" s="11">
        <f t="shared" si="10"/>
        <v>1</v>
      </c>
      <c r="D223" s="11">
        <v>5</v>
      </c>
      <c r="E223" s="13"/>
      <c r="F223" s="11"/>
      <c r="G223" s="89">
        <f>IFERROR(VLOOKUP(F223,COA!$A$1:$K$26,2,FALSE),0)</f>
        <v>0</v>
      </c>
      <c r="H223" s="13"/>
      <c r="I223" s="13"/>
      <c r="J223" s="78"/>
      <c r="K223" s="79"/>
      <c r="L223" s="146">
        <f t="shared" si="12"/>
        <v>504000</v>
      </c>
      <c r="M223" s="73"/>
      <c r="N223" s="73"/>
      <c r="O223" s="7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 x14ac:dyDescent="0.35">
      <c r="A224" s="9">
        <f t="shared" si="11"/>
        <v>216</v>
      </c>
      <c r="B224" s="15"/>
      <c r="C224" s="11">
        <f t="shared" si="10"/>
        <v>1</v>
      </c>
      <c r="D224" s="11">
        <v>5</v>
      </c>
      <c r="E224" s="13"/>
      <c r="F224" s="11"/>
      <c r="G224" s="89">
        <f>IFERROR(VLOOKUP(F224,COA!$A$1:$K$26,2,FALSE),0)</f>
        <v>0</v>
      </c>
      <c r="H224" s="13"/>
      <c r="I224" s="13"/>
      <c r="J224" s="78"/>
      <c r="K224" s="79"/>
      <c r="L224" s="146">
        <f t="shared" si="12"/>
        <v>504000</v>
      </c>
      <c r="M224" s="73"/>
      <c r="N224" s="73"/>
      <c r="O224" s="7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 x14ac:dyDescent="0.35">
      <c r="A225" s="9">
        <f t="shared" si="11"/>
        <v>217</v>
      </c>
      <c r="B225" s="15"/>
      <c r="C225" s="11">
        <f t="shared" si="10"/>
        <v>1</v>
      </c>
      <c r="D225" s="11">
        <v>5</v>
      </c>
      <c r="E225" s="13"/>
      <c r="F225" s="11"/>
      <c r="G225" s="89">
        <f>IFERROR(VLOOKUP(F225,COA!$A$1:$K$26,2,FALSE),0)</f>
        <v>0</v>
      </c>
      <c r="H225" s="13"/>
      <c r="I225" s="13"/>
      <c r="J225" s="78"/>
      <c r="K225" s="79"/>
      <c r="L225" s="146">
        <f t="shared" si="12"/>
        <v>504000</v>
      </c>
      <c r="M225" s="73"/>
      <c r="N225" s="73"/>
      <c r="O225" s="7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 x14ac:dyDescent="0.35">
      <c r="A226" s="9">
        <f t="shared" si="11"/>
        <v>218</v>
      </c>
      <c r="B226" s="15"/>
      <c r="C226" s="11">
        <f t="shared" si="10"/>
        <v>1</v>
      </c>
      <c r="D226" s="11">
        <v>5</v>
      </c>
      <c r="E226" s="13"/>
      <c r="F226" s="11"/>
      <c r="G226" s="89">
        <f>IFERROR(VLOOKUP(F226,COA!$A$1:$K$26,2,FALSE),0)</f>
        <v>0</v>
      </c>
      <c r="H226" s="13"/>
      <c r="I226" s="13"/>
      <c r="J226" s="78"/>
      <c r="K226" s="79"/>
      <c r="L226" s="146">
        <f t="shared" si="12"/>
        <v>504000</v>
      </c>
      <c r="M226" s="73"/>
      <c r="N226" s="73"/>
      <c r="O226" s="7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 x14ac:dyDescent="0.35">
      <c r="A227" s="9">
        <f t="shared" si="11"/>
        <v>219</v>
      </c>
      <c r="B227" s="15"/>
      <c r="C227" s="11">
        <f t="shared" si="10"/>
        <v>1</v>
      </c>
      <c r="D227" s="11">
        <v>5</v>
      </c>
      <c r="E227" s="13"/>
      <c r="F227" s="11"/>
      <c r="G227" s="89">
        <f>IFERROR(VLOOKUP(F227,COA!$A$1:$K$26,2,FALSE),0)</f>
        <v>0</v>
      </c>
      <c r="H227" s="13"/>
      <c r="I227" s="13"/>
      <c r="J227" s="78"/>
      <c r="K227" s="79"/>
      <c r="L227" s="146">
        <f t="shared" si="12"/>
        <v>504000</v>
      </c>
      <c r="M227" s="73"/>
      <c r="N227" s="73"/>
      <c r="O227" s="7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 x14ac:dyDescent="0.35">
      <c r="A228" s="9">
        <f t="shared" si="11"/>
        <v>220</v>
      </c>
      <c r="B228" s="15"/>
      <c r="C228" s="11">
        <f t="shared" si="10"/>
        <v>1</v>
      </c>
      <c r="D228" s="11">
        <v>5</v>
      </c>
      <c r="E228" s="13"/>
      <c r="F228" s="14"/>
      <c r="G228" s="89">
        <f>IFERROR(VLOOKUP(F228,COA!$A$1:$K$26,2,FALSE),0)</f>
        <v>0</v>
      </c>
      <c r="H228" s="13"/>
      <c r="I228" s="96"/>
      <c r="J228" s="82"/>
      <c r="K228" s="79"/>
      <c r="L228" s="146">
        <f t="shared" si="12"/>
        <v>504000</v>
      </c>
      <c r="M228" s="73"/>
      <c r="N228" s="73"/>
      <c r="O228" s="7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 x14ac:dyDescent="0.35">
      <c r="A229" s="9">
        <f t="shared" si="11"/>
        <v>221</v>
      </c>
      <c r="B229" s="15"/>
      <c r="C229" s="11">
        <f t="shared" si="10"/>
        <v>1</v>
      </c>
      <c r="D229" s="11">
        <v>5</v>
      </c>
      <c r="E229" s="13"/>
      <c r="F229" s="14"/>
      <c r="G229" s="89">
        <f>IFERROR(VLOOKUP(F229,COA!$A$1:$K$26,2,FALSE),0)</f>
        <v>0</v>
      </c>
      <c r="H229" s="13"/>
      <c r="I229" s="96"/>
      <c r="J229" s="82"/>
      <c r="K229" s="79"/>
      <c r="L229" s="146">
        <f t="shared" si="12"/>
        <v>504000</v>
      </c>
      <c r="M229" s="73"/>
      <c r="N229" s="73"/>
      <c r="O229" s="7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 x14ac:dyDescent="0.35">
      <c r="A230" s="9">
        <f t="shared" si="11"/>
        <v>222</v>
      </c>
      <c r="B230" s="10"/>
      <c r="C230" s="11">
        <f t="shared" si="10"/>
        <v>1</v>
      </c>
      <c r="D230" s="11">
        <v>5</v>
      </c>
      <c r="E230" s="11"/>
      <c r="F230" s="11"/>
      <c r="G230" s="89">
        <f>IFERROR(VLOOKUP(F230,COA!$A$1:$K$26,2,FALSE),0)</f>
        <v>0</v>
      </c>
      <c r="H230" s="13"/>
      <c r="I230" s="13"/>
      <c r="J230" s="77"/>
      <c r="K230" s="78"/>
      <c r="L230" s="146">
        <f t="shared" si="12"/>
        <v>504000</v>
      </c>
      <c r="M230" s="73"/>
      <c r="N230" s="73"/>
      <c r="O230" s="7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 x14ac:dyDescent="0.35">
      <c r="A231" s="9">
        <f t="shared" si="11"/>
        <v>223</v>
      </c>
      <c r="B231" s="10"/>
      <c r="C231" s="11">
        <f t="shared" si="10"/>
        <v>1</v>
      </c>
      <c r="D231" s="11">
        <v>5</v>
      </c>
      <c r="E231" s="11"/>
      <c r="F231" s="11"/>
      <c r="G231" s="89">
        <f>IFERROR(VLOOKUP(F231,COA!$A$1:$K$26,2,FALSE),0)</f>
        <v>0</v>
      </c>
      <c r="H231" s="13"/>
      <c r="I231" s="13"/>
      <c r="J231" s="77"/>
      <c r="K231" s="78"/>
      <c r="L231" s="146">
        <f t="shared" si="12"/>
        <v>504000</v>
      </c>
      <c r="M231" s="73"/>
      <c r="N231" s="73"/>
      <c r="O231" s="7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 x14ac:dyDescent="0.35">
      <c r="A232" s="9">
        <f t="shared" si="11"/>
        <v>224</v>
      </c>
      <c r="B232" s="16"/>
      <c r="C232" s="11">
        <f t="shared" si="10"/>
        <v>1</v>
      </c>
      <c r="D232" s="11">
        <v>5</v>
      </c>
      <c r="E232" s="11"/>
      <c r="F232" s="14"/>
      <c r="G232" s="89">
        <f>IFERROR(VLOOKUP(F232,COA!$A$1:$K$26,2,FALSE),0)</f>
        <v>0</v>
      </c>
      <c r="H232" s="11"/>
      <c r="I232" s="11"/>
      <c r="J232" s="78"/>
      <c r="K232" s="79"/>
      <c r="L232" s="146">
        <f t="shared" si="12"/>
        <v>504000</v>
      </c>
      <c r="M232" s="73"/>
      <c r="N232" s="73"/>
      <c r="O232" s="7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 x14ac:dyDescent="0.35">
      <c r="A233" s="9">
        <f t="shared" si="11"/>
        <v>225</v>
      </c>
      <c r="B233" s="16"/>
      <c r="C233" s="11">
        <f t="shared" si="10"/>
        <v>1</v>
      </c>
      <c r="D233" s="11">
        <v>5</v>
      </c>
      <c r="E233" s="11"/>
      <c r="F233" s="14"/>
      <c r="G233" s="89">
        <f>IFERROR(VLOOKUP(F233,COA!$A$1:$K$26,2,FALSE),0)</f>
        <v>0</v>
      </c>
      <c r="H233" s="11"/>
      <c r="I233" s="11"/>
      <c r="J233" s="78"/>
      <c r="K233" s="79"/>
      <c r="L233" s="146">
        <f t="shared" si="12"/>
        <v>504000</v>
      </c>
      <c r="M233" s="73"/>
      <c r="N233" s="73"/>
      <c r="O233" s="7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 x14ac:dyDescent="0.35">
      <c r="A234" s="9">
        <f t="shared" si="11"/>
        <v>226</v>
      </c>
      <c r="B234" s="16"/>
      <c r="C234" s="11">
        <f t="shared" si="10"/>
        <v>1</v>
      </c>
      <c r="D234" s="11">
        <v>5</v>
      </c>
      <c r="E234" s="11"/>
      <c r="F234" s="14"/>
      <c r="G234" s="89">
        <f>IFERROR(VLOOKUP(F234,COA!$A$1:$K$26,2,FALSE),0)</f>
        <v>0</v>
      </c>
      <c r="H234" s="11"/>
      <c r="I234" s="11"/>
      <c r="J234" s="78"/>
      <c r="K234" s="79"/>
      <c r="L234" s="146">
        <f t="shared" si="12"/>
        <v>504000</v>
      </c>
      <c r="M234" s="73"/>
      <c r="N234" s="73"/>
      <c r="O234" s="7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 x14ac:dyDescent="0.35">
      <c r="A235" s="9">
        <f t="shared" si="11"/>
        <v>227</v>
      </c>
      <c r="B235" s="16"/>
      <c r="C235" s="11">
        <f t="shared" si="10"/>
        <v>1</v>
      </c>
      <c r="D235" s="11">
        <v>5</v>
      </c>
      <c r="E235" s="11"/>
      <c r="F235" s="14"/>
      <c r="G235" s="89">
        <f>IFERROR(VLOOKUP(F235,COA!$A$1:$K$26,2,FALSE),0)</f>
        <v>0</v>
      </c>
      <c r="H235" s="11"/>
      <c r="I235" s="11"/>
      <c r="J235" s="78"/>
      <c r="K235" s="78"/>
      <c r="L235" s="146">
        <f t="shared" si="12"/>
        <v>504000</v>
      </c>
      <c r="M235" s="73"/>
      <c r="N235" s="73"/>
      <c r="O235" s="7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 x14ac:dyDescent="0.35">
      <c r="A236" s="9">
        <f t="shared" si="11"/>
        <v>228</v>
      </c>
      <c r="B236" s="16"/>
      <c r="C236" s="11">
        <f t="shared" si="10"/>
        <v>1</v>
      </c>
      <c r="D236" s="11">
        <v>5</v>
      </c>
      <c r="E236" s="11"/>
      <c r="F236" s="14"/>
      <c r="G236" s="89">
        <f>IFERROR(VLOOKUP(F236,COA!$A$1:$K$26,2,FALSE),0)</f>
        <v>0</v>
      </c>
      <c r="H236" s="11"/>
      <c r="I236" s="11"/>
      <c r="J236" s="78"/>
      <c r="K236" s="78"/>
      <c r="L236" s="146">
        <f t="shared" si="12"/>
        <v>504000</v>
      </c>
      <c r="M236" s="73"/>
      <c r="N236" s="73"/>
      <c r="O236" s="7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 x14ac:dyDescent="0.35">
      <c r="A237" s="9">
        <f t="shared" si="11"/>
        <v>229</v>
      </c>
      <c r="B237" s="16"/>
      <c r="C237" s="11">
        <f t="shared" si="10"/>
        <v>1</v>
      </c>
      <c r="D237" s="11">
        <v>5</v>
      </c>
      <c r="E237" s="11"/>
      <c r="F237" s="14"/>
      <c r="G237" s="89">
        <f>IFERROR(VLOOKUP(F237,COA!$A$1:$K$26,2,FALSE),0)</f>
        <v>0</v>
      </c>
      <c r="H237" s="11"/>
      <c r="I237" s="11"/>
      <c r="J237" s="78"/>
      <c r="K237" s="78"/>
      <c r="L237" s="146">
        <f t="shared" si="12"/>
        <v>504000</v>
      </c>
      <c r="M237" s="73"/>
      <c r="N237" s="73"/>
      <c r="O237" s="7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 x14ac:dyDescent="0.35">
      <c r="A238" s="9">
        <f t="shared" si="11"/>
        <v>230</v>
      </c>
      <c r="B238" s="16"/>
      <c r="C238" s="11">
        <f t="shared" si="10"/>
        <v>1</v>
      </c>
      <c r="D238" s="11">
        <v>5</v>
      </c>
      <c r="E238" s="11"/>
      <c r="F238" s="14"/>
      <c r="G238" s="89">
        <f>IFERROR(VLOOKUP(F238,COA!$A$1:$K$26,2,FALSE),0)</f>
        <v>0</v>
      </c>
      <c r="H238" s="11"/>
      <c r="I238" s="11"/>
      <c r="J238" s="78"/>
      <c r="K238" s="78"/>
      <c r="L238" s="146">
        <f t="shared" si="12"/>
        <v>504000</v>
      </c>
      <c r="M238" s="73"/>
      <c r="N238" s="73"/>
      <c r="O238" s="7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 x14ac:dyDescent="0.35">
      <c r="A239" s="9">
        <f t="shared" si="11"/>
        <v>231</v>
      </c>
      <c r="B239" s="16"/>
      <c r="C239" s="11">
        <f t="shared" si="10"/>
        <v>1</v>
      </c>
      <c r="D239" s="11">
        <v>5</v>
      </c>
      <c r="E239" s="11"/>
      <c r="F239" s="14"/>
      <c r="G239" s="89">
        <f>IFERROR(VLOOKUP(F239,COA!$A$1:$K$26,2,FALSE),0)</f>
        <v>0</v>
      </c>
      <c r="H239" s="11"/>
      <c r="I239" s="11"/>
      <c r="J239" s="78"/>
      <c r="K239" s="78"/>
      <c r="L239" s="146">
        <f t="shared" si="12"/>
        <v>504000</v>
      </c>
      <c r="M239" s="73"/>
      <c r="N239" s="73"/>
      <c r="O239" s="7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 x14ac:dyDescent="0.35">
      <c r="A240" s="9">
        <f t="shared" si="11"/>
        <v>232</v>
      </c>
      <c r="B240" s="16"/>
      <c r="C240" s="11">
        <f t="shared" si="10"/>
        <v>1</v>
      </c>
      <c r="D240" s="11">
        <v>5</v>
      </c>
      <c r="E240" s="11"/>
      <c r="F240" s="14"/>
      <c r="G240" s="89">
        <f>IFERROR(VLOOKUP(F240,COA!$A$1:$K$26,2,FALSE),0)</f>
        <v>0</v>
      </c>
      <c r="H240" s="11"/>
      <c r="I240" s="11"/>
      <c r="J240" s="78"/>
      <c r="K240" s="78"/>
      <c r="L240" s="146">
        <f t="shared" si="12"/>
        <v>504000</v>
      </c>
      <c r="M240" s="73"/>
      <c r="N240" s="73"/>
      <c r="O240" s="7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 x14ac:dyDescent="0.35">
      <c r="A241" s="9">
        <f t="shared" si="11"/>
        <v>233</v>
      </c>
      <c r="B241" s="16"/>
      <c r="C241" s="11">
        <f t="shared" si="10"/>
        <v>1</v>
      </c>
      <c r="D241" s="11">
        <v>5</v>
      </c>
      <c r="E241" s="11"/>
      <c r="F241" s="14"/>
      <c r="G241" s="89">
        <f>IFERROR(VLOOKUP(F241,COA!$A$1:$K$26,2,FALSE),0)</f>
        <v>0</v>
      </c>
      <c r="H241" s="11"/>
      <c r="I241" s="11"/>
      <c r="J241" s="78"/>
      <c r="K241" s="79"/>
      <c r="L241" s="146">
        <f t="shared" si="12"/>
        <v>504000</v>
      </c>
      <c r="M241" s="73"/>
      <c r="N241" s="73"/>
      <c r="O241" s="7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 x14ac:dyDescent="0.35">
      <c r="A242" s="9">
        <f t="shared" si="11"/>
        <v>234</v>
      </c>
      <c r="B242" s="16"/>
      <c r="C242" s="11">
        <f t="shared" si="10"/>
        <v>1</v>
      </c>
      <c r="D242" s="11">
        <v>5</v>
      </c>
      <c r="E242" s="11"/>
      <c r="F242" s="14"/>
      <c r="G242" s="89">
        <f>IFERROR(VLOOKUP(F242,COA!$A$1:$K$26,2,FALSE),0)</f>
        <v>0</v>
      </c>
      <c r="H242" s="11"/>
      <c r="I242" s="11"/>
      <c r="J242" s="78"/>
      <c r="K242" s="79"/>
      <c r="L242" s="146">
        <f t="shared" si="12"/>
        <v>504000</v>
      </c>
      <c r="M242" s="73"/>
      <c r="N242" s="73"/>
      <c r="O242" s="7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 x14ac:dyDescent="0.35">
      <c r="A243" s="9">
        <f t="shared" si="11"/>
        <v>235</v>
      </c>
      <c r="B243" s="16"/>
      <c r="C243" s="11">
        <f t="shared" si="10"/>
        <v>1</v>
      </c>
      <c r="D243" s="11">
        <v>5</v>
      </c>
      <c r="E243" s="11"/>
      <c r="F243" s="14"/>
      <c r="G243" s="89">
        <f>IFERROR(VLOOKUP(F243,COA!$A$1:$K$26,2,FALSE),0)</f>
        <v>0</v>
      </c>
      <c r="H243" s="11"/>
      <c r="I243" s="11"/>
      <c r="J243" s="78"/>
      <c r="K243" s="79"/>
      <c r="L243" s="146">
        <f t="shared" si="12"/>
        <v>504000</v>
      </c>
      <c r="M243" s="73"/>
      <c r="N243" s="73"/>
      <c r="O243" s="7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 x14ac:dyDescent="0.35">
      <c r="A244" s="9">
        <f t="shared" si="11"/>
        <v>236</v>
      </c>
      <c r="B244" s="16"/>
      <c r="C244" s="11">
        <f t="shared" si="10"/>
        <v>1</v>
      </c>
      <c r="D244" s="11">
        <v>5</v>
      </c>
      <c r="E244" s="11"/>
      <c r="F244" s="14"/>
      <c r="G244" s="89">
        <f>IFERROR(VLOOKUP(F244,COA!$A$1:$K$26,2,FALSE),0)</f>
        <v>0</v>
      </c>
      <c r="H244" s="11"/>
      <c r="I244" s="11"/>
      <c r="J244" s="78"/>
      <c r="K244" s="79"/>
      <c r="L244" s="146">
        <f t="shared" si="12"/>
        <v>504000</v>
      </c>
      <c r="M244" s="73"/>
      <c r="N244" s="73"/>
      <c r="O244" s="7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 x14ac:dyDescent="0.35">
      <c r="A245" s="9">
        <f t="shared" si="11"/>
        <v>237</v>
      </c>
      <c r="B245" s="16"/>
      <c r="C245" s="11">
        <f t="shared" si="10"/>
        <v>1</v>
      </c>
      <c r="D245" s="11">
        <v>5</v>
      </c>
      <c r="E245" s="11"/>
      <c r="F245" s="14"/>
      <c r="G245" s="89">
        <f>IFERROR(VLOOKUP(F245,COA!$A$1:$K$26,2,FALSE),0)</f>
        <v>0</v>
      </c>
      <c r="H245" s="11"/>
      <c r="I245" s="11"/>
      <c r="J245" s="78"/>
      <c r="K245" s="78"/>
      <c r="L245" s="146">
        <f t="shared" si="12"/>
        <v>504000</v>
      </c>
      <c r="M245" s="73"/>
      <c r="N245" s="73"/>
      <c r="O245" s="7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 x14ac:dyDescent="0.35">
      <c r="A246" s="9">
        <f t="shared" si="11"/>
        <v>238</v>
      </c>
      <c r="B246" s="16"/>
      <c r="C246" s="11">
        <f t="shared" si="10"/>
        <v>1</v>
      </c>
      <c r="D246" s="11">
        <v>5</v>
      </c>
      <c r="E246" s="11"/>
      <c r="F246" s="14"/>
      <c r="G246" s="89">
        <f>IFERROR(VLOOKUP(F246,COA!$A$1:$K$26,2,FALSE),0)</f>
        <v>0</v>
      </c>
      <c r="H246" s="11"/>
      <c r="I246" s="11"/>
      <c r="J246" s="78"/>
      <c r="K246" s="79"/>
      <c r="L246" s="146">
        <f t="shared" si="12"/>
        <v>504000</v>
      </c>
      <c r="M246" s="73"/>
      <c r="N246" s="73"/>
      <c r="O246" s="7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 x14ac:dyDescent="0.35">
      <c r="A247" s="9">
        <f t="shared" si="11"/>
        <v>239</v>
      </c>
      <c r="B247" s="16"/>
      <c r="C247" s="11">
        <f t="shared" si="10"/>
        <v>1</v>
      </c>
      <c r="D247" s="11">
        <v>5</v>
      </c>
      <c r="E247" s="11"/>
      <c r="F247" s="14"/>
      <c r="G247" s="89">
        <f>IFERROR(VLOOKUP(F247,COA!$A$1:$K$26,2,FALSE),0)</f>
        <v>0</v>
      </c>
      <c r="H247" s="11"/>
      <c r="I247" s="11"/>
      <c r="J247" s="78"/>
      <c r="K247" s="79"/>
      <c r="L247" s="146">
        <f t="shared" si="12"/>
        <v>504000</v>
      </c>
      <c r="M247" s="73"/>
      <c r="N247" s="73"/>
      <c r="O247" s="7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 x14ac:dyDescent="0.35">
      <c r="A248" s="9">
        <f t="shared" si="11"/>
        <v>240</v>
      </c>
      <c r="B248" s="16"/>
      <c r="C248" s="11">
        <f t="shared" si="10"/>
        <v>1</v>
      </c>
      <c r="D248" s="11">
        <v>5</v>
      </c>
      <c r="E248" s="11"/>
      <c r="F248" s="14"/>
      <c r="G248" s="89">
        <f>IFERROR(VLOOKUP(F248,COA!$A$1:$K$26,2,FALSE),0)</f>
        <v>0</v>
      </c>
      <c r="H248" s="11"/>
      <c r="I248" s="11"/>
      <c r="J248" s="78"/>
      <c r="K248" s="79"/>
      <c r="L248" s="146">
        <f t="shared" si="12"/>
        <v>504000</v>
      </c>
      <c r="M248" s="73"/>
      <c r="N248" s="73"/>
      <c r="O248" s="7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 x14ac:dyDescent="0.35">
      <c r="A249" s="9">
        <f t="shared" si="11"/>
        <v>241</v>
      </c>
      <c r="B249" s="16"/>
      <c r="C249" s="11">
        <f t="shared" si="10"/>
        <v>1</v>
      </c>
      <c r="D249" s="11">
        <v>5</v>
      </c>
      <c r="E249" s="11"/>
      <c r="F249" s="14"/>
      <c r="G249" s="89">
        <f>IFERROR(VLOOKUP(F249,COA!$A$1:$K$26,2,FALSE),0)</f>
        <v>0</v>
      </c>
      <c r="H249" s="11"/>
      <c r="I249" s="11"/>
      <c r="J249" s="78"/>
      <c r="K249" s="78"/>
      <c r="L249" s="146">
        <f t="shared" si="12"/>
        <v>504000</v>
      </c>
      <c r="M249" s="73"/>
      <c r="N249" s="73"/>
      <c r="O249" s="7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 x14ac:dyDescent="0.35">
      <c r="A250" s="9">
        <f t="shared" si="11"/>
        <v>242</v>
      </c>
      <c r="B250" s="16"/>
      <c r="C250" s="11">
        <f t="shared" si="10"/>
        <v>1</v>
      </c>
      <c r="D250" s="11">
        <v>5</v>
      </c>
      <c r="E250" s="11"/>
      <c r="F250" s="14"/>
      <c r="G250" s="89">
        <f>IFERROR(VLOOKUP(F250,COA!$A$1:$K$26,2,FALSE),0)</f>
        <v>0</v>
      </c>
      <c r="H250" s="11"/>
      <c r="I250" s="11"/>
      <c r="J250" s="78"/>
      <c r="K250" s="78"/>
      <c r="L250" s="146">
        <f t="shared" si="12"/>
        <v>504000</v>
      </c>
      <c r="M250" s="73"/>
      <c r="N250" s="73"/>
      <c r="O250" s="7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 x14ac:dyDescent="0.35">
      <c r="A251" s="9">
        <f t="shared" si="11"/>
        <v>243</v>
      </c>
      <c r="B251" s="16"/>
      <c r="C251" s="11">
        <f t="shared" si="10"/>
        <v>1</v>
      </c>
      <c r="D251" s="11">
        <v>5</v>
      </c>
      <c r="E251" s="11"/>
      <c r="F251" s="14"/>
      <c r="G251" s="89">
        <f>IFERROR(VLOOKUP(F251,COA!$A$1:$K$26,2,FALSE),0)</f>
        <v>0</v>
      </c>
      <c r="H251" s="11"/>
      <c r="I251" s="11"/>
      <c r="J251" s="78"/>
      <c r="K251" s="78"/>
      <c r="L251" s="146">
        <f t="shared" si="12"/>
        <v>504000</v>
      </c>
      <c r="M251" s="73"/>
      <c r="N251" s="73"/>
      <c r="O251" s="7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 x14ac:dyDescent="0.35">
      <c r="A252" s="9">
        <f t="shared" si="11"/>
        <v>244</v>
      </c>
      <c r="B252" s="16"/>
      <c r="C252" s="11">
        <f t="shared" si="10"/>
        <v>1</v>
      </c>
      <c r="D252" s="11">
        <v>5</v>
      </c>
      <c r="E252" s="11"/>
      <c r="F252" s="14"/>
      <c r="G252" s="89">
        <f>IFERROR(VLOOKUP(F252,COA!$A$1:$K$26,2,FALSE),0)</f>
        <v>0</v>
      </c>
      <c r="H252" s="11"/>
      <c r="I252" s="11"/>
      <c r="J252" s="78"/>
      <c r="K252" s="78"/>
      <c r="L252" s="146">
        <f t="shared" si="12"/>
        <v>504000</v>
      </c>
      <c r="M252" s="73"/>
      <c r="N252" s="73"/>
      <c r="O252" s="7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 x14ac:dyDescent="0.35">
      <c r="A253" s="9">
        <f t="shared" si="11"/>
        <v>245</v>
      </c>
      <c r="B253" s="16"/>
      <c r="C253" s="11">
        <f t="shared" si="10"/>
        <v>1</v>
      </c>
      <c r="D253" s="11">
        <v>5</v>
      </c>
      <c r="E253" s="11"/>
      <c r="F253" s="14"/>
      <c r="G253" s="89">
        <f>IFERROR(VLOOKUP(F253,COA!$A$1:$K$26,2,FALSE),0)</f>
        <v>0</v>
      </c>
      <c r="H253" s="11"/>
      <c r="I253" s="11"/>
      <c r="J253" s="78"/>
      <c r="K253" s="79"/>
      <c r="L253" s="146">
        <f t="shared" si="12"/>
        <v>504000</v>
      </c>
      <c r="M253" s="73"/>
      <c r="N253" s="73"/>
      <c r="O253" s="7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 x14ac:dyDescent="0.35">
      <c r="A254" s="9">
        <f t="shared" si="11"/>
        <v>246</v>
      </c>
      <c r="B254" s="16"/>
      <c r="C254" s="11">
        <f t="shared" si="10"/>
        <v>1</v>
      </c>
      <c r="D254" s="11">
        <v>5</v>
      </c>
      <c r="E254" s="11"/>
      <c r="F254" s="14"/>
      <c r="G254" s="89">
        <f>IFERROR(VLOOKUP(F254,COA!$A$1:$K$26,2,FALSE),0)</f>
        <v>0</v>
      </c>
      <c r="H254" s="11"/>
      <c r="I254" s="11"/>
      <c r="J254" s="78"/>
      <c r="K254" s="79"/>
      <c r="L254" s="146">
        <f t="shared" si="12"/>
        <v>504000</v>
      </c>
      <c r="M254" s="73"/>
      <c r="N254" s="73"/>
      <c r="O254" s="7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 x14ac:dyDescent="0.35">
      <c r="A255" s="9">
        <f t="shared" si="11"/>
        <v>247</v>
      </c>
      <c r="B255" s="16"/>
      <c r="C255" s="11">
        <f t="shared" si="10"/>
        <v>1</v>
      </c>
      <c r="D255" s="11">
        <v>5</v>
      </c>
      <c r="E255" s="11"/>
      <c r="F255" s="14"/>
      <c r="G255" s="89">
        <f>IFERROR(VLOOKUP(F255,COA!$A$1:$K$26,2,FALSE),0)</f>
        <v>0</v>
      </c>
      <c r="H255" s="11"/>
      <c r="I255" s="11"/>
      <c r="J255" s="78"/>
      <c r="K255" s="79"/>
      <c r="L255" s="146">
        <f t="shared" si="12"/>
        <v>504000</v>
      </c>
      <c r="M255" s="73"/>
      <c r="N255" s="73"/>
      <c r="O255" s="7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 x14ac:dyDescent="0.35">
      <c r="A256" s="9">
        <f t="shared" si="11"/>
        <v>248</v>
      </c>
      <c r="B256" s="16"/>
      <c r="C256" s="11">
        <f t="shared" si="10"/>
        <v>1</v>
      </c>
      <c r="D256" s="11">
        <v>5</v>
      </c>
      <c r="E256" s="11"/>
      <c r="F256" s="14"/>
      <c r="G256" s="89">
        <f>IFERROR(VLOOKUP(F256,COA!$A$1:$K$26,2,FALSE),0)</f>
        <v>0</v>
      </c>
      <c r="H256" s="11"/>
      <c r="I256" s="11"/>
      <c r="J256" s="78"/>
      <c r="K256" s="79"/>
      <c r="L256" s="146">
        <f t="shared" si="12"/>
        <v>504000</v>
      </c>
      <c r="M256" s="73"/>
      <c r="N256" s="73"/>
      <c r="O256" s="7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 x14ac:dyDescent="0.35">
      <c r="A257" s="9">
        <f t="shared" si="11"/>
        <v>249</v>
      </c>
      <c r="B257" s="16"/>
      <c r="C257" s="11">
        <f t="shared" si="10"/>
        <v>1</v>
      </c>
      <c r="D257" s="11">
        <v>5</v>
      </c>
      <c r="E257" s="13"/>
      <c r="F257" s="14"/>
      <c r="G257" s="89">
        <f>IFERROR(VLOOKUP(F257,COA!$A$1:$K$26,2,FALSE),0)</f>
        <v>0</v>
      </c>
      <c r="H257" s="13"/>
      <c r="I257" s="13"/>
      <c r="J257" s="78"/>
      <c r="K257" s="78"/>
      <c r="L257" s="146">
        <f t="shared" si="12"/>
        <v>504000</v>
      </c>
      <c r="M257" s="73"/>
      <c r="N257" s="73"/>
      <c r="O257" s="7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 x14ac:dyDescent="0.35">
      <c r="A258" s="9">
        <f t="shared" si="11"/>
        <v>250</v>
      </c>
      <c r="B258" s="16"/>
      <c r="C258" s="11">
        <f t="shared" si="10"/>
        <v>1</v>
      </c>
      <c r="D258" s="11">
        <v>5</v>
      </c>
      <c r="E258" s="13"/>
      <c r="F258" s="14"/>
      <c r="G258" s="89">
        <f>IFERROR(VLOOKUP(F258,COA!$A$1:$K$26,2,FALSE),0)</f>
        <v>0</v>
      </c>
      <c r="H258" s="13"/>
      <c r="I258" s="13"/>
      <c r="J258" s="78"/>
      <c r="K258" s="78"/>
      <c r="L258" s="146">
        <f t="shared" si="12"/>
        <v>504000</v>
      </c>
      <c r="M258" s="73"/>
      <c r="N258" s="73"/>
      <c r="O258" s="7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 x14ac:dyDescent="0.35">
      <c r="A259" s="9">
        <f t="shared" si="11"/>
        <v>251</v>
      </c>
      <c r="B259" s="15"/>
      <c r="C259" s="11">
        <f t="shared" si="10"/>
        <v>1</v>
      </c>
      <c r="D259" s="11">
        <v>5</v>
      </c>
      <c r="E259" s="13"/>
      <c r="F259" s="14"/>
      <c r="G259" s="89">
        <f>IFERROR(VLOOKUP(F259,COA!$A$1:$K$26,2,FALSE),0)</f>
        <v>0</v>
      </c>
      <c r="H259" s="13"/>
      <c r="I259" s="96"/>
      <c r="J259" s="78"/>
      <c r="K259" s="78"/>
      <c r="L259" s="146">
        <f t="shared" si="12"/>
        <v>504000</v>
      </c>
      <c r="M259" s="73"/>
      <c r="N259" s="73"/>
      <c r="O259" s="7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 x14ac:dyDescent="0.35">
      <c r="A260" s="9">
        <f t="shared" si="11"/>
        <v>252</v>
      </c>
      <c r="B260" s="15"/>
      <c r="C260" s="11">
        <f t="shared" si="10"/>
        <v>1</v>
      </c>
      <c r="D260" s="11">
        <v>5</v>
      </c>
      <c r="E260" s="13"/>
      <c r="F260" s="14"/>
      <c r="G260" s="89">
        <f>IFERROR(VLOOKUP(F260,COA!$A$1:$K$26,2,FALSE),0)</f>
        <v>0</v>
      </c>
      <c r="H260" s="13"/>
      <c r="I260" s="96"/>
      <c r="J260" s="78"/>
      <c r="K260" s="78"/>
      <c r="L260" s="146">
        <f t="shared" si="12"/>
        <v>504000</v>
      </c>
      <c r="M260" s="73"/>
      <c r="N260" s="73"/>
      <c r="O260" s="7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 x14ac:dyDescent="0.35">
      <c r="A261" s="9">
        <f t="shared" si="11"/>
        <v>253</v>
      </c>
      <c r="B261" s="15"/>
      <c r="C261" s="11">
        <f t="shared" si="10"/>
        <v>1</v>
      </c>
      <c r="D261" s="11">
        <v>5</v>
      </c>
      <c r="E261" s="13"/>
      <c r="F261" s="14"/>
      <c r="G261" s="89">
        <f>IFERROR(VLOOKUP(F261,COA!$A$1:$K$26,2,FALSE),0)</f>
        <v>0</v>
      </c>
      <c r="H261" s="13"/>
      <c r="I261" s="96"/>
      <c r="J261" s="78"/>
      <c r="K261" s="78"/>
      <c r="L261" s="146">
        <f t="shared" si="12"/>
        <v>504000</v>
      </c>
      <c r="M261" s="73"/>
      <c r="N261" s="73"/>
      <c r="O261" s="7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 x14ac:dyDescent="0.35">
      <c r="A262" s="9">
        <f t="shared" si="11"/>
        <v>254</v>
      </c>
      <c r="B262" s="15"/>
      <c r="C262" s="11">
        <f t="shared" si="10"/>
        <v>1</v>
      </c>
      <c r="D262" s="11">
        <v>5</v>
      </c>
      <c r="E262" s="13"/>
      <c r="F262" s="14"/>
      <c r="G262" s="89">
        <f>IFERROR(VLOOKUP(F262,COA!$A$1:$K$26,2,FALSE),0)</f>
        <v>0</v>
      </c>
      <c r="H262" s="13"/>
      <c r="I262" s="96"/>
      <c r="J262" s="78"/>
      <c r="K262" s="78"/>
      <c r="L262" s="146">
        <f t="shared" si="12"/>
        <v>504000</v>
      </c>
      <c r="M262" s="73"/>
      <c r="N262" s="73"/>
      <c r="O262" s="7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 x14ac:dyDescent="0.35">
      <c r="A263" s="9">
        <f t="shared" si="11"/>
        <v>255</v>
      </c>
      <c r="B263" s="15"/>
      <c r="C263" s="11">
        <f t="shared" si="10"/>
        <v>1</v>
      </c>
      <c r="D263" s="11">
        <v>5</v>
      </c>
      <c r="E263" s="13"/>
      <c r="F263" s="14"/>
      <c r="G263" s="89">
        <f>IFERROR(VLOOKUP(F263,COA!$A$1:$K$26,2,FALSE),0)</f>
        <v>0</v>
      </c>
      <c r="H263" s="13"/>
      <c r="I263" s="96"/>
      <c r="J263" s="78"/>
      <c r="K263" s="78"/>
      <c r="L263" s="146">
        <f t="shared" si="12"/>
        <v>504000</v>
      </c>
      <c r="M263" s="73"/>
      <c r="N263" s="73"/>
      <c r="O263" s="7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 x14ac:dyDescent="0.35">
      <c r="A264" s="9">
        <f t="shared" si="11"/>
        <v>256</v>
      </c>
      <c r="B264" s="15"/>
      <c r="C264" s="11">
        <f t="shared" ref="C264:C327" si="13">MONTH(B264)</f>
        <v>1</v>
      </c>
      <c r="D264" s="11">
        <v>5</v>
      </c>
      <c r="E264" s="13"/>
      <c r="F264" s="14"/>
      <c r="G264" s="89">
        <f>IFERROR(VLOOKUP(F264,COA!$A$1:$K$26,2,FALSE),0)</f>
        <v>0</v>
      </c>
      <c r="H264" s="13"/>
      <c r="I264" s="96"/>
      <c r="J264" s="78"/>
      <c r="K264" s="78"/>
      <c r="L264" s="146">
        <f t="shared" si="12"/>
        <v>504000</v>
      </c>
      <c r="M264" s="73"/>
      <c r="N264" s="73"/>
      <c r="O264" s="7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 x14ac:dyDescent="0.35">
      <c r="A265" s="9">
        <f t="shared" si="11"/>
        <v>257</v>
      </c>
      <c r="B265" s="15"/>
      <c r="C265" s="11">
        <f t="shared" si="13"/>
        <v>1</v>
      </c>
      <c r="D265" s="11">
        <v>5</v>
      </c>
      <c r="E265" s="13"/>
      <c r="F265" s="14"/>
      <c r="G265" s="89">
        <f>IFERROR(VLOOKUP(F265,COA!$A$1:$K$26,2,FALSE),0)</f>
        <v>0</v>
      </c>
      <c r="H265" s="13"/>
      <c r="I265" s="96"/>
      <c r="J265" s="78"/>
      <c r="K265" s="78"/>
      <c r="L265" s="146">
        <f t="shared" si="12"/>
        <v>504000</v>
      </c>
      <c r="M265" s="73"/>
      <c r="N265" s="73"/>
      <c r="O265" s="7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 x14ac:dyDescent="0.35">
      <c r="A266" s="9">
        <f t="shared" si="11"/>
        <v>258</v>
      </c>
      <c r="B266" s="15"/>
      <c r="C266" s="11">
        <f t="shared" si="13"/>
        <v>1</v>
      </c>
      <c r="D266" s="11">
        <v>5</v>
      </c>
      <c r="E266" s="11"/>
      <c r="F266" s="14"/>
      <c r="G266" s="89">
        <f>IFERROR(VLOOKUP(F266,COA!$A$1:$K$26,2,FALSE),0)</f>
        <v>0</v>
      </c>
      <c r="H266" s="11"/>
      <c r="I266" s="95"/>
      <c r="J266" s="78"/>
      <c r="K266" s="78"/>
      <c r="L266" s="146">
        <f t="shared" si="12"/>
        <v>504000</v>
      </c>
      <c r="M266" s="73"/>
      <c r="N266" s="73"/>
      <c r="O266" s="7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 x14ac:dyDescent="0.35">
      <c r="A267" s="9">
        <f t="shared" ref="A267:A330" si="14">A266+1</f>
        <v>259</v>
      </c>
      <c r="B267" s="16"/>
      <c r="C267" s="11">
        <f t="shared" si="13"/>
        <v>1</v>
      </c>
      <c r="D267" s="11">
        <v>5</v>
      </c>
      <c r="E267" s="11"/>
      <c r="F267" s="14"/>
      <c r="G267" s="89">
        <f>IFERROR(VLOOKUP(F267,COA!$A$1:$K$26,2,FALSE),0)</f>
        <v>0</v>
      </c>
      <c r="H267" s="11"/>
      <c r="I267" s="11"/>
      <c r="J267" s="78"/>
      <c r="K267" s="79"/>
      <c r="L267" s="146">
        <f t="shared" ref="L267:L330" si="15">L266+J267-K267</f>
        <v>504000</v>
      </c>
      <c r="M267" s="73"/>
      <c r="N267" s="73"/>
      <c r="O267" s="7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 x14ac:dyDescent="0.35">
      <c r="A268" s="9">
        <f t="shared" si="14"/>
        <v>260</v>
      </c>
      <c r="B268" s="16"/>
      <c r="C268" s="11">
        <f t="shared" si="13"/>
        <v>1</v>
      </c>
      <c r="D268" s="11">
        <v>5</v>
      </c>
      <c r="E268" s="11"/>
      <c r="F268" s="14"/>
      <c r="G268" s="89">
        <f>IFERROR(VLOOKUP(F268,COA!$A$1:$K$26,2,FALSE),0)</f>
        <v>0</v>
      </c>
      <c r="H268" s="11"/>
      <c r="I268" s="11"/>
      <c r="J268" s="78"/>
      <c r="K268" s="79"/>
      <c r="L268" s="146">
        <f t="shared" si="15"/>
        <v>504000</v>
      </c>
      <c r="M268" s="73"/>
      <c r="N268" s="73"/>
      <c r="O268" s="7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 x14ac:dyDescent="0.35">
      <c r="A269" s="9">
        <f t="shared" si="14"/>
        <v>261</v>
      </c>
      <c r="B269" s="16"/>
      <c r="C269" s="11">
        <f t="shared" si="13"/>
        <v>1</v>
      </c>
      <c r="D269" s="11">
        <v>5</v>
      </c>
      <c r="E269" s="11"/>
      <c r="F269" s="14"/>
      <c r="G269" s="89">
        <f>IFERROR(VLOOKUP(F269,COA!$A$1:$K$26,2,FALSE),0)</f>
        <v>0</v>
      </c>
      <c r="H269" s="11"/>
      <c r="I269" s="11"/>
      <c r="J269" s="78"/>
      <c r="K269" s="79"/>
      <c r="L269" s="146">
        <f t="shared" si="15"/>
        <v>504000</v>
      </c>
      <c r="M269" s="73"/>
      <c r="N269" s="73"/>
      <c r="O269" s="7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 x14ac:dyDescent="0.35">
      <c r="A270" s="9">
        <f t="shared" si="14"/>
        <v>262</v>
      </c>
      <c r="B270" s="16"/>
      <c r="C270" s="11">
        <f t="shared" si="13"/>
        <v>1</v>
      </c>
      <c r="D270" s="11">
        <v>5</v>
      </c>
      <c r="E270" s="11"/>
      <c r="F270" s="14"/>
      <c r="G270" s="89">
        <f>IFERROR(VLOOKUP(F270,COA!$A$1:$K$26,2,FALSE),0)</f>
        <v>0</v>
      </c>
      <c r="H270" s="11"/>
      <c r="I270" s="11"/>
      <c r="J270" s="78"/>
      <c r="K270" s="79"/>
      <c r="L270" s="146">
        <f t="shared" si="15"/>
        <v>504000</v>
      </c>
      <c r="M270" s="73"/>
      <c r="N270" s="73"/>
      <c r="O270" s="7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 x14ac:dyDescent="0.35">
      <c r="A271" s="9">
        <f t="shared" si="14"/>
        <v>263</v>
      </c>
      <c r="B271" s="16"/>
      <c r="C271" s="11">
        <f t="shared" si="13"/>
        <v>1</v>
      </c>
      <c r="D271" s="11">
        <v>5</v>
      </c>
      <c r="E271" s="11"/>
      <c r="F271" s="14"/>
      <c r="G271" s="89">
        <f>IFERROR(VLOOKUP(F271,COA!$A$1:$K$26,2,FALSE),0)</f>
        <v>0</v>
      </c>
      <c r="H271" s="11"/>
      <c r="I271" s="11"/>
      <c r="J271" s="78"/>
      <c r="K271" s="79"/>
      <c r="L271" s="146">
        <f t="shared" si="15"/>
        <v>504000</v>
      </c>
      <c r="M271" s="73"/>
      <c r="N271" s="73"/>
      <c r="O271" s="7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 x14ac:dyDescent="0.35">
      <c r="A272" s="9">
        <f t="shared" si="14"/>
        <v>264</v>
      </c>
      <c r="B272" s="16"/>
      <c r="C272" s="11">
        <f t="shared" si="13"/>
        <v>1</v>
      </c>
      <c r="D272" s="11">
        <v>5</v>
      </c>
      <c r="E272" s="11"/>
      <c r="F272" s="14"/>
      <c r="G272" s="89">
        <f>IFERROR(VLOOKUP(F272,COA!$A$1:$K$26,2,FALSE),0)</f>
        <v>0</v>
      </c>
      <c r="H272" s="11"/>
      <c r="I272" s="11"/>
      <c r="J272" s="78"/>
      <c r="K272" s="78"/>
      <c r="L272" s="146">
        <f t="shared" si="15"/>
        <v>504000</v>
      </c>
      <c r="M272" s="73"/>
      <c r="N272" s="73"/>
      <c r="O272" s="7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 x14ac:dyDescent="0.35">
      <c r="A273" s="9">
        <f t="shared" si="14"/>
        <v>265</v>
      </c>
      <c r="B273" s="16"/>
      <c r="C273" s="11">
        <f t="shared" si="13"/>
        <v>1</v>
      </c>
      <c r="D273" s="11">
        <v>5</v>
      </c>
      <c r="E273" s="11"/>
      <c r="F273" s="14"/>
      <c r="G273" s="89">
        <f>IFERROR(VLOOKUP(F273,COA!$A$1:$K$26,2,FALSE),0)</f>
        <v>0</v>
      </c>
      <c r="H273" s="11"/>
      <c r="I273" s="11"/>
      <c r="J273" s="78"/>
      <c r="K273" s="78"/>
      <c r="L273" s="146">
        <f t="shared" si="15"/>
        <v>504000</v>
      </c>
      <c r="M273" s="73"/>
      <c r="N273" s="73"/>
      <c r="O273" s="7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 x14ac:dyDescent="0.35">
      <c r="A274" s="9">
        <f t="shared" si="14"/>
        <v>266</v>
      </c>
      <c r="B274" s="16"/>
      <c r="C274" s="11">
        <f t="shared" si="13"/>
        <v>1</v>
      </c>
      <c r="D274" s="11">
        <v>5</v>
      </c>
      <c r="E274" s="11"/>
      <c r="F274" s="14"/>
      <c r="G274" s="89">
        <f>IFERROR(VLOOKUP(F274,COA!$A$1:$K$26,2,FALSE),0)</f>
        <v>0</v>
      </c>
      <c r="H274" s="11"/>
      <c r="I274" s="11"/>
      <c r="J274" s="78"/>
      <c r="K274" s="78"/>
      <c r="L274" s="146">
        <f t="shared" si="15"/>
        <v>504000</v>
      </c>
      <c r="M274" s="73"/>
      <c r="N274" s="73"/>
      <c r="O274" s="7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 x14ac:dyDescent="0.35">
      <c r="A275" s="9">
        <f t="shared" si="14"/>
        <v>267</v>
      </c>
      <c r="B275" s="16"/>
      <c r="C275" s="11">
        <f t="shared" si="13"/>
        <v>1</v>
      </c>
      <c r="D275" s="11">
        <v>5</v>
      </c>
      <c r="E275" s="11"/>
      <c r="F275" s="14"/>
      <c r="G275" s="89">
        <f>IFERROR(VLOOKUP(F275,COA!$A$1:$K$26,2,FALSE),0)</f>
        <v>0</v>
      </c>
      <c r="H275" s="11"/>
      <c r="I275" s="11"/>
      <c r="J275" s="78"/>
      <c r="K275" s="78"/>
      <c r="L275" s="146">
        <f t="shared" si="15"/>
        <v>504000</v>
      </c>
      <c r="M275" s="73"/>
      <c r="N275" s="73"/>
      <c r="O275" s="7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 x14ac:dyDescent="0.35">
      <c r="A276" s="9">
        <f t="shared" si="14"/>
        <v>268</v>
      </c>
      <c r="B276" s="16"/>
      <c r="C276" s="11">
        <f t="shared" si="13"/>
        <v>1</v>
      </c>
      <c r="D276" s="11">
        <v>5</v>
      </c>
      <c r="E276" s="11"/>
      <c r="F276" s="14"/>
      <c r="G276" s="89">
        <f>IFERROR(VLOOKUP(F276,COA!$A$1:$K$26,2,FALSE),0)</f>
        <v>0</v>
      </c>
      <c r="H276" s="11"/>
      <c r="I276" s="95"/>
      <c r="J276" s="78"/>
      <c r="K276" s="78"/>
      <c r="L276" s="146">
        <f t="shared" si="15"/>
        <v>504000</v>
      </c>
      <c r="M276" s="73"/>
      <c r="N276" s="73"/>
      <c r="O276" s="7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 x14ac:dyDescent="0.35">
      <c r="A277" s="9">
        <f t="shared" si="14"/>
        <v>269</v>
      </c>
      <c r="B277" s="16"/>
      <c r="C277" s="11">
        <f t="shared" si="13"/>
        <v>1</v>
      </c>
      <c r="D277" s="11">
        <v>5</v>
      </c>
      <c r="E277" s="11"/>
      <c r="F277" s="14"/>
      <c r="G277" s="89">
        <f>IFERROR(VLOOKUP(F277,COA!$A$1:$K$26,2,FALSE),0)</f>
        <v>0</v>
      </c>
      <c r="H277" s="11"/>
      <c r="I277" s="95"/>
      <c r="J277" s="78"/>
      <c r="K277" s="78"/>
      <c r="L277" s="146">
        <f t="shared" si="15"/>
        <v>504000</v>
      </c>
      <c r="M277" s="73"/>
      <c r="N277" s="73"/>
      <c r="O277" s="7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 x14ac:dyDescent="0.35">
      <c r="A278" s="9">
        <f t="shared" si="14"/>
        <v>270</v>
      </c>
      <c r="B278" s="16"/>
      <c r="C278" s="11">
        <f t="shared" si="13"/>
        <v>1</v>
      </c>
      <c r="D278" s="11">
        <v>5</v>
      </c>
      <c r="E278" s="11"/>
      <c r="F278" s="14"/>
      <c r="G278" s="89">
        <f>IFERROR(VLOOKUP(F278,COA!$A$1:$K$26,2,FALSE),0)</f>
        <v>0</v>
      </c>
      <c r="H278" s="11"/>
      <c r="I278" s="95"/>
      <c r="J278" s="78"/>
      <c r="K278" s="78"/>
      <c r="L278" s="146">
        <f t="shared" si="15"/>
        <v>504000</v>
      </c>
      <c r="M278" s="73"/>
      <c r="N278" s="73"/>
      <c r="O278" s="7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 x14ac:dyDescent="0.35">
      <c r="A279" s="9">
        <f t="shared" si="14"/>
        <v>271</v>
      </c>
      <c r="B279" s="16"/>
      <c r="C279" s="11">
        <f t="shared" si="13"/>
        <v>1</v>
      </c>
      <c r="D279" s="11">
        <v>5</v>
      </c>
      <c r="E279" s="11"/>
      <c r="F279" s="14"/>
      <c r="G279" s="89">
        <f>IFERROR(VLOOKUP(F279,COA!$A$1:$K$26,2,FALSE),0)</f>
        <v>0</v>
      </c>
      <c r="H279" s="11"/>
      <c r="I279" s="95"/>
      <c r="J279" s="78"/>
      <c r="K279" s="78"/>
      <c r="L279" s="146">
        <f t="shared" si="15"/>
        <v>504000</v>
      </c>
      <c r="M279" s="73"/>
      <c r="N279" s="73"/>
      <c r="O279" s="7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 x14ac:dyDescent="0.35">
      <c r="A280" s="9">
        <f t="shared" si="14"/>
        <v>272</v>
      </c>
      <c r="B280" s="16"/>
      <c r="C280" s="11">
        <f t="shared" si="13"/>
        <v>1</v>
      </c>
      <c r="D280" s="11">
        <v>5</v>
      </c>
      <c r="E280" s="11"/>
      <c r="F280" s="14"/>
      <c r="G280" s="89">
        <f>IFERROR(VLOOKUP(F280,COA!$A$1:$K$26,2,FALSE),0)</f>
        <v>0</v>
      </c>
      <c r="H280" s="11"/>
      <c r="I280" s="95"/>
      <c r="J280" s="78"/>
      <c r="K280" s="78"/>
      <c r="L280" s="146">
        <f t="shared" si="15"/>
        <v>504000</v>
      </c>
      <c r="M280" s="73"/>
      <c r="N280" s="73"/>
      <c r="O280" s="7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 x14ac:dyDescent="0.35">
      <c r="A281" s="9">
        <f t="shared" si="14"/>
        <v>273</v>
      </c>
      <c r="B281" s="16"/>
      <c r="C281" s="11">
        <f t="shared" si="13"/>
        <v>1</v>
      </c>
      <c r="D281" s="11">
        <v>5</v>
      </c>
      <c r="E281" s="11"/>
      <c r="F281" s="14"/>
      <c r="G281" s="89">
        <f>IFERROR(VLOOKUP(F281,COA!$A$1:$K$26,2,FALSE),0)</f>
        <v>0</v>
      </c>
      <c r="H281" s="11"/>
      <c r="I281" s="95"/>
      <c r="J281" s="78"/>
      <c r="K281" s="78"/>
      <c r="L281" s="146">
        <f t="shared" si="15"/>
        <v>504000</v>
      </c>
      <c r="M281" s="73"/>
      <c r="N281" s="73"/>
      <c r="O281" s="7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 x14ac:dyDescent="0.35">
      <c r="A282" s="9">
        <f t="shared" si="14"/>
        <v>274</v>
      </c>
      <c r="B282" s="16"/>
      <c r="C282" s="11">
        <f t="shared" si="13"/>
        <v>1</v>
      </c>
      <c r="D282" s="11">
        <v>5</v>
      </c>
      <c r="E282" s="11"/>
      <c r="F282" s="14"/>
      <c r="G282" s="89">
        <f>IFERROR(VLOOKUP(F282,COA!$A$1:$K$26,2,FALSE),0)</f>
        <v>0</v>
      </c>
      <c r="H282" s="11"/>
      <c r="I282" s="11"/>
      <c r="J282" s="78"/>
      <c r="K282" s="78"/>
      <c r="L282" s="146">
        <f t="shared" si="15"/>
        <v>504000</v>
      </c>
      <c r="M282" s="73"/>
      <c r="N282" s="73"/>
      <c r="O282" s="7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 x14ac:dyDescent="0.35">
      <c r="A283" s="9">
        <f t="shared" si="14"/>
        <v>275</v>
      </c>
      <c r="B283" s="16"/>
      <c r="C283" s="11">
        <f t="shared" si="13"/>
        <v>1</v>
      </c>
      <c r="D283" s="11">
        <v>5</v>
      </c>
      <c r="E283" s="11"/>
      <c r="F283" s="14"/>
      <c r="G283" s="89">
        <f>IFERROR(VLOOKUP(F283,COA!$A$1:$K$26,2,FALSE),0)</f>
        <v>0</v>
      </c>
      <c r="H283" s="11"/>
      <c r="I283" s="11"/>
      <c r="J283" s="78"/>
      <c r="K283" s="79"/>
      <c r="L283" s="146">
        <f t="shared" si="15"/>
        <v>504000</v>
      </c>
      <c r="M283" s="73"/>
      <c r="N283" s="73"/>
      <c r="O283" s="7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 x14ac:dyDescent="0.35">
      <c r="A284" s="9">
        <f t="shared" si="14"/>
        <v>276</v>
      </c>
      <c r="B284" s="16"/>
      <c r="C284" s="11">
        <f t="shared" si="13"/>
        <v>1</v>
      </c>
      <c r="D284" s="11">
        <v>5</v>
      </c>
      <c r="E284" s="11"/>
      <c r="F284" s="14"/>
      <c r="G284" s="89">
        <f>IFERROR(VLOOKUP(F284,COA!$A$1:$K$26,2,FALSE),0)</f>
        <v>0</v>
      </c>
      <c r="H284" s="11"/>
      <c r="I284" s="11"/>
      <c r="J284" s="78"/>
      <c r="K284" s="79"/>
      <c r="L284" s="146">
        <f t="shared" si="15"/>
        <v>504000</v>
      </c>
      <c r="M284" s="73"/>
      <c r="N284" s="73"/>
      <c r="O284" s="7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 x14ac:dyDescent="0.35">
      <c r="A285" s="9">
        <f t="shared" si="14"/>
        <v>277</v>
      </c>
      <c r="B285" s="16"/>
      <c r="C285" s="11">
        <f t="shared" si="13"/>
        <v>1</v>
      </c>
      <c r="D285" s="11">
        <v>5</v>
      </c>
      <c r="E285" s="11"/>
      <c r="F285" s="14"/>
      <c r="G285" s="89">
        <f>IFERROR(VLOOKUP(F285,COA!$A$1:$K$26,2,FALSE),0)</f>
        <v>0</v>
      </c>
      <c r="H285" s="11"/>
      <c r="I285" s="11"/>
      <c r="J285" s="78"/>
      <c r="K285" s="79"/>
      <c r="L285" s="146">
        <f t="shared" si="15"/>
        <v>504000</v>
      </c>
      <c r="M285" s="73"/>
      <c r="N285" s="73"/>
      <c r="O285" s="7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 x14ac:dyDescent="0.35">
      <c r="A286" s="9">
        <f t="shared" si="14"/>
        <v>278</v>
      </c>
      <c r="B286" s="16"/>
      <c r="C286" s="11">
        <f t="shared" si="13"/>
        <v>1</v>
      </c>
      <c r="D286" s="11">
        <v>5</v>
      </c>
      <c r="E286" s="11"/>
      <c r="F286" s="14"/>
      <c r="G286" s="89">
        <f>IFERROR(VLOOKUP(F286,COA!$A$1:$K$26,2,FALSE),0)</f>
        <v>0</v>
      </c>
      <c r="H286" s="11"/>
      <c r="I286" s="11"/>
      <c r="J286" s="78"/>
      <c r="K286" s="79"/>
      <c r="L286" s="146">
        <f t="shared" si="15"/>
        <v>504000</v>
      </c>
      <c r="M286" s="73"/>
      <c r="N286" s="73"/>
      <c r="O286" s="7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 x14ac:dyDescent="0.35">
      <c r="A287" s="9">
        <f t="shared" si="14"/>
        <v>279</v>
      </c>
      <c r="B287" s="16"/>
      <c r="C287" s="11">
        <f t="shared" si="13"/>
        <v>1</v>
      </c>
      <c r="D287" s="11">
        <v>5</v>
      </c>
      <c r="E287" s="11"/>
      <c r="F287" s="14"/>
      <c r="G287" s="89">
        <f>IFERROR(VLOOKUP(F287,COA!$A$1:$K$26,2,FALSE),0)</f>
        <v>0</v>
      </c>
      <c r="H287" s="11"/>
      <c r="I287" s="11"/>
      <c r="J287" s="78"/>
      <c r="K287" s="78"/>
      <c r="L287" s="146">
        <f t="shared" si="15"/>
        <v>504000</v>
      </c>
      <c r="M287" s="73"/>
      <c r="N287" s="73"/>
      <c r="O287" s="7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 x14ac:dyDescent="0.35">
      <c r="A288" s="9">
        <f t="shared" si="14"/>
        <v>280</v>
      </c>
      <c r="B288" s="16"/>
      <c r="C288" s="11">
        <f t="shared" si="13"/>
        <v>1</v>
      </c>
      <c r="D288" s="11">
        <v>5</v>
      </c>
      <c r="E288" s="11"/>
      <c r="F288" s="14"/>
      <c r="G288" s="89">
        <f>IFERROR(VLOOKUP(F288,COA!$A$1:$K$26,2,FALSE),0)</f>
        <v>0</v>
      </c>
      <c r="H288" s="11"/>
      <c r="I288" s="11"/>
      <c r="J288" s="78"/>
      <c r="K288" s="78"/>
      <c r="L288" s="146">
        <f t="shared" si="15"/>
        <v>504000</v>
      </c>
      <c r="M288" s="73"/>
      <c r="N288" s="73"/>
      <c r="O288" s="7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 x14ac:dyDescent="0.35">
      <c r="A289" s="9">
        <f t="shared" si="14"/>
        <v>281</v>
      </c>
      <c r="B289" s="16"/>
      <c r="C289" s="11">
        <f t="shared" si="13"/>
        <v>1</v>
      </c>
      <c r="D289" s="11">
        <v>5</v>
      </c>
      <c r="E289" s="11"/>
      <c r="F289" s="14"/>
      <c r="G289" s="89">
        <f>IFERROR(VLOOKUP(F289,COA!$A$1:$K$26,2,FALSE),0)</f>
        <v>0</v>
      </c>
      <c r="H289" s="11"/>
      <c r="I289" s="11"/>
      <c r="J289" s="78"/>
      <c r="K289" s="79"/>
      <c r="L289" s="146">
        <f t="shared" si="15"/>
        <v>504000</v>
      </c>
      <c r="M289" s="73"/>
      <c r="N289" s="73"/>
      <c r="O289" s="7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 x14ac:dyDescent="0.35">
      <c r="A290" s="9">
        <f t="shared" si="14"/>
        <v>282</v>
      </c>
      <c r="B290" s="15"/>
      <c r="C290" s="11">
        <f t="shared" si="13"/>
        <v>1</v>
      </c>
      <c r="D290" s="11">
        <v>5</v>
      </c>
      <c r="E290" s="11"/>
      <c r="F290" s="14"/>
      <c r="G290" s="89">
        <f>IFERROR(VLOOKUP(F290,COA!$A$1:$K$26,2,FALSE),0)</f>
        <v>0</v>
      </c>
      <c r="H290" s="11"/>
      <c r="I290" s="95"/>
      <c r="J290" s="78"/>
      <c r="K290" s="79"/>
      <c r="L290" s="146">
        <f t="shared" si="15"/>
        <v>504000</v>
      </c>
      <c r="M290" s="73"/>
      <c r="N290" s="73"/>
      <c r="O290" s="7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 x14ac:dyDescent="0.35">
      <c r="A291" s="9">
        <f t="shared" si="14"/>
        <v>283</v>
      </c>
      <c r="B291" s="15"/>
      <c r="C291" s="11">
        <f t="shared" si="13"/>
        <v>1</v>
      </c>
      <c r="D291" s="11">
        <v>5</v>
      </c>
      <c r="E291" s="11"/>
      <c r="F291" s="14"/>
      <c r="G291" s="89">
        <f>IFERROR(VLOOKUP(F291,COA!$A$1:$K$26,2,FALSE),0)</f>
        <v>0</v>
      </c>
      <c r="H291" s="11"/>
      <c r="I291" s="95"/>
      <c r="J291" s="78"/>
      <c r="K291" s="79"/>
      <c r="L291" s="146">
        <f t="shared" si="15"/>
        <v>504000</v>
      </c>
      <c r="M291" s="73"/>
      <c r="N291" s="73"/>
      <c r="O291" s="7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 x14ac:dyDescent="0.35">
      <c r="A292" s="9">
        <f t="shared" si="14"/>
        <v>284</v>
      </c>
      <c r="B292" s="15"/>
      <c r="C292" s="11">
        <f t="shared" si="13"/>
        <v>1</v>
      </c>
      <c r="D292" s="11">
        <v>5</v>
      </c>
      <c r="E292" s="11"/>
      <c r="F292" s="14"/>
      <c r="G292" s="89">
        <f>IFERROR(VLOOKUP(F292,COA!$A$1:$K$26,2,FALSE),0)</f>
        <v>0</v>
      </c>
      <c r="H292" s="11"/>
      <c r="I292" s="95"/>
      <c r="J292" s="78"/>
      <c r="K292" s="78"/>
      <c r="L292" s="146">
        <f t="shared" si="15"/>
        <v>504000</v>
      </c>
      <c r="M292" s="73"/>
      <c r="N292" s="73"/>
      <c r="O292" s="7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 x14ac:dyDescent="0.35">
      <c r="A293" s="9">
        <f t="shared" si="14"/>
        <v>285</v>
      </c>
      <c r="B293" s="15"/>
      <c r="C293" s="11">
        <f t="shared" si="13"/>
        <v>1</v>
      </c>
      <c r="D293" s="11">
        <v>5</v>
      </c>
      <c r="E293" s="11"/>
      <c r="F293" s="14"/>
      <c r="G293" s="89">
        <f>IFERROR(VLOOKUP(F293,COA!$A$1:$K$26,2,FALSE),0)</f>
        <v>0</v>
      </c>
      <c r="H293" s="11"/>
      <c r="I293" s="95"/>
      <c r="J293" s="78"/>
      <c r="K293" s="78"/>
      <c r="L293" s="146">
        <f t="shared" si="15"/>
        <v>504000</v>
      </c>
      <c r="M293" s="73"/>
      <c r="N293" s="73"/>
      <c r="O293" s="7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 x14ac:dyDescent="0.35">
      <c r="A294" s="9">
        <f t="shared" si="14"/>
        <v>286</v>
      </c>
      <c r="B294" s="15"/>
      <c r="C294" s="11">
        <f t="shared" si="13"/>
        <v>1</v>
      </c>
      <c r="D294" s="11">
        <v>5</v>
      </c>
      <c r="E294" s="13"/>
      <c r="F294" s="14"/>
      <c r="G294" s="89">
        <f>IFERROR(VLOOKUP(F294,COA!$A$1:$K$26,2,FALSE),0)</f>
        <v>0</v>
      </c>
      <c r="H294" s="11"/>
      <c r="I294" s="95"/>
      <c r="J294" s="78"/>
      <c r="K294" s="78"/>
      <c r="L294" s="146">
        <f t="shared" si="15"/>
        <v>504000</v>
      </c>
      <c r="M294" s="73"/>
      <c r="N294" s="73"/>
      <c r="O294" s="7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 x14ac:dyDescent="0.35">
      <c r="A295" s="9">
        <f t="shared" si="14"/>
        <v>287</v>
      </c>
      <c r="B295" s="15"/>
      <c r="C295" s="11">
        <f t="shared" si="13"/>
        <v>1</v>
      </c>
      <c r="D295" s="11">
        <v>5</v>
      </c>
      <c r="E295" s="11"/>
      <c r="F295" s="14"/>
      <c r="G295" s="89">
        <f>IFERROR(VLOOKUP(F295,COA!$A$1:$K$26,2,FALSE),0)</f>
        <v>0</v>
      </c>
      <c r="H295" s="11"/>
      <c r="I295" s="95"/>
      <c r="J295" s="82"/>
      <c r="K295" s="79"/>
      <c r="L295" s="146">
        <f t="shared" si="15"/>
        <v>504000</v>
      </c>
      <c r="M295" s="73"/>
      <c r="N295" s="73"/>
      <c r="O295" s="7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 x14ac:dyDescent="0.35">
      <c r="A296" s="9">
        <f t="shared" si="14"/>
        <v>288</v>
      </c>
      <c r="B296" s="15"/>
      <c r="C296" s="11">
        <f t="shared" si="13"/>
        <v>1</v>
      </c>
      <c r="D296" s="11">
        <v>5</v>
      </c>
      <c r="E296" s="11"/>
      <c r="F296" s="14"/>
      <c r="G296" s="89">
        <f>IFERROR(VLOOKUP(F296,COA!$A$1:$K$26,2,FALSE),0)</f>
        <v>0</v>
      </c>
      <c r="H296" s="11"/>
      <c r="I296" s="95"/>
      <c r="J296" s="82"/>
      <c r="K296" s="79"/>
      <c r="L296" s="146">
        <f t="shared" si="15"/>
        <v>504000</v>
      </c>
      <c r="M296" s="73"/>
      <c r="N296" s="73"/>
      <c r="O296" s="7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 x14ac:dyDescent="0.35">
      <c r="A297" s="9">
        <f t="shared" si="14"/>
        <v>289</v>
      </c>
      <c r="B297" s="15"/>
      <c r="C297" s="11">
        <f t="shared" si="13"/>
        <v>1</v>
      </c>
      <c r="D297" s="11">
        <v>5</v>
      </c>
      <c r="E297" s="11"/>
      <c r="F297" s="14"/>
      <c r="G297" s="89">
        <f>IFERROR(VLOOKUP(F297,COA!$A$1:$K$26,2,FALSE),0)</f>
        <v>0</v>
      </c>
      <c r="H297" s="11"/>
      <c r="I297" s="95"/>
      <c r="J297" s="82"/>
      <c r="K297" s="79"/>
      <c r="L297" s="146">
        <f t="shared" si="15"/>
        <v>504000</v>
      </c>
      <c r="M297" s="73"/>
      <c r="N297" s="73"/>
      <c r="O297" s="7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 x14ac:dyDescent="0.35">
      <c r="A298" s="9">
        <f t="shared" si="14"/>
        <v>290</v>
      </c>
      <c r="B298" s="15"/>
      <c r="C298" s="11">
        <f t="shared" si="13"/>
        <v>1</v>
      </c>
      <c r="D298" s="11">
        <v>5</v>
      </c>
      <c r="E298" s="11"/>
      <c r="F298" s="14"/>
      <c r="G298" s="89">
        <f>IFERROR(VLOOKUP(F298,COA!$A$1:$K$26,2,FALSE),0)</f>
        <v>0</v>
      </c>
      <c r="H298" s="11"/>
      <c r="I298" s="95"/>
      <c r="J298" s="82"/>
      <c r="K298" s="79"/>
      <c r="L298" s="146">
        <f t="shared" si="15"/>
        <v>504000</v>
      </c>
      <c r="M298" s="73"/>
      <c r="N298" s="73"/>
      <c r="O298" s="7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 x14ac:dyDescent="0.35">
      <c r="A299" s="9">
        <f t="shared" si="14"/>
        <v>291</v>
      </c>
      <c r="B299" s="15"/>
      <c r="C299" s="11">
        <f t="shared" si="13"/>
        <v>1</v>
      </c>
      <c r="D299" s="11">
        <v>5</v>
      </c>
      <c r="E299" s="11"/>
      <c r="F299" s="14"/>
      <c r="G299" s="89">
        <f>IFERROR(VLOOKUP(F299,COA!$A$1:$K$26,2,FALSE),0)</f>
        <v>0</v>
      </c>
      <c r="H299" s="11"/>
      <c r="I299" s="95"/>
      <c r="J299" s="82"/>
      <c r="K299" s="79"/>
      <c r="L299" s="146">
        <f t="shared" si="15"/>
        <v>504000</v>
      </c>
      <c r="M299" s="73"/>
      <c r="N299" s="73"/>
      <c r="O299" s="7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 x14ac:dyDescent="0.35">
      <c r="A300" s="9">
        <f t="shared" si="14"/>
        <v>292</v>
      </c>
      <c r="B300" s="15"/>
      <c r="C300" s="11">
        <f t="shared" si="13"/>
        <v>1</v>
      </c>
      <c r="D300" s="11">
        <v>5</v>
      </c>
      <c r="E300" s="88"/>
      <c r="F300" s="14"/>
      <c r="G300" s="89">
        <f>IFERROR(VLOOKUP(F300,COA!$A$1:$K$26,2,FALSE),0)</f>
        <v>0</v>
      </c>
      <c r="H300" s="95"/>
      <c r="I300" s="95"/>
      <c r="J300" s="87"/>
      <c r="K300" s="78"/>
      <c r="L300" s="146">
        <f t="shared" si="15"/>
        <v>504000</v>
      </c>
      <c r="M300" s="73"/>
      <c r="N300" s="73"/>
      <c r="O300" s="7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 x14ac:dyDescent="0.35">
      <c r="A301" s="9">
        <f t="shared" si="14"/>
        <v>293</v>
      </c>
      <c r="B301" s="15"/>
      <c r="C301" s="11">
        <f t="shared" si="13"/>
        <v>1</v>
      </c>
      <c r="D301" s="11">
        <v>5</v>
      </c>
      <c r="E301" s="11"/>
      <c r="F301" s="14"/>
      <c r="G301" s="89">
        <f>IFERROR(VLOOKUP(F301,COA!$A$1:$K$26,2,FALSE),0)</f>
        <v>0</v>
      </c>
      <c r="H301" s="11"/>
      <c r="I301" s="95"/>
      <c r="J301" s="78"/>
      <c r="K301" s="78"/>
      <c r="L301" s="146">
        <f t="shared" si="15"/>
        <v>504000</v>
      </c>
      <c r="M301" s="73"/>
      <c r="N301" s="73"/>
      <c r="O301" s="7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 x14ac:dyDescent="0.35">
      <c r="A302" s="9">
        <f t="shared" si="14"/>
        <v>294</v>
      </c>
      <c r="B302" s="15"/>
      <c r="C302" s="11">
        <f t="shared" si="13"/>
        <v>1</v>
      </c>
      <c r="D302" s="11">
        <v>5</v>
      </c>
      <c r="E302" s="11"/>
      <c r="F302" s="14"/>
      <c r="G302" s="89">
        <f>IFERROR(VLOOKUP(F302,COA!$A$1:$K$26,2,FALSE),0)</f>
        <v>0</v>
      </c>
      <c r="H302" s="11"/>
      <c r="I302" s="95"/>
      <c r="J302" s="87"/>
      <c r="K302" s="78"/>
      <c r="L302" s="146">
        <f t="shared" si="15"/>
        <v>504000</v>
      </c>
      <c r="M302" s="73"/>
      <c r="N302" s="73"/>
      <c r="O302" s="7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 x14ac:dyDescent="0.35">
      <c r="A303" s="9">
        <f t="shared" si="14"/>
        <v>295</v>
      </c>
      <c r="B303" s="15"/>
      <c r="C303" s="11">
        <f t="shared" si="13"/>
        <v>1</v>
      </c>
      <c r="D303" s="11">
        <v>5</v>
      </c>
      <c r="E303" s="88"/>
      <c r="F303" s="14"/>
      <c r="G303" s="89">
        <f>IFERROR(VLOOKUP(F303,COA!$A$1:$K$26,2,FALSE),0)</f>
        <v>0</v>
      </c>
      <c r="H303" s="11"/>
      <c r="I303" s="95"/>
      <c r="J303" s="87"/>
      <c r="K303" s="78"/>
      <c r="L303" s="146">
        <f t="shared" si="15"/>
        <v>504000</v>
      </c>
      <c r="M303" s="73"/>
      <c r="N303" s="73"/>
      <c r="O303" s="7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 x14ac:dyDescent="0.35">
      <c r="A304" s="9">
        <f t="shared" si="14"/>
        <v>296</v>
      </c>
      <c r="B304" s="15"/>
      <c r="C304" s="11">
        <f t="shared" si="13"/>
        <v>1</v>
      </c>
      <c r="D304" s="11">
        <v>5</v>
      </c>
      <c r="E304" s="11"/>
      <c r="F304" s="14"/>
      <c r="G304" s="89">
        <f>IFERROR(VLOOKUP(F304,COA!$A$1:$K$26,2,FALSE),0)</f>
        <v>0</v>
      </c>
      <c r="H304" s="11"/>
      <c r="I304" s="95"/>
      <c r="J304" s="87"/>
      <c r="K304" s="78"/>
      <c r="L304" s="146">
        <f t="shared" si="15"/>
        <v>504000</v>
      </c>
      <c r="M304" s="73"/>
      <c r="N304" s="73"/>
      <c r="O304" s="7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 x14ac:dyDescent="0.35">
      <c r="A305" s="9">
        <f t="shared" si="14"/>
        <v>297</v>
      </c>
      <c r="B305" s="15"/>
      <c r="C305" s="11">
        <f t="shared" si="13"/>
        <v>1</v>
      </c>
      <c r="D305" s="11">
        <v>5</v>
      </c>
      <c r="E305" s="88"/>
      <c r="F305" s="14"/>
      <c r="G305" s="89">
        <f>IFERROR(VLOOKUP(F305,COA!$A$1:$K$26,2,FALSE),0)</f>
        <v>0</v>
      </c>
      <c r="H305" s="11"/>
      <c r="I305" s="95"/>
      <c r="J305" s="87"/>
      <c r="K305" s="78"/>
      <c r="L305" s="146">
        <f t="shared" si="15"/>
        <v>504000</v>
      </c>
      <c r="M305" s="73"/>
      <c r="N305" s="73"/>
      <c r="O305" s="7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 x14ac:dyDescent="0.35">
      <c r="A306" s="9">
        <f t="shared" si="14"/>
        <v>298</v>
      </c>
      <c r="B306" s="15"/>
      <c r="C306" s="11">
        <f t="shared" si="13"/>
        <v>1</v>
      </c>
      <c r="D306" s="11">
        <v>5</v>
      </c>
      <c r="E306" s="11"/>
      <c r="F306" s="14"/>
      <c r="G306" s="89">
        <f>IFERROR(VLOOKUP(F306,COA!$A$1:$K$26,2,FALSE),0)</f>
        <v>0</v>
      </c>
      <c r="H306" s="11"/>
      <c r="I306" s="95"/>
      <c r="J306" s="87"/>
      <c r="K306" s="79"/>
      <c r="L306" s="146">
        <f t="shared" si="15"/>
        <v>504000</v>
      </c>
      <c r="M306" s="73"/>
      <c r="N306" s="73"/>
      <c r="O306" s="7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 x14ac:dyDescent="0.35">
      <c r="A307" s="9">
        <f t="shared" si="14"/>
        <v>299</v>
      </c>
      <c r="B307" s="15"/>
      <c r="C307" s="11">
        <f t="shared" si="13"/>
        <v>1</v>
      </c>
      <c r="D307" s="11">
        <v>5</v>
      </c>
      <c r="E307" s="11"/>
      <c r="F307" s="14"/>
      <c r="G307" s="89">
        <f>IFERROR(VLOOKUP(F307,COA!$A$1:$K$26,2,FALSE),0)</f>
        <v>0</v>
      </c>
      <c r="H307" s="11"/>
      <c r="I307" s="95"/>
      <c r="J307" s="87"/>
      <c r="K307" s="81"/>
      <c r="L307" s="146">
        <f t="shared" si="15"/>
        <v>504000</v>
      </c>
      <c r="M307" s="73"/>
      <c r="N307" s="73"/>
      <c r="O307" s="7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 x14ac:dyDescent="0.35">
      <c r="A308" s="9">
        <f t="shared" si="14"/>
        <v>300</v>
      </c>
      <c r="B308" s="15"/>
      <c r="C308" s="11">
        <f t="shared" si="13"/>
        <v>1</v>
      </c>
      <c r="D308" s="11">
        <v>5</v>
      </c>
      <c r="E308" s="11"/>
      <c r="F308" s="14"/>
      <c r="G308" s="89">
        <f>IFERROR(VLOOKUP(F308,COA!$A$1:$K$26,2,FALSE),0)</f>
        <v>0</v>
      </c>
      <c r="H308" s="11"/>
      <c r="I308" s="95"/>
      <c r="J308" s="87"/>
      <c r="K308" s="79"/>
      <c r="L308" s="146">
        <f t="shared" si="15"/>
        <v>504000</v>
      </c>
      <c r="M308" s="73"/>
      <c r="N308" s="73"/>
      <c r="O308" s="7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 x14ac:dyDescent="0.35">
      <c r="A309" s="9">
        <f t="shared" si="14"/>
        <v>301</v>
      </c>
      <c r="B309" s="15"/>
      <c r="C309" s="11">
        <f t="shared" si="13"/>
        <v>1</v>
      </c>
      <c r="D309" s="11">
        <v>5</v>
      </c>
      <c r="E309" s="11"/>
      <c r="F309" s="14"/>
      <c r="G309" s="89">
        <f>IFERROR(VLOOKUP(F309,COA!$A$1:$K$26,2,FALSE),0)</f>
        <v>0</v>
      </c>
      <c r="H309" s="11"/>
      <c r="I309" s="95"/>
      <c r="J309" s="87"/>
      <c r="K309" s="79"/>
      <c r="L309" s="146">
        <f t="shared" si="15"/>
        <v>504000</v>
      </c>
      <c r="M309" s="73"/>
      <c r="N309" s="73"/>
      <c r="O309" s="7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 x14ac:dyDescent="0.35">
      <c r="A310" s="9">
        <f t="shared" si="14"/>
        <v>302</v>
      </c>
      <c r="B310" s="15"/>
      <c r="C310" s="11">
        <f t="shared" si="13"/>
        <v>1</v>
      </c>
      <c r="D310" s="11">
        <v>5</v>
      </c>
      <c r="E310" s="11"/>
      <c r="F310" s="14"/>
      <c r="G310" s="89">
        <f>IFERROR(VLOOKUP(F310,COA!$A$1:$K$26,2,FALSE),0)</f>
        <v>0</v>
      </c>
      <c r="H310" s="11"/>
      <c r="I310" s="95"/>
      <c r="J310" s="87"/>
      <c r="K310" s="79"/>
      <c r="L310" s="146">
        <f t="shared" si="15"/>
        <v>504000</v>
      </c>
      <c r="M310" s="73"/>
      <c r="N310" s="73"/>
      <c r="O310" s="7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 x14ac:dyDescent="0.35">
      <c r="A311" s="9">
        <f t="shared" si="14"/>
        <v>303</v>
      </c>
      <c r="B311" s="15"/>
      <c r="C311" s="11">
        <f t="shared" si="13"/>
        <v>1</v>
      </c>
      <c r="D311" s="11">
        <v>5</v>
      </c>
      <c r="E311" s="11"/>
      <c r="F311" s="14"/>
      <c r="G311" s="89">
        <f>IFERROR(VLOOKUP(F311,COA!$A$1:$K$26,2,FALSE),0)</f>
        <v>0</v>
      </c>
      <c r="H311" s="11"/>
      <c r="I311" s="95"/>
      <c r="J311" s="87"/>
      <c r="K311" s="81"/>
      <c r="L311" s="146">
        <f t="shared" si="15"/>
        <v>504000</v>
      </c>
      <c r="M311" s="73"/>
      <c r="N311" s="73"/>
      <c r="O311" s="7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 x14ac:dyDescent="0.35">
      <c r="A312" s="9">
        <f t="shared" si="14"/>
        <v>304</v>
      </c>
      <c r="B312" s="15"/>
      <c r="C312" s="11">
        <f t="shared" si="13"/>
        <v>1</v>
      </c>
      <c r="D312" s="11">
        <v>5</v>
      </c>
      <c r="E312" s="11"/>
      <c r="F312" s="14"/>
      <c r="G312" s="89">
        <f>IFERROR(VLOOKUP(F312,COA!$A$1:$K$26,2,FALSE),0)</f>
        <v>0</v>
      </c>
      <c r="H312" s="11"/>
      <c r="I312" s="95"/>
      <c r="J312" s="87"/>
      <c r="K312" s="81"/>
      <c r="L312" s="146">
        <f t="shared" si="15"/>
        <v>504000</v>
      </c>
      <c r="M312" s="73"/>
      <c r="N312" s="73"/>
      <c r="O312" s="7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 x14ac:dyDescent="0.35">
      <c r="A313" s="9">
        <f t="shared" si="14"/>
        <v>305</v>
      </c>
      <c r="B313" s="15"/>
      <c r="C313" s="11">
        <f t="shared" si="13"/>
        <v>1</v>
      </c>
      <c r="D313" s="11">
        <v>5</v>
      </c>
      <c r="E313" s="11"/>
      <c r="F313" s="14"/>
      <c r="G313" s="89">
        <f>IFERROR(VLOOKUP(F313,COA!$A$1:$K$26,2,FALSE),0)</f>
        <v>0</v>
      </c>
      <c r="H313" s="11"/>
      <c r="I313" s="95"/>
      <c r="J313" s="87"/>
      <c r="K313" s="79"/>
      <c r="L313" s="146">
        <f t="shared" si="15"/>
        <v>504000</v>
      </c>
      <c r="M313" s="73"/>
      <c r="N313" s="73"/>
      <c r="O313" s="7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 x14ac:dyDescent="0.35">
      <c r="A314" s="9">
        <f t="shared" si="14"/>
        <v>306</v>
      </c>
      <c r="B314" s="15"/>
      <c r="C314" s="11">
        <f t="shared" si="13"/>
        <v>1</v>
      </c>
      <c r="D314" s="11">
        <v>5</v>
      </c>
      <c r="E314" s="11"/>
      <c r="F314" s="14"/>
      <c r="G314" s="89">
        <f>IFERROR(VLOOKUP(F314,COA!$A$1:$K$26,2,FALSE),0)</f>
        <v>0</v>
      </c>
      <c r="H314" s="11"/>
      <c r="I314" s="95"/>
      <c r="J314" s="87"/>
      <c r="K314" s="79"/>
      <c r="L314" s="146">
        <f t="shared" si="15"/>
        <v>504000</v>
      </c>
      <c r="M314" s="73"/>
      <c r="N314" s="73"/>
      <c r="O314" s="7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 x14ac:dyDescent="0.35">
      <c r="A315" s="9">
        <f t="shared" si="14"/>
        <v>307</v>
      </c>
      <c r="B315" s="15"/>
      <c r="C315" s="11">
        <f t="shared" si="13"/>
        <v>1</v>
      </c>
      <c r="D315" s="11">
        <v>5</v>
      </c>
      <c r="E315" s="11"/>
      <c r="F315" s="14"/>
      <c r="G315" s="89">
        <f>IFERROR(VLOOKUP(F315,COA!$A$1:$K$26,2,FALSE),0)</f>
        <v>0</v>
      </c>
      <c r="H315" s="13"/>
      <c r="I315" s="95"/>
      <c r="J315" s="87"/>
      <c r="K315" s="79"/>
      <c r="L315" s="146">
        <f t="shared" si="15"/>
        <v>504000</v>
      </c>
      <c r="M315" s="73"/>
      <c r="N315" s="73"/>
      <c r="O315" s="7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 x14ac:dyDescent="0.35">
      <c r="A316" s="9">
        <f t="shared" si="14"/>
        <v>308</v>
      </c>
      <c r="B316" s="15"/>
      <c r="C316" s="11">
        <f t="shared" si="13"/>
        <v>1</v>
      </c>
      <c r="D316" s="11">
        <v>5</v>
      </c>
      <c r="E316" s="11"/>
      <c r="F316" s="14"/>
      <c r="G316" s="89">
        <f>IFERROR(VLOOKUP(F316,COA!$A$1:$K$26,2,FALSE),0)</f>
        <v>0</v>
      </c>
      <c r="H316" s="11"/>
      <c r="I316" s="95"/>
      <c r="J316" s="87"/>
      <c r="K316" s="81"/>
      <c r="L316" s="146">
        <f t="shared" si="15"/>
        <v>504000</v>
      </c>
      <c r="M316" s="73"/>
      <c r="N316" s="73"/>
      <c r="O316" s="7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 x14ac:dyDescent="0.35">
      <c r="A317" s="9">
        <f t="shared" si="14"/>
        <v>309</v>
      </c>
      <c r="B317" s="15"/>
      <c r="C317" s="11">
        <f t="shared" si="13"/>
        <v>1</v>
      </c>
      <c r="D317" s="11">
        <v>5</v>
      </c>
      <c r="E317" s="11"/>
      <c r="F317" s="14"/>
      <c r="G317" s="89">
        <f>IFERROR(VLOOKUP(F317,COA!$A$1:$K$26,2,FALSE),0)</f>
        <v>0</v>
      </c>
      <c r="H317" s="11"/>
      <c r="I317" s="95"/>
      <c r="J317" s="87"/>
      <c r="K317" s="79"/>
      <c r="L317" s="146">
        <f t="shared" si="15"/>
        <v>504000</v>
      </c>
      <c r="M317" s="73"/>
      <c r="N317" s="73"/>
      <c r="O317" s="7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 x14ac:dyDescent="0.35">
      <c r="A318" s="9">
        <f t="shared" si="14"/>
        <v>310</v>
      </c>
      <c r="B318" s="15"/>
      <c r="C318" s="11">
        <f t="shared" si="13"/>
        <v>1</v>
      </c>
      <c r="D318" s="11">
        <v>5</v>
      </c>
      <c r="E318" s="11"/>
      <c r="F318" s="14"/>
      <c r="G318" s="89">
        <f>IFERROR(VLOOKUP(F318,COA!$A$1:$K$26,2,FALSE),0)</f>
        <v>0</v>
      </c>
      <c r="H318" s="95"/>
      <c r="I318" s="11"/>
      <c r="J318" s="85"/>
      <c r="K318" s="79"/>
      <c r="L318" s="146">
        <f t="shared" si="15"/>
        <v>504000</v>
      </c>
      <c r="M318" s="73"/>
      <c r="N318" s="73"/>
      <c r="O318" s="7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 x14ac:dyDescent="0.35">
      <c r="A319" s="9">
        <f t="shared" si="14"/>
        <v>311</v>
      </c>
      <c r="B319" s="15"/>
      <c r="C319" s="11">
        <f t="shared" si="13"/>
        <v>1</v>
      </c>
      <c r="D319" s="11">
        <v>5</v>
      </c>
      <c r="E319" s="13"/>
      <c r="F319" s="14"/>
      <c r="G319" s="89">
        <f>IFERROR(VLOOKUP(F319,COA!$A$1:$K$26,2,FALSE),0)</f>
        <v>0</v>
      </c>
      <c r="H319" s="96"/>
      <c r="I319" s="13"/>
      <c r="J319" s="85"/>
      <c r="K319" s="79"/>
      <c r="L319" s="146">
        <f t="shared" si="15"/>
        <v>504000</v>
      </c>
      <c r="M319" s="73"/>
      <c r="N319" s="73"/>
      <c r="O319" s="7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 x14ac:dyDescent="0.35">
      <c r="A320" s="9">
        <f t="shared" si="14"/>
        <v>312</v>
      </c>
      <c r="B320" s="15"/>
      <c r="C320" s="11">
        <f t="shared" si="13"/>
        <v>1</v>
      </c>
      <c r="D320" s="11">
        <v>5</v>
      </c>
      <c r="E320" s="88"/>
      <c r="F320" s="14"/>
      <c r="G320" s="89">
        <f>IFERROR(VLOOKUP(F320,COA!$A$1:$K$26,2,FALSE),0)</f>
        <v>0</v>
      </c>
      <c r="H320" s="95"/>
      <c r="I320" s="88"/>
      <c r="J320" s="85"/>
      <c r="K320" s="78"/>
      <c r="L320" s="146">
        <f t="shared" si="15"/>
        <v>504000</v>
      </c>
      <c r="M320" s="73"/>
      <c r="N320" s="73"/>
      <c r="O320" s="7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 x14ac:dyDescent="0.35">
      <c r="A321" s="9">
        <f t="shared" si="14"/>
        <v>313</v>
      </c>
      <c r="B321" s="15"/>
      <c r="C321" s="11">
        <f t="shared" si="13"/>
        <v>1</v>
      </c>
      <c r="D321" s="11">
        <v>5</v>
      </c>
      <c r="E321" s="11"/>
      <c r="F321" s="14"/>
      <c r="G321" s="89">
        <f>IFERROR(VLOOKUP(F321,COA!$A$1:$K$26,2,FALSE),0)</f>
        <v>0</v>
      </c>
      <c r="H321" s="95"/>
      <c r="I321" s="11"/>
      <c r="J321" s="87"/>
      <c r="K321" s="81"/>
      <c r="L321" s="146">
        <f t="shared" si="15"/>
        <v>504000</v>
      </c>
      <c r="M321" s="73"/>
      <c r="N321" s="73"/>
      <c r="O321" s="7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 x14ac:dyDescent="0.35">
      <c r="A322" s="9">
        <f t="shared" si="14"/>
        <v>314</v>
      </c>
      <c r="B322" s="15"/>
      <c r="C322" s="11">
        <f t="shared" si="13"/>
        <v>1</v>
      </c>
      <c r="D322" s="11">
        <v>5</v>
      </c>
      <c r="E322" s="11"/>
      <c r="F322" s="14"/>
      <c r="G322" s="89">
        <f>IFERROR(VLOOKUP(F322,COA!$A$1:$K$26,2,FALSE),0)</f>
        <v>0</v>
      </c>
      <c r="H322" s="95"/>
      <c r="I322" s="95"/>
      <c r="J322" s="85"/>
      <c r="K322" s="79"/>
      <c r="L322" s="146">
        <f t="shared" si="15"/>
        <v>504000</v>
      </c>
      <c r="M322" s="73"/>
      <c r="N322" s="73"/>
      <c r="O322" s="7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 x14ac:dyDescent="0.35">
      <c r="A323" s="9">
        <f t="shared" si="14"/>
        <v>315</v>
      </c>
      <c r="B323" s="15"/>
      <c r="C323" s="11">
        <f t="shared" si="13"/>
        <v>1</v>
      </c>
      <c r="D323" s="11">
        <v>5</v>
      </c>
      <c r="E323" s="11"/>
      <c r="F323" s="14"/>
      <c r="G323" s="89">
        <f>IFERROR(VLOOKUP(F323,COA!$A$1:$K$26,2,FALSE),0)</f>
        <v>0</v>
      </c>
      <c r="H323" s="89"/>
      <c r="I323" s="11"/>
      <c r="J323" s="87"/>
      <c r="K323" s="81"/>
      <c r="L323" s="146">
        <f t="shared" si="15"/>
        <v>504000</v>
      </c>
      <c r="M323" s="73"/>
      <c r="N323" s="73"/>
      <c r="O323" s="7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 x14ac:dyDescent="0.35">
      <c r="A324" s="9">
        <f t="shared" si="14"/>
        <v>316</v>
      </c>
      <c r="B324" s="15"/>
      <c r="C324" s="11">
        <f t="shared" si="13"/>
        <v>1</v>
      </c>
      <c r="D324" s="11">
        <v>5</v>
      </c>
      <c r="E324" s="11"/>
      <c r="F324" s="14"/>
      <c r="G324" s="89">
        <f>IFERROR(VLOOKUP(F324,COA!$A$1:$K$26,2,FALSE),0)</f>
        <v>0</v>
      </c>
      <c r="H324" s="95"/>
      <c r="I324" s="11"/>
      <c r="J324" s="81"/>
      <c r="K324" s="79"/>
      <c r="L324" s="146">
        <f t="shared" si="15"/>
        <v>504000</v>
      </c>
      <c r="M324" s="73"/>
      <c r="N324" s="73"/>
      <c r="O324" s="7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 x14ac:dyDescent="0.35">
      <c r="A325" s="9">
        <f t="shared" si="14"/>
        <v>317</v>
      </c>
      <c r="B325" s="15"/>
      <c r="C325" s="11">
        <f t="shared" si="13"/>
        <v>1</v>
      </c>
      <c r="D325" s="11">
        <v>5</v>
      </c>
      <c r="E325" s="89"/>
      <c r="F325" s="14"/>
      <c r="G325" s="89">
        <f>IFERROR(VLOOKUP(F325,COA!$A$1:$K$26,2,FALSE),0)</f>
        <v>0</v>
      </c>
      <c r="H325" s="89"/>
      <c r="I325" s="89"/>
      <c r="J325" s="90"/>
      <c r="K325" s="79"/>
      <c r="L325" s="146">
        <f t="shared" si="15"/>
        <v>504000</v>
      </c>
      <c r="M325" s="73"/>
      <c r="N325" s="73"/>
      <c r="O325" s="7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 x14ac:dyDescent="0.35">
      <c r="A326" s="9">
        <f t="shared" si="14"/>
        <v>318</v>
      </c>
      <c r="B326" s="15"/>
      <c r="C326" s="11">
        <f t="shared" si="13"/>
        <v>1</v>
      </c>
      <c r="D326" s="11">
        <v>5</v>
      </c>
      <c r="E326" s="89"/>
      <c r="F326" s="14"/>
      <c r="G326" s="89">
        <f>IFERROR(VLOOKUP(F326,COA!$A$1:$K$26,2,FALSE),0)</f>
        <v>0</v>
      </c>
      <c r="H326" s="89"/>
      <c r="I326" s="89"/>
      <c r="J326" s="90"/>
      <c r="K326" s="79"/>
      <c r="L326" s="146">
        <f t="shared" si="15"/>
        <v>504000</v>
      </c>
      <c r="M326" s="73"/>
      <c r="N326" s="73"/>
      <c r="O326" s="7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 x14ac:dyDescent="0.35">
      <c r="A327" s="9">
        <f t="shared" si="14"/>
        <v>319</v>
      </c>
      <c r="B327" s="15"/>
      <c r="C327" s="11">
        <f t="shared" si="13"/>
        <v>1</v>
      </c>
      <c r="D327" s="11">
        <v>5</v>
      </c>
      <c r="E327" s="89"/>
      <c r="F327" s="14"/>
      <c r="G327" s="89">
        <f>IFERROR(VLOOKUP(F327,COA!$A$1:$K$26,2,FALSE),0)</f>
        <v>0</v>
      </c>
      <c r="H327" s="89"/>
      <c r="I327" s="89"/>
      <c r="J327" s="90"/>
      <c r="K327" s="79"/>
      <c r="L327" s="146">
        <f t="shared" si="15"/>
        <v>504000</v>
      </c>
      <c r="M327" s="73"/>
      <c r="N327" s="73"/>
      <c r="O327" s="7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 x14ac:dyDescent="0.35">
      <c r="A328" s="9">
        <f t="shared" si="14"/>
        <v>320</v>
      </c>
      <c r="B328" s="15"/>
      <c r="C328" s="11">
        <f t="shared" ref="C328:C391" si="16">MONTH(B328)</f>
        <v>1</v>
      </c>
      <c r="D328" s="11">
        <v>5</v>
      </c>
      <c r="E328" s="89"/>
      <c r="F328" s="11"/>
      <c r="G328" s="89">
        <f>IFERROR(VLOOKUP(F328,COA!$A$1:$K$26,2,FALSE),0)</f>
        <v>0</v>
      </c>
      <c r="H328" s="89"/>
      <c r="I328" s="89"/>
      <c r="J328" s="90"/>
      <c r="K328" s="79"/>
      <c r="L328" s="146">
        <f t="shared" si="15"/>
        <v>504000</v>
      </c>
      <c r="M328" s="73"/>
      <c r="N328" s="73"/>
      <c r="O328" s="7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 x14ac:dyDescent="0.35">
      <c r="A329" s="9">
        <f t="shared" si="14"/>
        <v>321</v>
      </c>
      <c r="B329" s="15"/>
      <c r="C329" s="11">
        <f t="shared" si="16"/>
        <v>1</v>
      </c>
      <c r="D329" s="11">
        <v>5</v>
      </c>
      <c r="E329" s="89"/>
      <c r="F329" s="11"/>
      <c r="G329" s="89">
        <f>IFERROR(VLOOKUP(F329,COA!$A$1:$K$26,2,FALSE),0)</f>
        <v>0</v>
      </c>
      <c r="H329" s="89"/>
      <c r="I329" s="89"/>
      <c r="J329" s="90"/>
      <c r="K329" s="78"/>
      <c r="L329" s="146">
        <f t="shared" si="15"/>
        <v>504000</v>
      </c>
      <c r="M329" s="138"/>
      <c r="N329" s="138"/>
      <c r="O329" s="138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4.25" customHeight="1" x14ac:dyDescent="0.35">
      <c r="A330" s="9">
        <f t="shared" si="14"/>
        <v>322</v>
      </c>
      <c r="B330" s="15"/>
      <c r="C330" s="11">
        <f t="shared" si="16"/>
        <v>1</v>
      </c>
      <c r="D330" s="11">
        <v>5</v>
      </c>
      <c r="E330" s="89"/>
      <c r="F330" s="11"/>
      <c r="G330" s="89">
        <f>IFERROR(VLOOKUP(F330,COA!$A$1:$K$26,2,FALSE),0)</f>
        <v>0</v>
      </c>
      <c r="H330" s="89"/>
      <c r="I330" s="89"/>
      <c r="J330" s="90"/>
      <c r="K330" s="78"/>
      <c r="L330" s="146">
        <f t="shared" si="15"/>
        <v>504000</v>
      </c>
      <c r="M330" s="73"/>
      <c r="N330" s="73"/>
      <c r="O330" s="7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 x14ac:dyDescent="0.35">
      <c r="A331" s="9">
        <f t="shared" ref="A331:A394" si="17">A330+1</f>
        <v>323</v>
      </c>
      <c r="B331" s="15"/>
      <c r="C331" s="11">
        <f t="shared" si="16"/>
        <v>1</v>
      </c>
      <c r="D331" s="11">
        <v>5</v>
      </c>
      <c r="E331" s="89"/>
      <c r="F331" s="11"/>
      <c r="G331" s="89">
        <f>IFERROR(VLOOKUP(F331,COA!$A$1:$K$26,2,FALSE),0)</f>
        <v>0</v>
      </c>
      <c r="H331" s="89"/>
      <c r="I331" s="89"/>
      <c r="J331" s="90"/>
      <c r="K331" s="78"/>
      <c r="L331" s="146">
        <f t="shared" ref="L331:L394" si="18">L330+J331-K331</f>
        <v>504000</v>
      </c>
      <c r="M331" s="139"/>
      <c r="N331" s="73"/>
      <c r="O331" s="7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 x14ac:dyDescent="0.35">
      <c r="A332" s="9">
        <f t="shared" si="17"/>
        <v>324</v>
      </c>
      <c r="B332" s="15"/>
      <c r="C332" s="11">
        <f t="shared" si="16"/>
        <v>1</v>
      </c>
      <c r="D332" s="11">
        <v>5</v>
      </c>
      <c r="E332" s="89"/>
      <c r="F332" s="11"/>
      <c r="G332" s="89">
        <f>IFERROR(VLOOKUP(F332,COA!$A$1:$K$26,2,FALSE),0)</f>
        <v>0</v>
      </c>
      <c r="H332" s="89"/>
      <c r="I332" s="89"/>
      <c r="J332" s="90"/>
      <c r="K332" s="78"/>
      <c r="L332" s="146">
        <f t="shared" si="18"/>
        <v>504000</v>
      </c>
      <c r="M332" s="73"/>
      <c r="N332" s="73"/>
      <c r="O332" s="7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 x14ac:dyDescent="0.35">
      <c r="A333" s="9">
        <f t="shared" si="17"/>
        <v>325</v>
      </c>
      <c r="B333" s="15"/>
      <c r="C333" s="11">
        <f t="shared" si="16"/>
        <v>1</v>
      </c>
      <c r="D333" s="11">
        <v>5</v>
      </c>
      <c r="E333" s="89"/>
      <c r="F333" s="11"/>
      <c r="G333" s="89">
        <f>IFERROR(VLOOKUP(F333,COA!$A$1:$K$26,2,FALSE),0)</f>
        <v>0</v>
      </c>
      <c r="H333" s="89"/>
      <c r="I333" s="89"/>
      <c r="J333" s="90"/>
      <c r="K333" s="78"/>
      <c r="L333" s="146">
        <f t="shared" si="18"/>
        <v>504000</v>
      </c>
      <c r="M333" s="140"/>
      <c r="N333" s="73"/>
      <c r="O333" s="7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 x14ac:dyDescent="0.35">
      <c r="A334" s="9">
        <f t="shared" si="17"/>
        <v>326</v>
      </c>
      <c r="B334" s="15"/>
      <c r="C334" s="11">
        <f t="shared" si="16"/>
        <v>1</v>
      </c>
      <c r="D334" s="11">
        <v>5</v>
      </c>
      <c r="E334" s="11"/>
      <c r="F334" s="11"/>
      <c r="G334" s="89">
        <f>IFERROR(VLOOKUP(F334,COA!$A$1:$K$26,2,FALSE),0)</f>
        <v>0</v>
      </c>
      <c r="H334" s="89"/>
      <c r="I334" s="89"/>
      <c r="J334" s="93"/>
      <c r="K334" s="78"/>
      <c r="L334" s="146">
        <f t="shared" si="18"/>
        <v>504000</v>
      </c>
      <c r="M334" s="73"/>
      <c r="N334" s="73"/>
      <c r="O334" s="7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 x14ac:dyDescent="0.35">
      <c r="A335" s="9">
        <f t="shared" si="17"/>
        <v>327</v>
      </c>
      <c r="B335" s="15"/>
      <c r="C335" s="11">
        <f t="shared" si="16"/>
        <v>1</v>
      </c>
      <c r="D335" s="11">
        <v>5</v>
      </c>
      <c r="E335" s="11"/>
      <c r="F335" s="11"/>
      <c r="G335" s="89">
        <f>IFERROR(VLOOKUP(F335,COA!$A$1:$K$26,2,FALSE),0)</f>
        <v>0</v>
      </c>
      <c r="H335" s="89"/>
      <c r="I335" s="89"/>
      <c r="J335" s="90"/>
      <c r="K335" s="79"/>
      <c r="L335" s="146">
        <f t="shared" si="18"/>
        <v>504000</v>
      </c>
      <c r="M335" s="73"/>
      <c r="N335" s="73"/>
      <c r="O335" s="7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 x14ac:dyDescent="0.35">
      <c r="A336" s="9">
        <f t="shared" si="17"/>
        <v>328</v>
      </c>
      <c r="B336" s="15"/>
      <c r="C336" s="11">
        <f t="shared" si="16"/>
        <v>1</v>
      </c>
      <c r="D336" s="11">
        <v>5</v>
      </c>
      <c r="E336" s="11"/>
      <c r="F336" s="14"/>
      <c r="G336" s="89">
        <f>IFERROR(VLOOKUP(F336,COA!$A$1:$K$26,2,FALSE),0)</f>
        <v>0</v>
      </c>
      <c r="H336" s="89"/>
      <c r="I336" s="89"/>
      <c r="J336" s="90"/>
      <c r="K336" s="79"/>
      <c r="L336" s="146">
        <f t="shared" si="18"/>
        <v>504000</v>
      </c>
      <c r="M336" s="73"/>
      <c r="N336" s="73"/>
      <c r="O336" s="7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 x14ac:dyDescent="0.35">
      <c r="A337" s="9">
        <f t="shared" si="17"/>
        <v>329</v>
      </c>
      <c r="B337" s="15"/>
      <c r="C337" s="11">
        <f t="shared" si="16"/>
        <v>1</v>
      </c>
      <c r="D337" s="11">
        <v>5</v>
      </c>
      <c r="E337" s="11"/>
      <c r="F337" s="14"/>
      <c r="G337" s="89">
        <f>IFERROR(VLOOKUP(F337,COA!$A$1:$K$26,2,FALSE),0)</f>
        <v>0</v>
      </c>
      <c r="H337" s="89"/>
      <c r="I337" s="89"/>
      <c r="J337" s="90"/>
      <c r="K337" s="79"/>
      <c r="L337" s="146">
        <f t="shared" si="18"/>
        <v>504000</v>
      </c>
      <c r="M337" s="73"/>
      <c r="N337" s="73"/>
      <c r="O337" s="7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 x14ac:dyDescent="0.35">
      <c r="A338" s="9">
        <f t="shared" si="17"/>
        <v>330</v>
      </c>
      <c r="B338" s="15"/>
      <c r="C338" s="11">
        <f t="shared" si="16"/>
        <v>1</v>
      </c>
      <c r="D338" s="11">
        <v>5</v>
      </c>
      <c r="E338" s="11"/>
      <c r="F338" s="11"/>
      <c r="G338" s="89">
        <f>IFERROR(VLOOKUP(F338,COA!$A$1:$K$26,2,FALSE),0)</f>
        <v>0</v>
      </c>
      <c r="H338" s="89"/>
      <c r="I338" s="89"/>
      <c r="J338" s="90"/>
      <c r="K338" s="78"/>
      <c r="L338" s="146">
        <f t="shared" si="18"/>
        <v>504000</v>
      </c>
      <c r="M338" s="73"/>
      <c r="N338" s="73"/>
      <c r="O338" s="7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 x14ac:dyDescent="0.35">
      <c r="A339" s="9">
        <f t="shared" si="17"/>
        <v>331</v>
      </c>
      <c r="B339" s="15"/>
      <c r="C339" s="11">
        <f t="shared" si="16"/>
        <v>1</v>
      </c>
      <c r="D339" s="11">
        <v>5</v>
      </c>
      <c r="E339" s="11"/>
      <c r="F339" s="11"/>
      <c r="G339" s="89">
        <f>IFERROR(VLOOKUP(F339,COA!$A$1:$K$26,2,FALSE),0)</f>
        <v>0</v>
      </c>
      <c r="H339" s="89"/>
      <c r="I339" s="89"/>
      <c r="J339" s="90"/>
      <c r="K339" s="78"/>
      <c r="L339" s="146">
        <f t="shared" si="18"/>
        <v>504000</v>
      </c>
      <c r="M339" s="73"/>
      <c r="N339" s="73"/>
      <c r="O339" s="7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 x14ac:dyDescent="0.35">
      <c r="A340" s="9">
        <f t="shared" si="17"/>
        <v>332</v>
      </c>
      <c r="B340" s="15"/>
      <c r="C340" s="11">
        <f t="shared" si="16"/>
        <v>1</v>
      </c>
      <c r="D340" s="11">
        <v>5</v>
      </c>
      <c r="E340" s="11"/>
      <c r="F340" s="11"/>
      <c r="G340" s="89">
        <f>IFERROR(VLOOKUP(F340,COA!$A$1:$K$26,2,FALSE),0)</f>
        <v>0</v>
      </c>
      <c r="H340" s="89"/>
      <c r="I340" s="89"/>
      <c r="J340" s="90"/>
      <c r="K340" s="78"/>
      <c r="L340" s="146">
        <f t="shared" si="18"/>
        <v>504000</v>
      </c>
      <c r="M340" s="73"/>
      <c r="N340" s="73"/>
      <c r="O340" s="7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 x14ac:dyDescent="0.35">
      <c r="A341" s="9">
        <f t="shared" si="17"/>
        <v>333</v>
      </c>
      <c r="B341" s="15"/>
      <c r="C341" s="11">
        <f t="shared" si="16"/>
        <v>1</v>
      </c>
      <c r="D341" s="11">
        <v>5</v>
      </c>
      <c r="E341" s="11"/>
      <c r="F341" s="11"/>
      <c r="G341" s="89">
        <f>IFERROR(VLOOKUP(F341,COA!$A$1:$K$26,2,FALSE),0)</f>
        <v>0</v>
      </c>
      <c r="H341" s="89"/>
      <c r="I341" s="89"/>
      <c r="J341" s="90"/>
      <c r="K341" s="78"/>
      <c r="L341" s="146">
        <f t="shared" si="18"/>
        <v>504000</v>
      </c>
      <c r="M341" s="73"/>
      <c r="N341" s="73"/>
      <c r="O341" s="7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 x14ac:dyDescent="0.35">
      <c r="A342" s="9">
        <f t="shared" si="17"/>
        <v>334</v>
      </c>
      <c r="B342" s="15"/>
      <c r="C342" s="11">
        <f t="shared" si="16"/>
        <v>1</v>
      </c>
      <c r="D342" s="11">
        <v>5</v>
      </c>
      <c r="E342" s="11"/>
      <c r="F342" s="11"/>
      <c r="G342" s="89">
        <f>IFERROR(VLOOKUP(F342,COA!$A$1:$K$26,2,FALSE),0)</f>
        <v>0</v>
      </c>
      <c r="H342" s="89"/>
      <c r="I342" s="89"/>
      <c r="J342" s="90"/>
      <c r="K342" s="78"/>
      <c r="L342" s="146">
        <f t="shared" si="18"/>
        <v>504000</v>
      </c>
      <c r="M342" s="73"/>
      <c r="N342" s="73"/>
      <c r="O342" s="7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 x14ac:dyDescent="0.35">
      <c r="A343" s="9">
        <f t="shared" si="17"/>
        <v>335</v>
      </c>
      <c r="B343" s="15"/>
      <c r="C343" s="11">
        <f t="shared" si="16"/>
        <v>1</v>
      </c>
      <c r="D343" s="11">
        <v>5</v>
      </c>
      <c r="E343" s="11"/>
      <c r="F343" s="11"/>
      <c r="G343" s="89">
        <f>IFERROR(VLOOKUP(F343,COA!$A$1:$K$26,2,FALSE),0)</f>
        <v>0</v>
      </c>
      <c r="H343" s="89"/>
      <c r="I343" s="89"/>
      <c r="J343" s="90"/>
      <c r="K343" s="79"/>
      <c r="L343" s="146">
        <f t="shared" si="18"/>
        <v>504000</v>
      </c>
      <c r="M343" s="73"/>
      <c r="N343" s="73"/>
      <c r="O343" s="7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 x14ac:dyDescent="0.35">
      <c r="A344" s="9">
        <f t="shared" si="17"/>
        <v>336</v>
      </c>
      <c r="B344" s="15"/>
      <c r="C344" s="11">
        <f t="shared" si="16"/>
        <v>1</v>
      </c>
      <c r="D344" s="11">
        <v>5</v>
      </c>
      <c r="E344" s="11"/>
      <c r="F344" s="11"/>
      <c r="G344" s="89">
        <f>IFERROR(VLOOKUP(F344,COA!$A$1:$K$26,2,FALSE),0)</f>
        <v>0</v>
      </c>
      <c r="H344" s="89"/>
      <c r="I344" s="89"/>
      <c r="J344" s="90"/>
      <c r="K344" s="79"/>
      <c r="L344" s="146">
        <f t="shared" si="18"/>
        <v>504000</v>
      </c>
      <c r="M344" s="73"/>
      <c r="N344" s="73"/>
      <c r="O344" s="7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 x14ac:dyDescent="0.35">
      <c r="A345" s="9">
        <f t="shared" si="17"/>
        <v>337</v>
      </c>
      <c r="B345" s="15"/>
      <c r="C345" s="11">
        <f t="shared" si="16"/>
        <v>1</v>
      </c>
      <c r="D345" s="11">
        <v>5</v>
      </c>
      <c r="E345" s="144"/>
      <c r="F345" s="11"/>
      <c r="G345" s="89">
        <f>IFERROR(VLOOKUP(F345,COA!$A$1:$K$26,2,FALSE),0)</f>
        <v>0</v>
      </c>
      <c r="H345" s="89"/>
      <c r="I345" s="89"/>
      <c r="J345" s="90"/>
      <c r="K345" s="79"/>
      <c r="L345" s="146">
        <f t="shared" si="18"/>
        <v>504000</v>
      </c>
      <c r="M345" s="73"/>
      <c r="N345" s="73"/>
      <c r="O345" s="7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 x14ac:dyDescent="0.35">
      <c r="A346" s="9">
        <f t="shared" si="17"/>
        <v>338</v>
      </c>
      <c r="B346" s="15"/>
      <c r="C346" s="11">
        <f t="shared" si="16"/>
        <v>1</v>
      </c>
      <c r="D346" s="11">
        <v>5</v>
      </c>
      <c r="E346" s="144"/>
      <c r="F346" s="11"/>
      <c r="G346" s="89">
        <f>IFERROR(VLOOKUP(F346,COA!$A$1:$K$26,2,FALSE),0)</f>
        <v>0</v>
      </c>
      <c r="H346" s="89"/>
      <c r="I346" s="89"/>
      <c r="J346" s="90"/>
      <c r="K346" s="79"/>
      <c r="L346" s="146">
        <f t="shared" si="18"/>
        <v>504000</v>
      </c>
      <c r="M346" s="73"/>
      <c r="N346" s="73"/>
      <c r="O346" s="7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 x14ac:dyDescent="0.35">
      <c r="A347" s="9">
        <f t="shared" si="17"/>
        <v>339</v>
      </c>
      <c r="B347" s="15"/>
      <c r="C347" s="11">
        <f t="shared" si="16"/>
        <v>1</v>
      </c>
      <c r="D347" s="11">
        <v>5</v>
      </c>
      <c r="E347" s="11"/>
      <c r="F347" s="11"/>
      <c r="G347" s="89">
        <f>IFERROR(VLOOKUP(F347,COA!$A$1:$K$26,2,FALSE),0)</f>
        <v>0</v>
      </c>
      <c r="H347" s="89"/>
      <c r="I347" s="89"/>
      <c r="J347" s="90"/>
      <c r="K347" s="78"/>
      <c r="L347" s="146">
        <f t="shared" si="18"/>
        <v>504000</v>
      </c>
      <c r="M347" s="73"/>
      <c r="N347" s="73"/>
      <c r="O347" s="7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 x14ac:dyDescent="0.35">
      <c r="A348" s="9">
        <f t="shared" si="17"/>
        <v>340</v>
      </c>
      <c r="B348" s="19"/>
      <c r="C348" s="11">
        <f t="shared" si="16"/>
        <v>1</v>
      </c>
      <c r="D348" s="11">
        <v>5</v>
      </c>
      <c r="E348" s="11"/>
      <c r="F348" s="11"/>
      <c r="G348" s="89">
        <f>IFERROR(VLOOKUP(F348,COA!$A$1:$K$26,2,FALSE),0)</f>
        <v>0</v>
      </c>
      <c r="H348" s="89"/>
      <c r="I348" s="89"/>
      <c r="J348" s="93"/>
      <c r="K348" s="79"/>
      <c r="L348" s="146">
        <f t="shared" si="18"/>
        <v>504000</v>
      </c>
      <c r="M348" s="73"/>
      <c r="N348" s="73"/>
      <c r="O348" s="7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 x14ac:dyDescent="0.35">
      <c r="A349" s="9">
        <f t="shared" si="17"/>
        <v>341</v>
      </c>
      <c r="B349" s="19"/>
      <c r="C349" s="11">
        <f t="shared" si="16"/>
        <v>1</v>
      </c>
      <c r="D349" s="11">
        <v>5</v>
      </c>
      <c r="E349" s="11"/>
      <c r="F349" s="14"/>
      <c r="G349" s="89">
        <f>IFERROR(VLOOKUP(F349,COA!$A$1:$K$26,2,FALSE),0)</f>
        <v>0</v>
      </c>
      <c r="H349" s="89"/>
      <c r="I349" s="89"/>
      <c r="J349" s="93"/>
      <c r="K349" s="79"/>
      <c r="L349" s="146">
        <f t="shared" si="18"/>
        <v>504000</v>
      </c>
      <c r="M349" s="73"/>
      <c r="N349" s="73"/>
      <c r="O349" s="7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customHeight="1" x14ac:dyDescent="0.35">
      <c r="A350" s="9">
        <f t="shared" si="17"/>
        <v>342</v>
      </c>
      <c r="B350" s="19"/>
      <c r="C350" s="11">
        <f t="shared" si="16"/>
        <v>1</v>
      </c>
      <c r="D350" s="11">
        <v>5</v>
      </c>
      <c r="E350" s="11"/>
      <c r="F350" s="14"/>
      <c r="G350" s="89">
        <f>IFERROR(VLOOKUP(F350,COA!$A$1:$K$26,2,FALSE),0)</f>
        <v>0</v>
      </c>
      <c r="H350" s="89"/>
      <c r="I350" s="89"/>
      <c r="J350" s="93"/>
      <c r="K350" s="78"/>
      <c r="L350" s="146">
        <f t="shared" si="18"/>
        <v>504000</v>
      </c>
      <c r="M350" s="73"/>
      <c r="N350" s="73"/>
      <c r="O350" s="7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 x14ac:dyDescent="0.35">
      <c r="A351" s="9">
        <f t="shared" si="17"/>
        <v>343</v>
      </c>
      <c r="B351" s="19"/>
      <c r="C351" s="11">
        <f t="shared" si="16"/>
        <v>1</v>
      </c>
      <c r="D351" s="11">
        <v>5</v>
      </c>
      <c r="E351" s="11"/>
      <c r="F351" s="11"/>
      <c r="G351" s="89">
        <f>IFERROR(VLOOKUP(F351,COA!$A$1:$K$26,2,FALSE),0)</f>
        <v>0</v>
      </c>
      <c r="H351" s="89"/>
      <c r="I351" s="89"/>
      <c r="J351" s="93"/>
      <c r="K351" s="78"/>
      <c r="L351" s="146">
        <f t="shared" si="18"/>
        <v>504000</v>
      </c>
      <c r="M351" s="73"/>
      <c r="N351" s="73"/>
      <c r="O351" s="7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 x14ac:dyDescent="0.35">
      <c r="A352" s="9">
        <f t="shared" si="17"/>
        <v>344</v>
      </c>
      <c r="B352" s="15"/>
      <c r="C352" s="11">
        <f t="shared" si="16"/>
        <v>1</v>
      </c>
      <c r="D352" s="11">
        <v>5</v>
      </c>
      <c r="E352" s="11"/>
      <c r="F352" s="11"/>
      <c r="G352" s="89">
        <f>IFERROR(VLOOKUP(F352,COA!$A$1:$K$26,2,FALSE),0)</f>
        <v>0</v>
      </c>
      <c r="H352" s="89"/>
      <c r="I352" s="89"/>
      <c r="J352" s="90"/>
      <c r="K352" s="78"/>
      <c r="L352" s="146">
        <f t="shared" si="18"/>
        <v>504000</v>
      </c>
      <c r="M352" s="138"/>
      <c r="N352" s="138"/>
      <c r="O352" s="138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4.25" customHeight="1" x14ac:dyDescent="0.35">
      <c r="A353" s="9">
        <f t="shared" si="17"/>
        <v>345</v>
      </c>
      <c r="B353" s="15"/>
      <c r="C353" s="11">
        <f t="shared" si="16"/>
        <v>1</v>
      </c>
      <c r="D353" s="11">
        <v>5</v>
      </c>
      <c r="E353" s="11"/>
      <c r="F353" s="14"/>
      <c r="G353" s="89">
        <f>IFERROR(VLOOKUP(F353,COA!$A$1:$K$26,2,FALSE),0)</f>
        <v>0</v>
      </c>
      <c r="H353" s="89"/>
      <c r="I353" s="89"/>
      <c r="J353" s="90"/>
      <c r="K353" s="79"/>
      <c r="L353" s="146">
        <f t="shared" si="18"/>
        <v>504000</v>
      </c>
      <c r="M353" s="73"/>
      <c r="N353" s="73"/>
      <c r="O353" s="7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 x14ac:dyDescent="0.35">
      <c r="A354" s="9">
        <f t="shared" si="17"/>
        <v>346</v>
      </c>
      <c r="B354" s="15"/>
      <c r="C354" s="11">
        <f t="shared" si="16"/>
        <v>1</v>
      </c>
      <c r="D354" s="11">
        <v>5</v>
      </c>
      <c r="E354" s="11"/>
      <c r="F354" s="11"/>
      <c r="G354" s="89">
        <f>IFERROR(VLOOKUP(F354,COA!$A$1:$K$26,2,FALSE),0)</f>
        <v>0</v>
      </c>
      <c r="H354" s="89"/>
      <c r="I354" s="89"/>
      <c r="J354" s="93"/>
      <c r="K354" s="79"/>
      <c r="L354" s="146">
        <f t="shared" si="18"/>
        <v>504000</v>
      </c>
      <c r="M354" s="73"/>
      <c r="N354" s="73"/>
      <c r="O354" s="7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 x14ac:dyDescent="0.35">
      <c r="A355" s="9">
        <f t="shared" si="17"/>
        <v>347</v>
      </c>
      <c r="B355" s="15"/>
      <c r="C355" s="11">
        <f t="shared" si="16"/>
        <v>1</v>
      </c>
      <c r="D355" s="11">
        <v>5</v>
      </c>
      <c r="E355" s="11"/>
      <c r="F355" s="11"/>
      <c r="G355" s="89">
        <f>IFERROR(VLOOKUP(F355,COA!$A$1:$K$26,2,FALSE),0)</f>
        <v>0</v>
      </c>
      <c r="H355" s="89"/>
      <c r="I355" s="89"/>
      <c r="J355" s="93"/>
      <c r="K355" s="79"/>
      <c r="L355" s="146">
        <f t="shared" si="18"/>
        <v>504000</v>
      </c>
      <c r="M355" s="73"/>
      <c r="N355" s="73"/>
      <c r="O355" s="7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 x14ac:dyDescent="0.35">
      <c r="A356" s="9">
        <f t="shared" si="17"/>
        <v>348</v>
      </c>
      <c r="B356" s="15"/>
      <c r="C356" s="11">
        <f t="shared" si="16"/>
        <v>1</v>
      </c>
      <c r="D356" s="11">
        <v>5</v>
      </c>
      <c r="E356" s="11"/>
      <c r="F356" s="11"/>
      <c r="G356" s="89">
        <f>IFERROR(VLOOKUP(F356,COA!$A$1:$K$26,2,FALSE),0)</f>
        <v>0</v>
      </c>
      <c r="H356" s="89"/>
      <c r="I356" s="89"/>
      <c r="J356" s="93"/>
      <c r="K356" s="83"/>
      <c r="L356" s="146">
        <f t="shared" si="18"/>
        <v>504000</v>
      </c>
      <c r="M356" s="73"/>
      <c r="N356" s="73"/>
      <c r="O356" s="7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 x14ac:dyDescent="0.35">
      <c r="A357" s="9">
        <f t="shared" si="17"/>
        <v>349</v>
      </c>
      <c r="B357" s="15"/>
      <c r="C357" s="11">
        <f t="shared" si="16"/>
        <v>1</v>
      </c>
      <c r="D357" s="11">
        <v>5</v>
      </c>
      <c r="E357" s="11"/>
      <c r="F357" s="11"/>
      <c r="G357" s="89">
        <f>IFERROR(VLOOKUP(F357,COA!$A$1:$K$26,2,FALSE),0)</f>
        <v>0</v>
      </c>
      <c r="H357" s="91"/>
      <c r="I357" s="89"/>
      <c r="J357" s="93"/>
      <c r="K357" s="78"/>
      <c r="L357" s="146">
        <f t="shared" si="18"/>
        <v>504000</v>
      </c>
      <c r="M357" s="73"/>
      <c r="N357" s="73"/>
      <c r="O357" s="7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 x14ac:dyDescent="0.35">
      <c r="A358" s="9">
        <f t="shared" si="17"/>
        <v>350</v>
      </c>
      <c r="B358" s="15"/>
      <c r="C358" s="11">
        <f t="shared" si="16"/>
        <v>1</v>
      </c>
      <c r="D358" s="11">
        <v>5</v>
      </c>
      <c r="E358" s="11"/>
      <c r="F358" s="11"/>
      <c r="G358" s="89">
        <f>IFERROR(VLOOKUP(F358,COA!$A$1:$K$26,2,FALSE),0)</f>
        <v>0</v>
      </c>
      <c r="H358" s="89"/>
      <c r="I358" s="89"/>
      <c r="J358" s="93"/>
      <c r="K358" s="79"/>
      <c r="L358" s="146">
        <f t="shared" si="18"/>
        <v>504000</v>
      </c>
      <c r="M358" s="73"/>
      <c r="N358" s="73"/>
      <c r="O358" s="7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 x14ac:dyDescent="0.35">
      <c r="A359" s="9">
        <f t="shared" si="17"/>
        <v>351</v>
      </c>
      <c r="B359" s="15"/>
      <c r="C359" s="11">
        <f t="shared" si="16"/>
        <v>1</v>
      </c>
      <c r="D359" s="11">
        <v>5</v>
      </c>
      <c r="E359" s="11"/>
      <c r="F359" s="11"/>
      <c r="G359" s="89">
        <f>IFERROR(VLOOKUP(F359,COA!$A$1:$K$26,2,FALSE),0)</f>
        <v>0</v>
      </c>
      <c r="H359" s="89"/>
      <c r="I359" s="89"/>
      <c r="J359" s="93"/>
      <c r="K359" s="81"/>
      <c r="L359" s="146">
        <f t="shared" si="18"/>
        <v>504000</v>
      </c>
      <c r="M359" s="73">
        <v>12535852</v>
      </c>
      <c r="N359" s="73">
        <v>304000</v>
      </c>
      <c r="O359" s="73">
        <f>L359-M359-N359</f>
        <v>-12335852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 x14ac:dyDescent="0.35">
      <c r="A360" s="9">
        <f t="shared" si="17"/>
        <v>352</v>
      </c>
      <c r="B360" s="15"/>
      <c r="C360" s="11">
        <f t="shared" si="16"/>
        <v>1</v>
      </c>
      <c r="D360" s="11">
        <v>5</v>
      </c>
      <c r="E360" s="11"/>
      <c r="F360" s="11"/>
      <c r="G360" s="89">
        <f>IFERROR(VLOOKUP(F360,COA!$A$1:$K$26,2,FALSE),0)</f>
        <v>0</v>
      </c>
      <c r="H360" s="89"/>
      <c r="I360" s="89"/>
      <c r="J360" s="90"/>
      <c r="K360" s="78"/>
      <c r="L360" s="146">
        <f t="shared" si="18"/>
        <v>504000</v>
      </c>
      <c r="M360" s="73"/>
      <c r="N360" s="73"/>
      <c r="O360" s="7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 x14ac:dyDescent="0.35">
      <c r="A361" s="9">
        <f t="shared" si="17"/>
        <v>353</v>
      </c>
      <c r="B361" s="15"/>
      <c r="C361" s="11">
        <f t="shared" si="16"/>
        <v>1</v>
      </c>
      <c r="D361" s="11">
        <v>5</v>
      </c>
      <c r="E361" s="11"/>
      <c r="F361" s="14"/>
      <c r="G361" s="89">
        <f>IFERROR(VLOOKUP(F361,COA!$A$1:$K$26,2,FALSE),0)</f>
        <v>0</v>
      </c>
      <c r="H361" s="89"/>
      <c r="I361" s="89"/>
      <c r="J361" s="93"/>
      <c r="K361" s="78"/>
      <c r="L361" s="146">
        <f t="shared" si="18"/>
        <v>504000</v>
      </c>
      <c r="M361" s="73"/>
      <c r="N361" s="73"/>
      <c r="O361" s="7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 x14ac:dyDescent="0.35">
      <c r="A362" s="9">
        <f t="shared" si="17"/>
        <v>354</v>
      </c>
      <c r="B362" s="15"/>
      <c r="C362" s="11">
        <f t="shared" si="16"/>
        <v>1</v>
      </c>
      <c r="D362" s="11">
        <v>5</v>
      </c>
      <c r="E362" s="11"/>
      <c r="F362" s="14"/>
      <c r="G362" s="89">
        <f>IFERROR(VLOOKUP(F362,COA!$A$1:$K$26,2,FALSE),0)</f>
        <v>0</v>
      </c>
      <c r="H362" s="89"/>
      <c r="I362" s="89"/>
      <c r="J362" s="90"/>
      <c r="K362" s="79"/>
      <c r="L362" s="146">
        <f t="shared" si="18"/>
        <v>504000</v>
      </c>
      <c r="M362" s="73"/>
      <c r="N362" s="73"/>
      <c r="O362" s="7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 x14ac:dyDescent="0.35">
      <c r="A363" s="9">
        <f t="shared" si="17"/>
        <v>355</v>
      </c>
      <c r="B363" s="15"/>
      <c r="C363" s="11">
        <f t="shared" si="16"/>
        <v>1</v>
      </c>
      <c r="D363" s="11">
        <v>5</v>
      </c>
      <c r="E363" s="11"/>
      <c r="F363" s="14"/>
      <c r="G363" s="89">
        <f>IFERROR(VLOOKUP(F363,COA!$A$1:$K$26,2,FALSE),0)</f>
        <v>0</v>
      </c>
      <c r="H363" s="89"/>
      <c r="I363" s="89"/>
      <c r="J363" s="90"/>
      <c r="K363" s="79"/>
      <c r="L363" s="146">
        <f t="shared" si="18"/>
        <v>504000</v>
      </c>
      <c r="M363" s="73"/>
      <c r="N363" s="73"/>
      <c r="O363" s="7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 x14ac:dyDescent="0.35">
      <c r="A364" s="9">
        <f t="shared" si="17"/>
        <v>356</v>
      </c>
      <c r="B364" s="15"/>
      <c r="C364" s="11">
        <f t="shared" si="16"/>
        <v>1</v>
      </c>
      <c r="D364" s="11">
        <v>5</v>
      </c>
      <c r="E364" s="11"/>
      <c r="F364" s="14"/>
      <c r="G364" s="89">
        <f>IFERROR(VLOOKUP(F364,COA!$A$1:$K$26,2,FALSE),0)</f>
        <v>0</v>
      </c>
      <c r="H364" s="89"/>
      <c r="I364" s="89"/>
      <c r="J364" s="90"/>
      <c r="K364" s="79"/>
      <c r="L364" s="146">
        <f t="shared" si="18"/>
        <v>504000</v>
      </c>
      <c r="M364" s="73"/>
      <c r="N364" s="73"/>
      <c r="O364" s="7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 x14ac:dyDescent="0.35">
      <c r="A365" s="9">
        <f t="shared" si="17"/>
        <v>357</v>
      </c>
      <c r="B365" s="15"/>
      <c r="C365" s="11">
        <f t="shared" si="16"/>
        <v>1</v>
      </c>
      <c r="D365" s="11">
        <v>5</v>
      </c>
      <c r="E365" s="11"/>
      <c r="F365" s="14"/>
      <c r="G365" s="89">
        <f>IFERROR(VLOOKUP(F365,COA!$A$1:$K$26,2,FALSE),0)</f>
        <v>0</v>
      </c>
      <c r="H365" s="89"/>
      <c r="I365" s="89"/>
      <c r="J365" s="93"/>
      <c r="K365" s="78"/>
      <c r="L365" s="146">
        <f t="shared" si="18"/>
        <v>504000</v>
      </c>
      <c r="M365" s="73"/>
      <c r="N365" s="73"/>
      <c r="O365" s="7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 x14ac:dyDescent="0.35">
      <c r="A366" s="9">
        <f t="shared" si="17"/>
        <v>358</v>
      </c>
      <c r="B366" s="15"/>
      <c r="C366" s="11">
        <f t="shared" si="16"/>
        <v>1</v>
      </c>
      <c r="D366" s="11">
        <v>5</v>
      </c>
      <c r="E366" s="11"/>
      <c r="F366" s="14"/>
      <c r="G366" s="89">
        <f>IFERROR(VLOOKUP(F366,COA!$A$1:$K$26,2,FALSE),0)</f>
        <v>0</v>
      </c>
      <c r="H366" s="89"/>
      <c r="I366" s="89"/>
      <c r="J366" s="90"/>
      <c r="K366" s="79"/>
      <c r="L366" s="146">
        <f t="shared" si="18"/>
        <v>504000</v>
      </c>
      <c r="M366" s="73"/>
      <c r="N366" s="73"/>
      <c r="O366" s="7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 x14ac:dyDescent="0.35">
      <c r="A367" s="9">
        <f t="shared" si="17"/>
        <v>359</v>
      </c>
      <c r="B367" s="15"/>
      <c r="C367" s="11">
        <f t="shared" si="16"/>
        <v>1</v>
      </c>
      <c r="D367" s="11">
        <v>5</v>
      </c>
      <c r="E367" s="11"/>
      <c r="F367" s="14"/>
      <c r="G367" s="89">
        <f>IFERROR(VLOOKUP(F367,COA!$A$1:$K$26,2,FALSE),0)</f>
        <v>0</v>
      </c>
      <c r="H367" s="89"/>
      <c r="I367" s="89"/>
      <c r="J367" s="90"/>
      <c r="K367" s="79"/>
      <c r="L367" s="146">
        <f t="shared" si="18"/>
        <v>504000</v>
      </c>
      <c r="M367" s="73"/>
      <c r="N367" s="73"/>
      <c r="O367" s="7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 x14ac:dyDescent="0.35">
      <c r="A368" s="9">
        <f t="shared" si="17"/>
        <v>360</v>
      </c>
      <c r="B368" s="15"/>
      <c r="C368" s="11">
        <f t="shared" si="16"/>
        <v>1</v>
      </c>
      <c r="D368" s="11">
        <v>5</v>
      </c>
      <c r="E368" s="11"/>
      <c r="F368" s="14"/>
      <c r="G368" s="89">
        <f>IFERROR(VLOOKUP(F368,COA!$A$1:$K$26,2,FALSE),0)</f>
        <v>0</v>
      </c>
      <c r="H368" s="89"/>
      <c r="I368" s="89"/>
      <c r="J368" s="90"/>
      <c r="K368" s="79"/>
      <c r="L368" s="146">
        <f t="shared" si="18"/>
        <v>504000</v>
      </c>
      <c r="M368" s="78"/>
      <c r="N368" s="78"/>
      <c r="O368" s="7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 x14ac:dyDescent="0.35">
      <c r="A369" s="9">
        <f t="shared" si="17"/>
        <v>361</v>
      </c>
      <c r="B369" s="15"/>
      <c r="C369" s="11">
        <f t="shared" si="16"/>
        <v>1</v>
      </c>
      <c r="D369" s="11">
        <v>5</v>
      </c>
      <c r="E369" s="11"/>
      <c r="F369" s="14"/>
      <c r="G369" s="89">
        <f>IFERROR(VLOOKUP(F369,COA!$A$1:$K$26,2,FALSE),0)</f>
        <v>0</v>
      </c>
      <c r="H369" s="89"/>
      <c r="I369" s="89"/>
      <c r="J369" s="93"/>
      <c r="K369" s="78"/>
      <c r="L369" s="146">
        <f t="shared" si="18"/>
        <v>504000</v>
      </c>
      <c r="M369" s="78"/>
      <c r="N369" s="78"/>
      <c r="O369" s="7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 x14ac:dyDescent="0.35">
      <c r="A370" s="9">
        <f t="shared" si="17"/>
        <v>362</v>
      </c>
      <c r="B370" s="15"/>
      <c r="C370" s="11">
        <f t="shared" si="16"/>
        <v>1</v>
      </c>
      <c r="D370" s="11">
        <v>5</v>
      </c>
      <c r="E370" s="11"/>
      <c r="F370" s="14"/>
      <c r="G370" s="89">
        <f>IFERROR(VLOOKUP(F370,COA!$A$1:$K$26,2,FALSE),0)</f>
        <v>0</v>
      </c>
      <c r="H370" s="89"/>
      <c r="I370" s="89"/>
      <c r="J370" s="90"/>
      <c r="K370" s="79"/>
      <c r="L370" s="146">
        <f t="shared" si="18"/>
        <v>504000</v>
      </c>
      <c r="M370" s="78"/>
      <c r="N370" s="78"/>
      <c r="O370" s="7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 x14ac:dyDescent="0.35">
      <c r="A371" s="9">
        <f t="shared" si="17"/>
        <v>363</v>
      </c>
      <c r="B371" s="15"/>
      <c r="C371" s="11">
        <f t="shared" si="16"/>
        <v>1</v>
      </c>
      <c r="D371" s="11">
        <v>5</v>
      </c>
      <c r="E371" s="11"/>
      <c r="F371" s="14"/>
      <c r="G371" s="89">
        <f>IFERROR(VLOOKUP(F371,COA!$A$1:$K$26,2,FALSE),0)</f>
        <v>0</v>
      </c>
      <c r="H371" s="89"/>
      <c r="I371" s="89"/>
      <c r="J371" s="90"/>
      <c r="K371" s="79"/>
      <c r="L371" s="146">
        <f t="shared" si="18"/>
        <v>504000</v>
      </c>
      <c r="M371" s="78"/>
      <c r="N371" s="78"/>
      <c r="O371" s="7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 x14ac:dyDescent="0.35">
      <c r="A372" s="9">
        <f t="shared" si="17"/>
        <v>364</v>
      </c>
      <c r="B372" s="15"/>
      <c r="C372" s="11">
        <f t="shared" si="16"/>
        <v>1</v>
      </c>
      <c r="D372" s="11">
        <v>5</v>
      </c>
      <c r="E372" s="11"/>
      <c r="F372" s="14"/>
      <c r="G372" s="89">
        <f>IFERROR(VLOOKUP(F372,COA!$A$1:$K$26,2,FALSE),0)</f>
        <v>0</v>
      </c>
      <c r="H372" s="89"/>
      <c r="I372" s="89"/>
      <c r="J372" s="90"/>
      <c r="K372" s="79"/>
      <c r="L372" s="146">
        <f t="shared" si="18"/>
        <v>504000</v>
      </c>
      <c r="M372" s="78"/>
      <c r="N372" s="78"/>
      <c r="O372" s="7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customHeight="1" x14ac:dyDescent="0.35">
      <c r="A373" s="9">
        <f t="shared" si="17"/>
        <v>365</v>
      </c>
      <c r="B373" s="15"/>
      <c r="C373" s="11">
        <f t="shared" si="16"/>
        <v>1</v>
      </c>
      <c r="D373" s="11">
        <v>5</v>
      </c>
      <c r="E373" s="11"/>
      <c r="F373" s="11"/>
      <c r="G373" s="89">
        <f>IFERROR(VLOOKUP(F373,COA!$A$1:$K$26,2,FALSE),0)</f>
        <v>0</v>
      </c>
      <c r="H373" s="91"/>
      <c r="I373" s="91"/>
      <c r="J373" s="90"/>
      <c r="K373" s="78"/>
      <c r="L373" s="146">
        <f t="shared" si="18"/>
        <v>504000</v>
      </c>
      <c r="M373" s="78"/>
      <c r="N373" s="78"/>
      <c r="O373" s="7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 x14ac:dyDescent="0.35">
      <c r="A374" s="9">
        <f t="shared" si="17"/>
        <v>366</v>
      </c>
      <c r="B374" s="15"/>
      <c r="C374" s="11">
        <f t="shared" si="16"/>
        <v>1</v>
      </c>
      <c r="D374" s="11">
        <v>5</v>
      </c>
      <c r="E374" s="11"/>
      <c r="F374" s="14"/>
      <c r="G374" s="89">
        <f>IFERROR(VLOOKUP(F374,COA!$A$1:$K$26,2,FALSE),0)</f>
        <v>0</v>
      </c>
      <c r="H374" s="89"/>
      <c r="I374" s="89"/>
      <c r="J374" s="93"/>
      <c r="K374" s="78"/>
      <c r="L374" s="146">
        <f t="shared" si="18"/>
        <v>504000</v>
      </c>
      <c r="M374" s="78"/>
      <c r="N374" s="78"/>
      <c r="O374" s="7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 x14ac:dyDescent="0.35">
      <c r="A375" s="9">
        <f t="shared" si="17"/>
        <v>367</v>
      </c>
      <c r="B375" s="15"/>
      <c r="C375" s="11">
        <f t="shared" si="16"/>
        <v>1</v>
      </c>
      <c r="D375" s="11">
        <v>5</v>
      </c>
      <c r="E375" s="11"/>
      <c r="F375" s="14"/>
      <c r="G375" s="89">
        <f>IFERROR(VLOOKUP(F375,COA!$A$1:$K$26,2,FALSE),0)</f>
        <v>0</v>
      </c>
      <c r="H375" s="89"/>
      <c r="I375" s="89"/>
      <c r="J375" s="90"/>
      <c r="K375" s="79"/>
      <c r="L375" s="146">
        <f t="shared" si="18"/>
        <v>504000</v>
      </c>
      <c r="M375" s="78"/>
      <c r="N375" s="78"/>
      <c r="O375" s="7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 x14ac:dyDescent="0.35">
      <c r="A376" s="9">
        <f t="shared" si="17"/>
        <v>368</v>
      </c>
      <c r="B376" s="15"/>
      <c r="C376" s="11">
        <f t="shared" si="16"/>
        <v>1</v>
      </c>
      <c r="D376" s="11">
        <v>5</v>
      </c>
      <c r="E376" s="11"/>
      <c r="F376" s="14"/>
      <c r="G376" s="89">
        <f>IFERROR(VLOOKUP(F376,COA!$A$1:$K$26,2,FALSE),0)</f>
        <v>0</v>
      </c>
      <c r="H376" s="89"/>
      <c r="I376" s="89"/>
      <c r="J376" s="90"/>
      <c r="K376" s="79"/>
      <c r="L376" s="146">
        <f t="shared" si="18"/>
        <v>504000</v>
      </c>
      <c r="M376" s="78"/>
      <c r="N376" s="78"/>
      <c r="O376" s="7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 x14ac:dyDescent="0.35">
      <c r="A377" s="9">
        <f t="shared" si="17"/>
        <v>369</v>
      </c>
      <c r="B377" s="15"/>
      <c r="C377" s="11">
        <f t="shared" si="16"/>
        <v>1</v>
      </c>
      <c r="D377" s="11">
        <v>5</v>
      </c>
      <c r="E377" s="11"/>
      <c r="F377" s="14"/>
      <c r="G377" s="89">
        <f>IFERROR(VLOOKUP(F377,COA!$A$1:$K$26,2,FALSE),0)</f>
        <v>0</v>
      </c>
      <c r="H377" s="89"/>
      <c r="I377" s="89"/>
      <c r="J377" s="90"/>
      <c r="K377" s="79"/>
      <c r="L377" s="146">
        <f t="shared" si="18"/>
        <v>504000</v>
      </c>
      <c r="M377" s="78"/>
      <c r="N377" s="78"/>
      <c r="O377" s="7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 x14ac:dyDescent="0.35">
      <c r="A378" s="9">
        <f t="shared" si="17"/>
        <v>370</v>
      </c>
      <c r="B378" s="15"/>
      <c r="C378" s="11">
        <f t="shared" si="16"/>
        <v>1</v>
      </c>
      <c r="D378" s="11">
        <v>5</v>
      </c>
      <c r="E378" s="11"/>
      <c r="F378" s="11"/>
      <c r="G378" s="89">
        <f>IFERROR(VLOOKUP(F378,COA!$A$1:$K$26,2,FALSE),0)</f>
        <v>0</v>
      </c>
      <c r="H378" s="89"/>
      <c r="I378" s="89"/>
      <c r="J378" s="92"/>
      <c r="K378" s="81"/>
      <c r="L378" s="146">
        <f t="shared" si="18"/>
        <v>504000</v>
      </c>
      <c r="M378" s="78"/>
      <c r="N378" s="78"/>
      <c r="O378" s="7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 x14ac:dyDescent="0.35">
      <c r="A379" s="9">
        <f t="shared" si="17"/>
        <v>371</v>
      </c>
      <c r="B379" s="15"/>
      <c r="C379" s="11">
        <f t="shared" si="16"/>
        <v>1</v>
      </c>
      <c r="D379" s="11">
        <v>5</v>
      </c>
      <c r="E379" s="11"/>
      <c r="F379" s="14"/>
      <c r="G379" s="89">
        <f>IFERROR(VLOOKUP(F379,COA!$A$1:$K$26,2,FALSE),0)</f>
        <v>0</v>
      </c>
      <c r="H379" s="89"/>
      <c r="I379" s="89"/>
      <c r="J379" s="93"/>
      <c r="K379" s="78"/>
      <c r="L379" s="146">
        <f t="shared" si="18"/>
        <v>504000</v>
      </c>
      <c r="M379" s="78"/>
      <c r="N379" s="78"/>
      <c r="O379" s="73"/>
      <c r="P379" s="20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 x14ac:dyDescent="0.35">
      <c r="A380" s="9">
        <f t="shared" si="17"/>
        <v>372</v>
      </c>
      <c r="B380" s="15"/>
      <c r="C380" s="11">
        <f t="shared" si="16"/>
        <v>1</v>
      </c>
      <c r="D380" s="11">
        <v>5</v>
      </c>
      <c r="E380" s="11"/>
      <c r="F380" s="14"/>
      <c r="G380" s="89">
        <f>IFERROR(VLOOKUP(F380,COA!$A$1:$K$26,2,FALSE),0)</f>
        <v>0</v>
      </c>
      <c r="H380" s="89"/>
      <c r="I380" s="89"/>
      <c r="J380" s="90"/>
      <c r="K380" s="79"/>
      <c r="L380" s="146">
        <f t="shared" si="18"/>
        <v>504000</v>
      </c>
      <c r="M380" s="78"/>
      <c r="N380" s="78"/>
      <c r="O380" s="7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 x14ac:dyDescent="0.35">
      <c r="A381" s="9">
        <f t="shared" si="17"/>
        <v>373</v>
      </c>
      <c r="B381" s="15"/>
      <c r="C381" s="11">
        <f t="shared" si="16"/>
        <v>1</v>
      </c>
      <c r="D381" s="11">
        <v>5</v>
      </c>
      <c r="E381" s="11"/>
      <c r="F381" s="14"/>
      <c r="G381" s="89">
        <f>IFERROR(VLOOKUP(F381,COA!$A$1:$K$26,2,FALSE),0)</f>
        <v>0</v>
      </c>
      <c r="H381" s="89"/>
      <c r="I381" s="89"/>
      <c r="J381" s="90"/>
      <c r="K381" s="79"/>
      <c r="L381" s="146">
        <f t="shared" si="18"/>
        <v>504000</v>
      </c>
      <c r="M381" s="78"/>
      <c r="N381" s="78"/>
      <c r="O381" s="7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 x14ac:dyDescent="0.35">
      <c r="A382" s="9">
        <f t="shared" si="17"/>
        <v>374</v>
      </c>
      <c r="B382" s="15"/>
      <c r="C382" s="11">
        <f t="shared" si="16"/>
        <v>1</v>
      </c>
      <c r="D382" s="11">
        <v>5</v>
      </c>
      <c r="E382" s="11"/>
      <c r="F382" s="14"/>
      <c r="G382" s="89">
        <f>IFERROR(VLOOKUP(F382,COA!$A$1:$K$26,2,FALSE),0)</f>
        <v>0</v>
      </c>
      <c r="H382" s="89"/>
      <c r="I382" s="89"/>
      <c r="J382" s="90"/>
      <c r="K382" s="79"/>
      <c r="L382" s="146">
        <f t="shared" si="18"/>
        <v>504000</v>
      </c>
      <c r="M382" s="78"/>
      <c r="N382" s="78"/>
      <c r="O382" s="7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 x14ac:dyDescent="0.35">
      <c r="A383" s="9">
        <f t="shared" si="17"/>
        <v>375</v>
      </c>
      <c r="B383" s="15"/>
      <c r="C383" s="11">
        <f t="shared" si="16"/>
        <v>1</v>
      </c>
      <c r="D383" s="11">
        <v>5</v>
      </c>
      <c r="E383" s="11"/>
      <c r="F383" s="14"/>
      <c r="G383" s="89">
        <f>IFERROR(VLOOKUP(F383,COA!$A$1:$K$26,2,FALSE),0)</f>
        <v>0</v>
      </c>
      <c r="H383" s="89"/>
      <c r="I383" s="89"/>
      <c r="J383" s="93"/>
      <c r="K383" s="78"/>
      <c r="L383" s="146">
        <f t="shared" si="18"/>
        <v>504000</v>
      </c>
      <c r="M383" s="78"/>
      <c r="N383" s="78"/>
      <c r="O383" s="7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 x14ac:dyDescent="0.35">
      <c r="A384" s="9">
        <f t="shared" si="17"/>
        <v>376</v>
      </c>
      <c r="B384" s="15"/>
      <c r="C384" s="11">
        <f t="shared" si="16"/>
        <v>1</v>
      </c>
      <c r="D384" s="11">
        <v>5</v>
      </c>
      <c r="E384" s="11"/>
      <c r="F384" s="14"/>
      <c r="G384" s="89">
        <f>IFERROR(VLOOKUP(F384,COA!$A$1:$K$26,2,FALSE),0)</f>
        <v>0</v>
      </c>
      <c r="H384" s="89"/>
      <c r="I384" s="89"/>
      <c r="J384" s="90"/>
      <c r="K384" s="79"/>
      <c r="L384" s="146">
        <f t="shared" si="18"/>
        <v>504000</v>
      </c>
      <c r="M384" s="78"/>
      <c r="N384" s="78"/>
      <c r="O384" s="7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 x14ac:dyDescent="0.35">
      <c r="A385" s="9">
        <f t="shared" si="17"/>
        <v>377</v>
      </c>
      <c r="B385" s="15"/>
      <c r="C385" s="11">
        <f t="shared" si="16"/>
        <v>1</v>
      </c>
      <c r="D385" s="11">
        <v>5</v>
      </c>
      <c r="E385" s="11"/>
      <c r="F385" s="14"/>
      <c r="G385" s="89">
        <f>IFERROR(VLOOKUP(F385,COA!$A$1:$K$26,2,FALSE),0)</f>
        <v>0</v>
      </c>
      <c r="H385" s="89"/>
      <c r="I385" s="89"/>
      <c r="J385" s="90"/>
      <c r="K385" s="79"/>
      <c r="L385" s="146">
        <f t="shared" si="18"/>
        <v>504000</v>
      </c>
      <c r="M385" s="78"/>
      <c r="N385" s="78"/>
      <c r="O385" s="7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 x14ac:dyDescent="0.35">
      <c r="A386" s="9">
        <f t="shared" si="17"/>
        <v>378</v>
      </c>
      <c r="B386" s="15"/>
      <c r="C386" s="11">
        <f t="shared" si="16"/>
        <v>1</v>
      </c>
      <c r="D386" s="11">
        <v>5</v>
      </c>
      <c r="E386" s="11"/>
      <c r="F386" s="14"/>
      <c r="G386" s="89">
        <f>IFERROR(VLOOKUP(F386,COA!$A$1:$K$26,2,FALSE),0)</f>
        <v>0</v>
      </c>
      <c r="H386" s="89"/>
      <c r="I386" s="89"/>
      <c r="J386" s="90"/>
      <c r="K386" s="79"/>
      <c r="L386" s="146">
        <f t="shared" si="18"/>
        <v>504000</v>
      </c>
      <c r="M386" s="78"/>
      <c r="N386" s="78"/>
      <c r="O386" s="7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 x14ac:dyDescent="0.35">
      <c r="A387" s="9">
        <f t="shared" si="17"/>
        <v>379</v>
      </c>
      <c r="B387" s="15"/>
      <c r="C387" s="11">
        <f t="shared" si="16"/>
        <v>1</v>
      </c>
      <c r="D387" s="11">
        <v>5</v>
      </c>
      <c r="E387" s="11"/>
      <c r="F387" s="14"/>
      <c r="G387" s="89">
        <f>IFERROR(VLOOKUP(F387,COA!$A$1:$K$26,2,FALSE),0)</f>
        <v>0</v>
      </c>
      <c r="H387" s="89"/>
      <c r="I387" s="89"/>
      <c r="J387" s="93"/>
      <c r="K387" s="78"/>
      <c r="L387" s="146">
        <f t="shared" si="18"/>
        <v>504000</v>
      </c>
      <c r="M387" s="78"/>
      <c r="N387" s="78"/>
      <c r="O387" s="7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 x14ac:dyDescent="0.35">
      <c r="A388" s="9">
        <f t="shared" si="17"/>
        <v>380</v>
      </c>
      <c r="B388" s="15"/>
      <c r="C388" s="11">
        <f t="shared" si="16"/>
        <v>1</v>
      </c>
      <c r="D388" s="11">
        <v>5</v>
      </c>
      <c r="E388" s="11"/>
      <c r="F388" s="14"/>
      <c r="G388" s="89">
        <f>IFERROR(VLOOKUP(F388,COA!$A$1:$K$26,2,FALSE),0)</f>
        <v>0</v>
      </c>
      <c r="H388" s="89"/>
      <c r="I388" s="89"/>
      <c r="J388" s="90"/>
      <c r="K388" s="79"/>
      <c r="L388" s="146">
        <f t="shared" si="18"/>
        <v>504000</v>
      </c>
      <c r="M388" s="78"/>
      <c r="N388" s="78"/>
      <c r="O388" s="7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 x14ac:dyDescent="0.35">
      <c r="A389" s="9">
        <f t="shared" si="17"/>
        <v>381</v>
      </c>
      <c r="B389" s="15"/>
      <c r="C389" s="11">
        <f t="shared" si="16"/>
        <v>1</v>
      </c>
      <c r="D389" s="11">
        <v>5</v>
      </c>
      <c r="E389" s="11"/>
      <c r="F389" s="14"/>
      <c r="G389" s="89">
        <f>IFERROR(VLOOKUP(F389,COA!$A$1:$K$26,2,FALSE),0)</f>
        <v>0</v>
      </c>
      <c r="H389" s="89"/>
      <c r="I389" s="89"/>
      <c r="J389" s="90"/>
      <c r="K389" s="79"/>
      <c r="L389" s="146">
        <f t="shared" si="18"/>
        <v>504000</v>
      </c>
      <c r="M389" s="78"/>
      <c r="N389" s="78"/>
      <c r="O389" s="7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 x14ac:dyDescent="0.35">
      <c r="A390" s="9">
        <f t="shared" si="17"/>
        <v>382</v>
      </c>
      <c r="B390" s="15"/>
      <c r="C390" s="11">
        <f t="shared" si="16"/>
        <v>1</v>
      </c>
      <c r="D390" s="11">
        <v>5</v>
      </c>
      <c r="E390" s="11"/>
      <c r="F390" s="14"/>
      <c r="G390" s="89">
        <f>IFERROR(VLOOKUP(F390,COA!$A$1:$K$26,2,FALSE),0)</f>
        <v>0</v>
      </c>
      <c r="H390" s="89"/>
      <c r="I390" s="89"/>
      <c r="J390" s="90"/>
      <c r="K390" s="79"/>
      <c r="L390" s="146">
        <f t="shared" si="18"/>
        <v>504000</v>
      </c>
      <c r="M390" s="78"/>
      <c r="N390" s="78"/>
      <c r="O390" s="7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 x14ac:dyDescent="0.35">
      <c r="A391" s="9">
        <f t="shared" si="17"/>
        <v>383</v>
      </c>
      <c r="B391" s="15"/>
      <c r="C391" s="11">
        <f t="shared" si="16"/>
        <v>1</v>
      </c>
      <c r="D391" s="11">
        <v>5</v>
      </c>
      <c r="E391" s="11"/>
      <c r="F391" s="11"/>
      <c r="G391" s="89">
        <f>IFERROR(VLOOKUP(F391,COA!$A$1:$K$26,2,FALSE),0)</f>
        <v>0</v>
      </c>
      <c r="H391" s="89"/>
      <c r="I391" s="89"/>
      <c r="J391" s="90"/>
      <c r="K391" s="78"/>
      <c r="L391" s="146">
        <f t="shared" si="18"/>
        <v>504000</v>
      </c>
      <c r="M391" s="78"/>
      <c r="N391" s="78"/>
      <c r="O391" s="7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 x14ac:dyDescent="0.35">
      <c r="A392" s="9">
        <f t="shared" si="17"/>
        <v>384</v>
      </c>
      <c r="B392" s="15"/>
      <c r="C392" s="11">
        <f t="shared" ref="C392:C455" si="19">MONTH(B392)</f>
        <v>1</v>
      </c>
      <c r="D392" s="11">
        <v>5</v>
      </c>
      <c r="E392" s="11"/>
      <c r="F392" s="11"/>
      <c r="G392" s="89">
        <f>IFERROR(VLOOKUP(F392,COA!$A$1:$K$26,2,FALSE),0)</f>
        <v>0</v>
      </c>
      <c r="H392" s="91"/>
      <c r="I392" s="91"/>
      <c r="J392" s="94"/>
      <c r="K392" s="78"/>
      <c r="L392" s="146">
        <f t="shared" si="18"/>
        <v>504000</v>
      </c>
      <c r="M392" s="78"/>
      <c r="N392" s="78"/>
      <c r="O392" s="7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 x14ac:dyDescent="0.35">
      <c r="A393" s="9">
        <f t="shared" si="17"/>
        <v>385</v>
      </c>
      <c r="B393" s="15"/>
      <c r="C393" s="11">
        <f t="shared" si="19"/>
        <v>1</v>
      </c>
      <c r="D393" s="11">
        <v>5</v>
      </c>
      <c r="E393" s="11"/>
      <c r="F393" s="11"/>
      <c r="G393" s="89">
        <f>IFERROR(VLOOKUP(F393,COA!$A$1:$K$26,2,FALSE),0)</f>
        <v>0</v>
      </c>
      <c r="H393" s="91"/>
      <c r="I393" s="91"/>
      <c r="J393" s="94"/>
      <c r="K393" s="78"/>
      <c r="L393" s="146">
        <f t="shared" si="18"/>
        <v>504000</v>
      </c>
      <c r="M393" s="78"/>
      <c r="N393" s="78"/>
      <c r="O393" s="7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 x14ac:dyDescent="0.35">
      <c r="A394" s="9">
        <f t="shared" si="17"/>
        <v>386</v>
      </c>
      <c r="B394" s="15"/>
      <c r="C394" s="11">
        <f t="shared" si="19"/>
        <v>1</v>
      </c>
      <c r="D394" s="11">
        <v>5</v>
      </c>
      <c r="E394" s="11"/>
      <c r="F394" s="11"/>
      <c r="G394" s="89">
        <f>IFERROR(VLOOKUP(F394,COA!$A$1:$K$26,2,FALSE),0)</f>
        <v>0</v>
      </c>
      <c r="H394" s="91"/>
      <c r="I394" s="91"/>
      <c r="J394" s="94"/>
      <c r="K394" s="78"/>
      <c r="L394" s="146">
        <f t="shared" si="18"/>
        <v>504000</v>
      </c>
      <c r="M394" s="78"/>
      <c r="N394" s="78"/>
      <c r="O394" s="7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 x14ac:dyDescent="0.35">
      <c r="A395" s="9">
        <f t="shared" ref="A395:A458" si="20">A394+1</f>
        <v>387</v>
      </c>
      <c r="B395" s="15"/>
      <c r="C395" s="11">
        <f t="shared" si="19"/>
        <v>1</v>
      </c>
      <c r="D395" s="11">
        <v>5</v>
      </c>
      <c r="E395" s="11"/>
      <c r="F395" s="11"/>
      <c r="G395" s="89">
        <f>IFERROR(VLOOKUP(F395,COA!$A$1:$K$26,2,FALSE),0)</f>
        <v>0</v>
      </c>
      <c r="H395" s="91"/>
      <c r="I395" s="91"/>
      <c r="J395" s="94"/>
      <c r="K395" s="78"/>
      <c r="L395" s="146">
        <f t="shared" ref="L395:L458" si="21">L394+J395-K395</f>
        <v>504000</v>
      </c>
      <c r="M395" s="78"/>
      <c r="N395" s="78"/>
      <c r="O395" s="7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 x14ac:dyDescent="0.35">
      <c r="A396" s="9">
        <f t="shared" si="20"/>
        <v>388</v>
      </c>
      <c r="B396" s="15"/>
      <c r="C396" s="11">
        <f t="shared" si="19"/>
        <v>1</v>
      </c>
      <c r="D396" s="11">
        <v>5</v>
      </c>
      <c r="E396" s="11"/>
      <c r="F396" s="11"/>
      <c r="G396" s="89">
        <f>IFERROR(VLOOKUP(F396,COA!$A$1:$K$26,2,FALSE),0)</f>
        <v>0</v>
      </c>
      <c r="H396" s="91"/>
      <c r="I396" s="91"/>
      <c r="J396" s="94"/>
      <c r="K396" s="78"/>
      <c r="L396" s="146">
        <f t="shared" si="21"/>
        <v>504000</v>
      </c>
      <c r="M396" s="78"/>
      <c r="N396" s="78"/>
      <c r="O396" s="7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 x14ac:dyDescent="0.35">
      <c r="A397" s="9">
        <f t="shared" si="20"/>
        <v>389</v>
      </c>
      <c r="B397" s="15"/>
      <c r="C397" s="11">
        <f t="shared" si="19"/>
        <v>1</v>
      </c>
      <c r="D397" s="11">
        <v>5</v>
      </c>
      <c r="E397" s="11"/>
      <c r="F397" s="11"/>
      <c r="G397" s="89">
        <f>IFERROR(VLOOKUP(F397,COA!$A$1:$K$26,2,FALSE),0)</f>
        <v>0</v>
      </c>
      <c r="H397" s="89"/>
      <c r="I397" s="89"/>
      <c r="J397" s="92"/>
      <c r="K397" s="81"/>
      <c r="L397" s="146">
        <f t="shared" si="21"/>
        <v>504000</v>
      </c>
      <c r="M397" s="78"/>
      <c r="N397" s="78"/>
      <c r="O397" s="7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 x14ac:dyDescent="0.35">
      <c r="A398" s="9">
        <f t="shared" si="20"/>
        <v>390</v>
      </c>
      <c r="B398" s="15"/>
      <c r="C398" s="11">
        <f t="shared" si="19"/>
        <v>1</v>
      </c>
      <c r="D398" s="11">
        <v>5</v>
      </c>
      <c r="E398" s="11"/>
      <c r="F398" s="11"/>
      <c r="G398" s="89">
        <f>IFERROR(VLOOKUP(F398,COA!$A$1:$K$26,2,FALSE),0)</f>
        <v>0</v>
      </c>
      <c r="H398" s="91"/>
      <c r="I398" s="91"/>
      <c r="J398" s="94"/>
      <c r="K398" s="81"/>
      <c r="L398" s="146">
        <f t="shared" si="21"/>
        <v>504000</v>
      </c>
      <c r="M398" s="78"/>
      <c r="N398" s="78"/>
      <c r="O398" s="7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 x14ac:dyDescent="0.35">
      <c r="A399" s="9">
        <f t="shared" si="20"/>
        <v>391</v>
      </c>
      <c r="B399" s="15"/>
      <c r="C399" s="11">
        <f t="shared" si="19"/>
        <v>1</v>
      </c>
      <c r="D399" s="11">
        <v>5</v>
      </c>
      <c r="E399" s="11"/>
      <c r="F399" s="11"/>
      <c r="G399" s="89">
        <f>IFERROR(VLOOKUP(F399,COA!$A$1:$K$26,2,FALSE),0)</f>
        <v>0</v>
      </c>
      <c r="H399" s="91"/>
      <c r="I399" s="91"/>
      <c r="J399" s="94"/>
      <c r="K399" s="78"/>
      <c r="L399" s="146">
        <f t="shared" si="21"/>
        <v>504000</v>
      </c>
      <c r="M399" s="78"/>
      <c r="N399" s="78"/>
      <c r="O399" s="7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 x14ac:dyDescent="0.35">
      <c r="A400" s="9">
        <f t="shared" si="20"/>
        <v>392</v>
      </c>
      <c r="B400" s="15"/>
      <c r="C400" s="11">
        <f t="shared" si="19"/>
        <v>1</v>
      </c>
      <c r="D400" s="11">
        <v>5</v>
      </c>
      <c r="E400" s="11"/>
      <c r="F400" s="11"/>
      <c r="G400" s="89">
        <f>IFERROR(VLOOKUP(F400,COA!$A$1:$K$26,2,FALSE),0)</f>
        <v>0</v>
      </c>
      <c r="H400" s="13"/>
      <c r="I400" s="13"/>
      <c r="J400" s="77"/>
      <c r="K400" s="78"/>
      <c r="L400" s="146">
        <f t="shared" si="21"/>
        <v>504000</v>
      </c>
      <c r="M400" s="78"/>
      <c r="N400" s="73"/>
      <c r="O400" s="7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 x14ac:dyDescent="0.35">
      <c r="A401" s="9">
        <f t="shared" si="20"/>
        <v>393</v>
      </c>
      <c r="B401" s="15"/>
      <c r="C401" s="11">
        <f t="shared" si="19"/>
        <v>1</v>
      </c>
      <c r="D401" s="11">
        <v>5</v>
      </c>
      <c r="E401" s="11"/>
      <c r="F401" s="11"/>
      <c r="G401" s="89">
        <f>IFERROR(VLOOKUP(F401,COA!$A$1:$K$26,2,FALSE),0)</f>
        <v>0</v>
      </c>
      <c r="H401" s="13"/>
      <c r="I401" s="13"/>
      <c r="J401" s="77"/>
      <c r="K401" s="78"/>
      <c r="L401" s="146">
        <f t="shared" si="21"/>
        <v>504000</v>
      </c>
      <c r="M401" s="78"/>
      <c r="N401" s="73"/>
      <c r="O401" s="7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 x14ac:dyDescent="0.35">
      <c r="A402" s="9">
        <f t="shared" si="20"/>
        <v>394</v>
      </c>
      <c r="B402" s="15"/>
      <c r="C402" s="11">
        <f t="shared" si="19"/>
        <v>1</v>
      </c>
      <c r="D402" s="11">
        <v>5</v>
      </c>
      <c r="E402" s="11"/>
      <c r="F402" s="11"/>
      <c r="G402" s="89">
        <f>IFERROR(VLOOKUP(F402,COA!$A$1:$K$26,2,FALSE),0)</f>
        <v>0</v>
      </c>
      <c r="H402" s="13"/>
      <c r="I402" s="13"/>
      <c r="J402" s="77"/>
      <c r="K402" s="78"/>
      <c r="L402" s="146">
        <f t="shared" si="21"/>
        <v>504000</v>
      </c>
      <c r="M402" s="73"/>
      <c r="N402" s="73"/>
      <c r="O402" s="7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 x14ac:dyDescent="0.35">
      <c r="A403" s="9">
        <f t="shared" si="20"/>
        <v>395</v>
      </c>
      <c r="B403" s="15"/>
      <c r="C403" s="11">
        <f t="shared" si="19"/>
        <v>1</v>
      </c>
      <c r="D403" s="11">
        <v>5</v>
      </c>
      <c r="E403" s="11"/>
      <c r="F403" s="11"/>
      <c r="G403" s="89">
        <f>IFERROR(VLOOKUP(F403,COA!$A$1:$K$26,2,FALSE),0)</f>
        <v>0</v>
      </c>
      <c r="H403" s="13"/>
      <c r="I403" s="13"/>
      <c r="J403" s="77"/>
      <c r="K403" s="78"/>
      <c r="L403" s="146">
        <f t="shared" si="21"/>
        <v>504000</v>
      </c>
      <c r="M403" s="78"/>
      <c r="N403" s="78"/>
      <c r="O403" s="7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 x14ac:dyDescent="0.35">
      <c r="A404" s="9">
        <f t="shared" si="20"/>
        <v>396</v>
      </c>
      <c r="B404" s="15"/>
      <c r="C404" s="11">
        <f t="shared" si="19"/>
        <v>1</v>
      </c>
      <c r="D404" s="11">
        <v>5</v>
      </c>
      <c r="E404" s="11"/>
      <c r="F404" s="14"/>
      <c r="G404" s="89">
        <f>IFERROR(VLOOKUP(F404,COA!$A$1:$K$26,2,FALSE),0)</f>
        <v>0</v>
      </c>
      <c r="H404" s="11"/>
      <c r="I404" s="11"/>
      <c r="J404" s="79"/>
      <c r="K404" s="78"/>
      <c r="L404" s="146">
        <f t="shared" si="21"/>
        <v>504000</v>
      </c>
      <c r="M404" s="78"/>
      <c r="N404" s="78"/>
      <c r="O404" s="7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 x14ac:dyDescent="0.35">
      <c r="A405" s="9">
        <f t="shared" si="20"/>
        <v>397</v>
      </c>
      <c r="B405" s="15"/>
      <c r="C405" s="11">
        <f t="shared" si="19"/>
        <v>1</v>
      </c>
      <c r="D405" s="11">
        <v>5</v>
      </c>
      <c r="E405" s="11"/>
      <c r="F405" s="14"/>
      <c r="G405" s="89">
        <f>IFERROR(VLOOKUP(F405,COA!$A$1:$K$26,2,FALSE),0)</f>
        <v>0</v>
      </c>
      <c r="H405" s="11"/>
      <c r="I405" s="11"/>
      <c r="J405" s="78"/>
      <c r="K405" s="79"/>
      <c r="L405" s="146">
        <f t="shared" si="21"/>
        <v>504000</v>
      </c>
      <c r="M405" s="78"/>
      <c r="N405" s="78"/>
      <c r="O405" s="7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 x14ac:dyDescent="0.35">
      <c r="A406" s="9">
        <f t="shared" si="20"/>
        <v>398</v>
      </c>
      <c r="B406" s="15"/>
      <c r="C406" s="11">
        <f t="shared" si="19"/>
        <v>1</v>
      </c>
      <c r="D406" s="11">
        <v>5</v>
      </c>
      <c r="E406" s="11"/>
      <c r="F406" s="14"/>
      <c r="G406" s="89">
        <f>IFERROR(VLOOKUP(F406,COA!$A$1:$K$26,2,FALSE),0)</f>
        <v>0</v>
      </c>
      <c r="H406" s="11"/>
      <c r="I406" s="11"/>
      <c r="J406" s="78"/>
      <c r="K406" s="79"/>
      <c r="L406" s="146">
        <f t="shared" si="21"/>
        <v>504000</v>
      </c>
      <c r="M406" s="78"/>
      <c r="N406" s="78"/>
      <c r="O406" s="7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 x14ac:dyDescent="0.35">
      <c r="A407" s="9">
        <f t="shared" si="20"/>
        <v>399</v>
      </c>
      <c r="B407" s="15"/>
      <c r="C407" s="11">
        <f t="shared" si="19"/>
        <v>1</v>
      </c>
      <c r="D407" s="11">
        <v>5</v>
      </c>
      <c r="E407" s="11"/>
      <c r="F407" s="14"/>
      <c r="G407" s="89">
        <f>IFERROR(VLOOKUP(F407,COA!$A$1:$K$26,2,FALSE),0)</f>
        <v>0</v>
      </c>
      <c r="H407" s="11"/>
      <c r="I407" s="11"/>
      <c r="J407" s="78"/>
      <c r="K407" s="79"/>
      <c r="L407" s="146">
        <f t="shared" si="21"/>
        <v>504000</v>
      </c>
      <c r="M407" s="78"/>
      <c r="N407" s="78"/>
      <c r="O407" s="7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 x14ac:dyDescent="0.35">
      <c r="A408" s="9">
        <f t="shared" si="20"/>
        <v>400</v>
      </c>
      <c r="B408" s="15"/>
      <c r="C408" s="11">
        <f t="shared" si="19"/>
        <v>1</v>
      </c>
      <c r="D408" s="11">
        <v>5</v>
      </c>
      <c r="E408" s="11"/>
      <c r="F408" s="11"/>
      <c r="G408" s="89">
        <f>IFERROR(VLOOKUP(F408,COA!$A$1:$K$26,2,FALSE),0)</f>
        <v>0</v>
      </c>
      <c r="H408" s="13"/>
      <c r="I408" s="13"/>
      <c r="J408" s="81"/>
      <c r="K408" s="81"/>
      <c r="L408" s="146">
        <f t="shared" si="21"/>
        <v>504000</v>
      </c>
      <c r="M408" s="78"/>
      <c r="N408" s="78"/>
      <c r="O408" s="7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 x14ac:dyDescent="0.35">
      <c r="A409" s="9">
        <f t="shared" si="20"/>
        <v>401</v>
      </c>
      <c r="B409" s="15"/>
      <c r="C409" s="11">
        <f t="shared" si="19"/>
        <v>1</v>
      </c>
      <c r="D409" s="11"/>
      <c r="E409" s="11"/>
      <c r="F409" s="14"/>
      <c r="G409" s="89">
        <f>IFERROR(VLOOKUP(F409,COA!$A$1:$K$26,2,FALSE),0)</f>
        <v>0</v>
      </c>
      <c r="H409" s="11"/>
      <c r="I409" s="11"/>
      <c r="J409" s="78"/>
      <c r="K409" s="79"/>
      <c r="L409" s="146">
        <f t="shared" si="21"/>
        <v>504000</v>
      </c>
      <c r="M409" s="78"/>
      <c r="N409" s="78"/>
      <c r="O409" s="7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 x14ac:dyDescent="0.35">
      <c r="A410" s="9">
        <f t="shared" si="20"/>
        <v>402</v>
      </c>
      <c r="B410" s="15"/>
      <c r="C410" s="11">
        <f t="shared" si="19"/>
        <v>1</v>
      </c>
      <c r="D410" s="11"/>
      <c r="E410" s="11"/>
      <c r="F410" s="14"/>
      <c r="G410" s="89">
        <f>IFERROR(VLOOKUP(F410,COA!$A$1:$K$26,2,FALSE),0)</f>
        <v>0</v>
      </c>
      <c r="H410" s="11"/>
      <c r="I410" s="11"/>
      <c r="J410" s="79"/>
      <c r="K410" s="78"/>
      <c r="L410" s="146">
        <f t="shared" si="21"/>
        <v>504000</v>
      </c>
      <c r="M410" s="78"/>
      <c r="N410" s="78"/>
      <c r="O410" s="7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 x14ac:dyDescent="0.35">
      <c r="A411" s="9">
        <f t="shared" si="20"/>
        <v>403</v>
      </c>
      <c r="B411" s="15"/>
      <c r="C411" s="11">
        <f t="shared" si="19"/>
        <v>1</v>
      </c>
      <c r="D411" s="11"/>
      <c r="E411" s="11"/>
      <c r="F411" s="14"/>
      <c r="G411" s="89">
        <f>IFERROR(VLOOKUP(F411,COA!$A$1:$K$26,2,FALSE),0)</f>
        <v>0</v>
      </c>
      <c r="H411" s="11"/>
      <c r="I411" s="11"/>
      <c r="J411" s="78"/>
      <c r="K411" s="79"/>
      <c r="L411" s="146">
        <f t="shared" si="21"/>
        <v>504000</v>
      </c>
      <c r="M411" s="73"/>
      <c r="N411" s="73"/>
      <c r="O411" s="7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 x14ac:dyDescent="0.35">
      <c r="A412" s="9">
        <f t="shared" si="20"/>
        <v>404</v>
      </c>
      <c r="B412" s="15"/>
      <c r="C412" s="11">
        <f t="shared" si="19"/>
        <v>1</v>
      </c>
      <c r="D412" s="11"/>
      <c r="E412" s="11"/>
      <c r="F412" s="14"/>
      <c r="G412" s="89">
        <f>IFERROR(VLOOKUP(F412,COA!$A$1:$K$26,2,FALSE),0)</f>
        <v>0</v>
      </c>
      <c r="H412" s="11"/>
      <c r="I412" s="11"/>
      <c r="J412" s="78"/>
      <c r="K412" s="79"/>
      <c r="L412" s="146">
        <f t="shared" si="21"/>
        <v>504000</v>
      </c>
      <c r="M412" s="73"/>
      <c r="N412" s="73"/>
      <c r="O412" s="7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 x14ac:dyDescent="0.35">
      <c r="A413" s="9">
        <f t="shared" si="20"/>
        <v>405</v>
      </c>
      <c r="B413" s="15"/>
      <c r="C413" s="11">
        <f t="shared" si="19"/>
        <v>1</v>
      </c>
      <c r="D413" s="11"/>
      <c r="E413" s="11"/>
      <c r="F413" s="14"/>
      <c r="G413" s="89">
        <f>IFERROR(VLOOKUP(F413,COA!$A$1:$K$26,2,FALSE),0)</f>
        <v>0</v>
      </c>
      <c r="H413" s="11"/>
      <c r="I413" s="11"/>
      <c r="J413" s="78"/>
      <c r="K413" s="79"/>
      <c r="L413" s="146">
        <f t="shared" si="21"/>
        <v>504000</v>
      </c>
      <c r="M413" s="73"/>
      <c r="N413" s="73"/>
      <c r="O413" s="7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 x14ac:dyDescent="0.35">
      <c r="A414" s="9">
        <f t="shared" si="20"/>
        <v>406</v>
      </c>
      <c r="B414" s="15"/>
      <c r="C414" s="11">
        <f t="shared" si="19"/>
        <v>1</v>
      </c>
      <c r="D414" s="11"/>
      <c r="E414" s="11"/>
      <c r="F414" s="11"/>
      <c r="G414" s="89">
        <f>IFERROR(VLOOKUP(F414,COA!$A$1:$K$26,2,FALSE),0)</f>
        <v>0</v>
      </c>
      <c r="H414" s="11"/>
      <c r="I414" s="11"/>
      <c r="J414" s="78"/>
      <c r="K414" s="78"/>
      <c r="L414" s="146">
        <f t="shared" si="21"/>
        <v>504000</v>
      </c>
      <c r="M414" s="73"/>
      <c r="N414" s="73"/>
      <c r="O414" s="7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 x14ac:dyDescent="0.35">
      <c r="A415" s="9">
        <f t="shared" si="20"/>
        <v>407</v>
      </c>
      <c r="B415" s="15"/>
      <c r="C415" s="11">
        <f t="shared" si="19"/>
        <v>1</v>
      </c>
      <c r="D415" s="11"/>
      <c r="E415" s="11"/>
      <c r="F415" s="11"/>
      <c r="G415" s="89">
        <f>IFERROR(VLOOKUP(F415,COA!$A$1:$K$26,2,FALSE),0)</f>
        <v>0</v>
      </c>
      <c r="H415" s="13"/>
      <c r="I415" s="13"/>
      <c r="J415" s="77"/>
      <c r="K415" s="78"/>
      <c r="L415" s="146">
        <f t="shared" si="21"/>
        <v>504000</v>
      </c>
      <c r="M415" s="73"/>
      <c r="N415" s="73"/>
      <c r="O415" s="7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 x14ac:dyDescent="0.35">
      <c r="A416" s="9">
        <f t="shared" si="20"/>
        <v>408</v>
      </c>
      <c r="B416" s="15"/>
      <c r="C416" s="11">
        <f t="shared" si="19"/>
        <v>1</v>
      </c>
      <c r="D416" s="11"/>
      <c r="E416" s="11"/>
      <c r="F416" s="11"/>
      <c r="G416" s="89">
        <f>IFERROR(VLOOKUP(F416,COA!$A$1:$K$26,2,FALSE),0)</f>
        <v>0</v>
      </c>
      <c r="H416" s="11"/>
      <c r="I416" s="11"/>
      <c r="J416" s="81"/>
      <c r="K416" s="81"/>
      <c r="L416" s="146">
        <f t="shared" si="21"/>
        <v>504000</v>
      </c>
      <c r="M416" s="73"/>
      <c r="N416" s="73"/>
      <c r="O416" s="7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 x14ac:dyDescent="0.35">
      <c r="A417" s="9">
        <f t="shared" si="20"/>
        <v>409</v>
      </c>
      <c r="B417" s="15"/>
      <c r="C417" s="11">
        <f t="shared" si="19"/>
        <v>1</v>
      </c>
      <c r="D417" s="11"/>
      <c r="E417" s="11"/>
      <c r="F417" s="14"/>
      <c r="G417" s="89">
        <f>IFERROR(VLOOKUP(F417,COA!$A$1:$K$26,2,FALSE),0)</f>
        <v>0</v>
      </c>
      <c r="H417" s="11"/>
      <c r="I417" s="11"/>
      <c r="J417" s="79"/>
      <c r="K417" s="78"/>
      <c r="L417" s="146">
        <f t="shared" si="21"/>
        <v>504000</v>
      </c>
      <c r="M417" s="73"/>
      <c r="N417" s="73"/>
      <c r="O417" s="7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 x14ac:dyDescent="0.35">
      <c r="A418" s="9">
        <f t="shared" si="20"/>
        <v>410</v>
      </c>
      <c r="B418" s="15"/>
      <c r="C418" s="11">
        <f t="shared" si="19"/>
        <v>1</v>
      </c>
      <c r="D418" s="11"/>
      <c r="E418" s="11"/>
      <c r="F418" s="14"/>
      <c r="G418" s="89">
        <f>IFERROR(VLOOKUP(F418,COA!$A$1:$K$26,2,FALSE),0)</f>
        <v>0</v>
      </c>
      <c r="H418" s="11"/>
      <c r="I418" s="11"/>
      <c r="J418" s="78"/>
      <c r="K418" s="79"/>
      <c r="L418" s="146">
        <f t="shared" si="21"/>
        <v>504000</v>
      </c>
      <c r="M418" s="73"/>
      <c r="N418" s="73"/>
      <c r="O418" s="7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 x14ac:dyDescent="0.35">
      <c r="A419" s="9">
        <f t="shared" si="20"/>
        <v>411</v>
      </c>
      <c r="B419" s="15"/>
      <c r="C419" s="11">
        <f t="shared" si="19"/>
        <v>1</v>
      </c>
      <c r="D419" s="11"/>
      <c r="E419" s="11"/>
      <c r="F419" s="14"/>
      <c r="G419" s="89">
        <f>IFERROR(VLOOKUP(F419,COA!$A$1:$K$26,2,FALSE),0)</f>
        <v>0</v>
      </c>
      <c r="H419" s="11"/>
      <c r="I419" s="11"/>
      <c r="J419" s="78"/>
      <c r="K419" s="79"/>
      <c r="L419" s="146">
        <f t="shared" si="21"/>
        <v>504000</v>
      </c>
      <c r="M419" s="73"/>
      <c r="N419" s="73"/>
      <c r="O419" s="7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 x14ac:dyDescent="0.35">
      <c r="A420" s="9">
        <f t="shared" si="20"/>
        <v>412</v>
      </c>
      <c r="B420" s="15"/>
      <c r="C420" s="11">
        <f t="shared" si="19"/>
        <v>1</v>
      </c>
      <c r="D420" s="11"/>
      <c r="E420" s="11"/>
      <c r="F420" s="14"/>
      <c r="G420" s="89">
        <f>IFERROR(VLOOKUP(F420,COA!$A$1:$K$26,2,FALSE),0)</f>
        <v>0</v>
      </c>
      <c r="H420" s="11"/>
      <c r="I420" s="11"/>
      <c r="J420" s="78"/>
      <c r="K420" s="79"/>
      <c r="L420" s="146">
        <f t="shared" si="21"/>
        <v>504000</v>
      </c>
      <c r="M420" s="73"/>
      <c r="N420" s="73"/>
      <c r="O420" s="7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 x14ac:dyDescent="0.35">
      <c r="A421" s="9">
        <f t="shared" si="20"/>
        <v>413</v>
      </c>
      <c r="B421" s="15"/>
      <c r="C421" s="11">
        <f t="shared" si="19"/>
        <v>1</v>
      </c>
      <c r="D421" s="11"/>
      <c r="E421" s="11"/>
      <c r="F421" s="11"/>
      <c r="G421" s="89">
        <f>IFERROR(VLOOKUP(F421,COA!$A$1:$K$26,2,FALSE),0)</f>
        <v>0</v>
      </c>
      <c r="H421" s="13"/>
      <c r="I421" s="13"/>
      <c r="J421" s="78"/>
      <c r="K421" s="78"/>
      <c r="L421" s="146">
        <f t="shared" si="21"/>
        <v>504000</v>
      </c>
      <c r="M421" s="73"/>
      <c r="N421" s="73"/>
      <c r="O421" s="7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 x14ac:dyDescent="0.35">
      <c r="A422" s="9">
        <f t="shared" si="20"/>
        <v>414</v>
      </c>
      <c r="B422" s="15"/>
      <c r="C422" s="11">
        <f t="shared" si="19"/>
        <v>1</v>
      </c>
      <c r="D422" s="11"/>
      <c r="E422" s="11"/>
      <c r="F422" s="14"/>
      <c r="G422" s="89">
        <f>IFERROR(VLOOKUP(F422,COA!$A$1:$K$26,2,FALSE),0)</f>
        <v>0</v>
      </c>
      <c r="H422" s="11"/>
      <c r="I422" s="11"/>
      <c r="J422" s="79"/>
      <c r="K422" s="78"/>
      <c r="L422" s="146">
        <f t="shared" si="21"/>
        <v>504000</v>
      </c>
      <c r="M422" s="73"/>
      <c r="N422" s="73"/>
      <c r="O422" s="7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 x14ac:dyDescent="0.35">
      <c r="A423" s="9">
        <f t="shared" si="20"/>
        <v>415</v>
      </c>
      <c r="B423" s="15"/>
      <c r="C423" s="11">
        <f t="shared" si="19"/>
        <v>1</v>
      </c>
      <c r="D423" s="11"/>
      <c r="E423" s="11"/>
      <c r="F423" s="14"/>
      <c r="G423" s="89">
        <f>IFERROR(VLOOKUP(F423,COA!$A$1:$K$26,2,FALSE),0)</f>
        <v>0</v>
      </c>
      <c r="H423" s="11"/>
      <c r="I423" s="11"/>
      <c r="J423" s="78"/>
      <c r="K423" s="79"/>
      <c r="L423" s="146">
        <f t="shared" si="21"/>
        <v>504000</v>
      </c>
      <c r="M423" s="73"/>
      <c r="N423" s="73"/>
      <c r="O423" s="7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 x14ac:dyDescent="0.35">
      <c r="A424" s="9">
        <f t="shared" si="20"/>
        <v>416</v>
      </c>
      <c r="B424" s="15"/>
      <c r="C424" s="11">
        <f t="shared" si="19"/>
        <v>1</v>
      </c>
      <c r="D424" s="11"/>
      <c r="E424" s="11"/>
      <c r="F424" s="14"/>
      <c r="G424" s="89">
        <f>IFERROR(VLOOKUP(F424,COA!$A$1:$K$26,2,FALSE),0)</f>
        <v>0</v>
      </c>
      <c r="H424" s="11"/>
      <c r="I424" s="11"/>
      <c r="J424" s="78"/>
      <c r="K424" s="79"/>
      <c r="L424" s="146">
        <f t="shared" si="21"/>
        <v>504000</v>
      </c>
      <c r="M424" s="73"/>
      <c r="N424" s="73"/>
      <c r="O424" s="7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 x14ac:dyDescent="0.35">
      <c r="A425" s="9">
        <f t="shared" si="20"/>
        <v>417</v>
      </c>
      <c r="B425" s="15"/>
      <c r="C425" s="11">
        <f t="shared" si="19"/>
        <v>1</v>
      </c>
      <c r="D425" s="11"/>
      <c r="E425" s="11"/>
      <c r="F425" s="14"/>
      <c r="G425" s="89">
        <f>IFERROR(VLOOKUP(F425,COA!$A$1:$K$26,2,FALSE),0)</f>
        <v>0</v>
      </c>
      <c r="H425" s="11"/>
      <c r="I425" s="11"/>
      <c r="J425" s="78"/>
      <c r="K425" s="79"/>
      <c r="L425" s="146">
        <f t="shared" si="21"/>
        <v>504000</v>
      </c>
      <c r="M425" s="73"/>
      <c r="N425" s="73"/>
      <c r="O425" s="7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 x14ac:dyDescent="0.35">
      <c r="A426" s="9">
        <f t="shared" si="20"/>
        <v>418</v>
      </c>
      <c r="B426" s="15"/>
      <c r="C426" s="11">
        <f t="shared" si="19"/>
        <v>1</v>
      </c>
      <c r="D426" s="11"/>
      <c r="E426" s="11"/>
      <c r="F426" s="14"/>
      <c r="G426" s="89">
        <f>IFERROR(VLOOKUP(F426,COA!$A$1:$K$26,2,FALSE),0)</f>
        <v>0</v>
      </c>
      <c r="H426" s="11"/>
      <c r="I426" s="11"/>
      <c r="J426" s="79"/>
      <c r="K426" s="78"/>
      <c r="L426" s="146">
        <f t="shared" si="21"/>
        <v>504000</v>
      </c>
      <c r="M426" s="73"/>
      <c r="N426" s="73"/>
      <c r="O426" s="7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 x14ac:dyDescent="0.35">
      <c r="A427" s="9">
        <f t="shared" si="20"/>
        <v>419</v>
      </c>
      <c r="B427" s="15"/>
      <c r="C427" s="11">
        <f t="shared" si="19"/>
        <v>1</v>
      </c>
      <c r="D427" s="11"/>
      <c r="E427" s="11"/>
      <c r="F427" s="14"/>
      <c r="G427" s="89">
        <f>IFERROR(VLOOKUP(F427,COA!$A$1:$K$26,2,FALSE),0)</f>
        <v>0</v>
      </c>
      <c r="H427" s="11"/>
      <c r="I427" s="11"/>
      <c r="J427" s="78"/>
      <c r="K427" s="79"/>
      <c r="L427" s="146">
        <f t="shared" si="21"/>
        <v>504000</v>
      </c>
      <c r="M427" s="73"/>
      <c r="N427" s="73"/>
      <c r="O427" s="7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 x14ac:dyDescent="0.35">
      <c r="A428" s="9">
        <f t="shared" si="20"/>
        <v>420</v>
      </c>
      <c r="B428" s="15"/>
      <c r="C428" s="11">
        <f t="shared" si="19"/>
        <v>1</v>
      </c>
      <c r="D428" s="11"/>
      <c r="E428" s="11"/>
      <c r="F428" s="14"/>
      <c r="G428" s="89">
        <f>IFERROR(VLOOKUP(F428,COA!$A$1:$K$26,2,FALSE),0)</f>
        <v>0</v>
      </c>
      <c r="H428" s="11"/>
      <c r="I428" s="11"/>
      <c r="J428" s="78"/>
      <c r="K428" s="79"/>
      <c r="L428" s="146">
        <f t="shared" si="21"/>
        <v>504000</v>
      </c>
      <c r="M428" s="73"/>
      <c r="N428" s="73"/>
      <c r="O428" s="7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 x14ac:dyDescent="0.35">
      <c r="A429" s="9">
        <f t="shared" si="20"/>
        <v>421</v>
      </c>
      <c r="B429" s="15"/>
      <c r="C429" s="11">
        <f t="shared" si="19"/>
        <v>1</v>
      </c>
      <c r="D429" s="11"/>
      <c r="E429" s="11"/>
      <c r="F429" s="14"/>
      <c r="G429" s="89">
        <f>IFERROR(VLOOKUP(F429,COA!$A$1:$K$26,2,FALSE),0)</f>
        <v>0</v>
      </c>
      <c r="H429" s="11"/>
      <c r="I429" s="11"/>
      <c r="J429" s="78"/>
      <c r="K429" s="79"/>
      <c r="L429" s="146">
        <f t="shared" si="21"/>
        <v>504000</v>
      </c>
      <c r="M429" s="73"/>
      <c r="N429" s="73"/>
      <c r="O429" s="7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 x14ac:dyDescent="0.35">
      <c r="A430" s="9">
        <f t="shared" si="20"/>
        <v>422</v>
      </c>
      <c r="B430" s="15"/>
      <c r="C430" s="11">
        <f t="shared" si="19"/>
        <v>1</v>
      </c>
      <c r="D430" s="11"/>
      <c r="E430" s="11"/>
      <c r="F430" s="14"/>
      <c r="G430" s="89">
        <f>IFERROR(VLOOKUP(F430,COA!$A$1:$K$26,2,FALSE),0)</f>
        <v>0</v>
      </c>
      <c r="H430" s="11"/>
      <c r="I430" s="11"/>
      <c r="J430" s="79"/>
      <c r="K430" s="78"/>
      <c r="L430" s="146">
        <f t="shared" si="21"/>
        <v>504000</v>
      </c>
      <c r="M430" s="73"/>
      <c r="N430" s="73"/>
      <c r="O430" s="7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 x14ac:dyDescent="0.35">
      <c r="A431" s="9">
        <f t="shared" si="20"/>
        <v>423</v>
      </c>
      <c r="B431" s="15"/>
      <c r="C431" s="11">
        <f t="shared" si="19"/>
        <v>1</v>
      </c>
      <c r="D431" s="11"/>
      <c r="E431" s="11"/>
      <c r="F431" s="14"/>
      <c r="G431" s="89">
        <f>IFERROR(VLOOKUP(F431,COA!$A$1:$K$26,2,FALSE),0)</f>
        <v>0</v>
      </c>
      <c r="H431" s="11"/>
      <c r="I431" s="11"/>
      <c r="J431" s="78"/>
      <c r="K431" s="79"/>
      <c r="L431" s="146">
        <f t="shared" si="21"/>
        <v>504000</v>
      </c>
      <c r="M431" s="73"/>
      <c r="N431" s="73"/>
      <c r="O431" s="7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 x14ac:dyDescent="0.35">
      <c r="A432" s="9">
        <f t="shared" si="20"/>
        <v>424</v>
      </c>
      <c r="B432" s="15"/>
      <c r="C432" s="11">
        <f t="shared" si="19"/>
        <v>1</v>
      </c>
      <c r="D432" s="11"/>
      <c r="E432" s="11"/>
      <c r="F432" s="14"/>
      <c r="G432" s="89">
        <f>IFERROR(VLOOKUP(F432,COA!$A$1:$K$26,2,FALSE),0)</f>
        <v>0</v>
      </c>
      <c r="H432" s="11"/>
      <c r="I432" s="11"/>
      <c r="J432" s="78"/>
      <c r="K432" s="79"/>
      <c r="L432" s="146">
        <f t="shared" si="21"/>
        <v>504000</v>
      </c>
      <c r="M432" s="73"/>
      <c r="N432" s="73"/>
      <c r="O432" s="7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 x14ac:dyDescent="0.35">
      <c r="A433" s="9">
        <f t="shared" si="20"/>
        <v>425</v>
      </c>
      <c r="B433" s="15"/>
      <c r="C433" s="11">
        <f t="shared" si="19"/>
        <v>1</v>
      </c>
      <c r="D433" s="11"/>
      <c r="E433" s="11"/>
      <c r="F433" s="14"/>
      <c r="G433" s="89">
        <f>IFERROR(VLOOKUP(F433,COA!$A$1:$K$26,2,FALSE),0)</f>
        <v>0</v>
      </c>
      <c r="H433" s="11"/>
      <c r="I433" s="11"/>
      <c r="J433" s="78"/>
      <c r="K433" s="79"/>
      <c r="L433" s="146">
        <f t="shared" si="21"/>
        <v>504000</v>
      </c>
      <c r="M433" s="73"/>
      <c r="N433" s="73"/>
      <c r="O433" s="7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 x14ac:dyDescent="0.35">
      <c r="A434" s="9">
        <f t="shared" si="20"/>
        <v>426</v>
      </c>
      <c r="B434" s="15"/>
      <c r="C434" s="11">
        <f t="shared" si="19"/>
        <v>1</v>
      </c>
      <c r="D434" s="11"/>
      <c r="E434" s="11"/>
      <c r="F434" s="14"/>
      <c r="G434" s="89">
        <f>IFERROR(VLOOKUP(F434,COA!$A$1:$K$26,2,FALSE),0)</f>
        <v>0</v>
      </c>
      <c r="H434" s="11"/>
      <c r="I434" s="11"/>
      <c r="J434" s="79"/>
      <c r="K434" s="78"/>
      <c r="L434" s="146">
        <f t="shared" si="21"/>
        <v>504000</v>
      </c>
      <c r="M434" s="73"/>
      <c r="N434" s="73"/>
      <c r="O434" s="7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 x14ac:dyDescent="0.35">
      <c r="A435" s="9">
        <f t="shared" si="20"/>
        <v>427</v>
      </c>
      <c r="B435" s="15"/>
      <c r="C435" s="11">
        <f t="shared" si="19"/>
        <v>1</v>
      </c>
      <c r="D435" s="11"/>
      <c r="E435" s="11"/>
      <c r="F435" s="14"/>
      <c r="G435" s="89">
        <f>IFERROR(VLOOKUP(F435,COA!$A$1:$K$26,2,FALSE),0)</f>
        <v>0</v>
      </c>
      <c r="H435" s="11"/>
      <c r="I435" s="11"/>
      <c r="J435" s="78"/>
      <c r="K435" s="79"/>
      <c r="L435" s="146">
        <f t="shared" si="21"/>
        <v>504000</v>
      </c>
      <c r="M435" s="73"/>
      <c r="N435" s="73"/>
      <c r="O435" s="7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 x14ac:dyDescent="0.35">
      <c r="A436" s="9">
        <f t="shared" si="20"/>
        <v>428</v>
      </c>
      <c r="B436" s="15"/>
      <c r="C436" s="11">
        <f t="shared" si="19"/>
        <v>1</v>
      </c>
      <c r="D436" s="11"/>
      <c r="E436" s="11"/>
      <c r="F436" s="14"/>
      <c r="G436" s="89">
        <f>IFERROR(VLOOKUP(F436,COA!$A$1:$K$26,2,FALSE),0)</f>
        <v>0</v>
      </c>
      <c r="H436" s="11"/>
      <c r="I436" s="11"/>
      <c r="J436" s="78"/>
      <c r="K436" s="79"/>
      <c r="L436" s="146">
        <f t="shared" si="21"/>
        <v>504000</v>
      </c>
      <c r="M436" s="73"/>
      <c r="N436" s="73"/>
      <c r="O436" s="7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 x14ac:dyDescent="0.35">
      <c r="A437" s="9">
        <f t="shared" si="20"/>
        <v>429</v>
      </c>
      <c r="B437" s="15"/>
      <c r="C437" s="11">
        <f t="shared" si="19"/>
        <v>1</v>
      </c>
      <c r="D437" s="11"/>
      <c r="E437" s="11"/>
      <c r="F437" s="14"/>
      <c r="G437" s="89">
        <f>IFERROR(VLOOKUP(F437,COA!$A$1:$K$26,2,FALSE),0)</f>
        <v>0</v>
      </c>
      <c r="H437" s="11"/>
      <c r="I437" s="11"/>
      <c r="J437" s="78"/>
      <c r="K437" s="79"/>
      <c r="L437" s="146">
        <f t="shared" si="21"/>
        <v>504000</v>
      </c>
      <c r="M437" s="73"/>
      <c r="N437" s="73"/>
      <c r="O437" s="7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 x14ac:dyDescent="0.35">
      <c r="A438" s="9">
        <f t="shared" si="20"/>
        <v>430</v>
      </c>
      <c r="B438" s="15"/>
      <c r="C438" s="11">
        <f t="shared" si="19"/>
        <v>1</v>
      </c>
      <c r="D438" s="11"/>
      <c r="E438" s="11"/>
      <c r="F438" s="11"/>
      <c r="G438" s="89">
        <f>IFERROR(VLOOKUP(F438,COA!$A$1:$K$26,2,FALSE),0)</f>
        <v>0</v>
      </c>
      <c r="H438" s="11"/>
      <c r="I438" s="11"/>
      <c r="J438" s="81"/>
      <c r="K438" s="81"/>
      <c r="L438" s="146">
        <f t="shared" si="21"/>
        <v>504000</v>
      </c>
      <c r="M438" s="73"/>
      <c r="N438" s="73"/>
      <c r="O438" s="7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 x14ac:dyDescent="0.35">
      <c r="A439" s="9">
        <f t="shared" si="20"/>
        <v>431</v>
      </c>
      <c r="B439" s="15"/>
      <c r="C439" s="11">
        <f t="shared" si="19"/>
        <v>1</v>
      </c>
      <c r="D439" s="11"/>
      <c r="E439" s="11"/>
      <c r="F439" s="14"/>
      <c r="G439" s="89">
        <f>IFERROR(VLOOKUP(F439,COA!$A$1:$K$26,2,FALSE),0)</f>
        <v>0</v>
      </c>
      <c r="H439" s="11"/>
      <c r="I439" s="11"/>
      <c r="J439" s="79"/>
      <c r="K439" s="78"/>
      <c r="L439" s="146">
        <f t="shared" si="21"/>
        <v>504000</v>
      </c>
      <c r="M439" s="73"/>
      <c r="N439" s="73"/>
      <c r="O439" s="7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 x14ac:dyDescent="0.35">
      <c r="A440" s="9">
        <f t="shared" si="20"/>
        <v>432</v>
      </c>
      <c r="B440" s="15"/>
      <c r="C440" s="11">
        <f t="shared" si="19"/>
        <v>1</v>
      </c>
      <c r="D440" s="11"/>
      <c r="E440" s="11"/>
      <c r="F440" s="14"/>
      <c r="G440" s="89">
        <f>IFERROR(VLOOKUP(F440,COA!$A$1:$K$26,2,FALSE),0)</f>
        <v>0</v>
      </c>
      <c r="H440" s="11"/>
      <c r="I440" s="11"/>
      <c r="J440" s="78"/>
      <c r="K440" s="79"/>
      <c r="L440" s="146">
        <f t="shared" si="21"/>
        <v>504000</v>
      </c>
      <c r="M440" s="73"/>
      <c r="N440" s="73"/>
      <c r="O440" s="7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 x14ac:dyDescent="0.35">
      <c r="A441" s="9">
        <f t="shared" si="20"/>
        <v>433</v>
      </c>
      <c r="B441" s="15"/>
      <c r="C441" s="11">
        <f t="shared" si="19"/>
        <v>1</v>
      </c>
      <c r="D441" s="11"/>
      <c r="E441" s="11"/>
      <c r="F441" s="14"/>
      <c r="G441" s="89">
        <f>IFERROR(VLOOKUP(F441,COA!$A$1:$K$26,2,FALSE),0)</f>
        <v>0</v>
      </c>
      <c r="H441" s="11"/>
      <c r="I441" s="11"/>
      <c r="J441" s="78"/>
      <c r="K441" s="79"/>
      <c r="L441" s="146">
        <f t="shared" si="21"/>
        <v>504000</v>
      </c>
      <c r="M441" s="73"/>
      <c r="N441" s="73"/>
      <c r="O441" s="7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 x14ac:dyDescent="0.35">
      <c r="A442" s="9">
        <f t="shared" si="20"/>
        <v>434</v>
      </c>
      <c r="B442" s="15"/>
      <c r="C442" s="11">
        <f t="shared" si="19"/>
        <v>1</v>
      </c>
      <c r="D442" s="11"/>
      <c r="E442" s="11"/>
      <c r="F442" s="14"/>
      <c r="G442" s="89">
        <f>IFERROR(VLOOKUP(F442,COA!$A$1:$K$26,2,FALSE),0)</f>
        <v>0</v>
      </c>
      <c r="H442" s="11"/>
      <c r="I442" s="11"/>
      <c r="J442" s="78"/>
      <c r="K442" s="79"/>
      <c r="L442" s="146">
        <f t="shared" si="21"/>
        <v>504000</v>
      </c>
      <c r="M442" s="73"/>
      <c r="N442" s="73"/>
      <c r="O442" s="7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 x14ac:dyDescent="0.35">
      <c r="A443" s="9">
        <f t="shared" si="20"/>
        <v>435</v>
      </c>
      <c r="B443" s="15"/>
      <c r="C443" s="11">
        <f t="shared" si="19"/>
        <v>1</v>
      </c>
      <c r="D443" s="11"/>
      <c r="E443" s="11"/>
      <c r="F443" s="14"/>
      <c r="G443" s="89">
        <f>IFERROR(VLOOKUP(F443,COA!$A$1:$K$26,2,FALSE),0)</f>
        <v>0</v>
      </c>
      <c r="H443" s="11"/>
      <c r="I443" s="11"/>
      <c r="J443" s="79"/>
      <c r="K443" s="78"/>
      <c r="L443" s="146">
        <f t="shared" si="21"/>
        <v>504000</v>
      </c>
      <c r="M443" s="73"/>
      <c r="N443" s="73"/>
      <c r="O443" s="7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 x14ac:dyDescent="0.35">
      <c r="A444" s="9">
        <f t="shared" si="20"/>
        <v>436</v>
      </c>
      <c r="B444" s="15"/>
      <c r="C444" s="11">
        <f t="shared" si="19"/>
        <v>1</v>
      </c>
      <c r="D444" s="11"/>
      <c r="E444" s="11"/>
      <c r="F444" s="14"/>
      <c r="G444" s="89">
        <f>IFERROR(VLOOKUP(F444,COA!$A$1:$K$26,2,FALSE),0)</f>
        <v>0</v>
      </c>
      <c r="H444" s="11"/>
      <c r="I444" s="11"/>
      <c r="J444" s="78"/>
      <c r="K444" s="79"/>
      <c r="L444" s="146">
        <f t="shared" si="21"/>
        <v>504000</v>
      </c>
      <c r="M444" s="73"/>
      <c r="N444" s="73"/>
      <c r="O444" s="7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 x14ac:dyDescent="0.35">
      <c r="A445" s="9">
        <f t="shared" si="20"/>
        <v>437</v>
      </c>
      <c r="B445" s="15"/>
      <c r="C445" s="11">
        <f t="shared" si="19"/>
        <v>1</v>
      </c>
      <c r="D445" s="11"/>
      <c r="E445" s="11"/>
      <c r="F445" s="14"/>
      <c r="G445" s="89">
        <f>IFERROR(VLOOKUP(F445,COA!$A$1:$K$26,2,FALSE),0)</f>
        <v>0</v>
      </c>
      <c r="H445" s="11"/>
      <c r="I445" s="11"/>
      <c r="J445" s="78"/>
      <c r="K445" s="79"/>
      <c r="L445" s="146">
        <f t="shared" si="21"/>
        <v>504000</v>
      </c>
      <c r="M445" s="73"/>
      <c r="N445" s="73"/>
      <c r="O445" s="7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 x14ac:dyDescent="0.35">
      <c r="A446" s="9">
        <f t="shared" si="20"/>
        <v>438</v>
      </c>
      <c r="B446" s="15"/>
      <c r="C446" s="11">
        <f t="shared" si="19"/>
        <v>1</v>
      </c>
      <c r="D446" s="11"/>
      <c r="E446" s="11"/>
      <c r="F446" s="14"/>
      <c r="G446" s="89">
        <f>IFERROR(VLOOKUP(F446,COA!$A$1:$K$26,2,FALSE),0)</f>
        <v>0</v>
      </c>
      <c r="H446" s="11"/>
      <c r="I446" s="11"/>
      <c r="J446" s="78"/>
      <c r="K446" s="79"/>
      <c r="L446" s="146">
        <f t="shared" si="21"/>
        <v>504000</v>
      </c>
      <c r="M446" s="73"/>
      <c r="N446" s="73"/>
      <c r="O446" s="7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 x14ac:dyDescent="0.35">
      <c r="A447" s="9">
        <f t="shared" si="20"/>
        <v>439</v>
      </c>
      <c r="B447" s="15"/>
      <c r="C447" s="11">
        <f t="shared" si="19"/>
        <v>1</v>
      </c>
      <c r="D447" s="11"/>
      <c r="E447" s="11"/>
      <c r="F447" s="14"/>
      <c r="G447" s="89">
        <f>IFERROR(VLOOKUP(F447,COA!$A$1:$K$26,2,FALSE),0)</f>
        <v>0</v>
      </c>
      <c r="H447" s="11"/>
      <c r="I447" s="11"/>
      <c r="J447" s="79"/>
      <c r="K447" s="78"/>
      <c r="L447" s="146">
        <f t="shared" si="21"/>
        <v>504000</v>
      </c>
      <c r="M447" s="73"/>
      <c r="N447" s="73"/>
      <c r="O447" s="7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 x14ac:dyDescent="0.35">
      <c r="A448" s="9">
        <f t="shared" si="20"/>
        <v>440</v>
      </c>
      <c r="B448" s="15"/>
      <c r="C448" s="11">
        <f t="shared" si="19"/>
        <v>1</v>
      </c>
      <c r="D448" s="11"/>
      <c r="E448" s="11"/>
      <c r="F448" s="14"/>
      <c r="G448" s="89">
        <f>IFERROR(VLOOKUP(F448,COA!$A$1:$K$26,2,FALSE),0)</f>
        <v>0</v>
      </c>
      <c r="H448" s="11"/>
      <c r="I448" s="11"/>
      <c r="J448" s="78"/>
      <c r="K448" s="79"/>
      <c r="L448" s="146">
        <f t="shared" si="21"/>
        <v>504000</v>
      </c>
      <c r="M448" s="73"/>
      <c r="N448" s="73"/>
      <c r="O448" s="7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 x14ac:dyDescent="0.35">
      <c r="A449" s="9">
        <f t="shared" si="20"/>
        <v>441</v>
      </c>
      <c r="B449" s="15"/>
      <c r="C449" s="11">
        <f t="shared" si="19"/>
        <v>1</v>
      </c>
      <c r="D449" s="11"/>
      <c r="E449" s="11"/>
      <c r="F449" s="14"/>
      <c r="G449" s="89">
        <f>IFERROR(VLOOKUP(F449,COA!$A$1:$K$26,2,FALSE),0)</f>
        <v>0</v>
      </c>
      <c r="H449" s="11"/>
      <c r="I449" s="11"/>
      <c r="J449" s="78"/>
      <c r="K449" s="79"/>
      <c r="L449" s="146">
        <f t="shared" si="21"/>
        <v>504000</v>
      </c>
      <c r="M449" s="73"/>
      <c r="N449" s="73"/>
      <c r="O449" s="7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 x14ac:dyDescent="0.35">
      <c r="A450" s="9">
        <f t="shared" si="20"/>
        <v>442</v>
      </c>
      <c r="B450" s="15"/>
      <c r="C450" s="11">
        <f t="shared" si="19"/>
        <v>1</v>
      </c>
      <c r="D450" s="11"/>
      <c r="E450" s="11"/>
      <c r="F450" s="14"/>
      <c r="G450" s="89">
        <f>IFERROR(VLOOKUP(F450,COA!$A$1:$K$26,2,FALSE),0)</f>
        <v>0</v>
      </c>
      <c r="H450" s="11"/>
      <c r="I450" s="11"/>
      <c r="J450" s="78"/>
      <c r="K450" s="79"/>
      <c r="L450" s="146">
        <f t="shared" si="21"/>
        <v>504000</v>
      </c>
      <c r="M450" s="73"/>
      <c r="N450" s="73"/>
      <c r="O450" s="7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 x14ac:dyDescent="0.35">
      <c r="A451" s="9">
        <f t="shared" si="20"/>
        <v>443</v>
      </c>
      <c r="B451" s="15"/>
      <c r="C451" s="11">
        <f t="shared" si="19"/>
        <v>1</v>
      </c>
      <c r="D451" s="11"/>
      <c r="E451" s="11"/>
      <c r="F451" s="11"/>
      <c r="G451" s="89">
        <f>IFERROR(VLOOKUP(F451,COA!$A$1:$K$26,2,FALSE),0)</f>
        <v>0</v>
      </c>
      <c r="H451" s="13"/>
      <c r="I451" s="13"/>
      <c r="J451" s="77"/>
      <c r="K451" s="78"/>
      <c r="L451" s="146">
        <f t="shared" si="21"/>
        <v>504000</v>
      </c>
      <c r="M451" s="73"/>
      <c r="N451" s="73"/>
      <c r="O451" s="7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 x14ac:dyDescent="0.35">
      <c r="A452" s="9">
        <f t="shared" si="20"/>
        <v>444</v>
      </c>
      <c r="B452" s="15"/>
      <c r="C452" s="11">
        <f t="shared" si="19"/>
        <v>1</v>
      </c>
      <c r="D452" s="11"/>
      <c r="E452" s="11"/>
      <c r="F452" s="14"/>
      <c r="G452" s="89">
        <f>IFERROR(VLOOKUP(F452,COA!$A$1:$K$26,2,FALSE),0)</f>
        <v>0</v>
      </c>
      <c r="H452" s="11"/>
      <c r="I452" s="11"/>
      <c r="J452" s="79"/>
      <c r="K452" s="78"/>
      <c r="L452" s="146">
        <f t="shared" si="21"/>
        <v>504000</v>
      </c>
      <c r="M452" s="73"/>
      <c r="N452" s="73"/>
      <c r="O452" s="7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 x14ac:dyDescent="0.35">
      <c r="A453" s="9">
        <f t="shared" si="20"/>
        <v>445</v>
      </c>
      <c r="B453" s="15"/>
      <c r="C453" s="11">
        <f t="shared" si="19"/>
        <v>1</v>
      </c>
      <c r="D453" s="11"/>
      <c r="E453" s="11"/>
      <c r="F453" s="14"/>
      <c r="G453" s="89">
        <f>IFERROR(VLOOKUP(F453,COA!$A$1:$K$26,2,FALSE),0)</f>
        <v>0</v>
      </c>
      <c r="H453" s="11"/>
      <c r="I453" s="11"/>
      <c r="J453" s="78"/>
      <c r="K453" s="79"/>
      <c r="L453" s="146">
        <f t="shared" si="21"/>
        <v>504000</v>
      </c>
      <c r="M453" s="73"/>
      <c r="N453" s="73"/>
      <c r="O453" s="7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 x14ac:dyDescent="0.35">
      <c r="A454" s="9">
        <f t="shared" si="20"/>
        <v>446</v>
      </c>
      <c r="B454" s="15"/>
      <c r="C454" s="11">
        <f t="shared" si="19"/>
        <v>1</v>
      </c>
      <c r="D454" s="11"/>
      <c r="E454" s="11"/>
      <c r="F454" s="14"/>
      <c r="G454" s="89">
        <f>IFERROR(VLOOKUP(F454,COA!$A$1:$K$26,2,FALSE),0)</f>
        <v>0</v>
      </c>
      <c r="H454" s="11"/>
      <c r="I454" s="11"/>
      <c r="J454" s="78"/>
      <c r="K454" s="79"/>
      <c r="L454" s="146">
        <f t="shared" si="21"/>
        <v>504000</v>
      </c>
      <c r="M454" s="73"/>
      <c r="N454" s="73"/>
      <c r="O454" s="7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 x14ac:dyDescent="0.35">
      <c r="A455" s="9">
        <f t="shared" si="20"/>
        <v>447</v>
      </c>
      <c r="B455" s="15"/>
      <c r="C455" s="11">
        <f t="shared" si="19"/>
        <v>1</v>
      </c>
      <c r="D455" s="11"/>
      <c r="E455" s="11"/>
      <c r="F455" s="14"/>
      <c r="G455" s="89">
        <f>IFERROR(VLOOKUP(F455,COA!$A$1:$K$26,2,FALSE),0)</f>
        <v>0</v>
      </c>
      <c r="H455" s="11"/>
      <c r="I455" s="11"/>
      <c r="J455" s="78"/>
      <c r="K455" s="79"/>
      <c r="L455" s="146">
        <f t="shared" si="21"/>
        <v>504000</v>
      </c>
      <c r="M455" s="73"/>
      <c r="N455" s="73"/>
      <c r="O455" s="7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 x14ac:dyDescent="0.35">
      <c r="A456" s="9">
        <f t="shared" si="20"/>
        <v>448</v>
      </c>
      <c r="B456" s="15"/>
      <c r="C456" s="11">
        <f t="shared" ref="C456:C519" si="22">MONTH(B456)</f>
        <v>1</v>
      </c>
      <c r="D456" s="11"/>
      <c r="E456" s="11"/>
      <c r="F456" s="11"/>
      <c r="G456" s="89">
        <f>IFERROR(VLOOKUP(F456,COA!$A$1:$K$26,2,FALSE),0)</f>
        <v>0</v>
      </c>
      <c r="H456" s="11"/>
      <c r="I456" s="11"/>
      <c r="J456" s="78"/>
      <c r="K456" s="78"/>
      <c r="L456" s="146">
        <f t="shared" si="21"/>
        <v>504000</v>
      </c>
      <c r="M456" s="73"/>
      <c r="N456" s="73"/>
      <c r="O456" s="7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 x14ac:dyDescent="0.35">
      <c r="A457" s="9">
        <f t="shared" si="20"/>
        <v>449</v>
      </c>
      <c r="B457" s="15"/>
      <c r="C457" s="11">
        <f t="shared" si="22"/>
        <v>1</v>
      </c>
      <c r="D457" s="11"/>
      <c r="E457" s="11"/>
      <c r="F457" s="14"/>
      <c r="G457" s="89">
        <f>IFERROR(VLOOKUP(F457,COA!$A$1:$K$26,2,FALSE),0)</f>
        <v>0</v>
      </c>
      <c r="H457" s="11"/>
      <c r="I457" s="11"/>
      <c r="J457" s="78"/>
      <c r="K457" s="79"/>
      <c r="L457" s="146">
        <f t="shared" si="21"/>
        <v>504000</v>
      </c>
      <c r="M457" s="73"/>
      <c r="N457" s="73"/>
      <c r="O457" s="7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 x14ac:dyDescent="0.35">
      <c r="A458" s="9">
        <f t="shared" si="20"/>
        <v>450</v>
      </c>
      <c r="B458" s="15"/>
      <c r="C458" s="11">
        <f t="shared" si="22"/>
        <v>1</v>
      </c>
      <c r="D458" s="11"/>
      <c r="E458" s="11"/>
      <c r="F458" s="11"/>
      <c r="G458" s="89">
        <f>IFERROR(VLOOKUP(F458,COA!$A$1:$K$26,2,FALSE),0)</f>
        <v>0</v>
      </c>
      <c r="H458" s="11"/>
      <c r="I458" s="11"/>
      <c r="J458" s="81"/>
      <c r="K458" s="81"/>
      <c r="L458" s="146">
        <f t="shared" si="21"/>
        <v>504000</v>
      </c>
      <c r="M458" s="73"/>
      <c r="N458" s="73"/>
      <c r="O458" s="7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 x14ac:dyDescent="0.35">
      <c r="A459" s="9">
        <f t="shared" ref="A459:A522" si="23">A458+1</f>
        <v>451</v>
      </c>
      <c r="B459" s="15"/>
      <c r="C459" s="11">
        <f t="shared" si="22"/>
        <v>1</v>
      </c>
      <c r="D459" s="11"/>
      <c r="E459" s="11"/>
      <c r="F459" s="11"/>
      <c r="G459" s="89">
        <f>IFERROR(VLOOKUP(F459,COA!$A$1:$K$26,2,FALSE),0)</f>
        <v>0</v>
      </c>
      <c r="H459" s="13"/>
      <c r="I459" s="13"/>
      <c r="J459" s="78"/>
      <c r="K459" s="78"/>
      <c r="L459" s="146">
        <f t="shared" ref="L459:L522" si="24">L458+J459-K459</f>
        <v>504000</v>
      </c>
      <c r="M459" s="73"/>
      <c r="N459" s="73"/>
      <c r="O459" s="7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 x14ac:dyDescent="0.35">
      <c r="A460" s="9">
        <f t="shared" si="23"/>
        <v>452</v>
      </c>
      <c r="B460" s="15"/>
      <c r="C460" s="11">
        <f t="shared" si="22"/>
        <v>1</v>
      </c>
      <c r="D460" s="11"/>
      <c r="E460" s="11"/>
      <c r="F460" s="14"/>
      <c r="G460" s="89">
        <f>IFERROR(VLOOKUP(F460,COA!$A$1:$K$26,2,FALSE),0)</f>
        <v>0</v>
      </c>
      <c r="H460" s="11"/>
      <c r="I460" s="11"/>
      <c r="J460" s="78"/>
      <c r="K460" s="79"/>
      <c r="L460" s="146">
        <f t="shared" si="24"/>
        <v>504000</v>
      </c>
      <c r="M460" s="73"/>
      <c r="N460" s="73"/>
      <c r="O460" s="7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 x14ac:dyDescent="0.35">
      <c r="A461" s="9">
        <f t="shared" si="23"/>
        <v>453</v>
      </c>
      <c r="B461" s="15"/>
      <c r="C461" s="11">
        <f t="shared" si="22"/>
        <v>1</v>
      </c>
      <c r="D461" s="11"/>
      <c r="E461" s="11"/>
      <c r="F461" s="14"/>
      <c r="G461" s="89">
        <f>IFERROR(VLOOKUP(F461,COA!$A$1:$K$26,2,FALSE),0)</f>
        <v>0</v>
      </c>
      <c r="H461" s="11"/>
      <c r="I461" s="11"/>
      <c r="J461" s="79"/>
      <c r="K461" s="78"/>
      <c r="L461" s="146">
        <f t="shared" si="24"/>
        <v>504000</v>
      </c>
      <c r="M461" s="73"/>
      <c r="N461" s="73"/>
      <c r="O461" s="7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 x14ac:dyDescent="0.35">
      <c r="A462" s="9">
        <f t="shared" si="23"/>
        <v>454</v>
      </c>
      <c r="B462" s="15"/>
      <c r="C462" s="11">
        <f t="shared" si="22"/>
        <v>1</v>
      </c>
      <c r="D462" s="11"/>
      <c r="E462" s="11"/>
      <c r="F462" s="14"/>
      <c r="G462" s="89">
        <f>IFERROR(VLOOKUP(F462,COA!$A$1:$K$26,2,FALSE),0)</f>
        <v>0</v>
      </c>
      <c r="H462" s="11"/>
      <c r="I462" s="11"/>
      <c r="J462" s="78"/>
      <c r="K462" s="79"/>
      <c r="L462" s="146">
        <f t="shared" si="24"/>
        <v>504000</v>
      </c>
      <c r="M462" s="73"/>
      <c r="N462" s="73"/>
      <c r="O462" s="7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 x14ac:dyDescent="0.35">
      <c r="A463" s="9">
        <f t="shared" si="23"/>
        <v>455</v>
      </c>
      <c r="B463" s="15"/>
      <c r="C463" s="11">
        <f t="shared" si="22"/>
        <v>1</v>
      </c>
      <c r="D463" s="11"/>
      <c r="E463" s="11"/>
      <c r="F463" s="14"/>
      <c r="G463" s="89">
        <f>IFERROR(VLOOKUP(F463,COA!$A$1:$K$26,2,FALSE),0)</f>
        <v>0</v>
      </c>
      <c r="H463" s="11"/>
      <c r="I463" s="11"/>
      <c r="J463" s="78"/>
      <c r="K463" s="79"/>
      <c r="L463" s="146">
        <f t="shared" si="24"/>
        <v>504000</v>
      </c>
      <c r="M463" s="73"/>
      <c r="N463" s="73"/>
      <c r="O463" s="7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 x14ac:dyDescent="0.35">
      <c r="A464" s="9">
        <f t="shared" si="23"/>
        <v>456</v>
      </c>
      <c r="B464" s="15"/>
      <c r="C464" s="11">
        <f t="shared" si="22"/>
        <v>1</v>
      </c>
      <c r="D464" s="11"/>
      <c r="E464" s="11"/>
      <c r="F464" s="14"/>
      <c r="G464" s="89">
        <f>IFERROR(VLOOKUP(F464,COA!$A$1:$K$26,2,FALSE),0)</f>
        <v>0</v>
      </c>
      <c r="H464" s="11"/>
      <c r="I464" s="11"/>
      <c r="J464" s="78"/>
      <c r="K464" s="79"/>
      <c r="L464" s="146">
        <f t="shared" si="24"/>
        <v>504000</v>
      </c>
      <c r="M464" s="73"/>
      <c r="N464" s="73"/>
      <c r="O464" s="7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 x14ac:dyDescent="0.35">
      <c r="A465" s="9">
        <f t="shared" si="23"/>
        <v>457</v>
      </c>
      <c r="B465" s="15"/>
      <c r="C465" s="11">
        <f t="shared" si="22"/>
        <v>1</v>
      </c>
      <c r="D465" s="11"/>
      <c r="E465" s="11"/>
      <c r="F465" s="14"/>
      <c r="G465" s="89">
        <f>IFERROR(VLOOKUP(F465,COA!$A$1:$K$26,2,FALSE),0)</f>
        <v>0</v>
      </c>
      <c r="H465" s="11"/>
      <c r="I465" s="11"/>
      <c r="J465" s="79"/>
      <c r="K465" s="78"/>
      <c r="L465" s="146">
        <f t="shared" si="24"/>
        <v>504000</v>
      </c>
      <c r="M465" s="73"/>
      <c r="N465" s="73"/>
      <c r="O465" s="7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 x14ac:dyDescent="0.35">
      <c r="A466" s="9">
        <f t="shared" si="23"/>
        <v>458</v>
      </c>
      <c r="B466" s="15"/>
      <c r="C466" s="11">
        <f t="shared" si="22"/>
        <v>1</v>
      </c>
      <c r="D466" s="11"/>
      <c r="E466" s="11"/>
      <c r="F466" s="14"/>
      <c r="G466" s="89">
        <f>IFERROR(VLOOKUP(F466,COA!$A$1:$K$26,2,FALSE),0)</f>
        <v>0</v>
      </c>
      <c r="H466" s="11"/>
      <c r="I466" s="11"/>
      <c r="J466" s="78"/>
      <c r="K466" s="79"/>
      <c r="L466" s="146">
        <f t="shared" si="24"/>
        <v>504000</v>
      </c>
      <c r="M466" s="73"/>
      <c r="N466" s="73"/>
      <c r="O466" s="7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 x14ac:dyDescent="0.35">
      <c r="A467" s="9">
        <f t="shared" si="23"/>
        <v>459</v>
      </c>
      <c r="B467" s="15"/>
      <c r="C467" s="11">
        <f t="shared" si="22"/>
        <v>1</v>
      </c>
      <c r="D467" s="11"/>
      <c r="E467" s="11"/>
      <c r="F467" s="14"/>
      <c r="G467" s="89">
        <f>IFERROR(VLOOKUP(F467,COA!$A$1:$K$26,2,FALSE),0)</f>
        <v>0</v>
      </c>
      <c r="H467" s="11"/>
      <c r="I467" s="11"/>
      <c r="J467" s="78"/>
      <c r="K467" s="79"/>
      <c r="L467" s="146">
        <f t="shared" si="24"/>
        <v>504000</v>
      </c>
      <c r="M467" s="73"/>
      <c r="N467" s="73"/>
      <c r="O467" s="7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 x14ac:dyDescent="0.35">
      <c r="A468" s="9">
        <f t="shared" si="23"/>
        <v>460</v>
      </c>
      <c r="B468" s="15"/>
      <c r="C468" s="11">
        <f t="shared" si="22"/>
        <v>1</v>
      </c>
      <c r="D468" s="11"/>
      <c r="E468" s="11"/>
      <c r="F468" s="14"/>
      <c r="G468" s="89">
        <f>IFERROR(VLOOKUP(F468,COA!$A$1:$K$26,2,FALSE),0)</f>
        <v>0</v>
      </c>
      <c r="H468" s="11"/>
      <c r="I468" s="11"/>
      <c r="J468" s="78"/>
      <c r="K468" s="79"/>
      <c r="L468" s="146">
        <f t="shared" si="24"/>
        <v>504000</v>
      </c>
      <c r="M468" s="73"/>
      <c r="N468" s="73"/>
      <c r="O468" s="7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 x14ac:dyDescent="0.35">
      <c r="A469" s="9">
        <f t="shared" si="23"/>
        <v>461</v>
      </c>
      <c r="B469" s="15"/>
      <c r="C469" s="11">
        <f t="shared" si="22"/>
        <v>1</v>
      </c>
      <c r="D469" s="11"/>
      <c r="E469" s="11"/>
      <c r="F469" s="14"/>
      <c r="G469" s="89">
        <f>IFERROR(VLOOKUP(F469,COA!$A$1:$K$26,2,FALSE),0)</f>
        <v>0</v>
      </c>
      <c r="H469" s="11"/>
      <c r="I469" s="11"/>
      <c r="J469" s="79"/>
      <c r="K469" s="78"/>
      <c r="L469" s="146">
        <f t="shared" si="24"/>
        <v>504000</v>
      </c>
      <c r="M469" s="73"/>
      <c r="N469" s="73"/>
      <c r="O469" s="7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 x14ac:dyDescent="0.35">
      <c r="A470" s="9">
        <f t="shared" si="23"/>
        <v>462</v>
      </c>
      <c r="B470" s="15"/>
      <c r="C470" s="11">
        <f t="shared" si="22"/>
        <v>1</v>
      </c>
      <c r="D470" s="11"/>
      <c r="E470" s="11"/>
      <c r="F470" s="14"/>
      <c r="G470" s="89">
        <f>IFERROR(VLOOKUP(F470,COA!$A$1:$K$26,2,FALSE),0)</f>
        <v>0</v>
      </c>
      <c r="H470" s="11"/>
      <c r="I470" s="11"/>
      <c r="J470" s="78"/>
      <c r="K470" s="79"/>
      <c r="L470" s="146">
        <f t="shared" si="24"/>
        <v>504000</v>
      </c>
      <c r="M470" s="73"/>
      <c r="N470" s="73"/>
      <c r="O470" s="7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 x14ac:dyDescent="0.35">
      <c r="A471" s="9">
        <f t="shared" si="23"/>
        <v>463</v>
      </c>
      <c r="B471" s="15"/>
      <c r="C471" s="11">
        <f t="shared" si="22"/>
        <v>1</v>
      </c>
      <c r="D471" s="11"/>
      <c r="E471" s="11"/>
      <c r="F471" s="14"/>
      <c r="G471" s="89">
        <f>IFERROR(VLOOKUP(F471,COA!$A$1:$K$26,2,FALSE),0)</f>
        <v>0</v>
      </c>
      <c r="H471" s="11"/>
      <c r="I471" s="11"/>
      <c r="J471" s="78"/>
      <c r="K471" s="79"/>
      <c r="L471" s="146">
        <f t="shared" si="24"/>
        <v>504000</v>
      </c>
      <c r="M471" s="73"/>
      <c r="N471" s="73"/>
      <c r="O471" s="7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 x14ac:dyDescent="0.35">
      <c r="A472" s="9">
        <f t="shared" si="23"/>
        <v>464</v>
      </c>
      <c r="B472" s="15"/>
      <c r="C472" s="11">
        <f t="shared" si="22"/>
        <v>1</v>
      </c>
      <c r="D472" s="11"/>
      <c r="E472" s="11"/>
      <c r="F472" s="14"/>
      <c r="G472" s="89">
        <f>IFERROR(VLOOKUP(F472,COA!$A$1:$K$26,2,FALSE),0)</f>
        <v>0</v>
      </c>
      <c r="H472" s="11"/>
      <c r="I472" s="11"/>
      <c r="J472" s="78"/>
      <c r="K472" s="79"/>
      <c r="L472" s="146">
        <f t="shared" si="24"/>
        <v>504000</v>
      </c>
      <c r="M472" s="73"/>
      <c r="N472" s="73"/>
      <c r="O472" s="7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 x14ac:dyDescent="0.35">
      <c r="A473" s="9">
        <f t="shared" si="23"/>
        <v>465</v>
      </c>
      <c r="B473" s="15"/>
      <c r="C473" s="11">
        <f t="shared" si="22"/>
        <v>1</v>
      </c>
      <c r="D473" s="11"/>
      <c r="E473" s="11"/>
      <c r="F473" s="11"/>
      <c r="G473" s="89">
        <f>IFERROR(VLOOKUP(F473,COA!$A$1:$K$26,2,FALSE),0)</f>
        <v>0</v>
      </c>
      <c r="H473" s="13"/>
      <c r="I473" s="13"/>
      <c r="J473" s="77"/>
      <c r="K473" s="78"/>
      <c r="L473" s="146">
        <f t="shared" si="24"/>
        <v>504000</v>
      </c>
      <c r="M473" s="73"/>
      <c r="N473" s="73"/>
      <c r="O473" s="7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 x14ac:dyDescent="0.35">
      <c r="A474" s="9">
        <f t="shared" si="23"/>
        <v>466</v>
      </c>
      <c r="B474" s="15"/>
      <c r="C474" s="11">
        <f t="shared" si="22"/>
        <v>1</v>
      </c>
      <c r="D474" s="11"/>
      <c r="E474" s="11"/>
      <c r="F474" s="14"/>
      <c r="G474" s="89">
        <f>IFERROR(VLOOKUP(F474,COA!$A$1:$K$26,2,FALSE),0)</f>
        <v>0</v>
      </c>
      <c r="H474" s="11"/>
      <c r="I474" s="11"/>
      <c r="J474" s="79"/>
      <c r="K474" s="78"/>
      <c r="L474" s="146">
        <f t="shared" si="24"/>
        <v>504000</v>
      </c>
      <c r="M474" s="73"/>
      <c r="N474" s="73"/>
      <c r="O474" s="7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 x14ac:dyDescent="0.35">
      <c r="A475" s="9">
        <f t="shared" si="23"/>
        <v>467</v>
      </c>
      <c r="B475" s="15"/>
      <c r="C475" s="11">
        <f t="shared" si="22"/>
        <v>1</v>
      </c>
      <c r="D475" s="11"/>
      <c r="E475" s="11"/>
      <c r="F475" s="14"/>
      <c r="G475" s="89">
        <f>IFERROR(VLOOKUP(F475,COA!$A$1:$K$26,2,FALSE),0)</f>
        <v>0</v>
      </c>
      <c r="H475" s="11"/>
      <c r="I475" s="11"/>
      <c r="J475" s="78"/>
      <c r="K475" s="79"/>
      <c r="L475" s="146">
        <f t="shared" si="24"/>
        <v>504000</v>
      </c>
      <c r="M475" s="73"/>
      <c r="N475" s="73"/>
      <c r="O475" s="7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 x14ac:dyDescent="0.35">
      <c r="A476" s="9">
        <f t="shared" si="23"/>
        <v>468</v>
      </c>
      <c r="B476" s="15"/>
      <c r="C476" s="11">
        <f t="shared" si="22"/>
        <v>1</v>
      </c>
      <c r="D476" s="11"/>
      <c r="E476" s="11"/>
      <c r="F476" s="14"/>
      <c r="G476" s="89">
        <f>IFERROR(VLOOKUP(F476,COA!$A$1:$K$26,2,FALSE),0)</f>
        <v>0</v>
      </c>
      <c r="H476" s="11"/>
      <c r="I476" s="11"/>
      <c r="J476" s="78"/>
      <c r="K476" s="79"/>
      <c r="L476" s="146">
        <f t="shared" si="24"/>
        <v>504000</v>
      </c>
      <c r="M476" s="73"/>
      <c r="N476" s="73"/>
      <c r="O476" s="7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 x14ac:dyDescent="0.35">
      <c r="A477" s="9">
        <f t="shared" si="23"/>
        <v>469</v>
      </c>
      <c r="B477" s="15"/>
      <c r="C477" s="11">
        <f t="shared" si="22"/>
        <v>1</v>
      </c>
      <c r="D477" s="11"/>
      <c r="E477" s="11"/>
      <c r="F477" s="14"/>
      <c r="G477" s="89">
        <f>IFERROR(VLOOKUP(F477,COA!$A$1:$K$26,2,FALSE),0)</f>
        <v>0</v>
      </c>
      <c r="H477" s="11"/>
      <c r="I477" s="11"/>
      <c r="J477" s="78"/>
      <c r="K477" s="79"/>
      <c r="L477" s="146">
        <f t="shared" si="24"/>
        <v>504000</v>
      </c>
      <c r="M477" s="73"/>
      <c r="N477" s="73"/>
      <c r="O477" s="7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 x14ac:dyDescent="0.35">
      <c r="A478" s="9">
        <f t="shared" si="23"/>
        <v>470</v>
      </c>
      <c r="B478" s="15"/>
      <c r="C478" s="11">
        <f t="shared" si="22"/>
        <v>1</v>
      </c>
      <c r="D478" s="11"/>
      <c r="E478" s="11"/>
      <c r="F478" s="14"/>
      <c r="G478" s="89">
        <f>IFERROR(VLOOKUP(F478,COA!$A$1:$K$26,2,FALSE),0)</f>
        <v>0</v>
      </c>
      <c r="H478" s="11"/>
      <c r="I478" s="11"/>
      <c r="J478" s="79"/>
      <c r="K478" s="78"/>
      <c r="L478" s="146">
        <f t="shared" si="24"/>
        <v>504000</v>
      </c>
      <c r="M478" s="73"/>
      <c r="N478" s="73"/>
      <c r="O478" s="7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 x14ac:dyDescent="0.35">
      <c r="A479" s="9">
        <f t="shared" si="23"/>
        <v>471</v>
      </c>
      <c r="B479" s="15"/>
      <c r="C479" s="11">
        <f t="shared" si="22"/>
        <v>1</v>
      </c>
      <c r="D479" s="11"/>
      <c r="E479" s="11"/>
      <c r="F479" s="14"/>
      <c r="G479" s="89">
        <f>IFERROR(VLOOKUP(F479,COA!$A$1:$K$26,2,FALSE),0)</f>
        <v>0</v>
      </c>
      <c r="H479" s="11"/>
      <c r="I479" s="11"/>
      <c r="J479" s="78"/>
      <c r="K479" s="79"/>
      <c r="L479" s="146">
        <f t="shared" si="24"/>
        <v>504000</v>
      </c>
      <c r="M479" s="73"/>
      <c r="N479" s="73"/>
      <c r="O479" s="7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 x14ac:dyDescent="0.35">
      <c r="A480" s="9">
        <f t="shared" si="23"/>
        <v>472</v>
      </c>
      <c r="B480" s="15"/>
      <c r="C480" s="11">
        <f t="shared" si="22"/>
        <v>1</v>
      </c>
      <c r="D480" s="11"/>
      <c r="E480" s="11"/>
      <c r="F480" s="14"/>
      <c r="G480" s="89">
        <f>IFERROR(VLOOKUP(F480,COA!$A$1:$K$26,2,FALSE),0)</f>
        <v>0</v>
      </c>
      <c r="H480" s="11"/>
      <c r="I480" s="11"/>
      <c r="J480" s="78"/>
      <c r="K480" s="79"/>
      <c r="L480" s="146">
        <f t="shared" si="24"/>
        <v>504000</v>
      </c>
      <c r="M480" s="73"/>
      <c r="N480" s="73"/>
      <c r="O480" s="7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 x14ac:dyDescent="0.35">
      <c r="A481" s="9">
        <f t="shared" si="23"/>
        <v>473</v>
      </c>
      <c r="B481" s="15"/>
      <c r="C481" s="11">
        <f t="shared" si="22"/>
        <v>1</v>
      </c>
      <c r="D481" s="11"/>
      <c r="E481" s="11"/>
      <c r="F481" s="14"/>
      <c r="G481" s="89">
        <f>IFERROR(VLOOKUP(F481,COA!$A$1:$K$26,2,FALSE),0)</f>
        <v>0</v>
      </c>
      <c r="H481" s="11"/>
      <c r="I481" s="11"/>
      <c r="J481" s="78"/>
      <c r="K481" s="79"/>
      <c r="L481" s="146">
        <f t="shared" si="24"/>
        <v>504000</v>
      </c>
      <c r="M481" s="73"/>
      <c r="N481" s="73"/>
      <c r="O481" s="7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 x14ac:dyDescent="0.35">
      <c r="A482" s="9">
        <f t="shared" si="23"/>
        <v>474</v>
      </c>
      <c r="B482" s="15"/>
      <c r="C482" s="11">
        <f t="shared" si="22"/>
        <v>1</v>
      </c>
      <c r="D482" s="11"/>
      <c r="E482" s="11"/>
      <c r="F482" s="11"/>
      <c r="G482" s="89">
        <f>IFERROR(VLOOKUP(F482,COA!$A$1:$K$26,2,FALSE),0)</f>
        <v>0</v>
      </c>
      <c r="H482" s="11"/>
      <c r="I482" s="11"/>
      <c r="J482" s="81"/>
      <c r="K482" s="81"/>
      <c r="L482" s="146">
        <f t="shared" si="24"/>
        <v>504000</v>
      </c>
      <c r="M482" s="73"/>
      <c r="N482" s="73"/>
      <c r="O482" s="7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 x14ac:dyDescent="0.35">
      <c r="A483" s="9">
        <f t="shared" si="23"/>
        <v>475</v>
      </c>
      <c r="B483" s="15"/>
      <c r="C483" s="11">
        <f t="shared" si="22"/>
        <v>1</v>
      </c>
      <c r="D483" s="11"/>
      <c r="E483" s="11"/>
      <c r="F483" s="14"/>
      <c r="G483" s="89">
        <f>IFERROR(VLOOKUP(F483,COA!$A$1:$K$26,2,FALSE),0)</f>
        <v>0</v>
      </c>
      <c r="H483" s="11"/>
      <c r="I483" s="11"/>
      <c r="J483" s="79"/>
      <c r="K483" s="78"/>
      <c r="L483" s="146">
        <f t="shared" si="24"/>
        <v>504000</v>
      </c>
      <c r="M483" s="73"/>
      <c r="N483" s="73"/>
      <c r="O483" s="7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 x14ac:dyDescent="0.35">
      <c r="A484" s="9">
        <f t="shared" si="23"/>
        <v>476</v>
      </c>
      <c r="B484" s="15"/>
      <c r="C484" s="11">
        <f t="shared" si="22"/>
        <v>1</v>
      </c>
      <c r="D484" s="11"/>
      <c r="E484" s="11"/>
      <c r="F484" s="14"/>
      <c r="G484" s="89">
        <f>IFERROR(VLOOKUP(F484,COA!$A$1:$K$26,2,FALSE),0)</f>
        <v>0</v>
      </c>
      <c r="H484" s="11"/>
      <c r="I484" s="11"/>
      <c r="J484" s="78"/>
      <c r="K484" s="79"/>
      <c r="L484" s="146">
        <f t="shared" si="24"/>
        <v>504000</v>
      </c>
      <c r="M484" s="73"/>
      <c r="N484" s="73"/>
      <c r="O484" s="7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 x14ac:dyDescent="0.35">
      <c r="A485" s="9">
        <f t="shared" si="23"/>
        <v>477</v>
      </c>
      <c r="B485" s="15"/>
      <c r="C485" s="11">
        <f t="shared" si="22"/>
        <v>1</v>
      </c>
      <c r="D485" s="11"/>
      <c r="E485" s="11"/>
      <c r="F485" s="14"/>
      <c r="G485" s="89">
        <f>IFERROR(VLOOKUP(F485,COA!$A$1:$K$26,2,FALSE),0)</f>
        <v>0</v>
      </c>
      <c r="H485" s="11"/>
      <c r="I485" s="11"/>
      <c r="J485" s="78"/>
      <c r="K485" s="79"/>
      <c r="L485" s="146">
        <f t="shared" si="24"/>
        <v>504000</v>
      </c>
      <c r="M485" s="73"/>
      <c r="N485" s="73"/>
      <c r="O485" s="7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 x14ac:dyDescent="0.35">
      <c r="A486" s="9">
        <f t="shared" si="23"/>
        <v>478</v>
      </c>
      <c r="B486" s="15"/>
      <c r="C486" s="11">
        <f t="shared" si="22"/>
        <v>1</v>
      </c>
      <c r="D486" s="11"/>
      <c r="E486" s="11"/>
      <c r="F486" s="14"/>
      <c r="G486" s="89">
        <f>IFERROR(VLOOKUP(F486,COA!$A$1:$K$26,2,FALSE),0)</f>
        <v>0</v>
      </c>
      <c r="H486" s="11"/>
      <c r="I486" s="11"/>
      <c r="J486" s="78"/>
      <c r="K486" s="79"/>
      <c r="L486" s="146">
        <f t="shared" si="24"/>
        <v>504000</v>
      </c>
      <c r="M486" s="73"/>
      <c r="N486" s="73"/>
      <c r="O486" s="7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 x14ac:dyDescent="0.35">
      <c r="A487" s="9">
        <f t="shared" si="23"/>
        <v>479</v>
      </c>
      <c r="B487" s="15"/>
      <c r="C487" s="11">
        <f t="shared" si="22"/>
        <v>1</v>
      </c>
      <c r="D487" s="11"/>
      <c r="E487" s="11"/>
      <c r="F487" s="11"/>
      <c r="G487" s="89">
        <f>IFERROR(VLOOKUP(F487,COA!$A$1:$K$26,2,FALSE),0)</f>
        <v>0</v>
      </c>
      <c r="H487" s="11"/>
      <c r="I487" s="11"/>
      <c r="J487" s="78"/>
      <c r="K487" s="78"/>
      <c r="L487" s="146">
        <f t="shared" si="24"/>
        <v>504000</v>
      </c>
      <c r="M487" s="73"/>
      <c r="N487" s="73"/>
      <c r="O487" s="7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 x14ac:dyDescent="0.35">
      <c r="A488" s="9">
        <f t="shared" si="23"/>
        <v>480</v>
      </c>
      <c r="B488" s="15"/>
      <c r="C488" s="11">
        <f t="shared" si="22"/>
        <v>1</v>
      </c>
      <c r="D488" s="11"/>
      <c r="E488" s="11"/>
      <c r="F488" s="11"/>
      <c r="G488" s="89">
        <f>IFERROR(VLOOKUP(F488,COA!$A$1:$K$26,2,FALSE),0)</f>
        <v>0</v>
      </c>
      <c r="H488" s="11"/>
      <c r="I488" s="11"/>
      <c r="J488" s="78"/>
      <c r="K488" s="78"/>
      <c r="L488" s="146">
        <f t="shared" si="24"/>
        <v>504000</v>
      </c>
      <c r="M488" s="73"/>
      <c r="N488" s="73"/>
      <c r="O488" s="7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 x14ac:dyDescent="0.35">
      <c r="A489" s="9">
        <f t="shared" si="23"/>
        <v>481</v>
      </c>
      <c r="B489" s="15"/>
      <c r="C489" s="11">
        <f t="shared" si="22"/>
        <v>1</v>
      </c>
      <c r="D489" s="11"/>
      <c r="E489" s="11"/>
      <c r="F489" s="11"/>
      <c r="G489" s="89">
        <f>IFERROR(VLOOKUP(F489,COA!$A$1:$K$26,2,FALSE),0)</f>
        <v>0</v>
      </c>
      <c r="H489" s="13"/>
      <c r="I489" s="13"/>
      <c r="J489" s="78"/>
      <c r="K489" s="78"/>
      <c r="L489" s="146">
        <f t="shared" si="24"/>
        <v>504000</v>
      </c>
      <c r="M489" s="73"/>
      <c r="N489" s="73"/>
      <c r="O489" s="7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 x14ac:dyDescent="0.35">
      <c r="A490" s="9">
        <f t="shared" si="23"/>
        <v>482</v>
      </c>
      <c r="B490" s="15"/>
      <c r="C490" s="11">
        <f t="shared" si="22"/>
        <v>1</v>
      </c>
      <c r="D490" s="11"/>
      <c r="E490" s="11"/>
      <c r="F490" s="11"/>
      <c r="G490" s="89">
        <f>IFERROR(VLOOKUP(F490,COA!$A$1:$K$26,2,FALSE),0)</f>
        <v>0</v>
      </c>
      <c r="H490" s="11"/>
      <c r="I490" s="11"/>
      <c r="J490" s="78"/>
      <c r="K490" s="78"/>
      <c r="L490" s="146">
        <f t="shared" si="24"/>
        <v>504000</v>
      </c>
      <c r="M490" s="73"/>
      <c r="N490" s="73"/>
      <c r="O490" s="7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 x14ac:dyDescent="0.35">
      <c r="A491" s="9">
        <f t="shared" si="23"/>
        <v>483</v>
      </c>
      <c r="B491" s="15"/>
      <c r="C491" s="11">
        <f t="shared" si="22"/>
        <v>1</v>
      </c>
      <c r="D491" s="11"/>
      <c r="E491" s="11"/>
      <c r="F491" s="11"/>
      <c r="G491" s="89">
        <f>IFERROR(VLOOKUP(F491,COA!$A$1:$K$26,2,FALSE),0)</f>
        <v>0</v>
      </c>
      <c r="H491" s="11"/>
      <c r="I491" s="11"/>
      <c r="J491" s="78"/>
      <c r="K491" s="78"/>
      <c r="L491" s="146">
        <f t="shared" si="24"/>
        <v>504000</v>
      </c>
      <c r="M491" s="73"/>
      <c r="N491" s="73"/>
      <c r="O491" s="7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 x14ac:dyDescent="0.35">
      <c r="A492" s="9">
        <f t="shared" si="23"/>
        <v>484</v>
      </c>
      <c r="B492" s="15"/>
      <c r="C492" s="11">
        <f t="shared" si="22"/>
        <v>1</v>
      </c>
      <c r="D492" s="11"/>
      <c r="E492" s="11"/>
      <c r="F492" s="11"/>
      <c r="G492" s="89">
        <f>IFERROR(VLOOKUP(F492,COA!$A$1:$K$26,2,FALSE),0)</f>
        <v>0</v>
      </c>
      <c r="H492" s="11"/>
      <c r="I492" s="11"/>
      <c r="J492" s="78"/>
      <c r="K492" s="78"/>
      <c r="L492" s="146">
        <f t="shared" si="24"/>
        <v>504000</v>
      </c>
      <c r="M492" s="73"/>
      <c r="N492" s="73"/>
      <c r="O492" s="7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 x14ac:dyDescent="0.35">
      <c r="A493" s="9">
        <f t="shared" si="23"/>
        <v>485</v>
      </c>
      <c r="B493" s="15"/>
      <c r="C493" s="11">
        <f t="shared" si="22"/>
        <v>1</v>
      </c>
      <c r="D493" s="11"/>
      <c r="E493" s="11"/>
      <c r="F493" s="11"/>
      <c r="G493" s="89">
        <f>IFERROR(VLOOKUP(F493,COA!$A$1:$K$26,2,FALSE),0)</f>
        <v>0</v>
      </c>
      <c r="H493" s="11"/>
      <c r="I493" s="11"/>
      <c r="J493" s="78"/>
      <c r="K493" s="78"/>
      <c r="L493" s="146">
        <f t="shared" si="24"/>
        <v>504000</v>
      </c>
      <c r="M493" s="73"/>
      <c r="N493" s="73"/>
      <c r="O493" s="7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 x14ac:dyDescent="0.35">
      <c r="A494" s="9">
        <f t="shared" si="23"/>
        <v>486</v>
      </c>
      <c r="B494" s="15"/>
      <c r="C494" s="11">
        <f t="shared" si="22"/>
        <v>1</v>
      </c>
      <c r="D494" s="11"/>
      <c r="E494" s="11"/>
      <c r="F494" s="11"/>
      <c r="G494" s="89">
        <f>IFERROR(VLOOKUP(F494,COA!$A$1:$K$26,2,FALSE),0)</f>
        <v>0</v>
      </c>
      <c r="H494" s="11"/>
      <c r="I494" s="11"/>
      <c r="J494" s="78"/>
      <c r="K494" s="78"/>
      <c r="L494" s="146">
        <f t="shared" si="24"/>
        <v>504000</v>
      </c>
      <c r="M494" s="73"/>
      <c r="N494" s="73"/>
      <c r="O494" s="7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 x14ac:dyDescent="0.35">
      <c r="A495" s="9">
        <f t="shared" si="23"/>
        <v>487</v>
      </c>
      <c r="B495" s="15"/>
      <c r="C495" s="11">
        <f t="shared" si="22"/>
        <v>1</v>
      </c>
      <c r="D495" s="11"/>
      <c r="E495" s="11"/>
      <c r="F495" s="11"/>
      <c r="G495" s="89">
        <f>IFERROR(VLOOKUP(F495,COA!$A$1:$K$26,2,FALSE),0)</f>
        <v>0</v>
      </c>
      <c r="H495" s="11"/>
      <c r="I495" s="11"/>
      <c r="J495" s="78"/>
      <c r="K495" s="78"/>
      <c r="L495" s="146">
        <f t="shared" si="24"/>
        <v>504000</v>
      </c>
      <c r="M495" s="73"/>
      <c r="N495" s="73"/>
      <c r="O495" s="7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 x14ac:dyDescent="0.35">
      <c r="A496" s="9">
        <f t="shared" si="23"/>
        <v>488</v>
      </c>
      <c r="B496" s="15"/>
      <c r="C496" s="11">
        <f t="shared" si="22"/>
        <v>1</v>
      </c>
      <c r="D496" s="11"/>
      <c r="E496" s="11"/>
      <c r="F496" s="11"/>
      <c r="G496" s="89">
        <f>IFERROR(VLOOKUP(F496,COA!$A$1:$K$26,2,FALSE),0)</f>
        <v>0</v>
      </c>
      <c r="H496" s="11"/>
      <c r="I496" s="11"/>
      <c r="J496" s="78"/>
      <c r="K496" s="78"/>
      <c r="L496" s="146">
        <f t="shared" si="24"/>
        <v>504000</v>
      </c>
      <c r="M496" s="73"/>
      <c r="N496" s="73"/>
      <c r="O496" s="7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 x14ac:dyDescent="0.35">
      <c r="A497" s="9">
        <f t="shared" si="23"/>
        <v>489</v>
      </c>
      <c r="B497" s="15"/>
      <c r="C497" s="11">
        <f t="shared" si="22"/>
        <v>1</v>
      </c>
      <c r="D497" s="11"/>
      <c r="E497" s="11"/>
      <c r="F497" s="11"/>
      <c r="G497" s="89">
        <f>IFERROR(VLOOKUP(F497,COA!$A$1:$K$26,2,FALSE),0)</f>
        <v>0</v>
      </c>
      <c r="H497" s="13"/>
      <c r="I497" s="13"/>
      <c r="J497" s="78"/>
      <c r="K497" s="78"/>
      <c r="L497" s="146">
        <f t="shared" si="24"/>
        <v>504000</v>
      </c>
      <c r="M497" s="73"/>
      <c r="N497" s="73"/>
      <c r="O497" s="7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 x14ac:dyDescent="0.35">
      <c r="A498" s="9">
        <f t="shared" si="23"/>
        <v>490</v>
      </c>
      <c r="B498" s="15"/>
      <c r="C498" s="11">
        <f t="shared" si="22"/>
        <v>1</v>
      </c>
      <c r="D498" s="11"/>
      <c r="E498" s="11"/>
      <c r="F498" s="11"/>
      <c r="G498" s="89">
        <f>IFERROR(VLOOKUP(F498,COA!$A$1:$K$26,2,FALSE),0)</f>
        <v>0</v>
      </c>
      <c r="H498" s="11"/>
      <c r="I498" s="11"/>
      <c r="J498" s="78"/>
      <c r="K498" s="78"/>
      <c r="L498" s="146">
        <f t="shared" si="24"/>
        <v>504000</v>
      </c>
      <c r="M498" s="73"/>
      <c r="N498" s="73"/>
      <c r="O498" s="7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 x14ac:dyDescent="0.35">
      <c r="A499" s="9">
        <f t="shared" si="23"/>
        <v>491</v>
      </c>
      <c r="B499" s="15"/>
      <c r="C499" s="11">
        <f t="shared" si="22"/>
        <v>1</v>
      </c>
      <c r="D499" s="11"/>
      <c r="E499" s="11"/>
      <c r="F499" s="11"/>
      <c r="G499" s="89">
        <f>IFERROR(VLOOKUP(F499,COA!$A$1:$K$26,2,FALSE),0)</f>
        <v>0</v>
      </c>
      <c r="H499" s="13"/>
      <c r="I499" s="13"/>
      <c r="J499" s="78"/>
      <c r="K499" s="78"/>
      <c r="L499" s="146">
        <f t="shared" si="24"/>
        <v>504000</v>
      </c>
      <c r="M499" s="73"/>
      <c r="N499" s="73"/>
      <c r="O499" s="7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35">
      <c r="A500" s="9">
        <f t="shared" si="23"/>
        <v>492</v>
      </c>
      <c r="B500" s="15"/>
      <c r="C500" s="11">
        <f t="shared" si="22"/>
        <v>1</v>
      </c>
      <c r="D500" s="11"/>
      <c r="E500" s="11"/>
      <c r="F500" s="11"/>
      <c r="G500" s="89">
        <f>IFERROR(VLOOKUP(F500,COA!$A$1:$K$26,2,FALSE),0)</f>
        <v>0</v>
      </c>
      <c r="H500" s="11"/>
      <c r="I500" s="11"/>
      <c r="J500" s="78"/>
      <c r="K500" s="78"/>
      <c r="L500" s="146">
        <f t="shared" si="24"/>
        <v>504000</v>
      </c>
      <c r="M500" s="73"/>
      <c r="N500" s="73"/>
      <c r="O500" s="7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4.25" customHeight="1" x14ac:dyDescent="0.35">
      <c r="A501" s="9">
        <f t="shared" si="23"/>
        <v>493</v>
      </c>
      <c r="B501" s="15"/>
      <c r="C501" s="11">
        <f t="shared" si="22"/>
        <v>1</v>
      </c>
      <c r="D501" s="11"/>
      <c r="E501" s="11"/>
      <c r="F501" s="11"/>
      <c r="G501" s="89">
        <f>IFERROR(VLOOKUP(F501,COA!$A$1:$K$26,2,FALSE),0)</f>
        <v>0</v>
      </c>
      <c r="H501" s="11"/>
      <c r="I501" s="11"/>
      <c r="J501" s="78"/>
      <c r="K501" s="78"/>
      <c r="L501" s="146">
        <f t="shared" si="24"/>
        <v>504000</v>
      </c>
      <c r="M501" s="73"/>
      <c r="N501" s="73"/>
      <c r="O501" s="7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4.25" customHeight="1" x14ac:dyDescent="0.35">
      <c r="A502" s="9">
        <f t="shared" si="23"/>
        <v>494</v>
      </c>
      <c r="B502" s="15"/>
      <c r="C502" s="11">
        <f t="shared" si="22"/>
        <v>1</v>
      </c>
      <c r="D502" s="11"/>
      <c r="E502" s="11"/>
      <c r="F502" s="11"/>
      <c r="G502" s="89">
        <f>IFERROR(VLOOKUP(F502,COA!$A$1:$K$26,2,FALSE),0)</f>
        <v>0</v>
      </c>
      <c r="H502" s="11"/>
      <c r="I502" s="11"/>
      <c r="J502" s="78"/>
      <c r="K502" s="78"/>
      <c r="L502" s="146">
        <f t="shared" si="24"/>
        <v>504000</v>
      </c>
      <c r="M502" s="73"/>
      <c r="N502" s="73"/>
      <c r="O502" s="7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4.25" customHeight="1" x14ac:dyDescent="0.35">
      <c r="A503" s="9">
        <f t="shared" si="23"/>
        <v>495</v>
      </c>
      <c r="B503" s="15"/>
      <c r="C503" s="11">
        <f t="shared" si="22"/>
        <v>1</v>
      </c>
      <c r="D503" s="11"/>
      <c r="E503" s="11"/>
      <c r="F503" s="11"/>
      <c r="G503" s="89">
        <f>IFERROR(VLOOKUP(F503,COA!$A$1:$K$26,2,FALSE),0)</f>
        <v>0</v>
      </c>
      <c r="H503" s="11"/>
      <c r="I503" s="11"/>
      <c r="J503" s="78"/>
      <c r="K503" s="78"/>
      <c r="L503" s="146">
        <f t="shared" si="24"/>
        <v>504000</v>
      </c>
      <c r="M503" s="73"/>
      <c r="N503" s="73"/>
      <c r="O503" s="7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4.25" customHeight="1" x14ac:dyDescent="0.35">
      <c r="A504" s="9">
        <f t="shared" si="23"/>
        <v>496</v>
      </c>
      <c r="B504" s="15"/>
      <c r="C504" s="11">
        <f t="shared" si="22"/>
        <v>1</v>
      </c>
      <c r="D504" s="11"/>
      <c r="E504" s="11"/>
      <c r="F504" s="11"/>
      <c r="G504" s="89">
        <f>IFERROR(VLOOKUP(F504,COA!$A$1:$K$26,2,FALSE),0)</f>
        <v>0</v>
      </c>
      <c r="H504" s="11"/>
      <c r="I504" s="11"/>
      <c r="J504" s="78"/>
      <c r="K504" s="78"/>
      <c r="L504" s="146">
        <f t="shared" si="24"/>
        <v>504000</v>
      </c>
      <c r="M504" s="73"/>
      <c r="N504" s="73"/>
      <c r="O504" s="7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4.25" customHeight="1" x14ac:dyDescent="0.35">
      <c r="A505" s="9">
        <f t="shared" si="23"/>
        <v>497</v>
      </c>
      <c r="B505" s="15"/>
      <c r="C505" s="11">
        <f t="shared" si="22"/>
        <v>1</v>
      </c>
      <c r="D505" s="11"/>
      <c r="E505" s="11"/>
      <c r="F505" s="11"/>
      <c r="G505" s="89">
        <f>IFERROR(VLOOKUP(F505,COA!$A$1:$K$26,2,FALSE),0)</f>
        <v>0</v>
      </c>
      <c r="H505" s="11"/>
      <c r="I505" s="11"/>
      <c r="J505" s="78"/>
      <c r="K505" s="78"/>
      <c r="L505" s="146">
        <f t="shared" si="24"/>
        <v>504000</v>
      </c>
      <c r="M505" s="73"/>
      <c r="N505" s="73"/>
      <c r="O505" s="7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4.25" customHeight="1" x14ac:dyDescent="0.35">
      <c r="A506" s="9">
        <f t="shared" si="23"/>
        <v>498</v>
      </c>
      <c r="B506" s="15"/>
      <c r="C506" s="11">
        <f t="shared" si="22"/>
        <v>1</v>
      </c>
      <c r="D506" s="11"/>
      <c r="E506" s="11"/>
      <c r="F506" s="11"/>
      <c r="G506" s="89">
        <f>IFERROR(VLOOKUP(F506,COA!$A$1:$K$26,2,FALSE),0)</f>
        <v>0</v>
      </c>
      <c r="H506" s="11"/>
      <c r="I506" s="11"/>
      <c r="J506" s="78"/>
      <c r="K506" s="78"/>
      <c r="L506" s="146">
        <f t="shared" si="24"/>
        <v>504000</v>
      </c>
      <c r="M506" s="73"/>
      <c r="N506" s="73"/>
      <c r="O506" s="7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4.25" customHeight="1" x14ac:dyDescent="0.35">
      <c r="A507" s="9">
        <f t="shared" si="23"/>
        <v>499</v>
      </c>
      <c r="B507" s="15"/>
      <c r="C507" s="11">
        <f t="shared" si="22"/>
        <v>1</v>
      </c>
      <c r="D507" s="11"/>
      <c r="E507" s="11"/>
      <c r="F507" s="11"/>
      <c r="G507" s="89">
        <f>IFERROR(VLOOKUP(F507,COA!$A$1:$K$26,2,FALSE),0)</f>
        <v>0</v>
      </c>
      <c r="H507" s="11"/>
      <c r="I507" s="11"/>
      <c r="J507" s="78"/>
      <c r="K507" s="78"/>
      <c r="L507" s="146">
        <f t="shared" si="24"/>
        <v>504000</v>
      </c>
      <c r="M507" s="73"/>
      <c r="N507" s="73"/>
      <c r="O507" s="7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4.25" customHeight="1" x14ac:dyDescent="0.35">
      <c r="A508" s="9">
        <f t="shared" si="23"/>
        <v>500</v>
      </c>
      <c r="B508" s="15"/>
      <c r="C508" s="11">
        <f t="shared" si="22"/>
        <v>1</v>
      </c>
      <c r="D508" s="11"/>
      <c r="E508" s="11"/>
      <c r="F508" s="11"/>
      <c r="G508" s="89">
        <f>IFERROR(VLOOKUP(F508,COA!$A$1:$K$26,2,FALSE),0)</f>
        <v>0</v>
      </c>
      <c r="H508" s="11"/>
      <c r="I508" s="11"/>
      <c r="J508" s="78"/>
      <c r="K508" s="78"/>
      <c r="L508" s="146">
        <f t="shared" si="24"/>
        <v>504000</v>
      </c>
      <c r="M508" s="73"/>
      <c r="N508" s="73"/>
      <c r="O508" s="7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4.25" customHeight="1" x14ac:dyDescent="0.35">
      <c r="A509" s="9">
        <f t="shared" si="23"/>
        <v>501</v>
      </c>
      <c r="B509" s="15"/>
      <c r="C509" s="11">
        <f t="shared" si="22"/>
        <v>1</v>
      </c>
      <c r="D509" s="11"/>
      <c r="E509" s="11"/>
      <c r="F509" s="11"/>
      <c r="G509" s="89">
        <f>IFERROR(VLOOKUP(F509,COA!$A$1:$K$26,2,FALSE),0)</f>
        <v>0</v>
      </c>
      <c r="H509" s="11"/>
      <c r="I509" s="11"/>
      <c r="J509" s="78"/>
      <c r="K509" s="78"/>
      <c r="L509" s="146">
        <f t="shared" si="24"/>
        <v>504000</v>
      </c>
      <c r="M509" s="73"/>
      <c r="N509" s="73"/>
      <c r="O509" s="7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4.25" customHeight="1" x14ac:dyDescent="0.35">
      <c r="A510" s="9">
        <f t="shared" si="23"/>
        <v>502</v>
      </c>
      <c r="B510" s="15"/>
      <c r="C510" s="11">
        <f t="shared" si="22"/>
        <v>1</v>
      </c>
      <c r="D510" s="11"/>
      <c r="E510" s="11"/>
      <c r="F510" s="11"/>
      <c r="G510" s="89">
        <f>IFERROR(VLOOKUP(F510,COA!$A$1:$K$26,2,FALSE),0)</f>
        <v>0</v>
      </c>
      <c r="H510" s="11"/>
      <c r="I510" s="11"/>
      <c r="J510" s="78"/>
      <c r="K510" s="78"/>
      <c r="L510" s="146">
        <f t="shared" si="24"/>
        <v>504000</v>
      </c>
      <c r="M510" s="73"/>
      <c r="N510" s="73"/>
      <c r="O510" s="7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4.25" customHeight="1" x14ac:dyDescent="0.35">
      <c r="A511" s="9">
        <f t="shared" si="23"/>
        <v>503</v>
      </c>
      <c r="B511" s="15"/>
      <c r="C511" s="11">
        <f t="shared" si="22"/>
        <v>1</v>
      </c>
      <c r="D511" s="11"/>
      <c r="E511" s="11"/>
      <c r="F511" s="11"/>
      <c r="G511" s="89">
        <f>IFERROR(VLOOKUP(F511,COA!$A$1:$K$26,2,FALSE),0)</f>
        <v>0</v>
      </c>
      <c r="H511" s="11"/>
      <c r="I511" s="11"/>
      <c r="J511" s="78"/>
      <c r="K511" s="78"/>
      <c r="L511" s="146">
        <f t="shared" si="24"/>
        <v>504000</v>
      </c>
      <c r="M511" s="73"/>
      <c r="N511" s="73"/>
      <c r="O511" s="7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4.25" customHeight="1" x14ac:dyDescent="0.35">
      <c r="A512" s="9">
        <f t="shared" si="23"/>
        <v>504</v>
      </c>
      <c r="B512" s="15"/>
      <c r="C512" s="11">
        <f t="shared" si="22"/>
        <v>1</v>
      </c>
      <c r="D512" s="11"/>
      <c r="E512" s="11"/>
      <c r="F512" s="11"/>
      <c r="G512" s="89">
        <f>IFERROR(VLOOKUP(F512,COA!$A$1:$K$26,2,FALSE),0)</f>
        <v>0</v>
      </c>
      <c r="H512" s="11"/>
      <c r="I512" s="11"/>
      <c r="J512" s="78"/>
      <c r="K512" s="78"/>
      <c r="L512" s="146">
        <f t="shared" si="24"/>
        <v>504000</v>
      </c>
      <c r="M512" s="73"/>
      <c r="N512" s="73"/>
      <c r="O512" s="7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 x14ac:dyDescent="0.35">
      <c r="A513" s="9">
        <f t="shared" si="23"/>
        <v>505</v>
      </c>
      <c r="B513" s="15"/>
      <c r="C513" s="11">
        <f t="shared" si="22"/>
        <v>1</v>
      </c>
      <c r="D513" s="11"/>
      <c r="E513" s="11"/>
      <c r="F513" s="11"/>
      <c r="G513" s="89">
        <f>IFERROR(VLOOKUP(F513,COA!$A$1:$K$26,2,FALSE),0)</f>
        <v>0</v>
      </c>
      <c r="H513" s="11"/>
      <c r="I513" s="11"/>
      <c r="J513" s="78"/>
      <c r="K513" s="78"/>
      <c r="L513" s="146">
        <f t="shared" si="24"/>
        <v>504000</v>
      </c>
      <c r="M513" s="73"/>
      <c r="N513" s="73"/>
      <c r="O513" s="7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 x14ac:dyDescent="0.35">
      <c r="A514" s="9">
        <f t="shared" si="23"/>
        <v>506</v>
      </c>
      <c r="B514" s="15"/>
      <c r="C514" s="11">
        <f t="shared" si="22"/>
        <v>1</v>
      </c>
      <c r="D514" s="11"/>
      <c r="E514" s="11"/>
      <c r="F514" s="11"/>
      <c r="G514" s="89">
        <f>IFERROR(VLOOKUP(F514,COA!$A$1:$K$26,2,FALSE),0)</f>
        <v>0</v>
      </c>
      <c r="H514" s="11"/>
      <c r="I514" s="11"/>
      <c r="J514" s="78"/>
      <c r="K514" s="78"/>
      <c r="L514" s="146">
        <f t="shared" si="24"/>
        <v>504000</v>
      </c>
      <c r="M514" s="73"/>
      <c r="N514" s="73"/>
      <c r="O514" s="7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 x14ac:dyDescent="0.35">
      <c r="A515" s="9">
        <f t="shared" si="23"/>
        <v>507</v>
      </c>
      <c r="B515" s="15"/>
      <c r="C515" s="11">
        <f t="shared" si="22"/>
        <v>1</v>
      </c>
      <c r="D515" s="11"/>
      <c r="E515" s="11"/>
      <c r="F515" s="11"/>
      <c r="G515" s="89">
        <f>IFERROR(VLOOKUP(F515,COA!$A$1:$K$26,2,FALSE),0)</f>
        <v>0</v>
      </c>
      <c r="H515" s="11"/>
      <c r="I515" s="11"/>
      <c r="J515" s="78"/>
      <c r="K515" s="78"/>
      <c r="L515" s="146">
        <f t="shared" si="24"/>
        <v>504000</v>
      </c>
      <c r="M515" s="73"/>
      <c r="N515" s="73"/>
      <c r="O515" s="7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 x14ac:dyDescent="0.35">
      <c r="A516" s="9">
        <f t="shared" si="23"/>
        <v>508</v>
      </c>
      <c r="B516" s="15"/>
      <c r="C516" s="11">
        <f t="shared" si="22"/>
        <v>1</v>
      </c>
      <c r="D516" s="11"/>
      <c r="E516" s="11"/>
      <c r="F516" s="11"/>
      <c r="G516" s="89">
        <f>IFERROR(VLOOKUP(F516,COA!$A$1:$K$26,2,FALSE),0)</f>
        <v>0</v>
      </c>
      <c r="H516" s="11"/>
      <c r="I516" s="11"/>
      <c r="J516" s="78"/>
      <c r="K516" s="78"/>
      <c r="L516" s="146">
        <f t="shared" si="24"/>
        <v>504000</v>
      </c>
      <c r="M516" s="73"/>
      <c r="N516" s="73"/>
      <c r="O516" s="7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 x14ac:dyDescent="0.35">
      <c r="A517" s="9">
        <f t="shared" si="23"/>
        <v>509</v>
      </c>
      <c r="B517" s="15"/>
      <c r="C517" s="11">
        <f t="shared" si="22"/>
        <v>1</v>
      </c>
      <c r="D517" s="11"/>
      <c r="E517" s="11"/>
      <c r="F517" s="11"/>
      <c r="G517" s="89">
        <f>IFERROR(VLOOKUP(F517,COA!$A$1:$K$26,2,FALSE),0)</f>
        <v>0</v>
      </c>
      <c r="H517" s="11"/>
      <c r="I517" s="11"/>
      <c r="J517" s="78"/>
      <c r="K517" s="78"/>
      <c r="L517" s="146">
        <f t="shared" si="24"/>
        <v>504000</v>
      </c>
      <c r="M517" s="73"/>
      <c r="N517" s="73"/>
      <c r="O517" s="7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 x14ac:dyDescent="0.35">
      <c r="A518" s="9">
        <f t="shared" si="23"/>
        <v>510</v>
      </c>
      <c r="B518" s="15"/>
      <c r="C518" s="11">
        <f t="shared" si="22"/>
        <v>1</v>
      </c>
      <c r="D518" s="11"/>
      <c r="E518" s="11"/>
      <c r="F518" s="11"/>
      <c r="G518" s="89">
        <f>IFERROR(VLOOKUP(F518,COA!$A$1:$K$26,2,FALSE),0)</f>
        <v>0</v>
      </c>
      <c r="H518" s="11"/>
      <c r="I518" s="11"/>
      <c r="J518" s="78"/>
      <c r="K518" s="78"/>
      <c r="L518" s="146">
        <f t="shared" si="24"/>
        <v>504000</v>
      </c>
      <c r="M518" s="73"/>
      <c r="N518" s="73"/>
      <c r="O518" s="7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 x14ac:dyDescent="0.35">
      <c r="A519" s="9">
        <f t="shared" si="23"/>
        <v>511</v>
      </c>
      <c r="B519" s="15"/>
      <c r="C519" s="11">
        <f t="shared" si="22"/>
        <v>1</v>
      </c>
      <c r="D519" s="11"/>
      <c r="E519" s="11"/>
      <c r="F519" s="11"/>
      <c r="G519" s="89">
        <f>IFERROR(VLOOKUP(F519,COA!$A$1:$K$26,2,FALSE),0)</f>
        <v>0</v>
      </c>
      <c r="H519" s="11"/>
      <c r="I519" s="11"/>
      <c r="J519" s="78"/>
      <c r="K519" s="78"/>
      <c r="L519" s="146">
        <f t="shared" si="24"/>
        <v>504000</v>
      </c>
      <c r="M519" s="73"/>
      <c r="N519" s="73"/>
      <c r="O519" s="7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 x14ac:dyDescent="0.35">
      <c r="A520" s="9">
        <f t="shared" si="23"/>
        <v>512</v>
      </c>
      <c r="B520" s="15"/>
      <c r="C520" s="11">
        <f t="shared" ref="C520:C583" si="25">MONTH(B520)</f>
        <v>1</v>
      </c>
      <c r="D520" s="11"/>
      <c r="E520" s="11"/>
      <c r="F520" s="11"/>
      <c r="G520" s="89">
        <f>IFERROR(VLOOKUP(F520,COA!$A$1:$K$26,2,FALSE),0)</f>
        <v>0</v>
      </c>
      <c r="H520" s="11"/>
      <c r="I520" s="11"/>
      <c r="J520" s="78"/>
      <c r="K520" s="78"/>
      <c r="L520" s="146">
        <f t="shared" si="24"/>
        <v>504000</v>
      </c>
      <c r="M520" s="73"/>
      <c r="N520" s="73"/>
      <c r="O520" s="7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 x14ac:dyDescent="0.35">
      <c r="A521" s="9">
        <f t="shared" si="23"/>
        <v>513</v>
      </c>
      <c r="B521" s="15"/>
      <c r="C521" s="11">
        <f t="shared" si="25"/>
        <v>1</v>
      </c>
      <c r="D521" s="11"/>
      <c r="E521" s="11"/>
      <c r="F521" s="11"/>
      <c r="G521" s="89">
        <f>IFERROR(VLOOKUP(F521,COA!$A$1:$K$26,2,FALSE),0)</f>
        <v>0</v>
      </c>
      <c r="H521" s="11"/>
      <c r="I521" s="11"/>
      <c r="J521" s="78"/>
      <c r="K521" s="78"/>
      <c r="L521" s="146">
        <f t="shared" si="24"/>
        <v>504000</v>
      </c>
      <c r="M521" s="73"/>
      <c r="N521" s="73"/>
      <c r="O521" s="7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 x14ac:dyDescent="0.35">
      <c r="A522" s="9">
        <f t="shared" si="23"/>
        <v>514</v>
      </c>
      <c r="B522" s="15"/>
      <c r="C522" s="11">
        <f t="shared" si="25"/>
        <v>1</v>
      </c>
      <c r="D522" s="11"/>
      <c r="E522" s="11"/>
      <c r="F522" s="11"/>
      <c r="G522" s="89">
        <f>IFERROR(VLOOKUP(F522,COA!$A$1:$K$26,2,FALSE),0)</f>
        <v>0</v>
      </c>
      <c r="H522" s="11"/>
      <c r="I522" s="11"/>
      <c r="J522" s="78"/>
      <c r="K522" s="78"/>
      <c r="L522" s="146">
        <f t="shared" si="24"/>
        <v>504000</v>
      </c>
      <c r="M522" s="73"/>
      <c r="N522" s="73"/>
      <c r="O522" s="7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 x14ac:dyDescent="0.35">
      <c r="A523" s="9">
        <f t="shared" ref="A523:A586" si="26">A522+1</f>
        <v>515</v>
      </c>
      <c r="B523" s="15"/>
      <c r="C523" s="11">
        <f t="shared" si="25"/>
        <v>1</v>
      </c>
      <c r="D523" s="11"/>
      <c r="E523" s="11"/>
      <c r="F523" s="11"/>
      <c r="G523" s="89">
        <f>IFERROR(VLOOKUP(F523,COA!$A$1:$K$26,2,FALSE),0)</f>
        <v>0</v>
      </c>
      <c r="H523" s="11"/>
      <c r="I523" s="11"/>
      <c r="J523" s="78"/>
      <c r="K523" s="78"/>
      <c r="L523" s="146">
        <f t="shared" ref="L523:L586" si="27">L522+J523-K523</f>
        <v>504000</v>
      </c>
      <c r="M523" s="73"/>
      <c r="N523" s="73"/>
      <c r="O523" s="7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 x14ac:dyDescent="0.35">
      <c r="A524" s="9">
        <f t="shared" si="26"/>
        <v>516</v>
      </c>
      <c r="B524" s="15"/>
      <c r="C524" s="11">
        <f t="shared" si="25"/>
        <v>1</v>
      </c>
      <c r="D524" s="11"/>
      <c r="E524" s="11"/>
      <c r="F524" s="11"/>
      <c r="G524" s="89">
        <f>IFERROR(VLOOKUP(F524,COA!$A$1:$K$26,2,FALSE),0)</f>
        <v>0</v>
      </c>
      <c r="H524" s="11"/>
      <c r="I524" s="11"/>
      <c r="J524" s="78"/>
      <c r="K524" s="78"/>
      <c r="L524" s="146">
        <f t="shared" si="27"/>
        <v>504000</v>
      </c>
      <c r="M524" s="73"/>
      <c r="N524" s="73"/>
      <c r="O524" s="7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 x14ac:dyDescent="0.35">
      <c r="A525" s="9">
        <f t="shared" si="26"/>
        <v>517</v>
      </c>
      <c r="B525" s="15"/>
      <c r="C525" s="11">
        <f t="shared" si="25"/>
        <v>1</v>
      </c>
      <c r="D525" s="11"/>
      <c r="E525" s="11"/>
      <c r="F525" s="11"/>
      <c r="G525" s="89">
        <f>IFERROR(VLOOKUP(F525,COA!$A$1:$K$26,2,FALSE),0)</f>
        <v>0</v>
      </c>
      <c r="H525" s="11"/>
      <c r="I525" s="11"/>
      <c r="J525" s="78"/>
      <c r="K525" s="78"/>
      <c r="L525" s="146">
        <f t="shared" si="27"/>
        <v>504000</v>
      </c>
      <c r="M525" s="73"/>
      <c r="N525" s="73"/>
      <c r="O525" s="7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 x14ac:dyDescent="0.35">
      <c r="A526" s="9">
        <f t="shared" si="26"/>
        <v>518</v>
      </c>
      <c r="B526" s="15"/>
      <c r="C526" s="11">
        <f t="shared" si="25"/>
        <v>1</v>
      </c>
      <c r="D526" s="11"/>
      <c r="E526" s="11"/>
      <c r="F526" s="11"/>
      <c r="G526" s="89">
        <f>IFERROR(VLOOKUP(F526,COA!$A$1:$K$26,2,FALSE),0)</f>
        <v>0</v>
      </c>
      <c r="H526" s="11"/>
      <c r="I526" s="11"/>
      <c r="J526" s="78"/>
      <c r="K526" s="78"/>
      <c r="L526" s="146">
        <f t="shared" si="27"/>
        <v>504000</v>
      </c>
      <c r="M526" s="73"/>
      <c r="N526" s="73"/>
      <c r="O526" s="7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 x14ac:dyDescent="0.35">
      <c r="A527" s="9">
        <f t="shared" si="26"/>
        <v>519</v>
      </c>
      <c r="B527" s="15"/>
      <c r="C527" s="11">
        <f t="shared" si="25"/>
        <v>1</v>
      </c>
      <c r="D527" s="11"/>
      <c r="E527" s="11"/>
      <c r="F527" s="11"/>
      <c r="G527" s="89">
        <f>IFERROR(VLOOKUP(F527,COA!$A$1:$K$26,2,FALSE),0)</f>
        <v>0</v>
      </c>
      <c r="H527" s="13"/>
      <c r="I527" s="13"/>
      <c r="J527" s="78"/>
      <c r="K527" s="78"/>
      <c r="L527" s="146">
        <f t="shared" si="27"/>
        <v>504000</v>
      </c>
      <c r="M527" s="73"/>
      <c r="N527" s="73"/>
      <c r="O527" s="7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 x14ac:dyDescent="0.35">
      <c r="A528" s="9">
        <f t="shared" si="26"/>
        <v>520</v>
      </c>
      <c r="B528" s="15"/>
      <c r="C528" s="11">
        <f t="shared" si="25"/>
        <v>1</v>
      </c>
      <c r="D528" s="11"/>
      <c r="E528" s="11"/>
      <c r="F528" s="11"/>
      <c r="G528" s="89">
        <f>IFERROR(VLOOKUP(F528,COA!$A$1:$K$26,2,FALSE),0)</f>
        <v>0</v>
      </c>
      <c r="H528" s="11"/>
      <c r="I528" s="11"/>
      <c r="J528" s="78"/>
      <c r="K528" s="78"/>
      <c r="L528" s="146">
        <f t="shared" si="27"/>
        <v>504000</v>
      </c>
      <c r="M528" s="73"/>
      <c r="N528" s="73"/>
      <c r="O528" s="7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 x14ac:dyDescent="0.35">
      <c r="A529" s="9">
        <f t="shared" si="26"/>
        <v>521</v>
      </c>
      <c r="B529" s="15"/>
      <c r="C529" s="11">
        <f t="shared" si="25"/>
        <v>1</v>
      </c>
      <c r="D529" s="11"/>
      <c r="E529" s="11"/>
      <c r="F529" s="11"/>
      <c r="G529" s="89">
        <f>IFERROR(VLOOKUP(F529,COA!$A$1:$K$26,2,FALSE),0)</f>
        <v>0</v>
      </c>
      <c r="H529" s="11"/>
      <c r="I529" s="11"/>
      <c r="J529" s="78"/>
      <c r="K529" s="78"/>
      <c r="L529" s="146">
        <f t="shared" si="27"/>
        <v>504000</v>
      </c>
      <c r="M529" s="73"/>
      <c r="N529" s="73"/>
      <c r="O529" s="7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 x14ac:dyDescent="0.35">
      <c r="A530" s="9">
        <f t="shared" si="26"/>
        <v>522</v>
      </c>
      <c r="B530" s="15"/>
      <c r="C530" s="11">
        <f t="shared" si="25"/>
        <v>1</v>
      </c>
      <c r="D530" s="11"/>
      <c r="E530" s="11"/>
      <c r="F530" s="11"/>
      <c r="G530" s="89">
        <f>IFERROR(VLOOKUP(F530,COA!$A$1:$K$26,2,FALSE),0)</f>
        <v>0</v>
      </c>
      <c r="H530" s="11"/>
      <c r="I530" s="11"/>
      <c r="J530" s="78"/>
      <c r="K530" s="78"/>
      <c r="L530" s="146">
        <f t="shared" si="27"/>
        <v>504000</v>
      </c>
      <c r="M530" s="73"/>
      <c r="N530" s="73"/>
      <c r="O530" s="7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 x14ac:dyDescent="0.35">
      <c r="A531" s="9">
        <f t="shared" si="26"/>
        <v>523</v>
      </c>
      <c r="B531" s="15"/>
      <c r="C531" s="11">
        <f t="shared" si="25"/>
        <v>1</v>
      </c>
      <c r="D531" s="11"/>
      <c r="E531" s="11"/>
      <c r="F531" s="11"/>
      <c r="G531" s="89">
        <f>IFERROR(VLOOKUP(F531,COA!$A$1:$K$26,2,FALSE),0)</f>
        <v>0</v>
      </c>
      <c r="H531" s="11"/>
      <c r="I531" s="11"/>
      <c r="J531" s="78"/>
      <c r="K531" s="78"/>
      <c r="L531" s="146">
        <f t="shared" si="27"/>
        <v>504000</v>
      </c>
      <c r="M531" s="73"/>
      <c r="N531" s="73"/>
      <c r="O531" s="7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 x14ac:dyDescent="0.35">
      <c r="A532" s="9">
        <f t="shared" si="26"/>
        <v>524</v>
      </c>
      <c r="B532" s="15"/>
      <c r="C532" s="11">
        <f t="shared" si="25"/>
        <v>1</v>
      </c>
      <c r="D532" s="11"/>
      <c r="E532" s="11"/>
      <c r="F532" s="11"/>
      <c r="G532" s="89">
        <f>IFERROR(VLOOKUP(F532,COA!$A$1:$K$26,2,FALSE),0)</f>
        <v>0</v>
      </c>
      <c r="H532" s="13"/>
      <c r="I532" s="13"/>
      <c r="J532" s="78"/>
      <c r="K532" s="78"/>
      <c r="L532" s="146">
        <f t="shared" si="27"/>
        <v>504000</v>
      </c>
      <c r="M532" s="73"/>
      <c r="N532" s="73"/>
      <c r="O532" s="7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 x14ac:dyDescent="0.35">
      <c r="A533" s="9">
        <f t="shared" si="26"/>
        <v>525</v>
      </c>
      <c r="B533" s="15"/>
      <c r="C533" s="11">
        <f t="shared" si="25"/>
        <v>1</v>
      </c>
      <c r="D533" s="11"/>
      <c r="E533" s="11"/>
      <c r="F533" s="11"/>
      <c r="G533" s="89">
        <f>IFERROR(VLOOKUP(F533,COA!$A$1:$K$26,2,FALSE),0)</f>
        <v>0</v>
      </c>
      <c r="H533" s="11"/>
      <c r="I533" s="11"/>
      <c r="J533" s="78"/>
      <c r="K533" s="78"/>
      <c r="L533" s="146">
        <f t="shared" si="27"/>
        <v>504000</v>
      </c>
      <c r="M533" s="73"/>
      <c r="N533" s="73"/>
      <c r="O533" s="7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 x14ac:dyDescent="0.35">
      <c r="A534" s="9">
        <f t="shared" si="26"/>
        <v>526</v>
      </c>
      <c r="B534" s="15"/>
      <c r="C534" s="11">
        <f t="shared" si="25"/>
        <v>1</v>
      </c>
      <c r="D534" s="11"/>
      <c r="E534" s="11"/>
      <c r="F534" s="11"/>
      <c r="G534" s="89">
        <f>IFERROR(VLOOKUP(F534,COA!$A$1:$K$26,2,FALSE),0)</f>
        <v>0</v>
      </c>
      <c r="H534" s="11"/>
      <c r="I534" s="11"/>
      <c r="J534" s="78"/>
      <c r="K534" s="78"/>
      <c r="L534" s="146">
        <f t="shared" si="27"/>
        <v>504000</v>
      </c>
      <c r="M534" s="73"/>
      <c r="N534" s="73"/>
      <c r="O534" s="7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 x14ac:dyDescent="0.35">
      <c r="A535" s="9">
        <f t="shared" si="26"/>
        <v>527</v>
      </c>
      <c r="B535" s="15"/>
      <c r="C535" s="11">
        <f t="shared" si="25"/>
        <v>1</v>
      </c>
      <c r="D535" s="11"/>
      <c r="E535" s="11"/>
      <c r="F535" s="11"/>
      <c r="G535" s="89">
        <f>IFERROR(VLOOKUP(F535,COA!$A$1:$K$26,2,FALSE),0)</f>
        <v>0</v>
      </c>
      <c r="H535" s="11"/>
      <c r="I535" s="11"/>
      <c r="J535" s="78"/>
      <c r="K535" s="78"/>
      <c r="L535" s="146">
        <f t="shared" si="27"/>
        <v>504000</v>
      </c>
      <c r="M535" s="73"/>
      <c r="N535" s="73"/>
      <c r="O535" s="7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 x14ac:dyDescent="0.35">
      <c r="A536" s="9">
        <f t="shared" si="26"/>
        <v>528</v>
      </c>
      <c r="B536" s="15"/>
      <c r="C536" s="11">
        <f t="shared" si="25"/>
        <v>1</v>
      </c>
      <c r="D536" s="11"/>
      <c r="E536" s="11"/>
      <c r="F536" s="11"/>
      <c r="G536" s="89">
        <f>IFERROR(VLOOKUP(F536,COA!$A$1:$K$26,2,FALSE),0)</f>
        <v>0</v>
      </c>
      <c r="H536" s="11"/>
      <c r="I536" s="11"/>
      <c r="J536" s="78"/>
      <c r="K536" s="78"/>
      <c r="L536" s="146">
        <f t="shared" si="27"/>
        <v>504000</v>
      </c>
      <c r="M536" s="73"/>
      <c r="N536" s="73"/>
      <c r="O536" s="7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 x14ac:dyDescent="0.35">
      <c r="A537" s="9">
        <f t="shared" si="26"/>
        <v>529</v>
      </c>
      <c r="B537" s="15"/>
      <c r="C537" s="11">
        <f t="shared" si="25"/>
        <v>1</v>
      </c>
      <c r="D537" s="11"/>
      <c r="E537" s="11"/>
      <c r="F537" s="11"/>
      <c r="G537" s="89">
        <f>IFERROR(VLOOKUP(F537,COA!$A$1:$K$26,2,FALSE),0)</f>
        <v>0</v>
      </c>
      <c r="H537" s="11"/>
      <c r="I537" s="11"/>
      <c r="J537" s="78"/>
      <c r="K537" s="78"/>
      <c r="L537" s="146">
        <f t="shared" si="27"/>
        <v>504000</v>
      </c>
      <c r="M537" s="73"/>
      <c r="N537" s="73"/>
      <c r="O537" s="7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 x14ac:dyDescent="0.35">
      <c r="A538" s="9">
        <f t="shared" si="26"/>
        <v>530</v>
      </c>
      <c r="B538" s="15"/>
      <c r="C538" s="11">
        <f t="shared" si="25"/>
        <v>1</v>
      </c>
      <c r="D538" s="11"/>
      <c r="E538" s="11"/>
      <c r="F538" s="11"/>
      <c r="G538" s="89">
        <f>IFERROR(VLOOKUP(F538,COA!$A$1:$K$26,2,FALSE),0)</f>
        <v>0</v>
      </c>
      <c r="H538" s="13"/>
      <c r="I538" s="13"/>
      <c r="J538" s="78"/>
      <c r="K538" s="78"/>
      <c r="L538" s="146">
        <f t="shared" si="27"/>
        <v>504000</v>
      </c>
      <c r="M538" s="73"/>
      <c r="N538" s="73"/>
      <c r="O538" s="7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 x14ac:dyDescent="0.35">
      <c r="A539" s="9">
        <f t="shared" si="26"/>
        <v>531</v>
      </c>
      <c r="B539" s="15"/>
      <c r="C539" s="11">
        <f t="shared" si="25"/>
        <v>1</v>
      </c>
      <c r="D539" s="11"/>
      <c r="E539" s="11"/>
      <c r="F539" s="11"/>
      <c r="G539" s="89">
        <f>IFERROR(VLOOKUP(F539,COA!$A$1:$K$26,2,FALSE),0)</f>
        <v>0</v>
      </c>
      <c r="H539" s="11"/>
      <c r="I539" s="11"/>
      <c r="J539" s="78"/>
      <c r="K539" s="78"/>
      <c r="L539" s="146">
        <f t="shared" si="27"/>
        <v>504000</v>
      </c>
      <c r="M539" s="73"/>
      <c r="N539" s="73"/>
      <c r="O539" s="7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 x14ac:dyDescent="0.35">
      <c r="A540" s="9">
        <f t="shared" si="26"/>
        <v>532</v>
      </c>
      <c r="B540" s="15"/>
      <c r="C540" s="11">
        <f t="shared" si="25"/>
        <v>1</v>
      </c>
      <c r="D540" s="11"/>
      <c r="E540" s="11"/>
      <c r="F540" s="11"/>
      <c r="G540" s="89">
        <f>IFERROR(VLOOKUP(F540,COA!$A$1:$K$26,2,FALSE),0)</f>
        <v>0</v>
      </c>
      <c r="H540" s="11"/>
      <c r="I540" s="11"/>
      <c r="J540" s="78"/>
      <c r="K540" s="78"/>
      <c r="L540" s="146">
        <f t="shared" si="27"/>
        <v>504000</v>
      </c>
      <c r="M540" s="73"/>
      <c r="N540" s="73"/>
      <c r="O540" s="7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 x14ac:dyDescent="0.35">
      <c r="A541" s="9">
        <f t="shared" si="26"/>
        <v>533</v>
      </c>
      <c r="B541" s="15"/>
      <c r="C541" s="11">
        <f t="shared" si="25"/>
        <v>1</v>
      </c>
      <c r="D541" s="11"/>
      <c r="E541" s="11"/>
      <c r="F541" s="11"/>
      <c r="G541" s="89">
        <f>IFERROR(VLOOKUP(F541,COA!$A$1:$K$26,2,FALSE),0)</f>
        <v>0</v>
      </c>
      <c r="H541" s="11"/>
      <c r="I541" s="11"/>
      <c r="J541" s="78"/>
      <c r="K541" s="78"/>
      <c r="L541" s="146">
        <f t="shared" si="27"/>
        <v>504000</v>
      </c>
      <c r="M541" s="73"/>
      <c r="N541" s="73"/>
      <c r="O541" s="7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 x14ac:dyDescent="0.35">
      <c r="A542" s="9">
        <f t="shared" si="26"/>
        <v>534</v>
      </c>
      <c r="B542" s="15"/>
      <c r="C542" s="11">
        <f t="shared" si="25"/>
        <v>1</v>
      </c>
      <c r="D542" s="11"/>
      <c r="E542" s="11"/>
      <c r="F542" s="11"/>
      <c r="G542" s="89">
        <f>IFERROR(VLOOKUP(F542,COA!$A$1:$K$26,2,FALSE),0)</f>
        <v>0</v>
      </c>
      <c r="H542" s="11"/>
      <c r="I542" s="11"/>
      <c r="J542" s="78"/>
      <c r="K542" s="78"/>
      <c r="L542" s="146">
        <f t="shared" si="27"/>
        <v>504000</v>
      </c>
      <c r="M542" s="73"/>
      <c r="N542" s="73"/>
      <c r="O542" s="7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 x14ac:dyDescent="0.35">
      <c r="A543" s="9">
        <f t="shared" si="26"/>
        <v>535</v>
      </c>
      <c r="B543" s="15"/>
      <c r="C543" s="11">
        <f t="shared" si="25"/>
        <v>1</v>
      </c>
      <c r="D543" s="11"/>
      <c r="E543" s="11"/>
      <c r="F543" s="11"/>
      <c r="G543" s="89">
        <f>IFERROR(VLOOKUP(F543,COA!$A$1:$K$26,2,FALSE),0)</f>
        <v>0</v>
      </c>
      <c r="H543" s="11"/>
      <c r="I543" s="11"/>
      <c r="J543" s="78"/>
      <c r="K543" s="78"/>
      <c r="L543" s="146">
        <f t="shared" si="27"/>
        <v>504000</v>
      </c>
      <c r="M543" s="73"/>
      <c r="N543" s="73"/>
      <c r="O543" s="7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 x14ac:dyDescent="0.35">
      <c r="A544" s="9">
        <f t="shared" si="26"/>
        <v>536</v>
      </c>
      <c r="B544" s="15"/>
      <c r="C544" s="11">
        <f t="shared" si="25"/>
        <v>1</v>
      </c>
      <c r="D544" s="11"/>
      <c r="E544" s="11"/>
      <c r="F544" s="11"/>
      <c r="G544" s="89">
        <f>IFERROR(VLOOKUP(F544,COA!$A$1:$K$26,2,FALSE),0)</f>
        <v>0</v>
      </c>
      <c r="H544" s="13"/>
      <c r="I544" s="13"/>
      <c r="J544" s="78"/>
      <c r="K544" s="78"/>
      <c r="L544" s="146">
        <f t="shared" si="27"/>
        <v>504000</v>
      </c>
      <c r="M544" s="73"/>
      <c r="N544" s="73"/>
      <c r="O544" s="7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 x14ac:dyDescent="0.35">
      <c r="A545" s="9">
        <f t="shared" si="26"/>
        <v>537</v>
      </c>
      <c r="B545" s="15"/>
      <c r="C545" s="11">
        <f t="shared" si="25"/>
        <v>1</v>
      </c>
      <c r="D545" s="11"/>
      <c r="E545" s="11"/>
      <c r="F545" s="11"/>
      <c r="G545" s="89">
        <f>IFERROR(VLOOKUP(F545,COA!$A$1:$K$26,2,FALSE),0)</f>
        <v>0</v>
      </c>
      <c r="H545" s="11"/>
      <c r="I545" s="11"/>
      <c r="J545" s="78"/>
      <c r="K545" s="78"/>
      <c r="L545" s="146">
        <f t="shared" si="27"/>
        <v>504000</v>
      </c>
      <c r="M545" s="73"/>
      <c r="N545" s="73"/>
      <c r="O545" s="7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 x14ac:dyDescent="0.35">
      <c r="A546" s="9">
        <f t="shared" si="26"/>
        <v>538</v>
      </c>
      <c r="B546" s="15"/>
      <c r="C546" s="11">
        <f t="shared" si="25"/>
        <v>1</v>
      </c>
      <c r="D546" s="11"/>
      <c r="E546" s="11"/>
      <c r="F546" s="11"/>
      <c r="G546" s="89">
        <f>IFERROR(VLOOKUP(F546,COA!$A$1:$K$26,2,FALSE),0)</f>
        <v>0</v>
      </c>
      <c r="H546" s="11"/>
      <c r="I546" s="11"/>
      <c r="J546" s="78"/>
      <c r="K546" s="78"/>
      <c r="L546" s="146">
        <f t="shared" si="27"/>
        <v>504000</v>
      </c>
      <c r="M546" s="73"/>
      <c r="N546" s="73"/>
      <c r="O546" s="7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 x14ac:dyDescent="0.35">
      <c r="A547" s="9">
        <f t="shared" si="26"/>
        <v>539</v>
      </c>
      <c r="B547" s="15"/>
      <c r="C547" s="11">
        <f t="shared" si="25"/>
        <v>1</v>
      </c>
      <c r="D547" s="11"/>
      <c r="E547" s="11"/>
      <c r="F547" s="11"/>
      <c r="G547" s="89">
        <f>IFERROR(VLOOKUP(F547,COA!$A$1:$K$26,2,FALSE),0)</f>
        <v>0</v>
      </c>
      <c r="H547" s="11"/>
      <c r="I547" s="11"/>
      <c r="J547" s="78"/>
      <c r="K547" s="78"/>
      <c r="L547" s="146">
        <f t="shared" si="27"/>
        <v>504000</v>
      </c>
      <c r="M547" s="73"/>
      <c r="N547" s="73"/>
      <c r="O547" s="7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 x14ac:dyDescent="0.35">
      <c r="A548" s="9">
        <f t="shared" si="26"/>
        <v>540</v>
      </c>
      <c r="B548" s="15"/>
      <c r="C548" s="11">
        <f t="shared" si="25"/>
        <v>1</v>
      </c>
      <c r="D548" s="11"/>
      <c r="E548" s="11"/>
      <c r="F548" s="11"/>
      <c r="G548" s="89">
        <f>IFERROR(VLOOKUP(F548,COA!$A$1:$K$26,2,FALSE),0)</f>
        <v>0</v>
      </c>
      <c r="H548" s="11"/>
      <c r="I548" s="11"/>
      <c r="J548" s="78"/>
      <c r="K548" s="78"/>
      <c r="L548" s="146">
        <f t="shared" si="27"/>
        <v>504000</v>
      </c>
      <c r="M548" s="73"/>
      <c r="N548" s="73"/>
      <c r="O548" s="7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 x14ac:dyDescent="0.35">
      <c r="A549" s="9">
        <f t="shared" si="26"/>
        <v>541</v>
      </c>
      <c r="B549" s="15"/>
      <c r="C549" s="11">
        <f t="shared" si="25"/>
        <v>1</v>
      </c>
      <c r="D549" s="11"/>
      <c r="E549" s="11"/>
      <c r="F549" s="11"/>
      <c r="G549" s="89">
        <f>IFERROR(VLOOKUP(F549,COA!$A$1:$K$26,2,FALSE),0)</f>
        <v>0</v>
      </c>
      <c r="H549" s="11"/>
      <c r="I549" s="11"/>
      <c r="J549" s="78"/>
      <c r="K549" s="78"/>
      <c r="L549" s="146">
        <f t="shared" si="27"/>
        <v>504000</v>
      </c>
      <c r="M549" s="73"/>
      <c r="N549" s="73"/>
      <c r="O549" s="7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 x14ac:dyDescent="0.35">
      <c r="A550" s="9">
        <f t="shared" si="26"/>
        <v>542</v>
      </c>
      <c r="B550" s="15"/>
      <c r="C550" s="11">
        <f t="shared" si="25"/>
        <v>1</v>
      </c>
      <c r="D550" s="11"/>
      <c r="E550" s="11"/>
      <c r="F550" s="11"/>
      <c r="G550" s="89">
        <f>IFERROR(VLOOKUP(F550,COA!$A$1:$K$26,2,FALSE),0)</f>
        <v>0</v>
      </c>
      <c r="H550" s="13"/>
      <c r="I550" s="13"/>
      <c r="J550" s="78"/>
      <c r="K550" s="78"/>
      <c r="L550" s="146">
        <f t="shared" si="27"/>
        <v>504000</v>
      </c>
      <c r="M550" s="73"/>
      <c r="N550" s="73"/>
      <c r="O550" s="7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 x14ac:dyDescent="0.35">
      <c r="A551" s="9">
        <f t="shared" si="26"/>
        <v>543</v>
      </c>
      <c r="B551" s="15"/>
      <c r="C551" s="11">
        <f t="shared" si="25"/>
        <v>1</v>
      </c>
      <c r="D551" s="11"/>
      <c r="E551" s="11"/>
      <c r="F551" s="11"/>
      <c r="G551" s="89">
        <f>IFERROR(VLOOKUP(F551,COA!$A$1:$K$26,2,FALSE),0)</f>
        <v>0</v>
      </c>
      <c r="H551" s="11"/>
      <c r="I551" s="11"/>
      <c r="J551" s="78"/>
      <c r="K551" s="78"/>
      <c r="L551" s="146">
        <f t="shared" si="27"/>
        <v>504000</v>
      </c>
      <c r="M551" s="73"/>
      <c r="N551" s="73"/>
      <c r="O551" s="7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 x14ac:dyDescent="0.35">
      <c r="A552" s="9">
        <f t="shared" si="26"/>
        <v>544</v>
      </c>
      <c r="B552" s="15"/>
      <c r="C552" s="11">
        <f t="shared" si="25"/>
        <v>1</v>
      </c>
      <c r="D552" s="11"/>
      <c r="E552" s="11"/>
      <c r="F552" s="11"/>
      <c r="G552" s="89">
        <f>IFERROR(VLOOKUP(F552,COA!$A$1:$K$26,2,FALSE),0)</f>
        <v>0</v>
      </c>
      <c r="H552" s="11"/>
      <c r="I552" s="11"/>
      <c r="J552" s="78"/>
      <c r="K552" s="78"/>
      <c r="L552" s="146">
        <f t="shared" si="27"/>
        <v>504000</v>
      </c>
      <c r="M552" s="73"/>
      <c r="N552" s="73"/>
      <c r="O552" s="7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 x14ac:dyDescent="0.35">
      <c r="A553" s="9">
        <f t="shared" si="26"/>
        <v>545</v>
      </c>
      <c r="B553" s="15"/>
      <c r="C553" s="11">
        <f t="shared" si="25"/>
        <v>1</v>
      </c>
      <c r="D553" s="11"/>
      <c r="E553" s="11"/>
      <c r="F553" s="11"/>
      <c r="G553" s="89">
        <f>IFERROR(VLOOKUP(F553,COA!$A$1:$K$26,2,FALSE),0)</f>
        <v>0</v>
      </c>
      <c r="H553" s="11"/>
      <c r="I553" s="11"/>
      <c r="J553" s="78"/>
      <c r="K553" s="78"/>
      <c r="L553" s="146">
        <f t="shared" si="27"/>
        <v>504000</v>
      </c>
      <c r="M553" s="73"/>
      <c r="N553" s="73"/>
      <c r="O553" s="7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 x14ac:dyDescent="0.35">
      <c r="A554" s="9">
        <f t="shared" si="26"/>
        <v>546</v>
      </c>
      <c r="B554" s="15"/>
      <c r="C554" s="11">
        <f t="shared" si="25"/>
        <v>1</v>
      </c>
      <c r="D554" s="11"/>
      <c r="E554" s="11"/>
      <c r="F554" s="11"/>
      <c r="G554" s="89">
        <f>IFERROR(VLOOKUP(F554,COA!$A$1:$K$26,2,FALSE),0)</f>
        <v>0</v>
      </c>
      <c r="H554" s="11"/>
      <c r="I554" s="11"/>
      <c r="J554" s="78"/>
      <c r="K554" s="78"/>
      <c r="L554" s="146">
        <f t="shared" si="27"/>
        <v>504000</v>
      </c>
      <c r="M554" s="73"/>
      <c r="N554" s="73"/>
      <c r="O554" s="7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 x14ac:dyDescent="0.35">
      <c r="A555" s="9">
        <f t="shared" si="26"/>
        <v>547</v>
      </c>
      <c r="B555" s="15"/>
      <c r="C555" s="11">
        <f t="shared" si="25"/>
        <v>1</v>
      </c>
      <c r="D555" s="11"/>
      <c r="E555" s="11"/>
      <c r="F555" s="11"/>
      <c r="G555" s="89">
        <f>IFERROR(VLOOKUP(F555,COA!$A$1:$K$26,2,FALSE),0)</f>
        <v>0</v>
      </c>
      <c r="H555" s="11"/>
      <c r="I555" s="11"/>
      <c r="J555" s="78"/>
      <c r="K555" s="78"/>
      <c r="L555" s="146">
        <f t="shared" si="27"/>
        <v>504000</v>
      </c>
      <c r="M555" s="73"/>
      <c r="N555" s="73"/>
      <c r="O555" s="7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 x14ac:dyDescent="0.35">
      <c r="A556" s="9">
        <f t="shared" si="26"/>
        <v>548</v>
      </c>
      <c r="B556" s="15"/>
      <c r="C556" s="11">
        <f t="shared" si="25"/>
        <v>1</v>
      </c>
      <c r="D556" s="11"/>
      <c r="E556" s="11"/>
      <c r="F556" s="11"/>
      <c r="G556" s="89">
        <f>IFERROR(VLOOKUP(F556,COA!$A$1:$K$26,2,FALSE),0)</f>
        <v>0</v>
      </c>
      <c r="H556" s="13"/>
      <c r="I556" s="13"/>
      <c r="J556" s="78"/>
      <c r="K556" s="78"/>
      <c r="L556" s="146">
        <f t="shared" si="27"/>
        <v>504000</v>
      </c>
      <c r="M556" s="73"/>
      <c r="N556" s="73"/>
      <c r="O556" s="7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 x14ac:dyDescent="0.35">
      <c r="A557" s="9">
        <f t="shared" si="26"/>
        <v>549</v>
      </c>
      <c r="B557" s="15"/>
      <c r="C557" s="11">
        <f t="shared" si="25"/>
        <v>1</v>
      </c>
      <c r="D557" s="11"/>
      <c r="E557" s="11"/>
      <c r="F557" s="11"/>
      <c r="G557" s="89">
        <f>IFERROR(VLOOKUP(F557,COA!$A$1:$K$26,2,FALSE),0)</f>
        <v>0</v>
      </c>
      <c r="H557" s="11"/>
      <c r="I557" s="11"/>
      <c r="J557" s="78"/>
      <c r="K557" s="78"/>
      <c r="L557" s="146">
        <f t="shared" si="27"/>
        <v>504000</v>
      </c>
      <c r="M557" s="73"/>
      <c r="N557" s="73"/>
      <c r="O557" s="7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 x14ac:dyDescent="0.35">
      <c r="A558" s="9">
        <f t="shared" si="26"/>
        <v>550</v>
      </c>
      <c r="B558" s="15"/>
      <c r="C558" s="11">
        <f t="shared" si="25"/>
        <v>1</v>
      </c>
      <c r="D558" s="11"/>
      <c r="E558" s="11"/>
      <c r="F558" s="11"/>
      <c r="G558" s="89">
        <f>IFERROR(VLOOKUP(F558,COA!$A$1:$K$26,2,FALSE),0)</f>
        <v>0</v>
      </c>
      <c r="H558" s="11"/>
      <c r="I558" s="11"/>
      <c r="J558" s="78"/>
      <c r="K558" s="78"/>
      <c r="L558" s="146">
        <f t="shared" si="27"/>
        <v>504000</v>
      </c>
      <c r="M558" s="73"/>
      <c r="N558" s="73"/>
      <c r="O558" s="7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 x14ac:dyDescent="0.35">
      <c r="A559" s="9">
        <f t="shared" si="26"/>
        <v>551</v>
      </c>
      <c r="B559" s="15"/>
      <c r="C559" s="11">
        <f t="shared" si="25"/>
        <v>1</v>
      </c>
      <c r="D559" s="11"/>
      <c r="E559" s="11"/>
      <c r="F559" s="11"/>
      <c r="G559" s="89">
        <f>IFERROR(VLOOKUP(F559,COA!$A$1:$K$26,2,FALSE),0)</f>
        <v>0</v>
      </c>
      <c r="H559" s="11"/>
      <c r="I559" s="11"/>
      <c r="J559" s="78"/>
      <c r="K559" s="78"/>
      <c r="L559" s="146">
        <f t="shared" si="27"/>
        <v>504000</v>
      </c>
      <c r="M559" s="73"/>
      <c r="N559" s="73"/>
      <c r="O559" s="7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 x14ac:dyDescent="0.35">
      <c r="A560" s="9">
        <f t="shared" si="26"/>
        <v>552</v>
      </c>
      <c r="B560" s="15"/>
      <c r="C560" s="11">
        <f t="shared" si="25"/>
        <v>1</v>
      </c>
      <c r="D560" s="11"/>
      <c r="E560" s="11"/>
      <c r="F560" s="11"/>
      <c r="G560" s="89">
        <f>IFERROR(VLOOKUP(F560,COA!$A$1:$K$26,2,FALSE),0)</f>
        <v>0</v>
      </c>
      <c r="H560" s="11"/>
      <c r="I560" s="11"/>
      <c r="J560" s="78"/>
      <c r="K560" s="78"/>
      <c r="L560" s="146">
        <f t="shared" si="27"/>
        <v>504000</v>
      </c>
      <c r="M560" s="73"/>
      <c r="N560" s="73"/>
      <c r="O560" s="7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 x14ac:dyDescent="0.35">
      <c r="A561" s="9">
        <f t="shared" si="26"/>
        <v>553</v>
      </c>
      <c r="B561" s="15"/>
      <c r="C561" s="11">
        <f t="shared" si="25"/>
        <v>1</v>
      </c>
      <c r="D561" s="11"/>
      <c r="E561" s="11"/>
      <c r="F561" s="11"/>
      <c r="G561" s="89">
        <f>IFERROR(VLOOKUP(F561,COA!$A$1:$K$26,2,FALSE),0)</f>
        <v>0</v>
      </c>
      <c r="H561" s="11"/>
      <c r="I561" s="11"/>
      <c r="J561" s="78"/>
      <c r="K561" s="78"/>
      <c r="L561" s="146">
        <f t="shared" si="27"/>
        <v>504000</v>
      </c>
      <c r="M561" s="73"/>
      <c r="N561" s="73"/>
      <c r="O561" s="7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 x14ac:dyDescent="0.35">
      <c r="A562" s="9">
        <f t="shared" si="26"/>
        <v>554</v>
      </c>
      <c r="B562" s="15"/>
      <c r="C562" s="11">
        <f t="shared" si="25"/>
        <v>1</v>
      </c>
      <c r="D562" s="11"/>
      <c r="E562" s="11"/>
      <c r="F562" s="11"/>
      <c r="G562" s="89">
        <f>IFERROR(VLOOKUP(F562,COA!$A$1:$K$26,2,FALSE),0)</f>
        <v>0</v>
      </c>
      <c r="H562" s="11"/>
      <c r="I562" s="11"/>
      <c r="J562" s="78"/>
      <c r="K562" s="78"/>
      <c r="L562" s="146">
        <f t="shared" si="27"/>
        <v>504000</v>
      </c>
      <c r="M562" s="73"/>
      <c r="N562" s="73"/>
      <c r="O562" s="7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 x14ac:dyDescent="0.35">
      <c r="A563" s="9">
        <f t="shared" si="26"/>
        <v>555</v>
      </c>
      <c r="B563" s="15"/>
      <c r="C563" s="11">
        <f t="shared" si="25"/>
        <v>1</v>
      </c>
      <c r="D563" s="11"/>
      <c r="E563" s="11"/>
      <c r="F563" s="11"/>
      <c r="G563" s="89">
        <f>IFERROR(VLOOKUP(F563,COA!$A$1:$K$26,2,FALSE),0)</f>
        <v>0</v>
      </c>
      <c r="H563" s="11"/>
      <c r="I563" s="11"/>
      <c r="J563" s="78"/>
      <c r="K563" s="78"/>
      <c r="L563" s="146">
        <f t="shared" si="27"/>
        <v>504000</v>
      </c>
      <c r="M563" s="73"/>
      <c r="N563" s="73"/>
      <c r="O563" s="7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 x14ac:dyDescent="0.35">
      <c r="A564" s="9">
        <f t="shared" si="26"/>
        <v>556</v>
      </c>
      <c r="B564" s="15"/>
      <c r="C564" s="11">
        <f t="shared" si="25"/>
        <v>1</v>
      </c>
      <c r="D564" s="11"/>
      <c r="E564" s="11"/>
      <c r="F564" s="11"/>
      <c r="G564" s="89">
        <f>IFERROR(VLOOKUP(F564,COA!$A$1:$K$26,2,FALSE),0)</f>
        <v>0</v>
      </c>
      <c r="H564" s="11"/>
      <c r="I564" s="11"/>
      <c r="J564" s="78"/>
      <c r="K564" s="78"/>
      <c r="L564" s="146">
        <f t="shared" si="27"/>
        <v>504000</v>
      </c>
      <c r="M564" s="73"/>
      <c r="N564" s="73"/>
      <c r="O564" s="7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 x14ac:dyDescent="0.35">
      <c r="A565" s="9">
        <f t="shared" si="26"/>
        <v>557</v>
      </c>
      <c r="B565" s="15"/>
      <c r="C565" s="11">
        <f t="shared" si="25"/>
        <v>1</v>
      </c>
      <c r="D565" s="11"/>
      <c r="E565" s="11"/>
      <c r="F565" s="11"/>
      <c r="G565" s="89">
        <f>IFERROR(VLOOKUP(F565,COA!$A$1:$K$26,2,FALSE),0)</f>
        <v>0</v>
      </c>
      <c r="H565" s="11"/>
      <c r="I565" s="11"/>
      <c r="J565" s="78"/>
      <c r="K565" s="78"/>
      <c r="L565" s="146">
        <f t="shared" si="27"/>
        <v>504000</v>
      </c>
      <c r="M565" s="73"/>
      <c r="N565" s="73"/>
      <c r="O565" s="7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 x14ac:dyDescent="0.35">
      <c r="A566" s="9">
        <f t="shared" si="26"/>
        <v>558</v>
      </c>
      <c r="B566" s="15"/>
      <c r="C566" s="11">
        <f t="shared" si="25"/>
        <v>1</v>
      </c>
      <c r="D566" s="11"/>
      <c r="E566" s="11"/>
      <c r="F566" s="11"/>
      <c r="G566" s="89">
        <f>IFERROR(VLOOKUP(F566,COA!$A$1:$K$26,2,FALSE),0)</f>
        <v>0</v>
      </c>
      <c r="H566" s="11"/>
      <c r="I566" s="11"/>
      <c r="J566" s="78"/>
      <c r="K566" s="78"/>
      <c r="L566" s="146">
        <f t="shared" si="27"/>
        <v>504000</v>
      </c>
      <c r="M566" s="73"/>
      <c r="N566" s="73"/>
      <c r="O566" s="7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 x14ac:dyDescent="0.35">
      <c r="A567" s="9">
        <f t="shared" si="26"/>
        <v>559</v>
      </c>
      <c r="B567" s="15"/>
      <c r="C567" s="11">
        <f t="shared" si="25"/>
        <v>1</v>
      </c>
      <c r="D567" s="11"/>
      <c r="E567" s="11"/>
      <c r="F567" s="11"/>
      <c r="G567" s="89">
        <f>IFERROR(VLOOKUP(F567,COA!$A$1:$K$26,2,FALSE),0)</f>
        <v>0</v>
      </c>
      <c r="H567" s="11"/>
      <c r="I567" s="11"/>
      <c r="J567" s="78"/>
      <c r="K567" s="78"/>
      <c r="L567" s="146">
        <f t="shared" si="27"/>
        <v>504000</v>
      </c>
      <c r="M567" s="73"/>
      <c r="N567" s="73"/>
      <c r="O567" s="7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 x14ac:dyDescent="0.35">
      <c r="A568" s="9">
        <f t="shared" si="26"/>
        <v>560</v>
      </c>
      <c r="B568" s="15"/>
      <c r="C568" s="11">
        <f t="shared" si="25"/>
        <v>1</v>
      </c>
      <c r="D568" s="11"/>
      <c r="E568" s="11"/>
      <c r="F568" s="11"/>
      <c r="G568" s="89">
        <f>IFERROR(VLOOKUP(F568,COA!$A$1:$K$26,2,FALSE),0)</f>
        <v>0</v>
      </c>
      <c r="H568" s="11"/>
      <c r="I568" s="11"/>
      <c r="J568" s="78"/>
      <c r="K568" s="78"/>
      <c r="L568" s="146">
        <f t="shared" si="27"/>
        <v>504000</v>
      </c>
      <c r="M568" s="73"/>
      <c r="N568" s="73"/>
      <c r="O568" s="7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 x14ac:dyDescent="0.35">
      <c r="A569" s="9">
        <f t="shared" si="26"/>
        <v>561</v>
      </c>
      <c r="B569" s="15"/>
      <c r="C569" s="11">
        <f t="shared" si="25"/>
        <v>1</v>
      </c>
      <c r="D569" s="11"/>
      <c r="E569" s="11"/>
      <c r="F569" s="11"/>
      <c r="G569" s="89">
        <f>IFERROR(VLOOKUP(F569,COA!$A$1:$K$26,2,FALSE),0)</f>
        <v>0</v>
      </c>
      <c r="H569" s="11"/>
      <c r="I569" s="11"/>
      <c r="J569" s="78"/>
      <c r="K569" s="78"/>
      <c r="L569" s="146">
        <f t="shared" si="27"/>
        <v>504000</v>
      </c>
      <c r="M569" s="73"/>
      <c r="N569" s="73"/>
      <c r="O569" s="7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 x14ac:dyDescent="0.35">
      <c r="A570" s="9">
        <f t="shared" si="26"/>
        <v>562</v>
      </c>
      <c r="B570" s="15"/>
      <c r="C570" s="11">
        <f t="shared" si="25"/>
        <v>1</v>
      </c>
      <c r="D570" s="11"/>
      <c r="E570" s="11"/>
      <c r="F570" s="11"/>
      <c r="G570" s="89">
        <f>IFERROR(VLOOKUP(F570,COA!$A$1:$K$26,2,FALSE),0)</f>
        <v>0</v>
      </c>
      <c r="H570" s="13"/>
      <c r="I570" s="13"/>
      <c r="J570" s="78"/>
      <c r="K570" s="78"/>
      <c r="L570" s="146">
        <f t="shared" si="27"/>
        <v>504000</v>
      </c>
      <c r="M570" s="73"/>
      <c r="N570" s="73"/>
      <c r="O570" s="7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 x14ac:dyDescent="0.35">
      <c r="A571" s="9">
        <f t="shared" si="26"/>
        <v>563</v>
      </c>
      <c r="B571" s="15"/>
      <c r="C571" s="11">
        <f t="shared" si="25"/>
        <v>1</v>
      </c>
      <c r="D571" s="11"/>
      <c r="E571" s="11"/>
      <c r="F571" s="11"/>
      <c r="G571" s="89">
        <f>IFERROR(VLOOKUP(F571,COA!$A$1:$K$26,2,FALSE),0)</f>
        <v>0</v>
      </c>
      <c r="H571" s="11"/>
      <c r="I571" s="11"/>
      <c r="J571" s="78"/>
      <c r="K571" s="78"/>
      <c r="L571" s="146">
        <f t="shared" si="27"/>
        <v>504000</v>
      </c>
      <c r="M571" s="73"/>
      <c r="N571" s="73"/>
      <c r="O571" s="7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 x14ac:dyDescent="0.35">
      <c r="A572" s="9">
        <f t="shared" si="26"/>
        <v>564</v>
      </c>
      <c r="B572" s="15"/>
      <c r="C572" s="11">
        <f t="shared" si="25"/>
        <v>1</v>
      </c>
      <c r="D572" s="11"/>
      <c r="E572" s="11"/>
      <c r="F572" s="11"/>
      <c r="G572" s="89">
        <f>IFERROR(VLOOKUP(F572,COA!$A$1:$K$26,2,FALSE),0)</f>
        <v>0</v>
      </c>
      <c r="H572" s="11"/>
      <c r="I572" s="11"/>
      <c r="J572" s="78"/>
      <c r="K572" s="78"/>
      <c r="L572" s="146">
        <f t="shared" si="27"/>
        <v>504000</v>
      </c>
      <c r="M572" s="73"/>
      <c r="N572" s="73"/>
      <c r="O572" s="7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 x14ac:dyDescent="0.35">
      <c r="A573" s="9">
        <f t="shared" si="26"/>
        <v>565</v>
      </c>
      <c r="B573" s="15"/>
      <c r="C573" s="11">
        <f t="shared" si="25"/>
        <v>1</v>
      </c>
      <c r="D573" s="11"/>
      <c r="E573" s="11"/>
      <c r="F573" s="11"/>
      <c r="G573" s="89">
        <f>IFERROR(VLOOKUP(F573,COA!$A$1:$K$26,2,FALSE),0)</f>
        <v>0</v>
      </c>
      <c r="H573" s="11"/>
      <c r="I573" s="11"/>
      <c r="J573" s="78"/>
      <c r="K573" s="78"/>
      <c r="L573" s="146">
        <f t="shared" si="27"/>
        <v>504000</v>
      </c>
      <c r="M573" s="73"/>
      <c r="N573" s="73"/>
      <c r="O573" s="7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 x14ac:dyDescent="0.35">
      <c r="A574" s="9">
        <f t="shared" si="26"/>
        <v>566</v>
      </c>
      <c r="B574" s="15"/>
      <c r="C574" s="11">
        <f t="shared" si="25"/>
        <v>1</v>
      </c>
      <c r="D574" s="11"/>
      <c r="E574" s="11"/>
      <c r="F574" s="11"/>
      <c r="G574" s="89">
        <f>IFERROR(VLOOKUP(F574,COA!$A$1:$K$26,2,FALSE),0)</f>
        <v>0</v>
      </c>
      <c r="H574" s="11"/>
      <c r="I574" s="11"/>
      <c r="J574" s="78"/>
      <c r="K574" s="78"/>
      <c r="L574" s="146">
        <f t="shared" si="27"/>
        <v>504000</v>
      </c>
      <c r="M574" s="73"/>
      <c r="N574" s="73"/>
      <c r="O574" s="7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 x14ac:dyDescent="0.35">
      <c r="A575" s="9">
        <f t="shared" si="26"/>
        <v>567</v>
      </c>
      <c r="B575" s="15"/>
      <c r="C575" s="11">
        <f t="shared" si="25"/>
        <v>1</v>
      </c>
      <c r="D575" s="11"/>
      <c r="E575" s="11"/>
      <c r="F575" s="11"/>
      <c r="G575" s="89">
        <f>IFERROR(VLOOKUP(F575,COA!$A$1:$K$26,2,FALSE),0)</f>
        <v>0</v>
      </c>
      <c r="H575" s="11"/>
      <c r="I575" s="11"/>
      <c r="J575" s="78"/>
      <c r="K575" s="78"/>
      <c r="L575" s="146">
        <f t="shared" si="27"/>
        <v>504000</v>
      </c>
      <c r="M575" s="73"/>
      <c r="N575" s="73"/>
      <c r="O575" s="7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 x14ac:dyDescent="0.35">
      <c r="A576" s="9">
        <f t="shared" si="26"/>
        <v>568</v>
      </c>
      <c r="B576" s="15"/>
      <c r="C576" s="11">
        <f t="shared" si="25"/>
        <v>1</v>
      </c>
      <c r="D576" s="11"/>
      <c r="E576" s="11"/>
      <c r="F576" s="11"/>
      <c r="G576" s="89">
        <f>IFERROR(VLOOKUP(F576,COA!$A$1:$K$26,2,FALSE),0)</f>
        <v>0</v>
      </c>
      <c r="H576" s="13"/>
      <c r="I576" s="13"/>
      <c r="J576" s="78"/>
      <c r="K576" s="78"/>
      <c r="L576" s="146">
        <f t="shared" si="27"/>
        <v>504000</v>
      </c>
      <c r="M576" s="73"/>
      <c r="N576" s="73"/>
      <c r="O576" s="7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 x14ac:dyDescent="0.35">
      <c r="A577" s="9">
        <f t="shared" si="26"/>
        <v>569</v>
      </c>
      <c r="B577" s="15"/>
      <c r="C577" s="11">
        <f t="shared" si="25"/>
        <v>1</v>
      </c>
      <c r="D577" s="11"/>
      <c r="E577" s="11"/>
      <c r="F577" s="11"/>
      <c r="G577" s="89">
        <f>IFERROR(VLOOKUP(F577,COA!$A$1:$K$26,2,FALSE),0)</f>
        <v>0</v>
      </c>
      <c r="H577" s="11"/>
      <c r="I577" s="11"/>
      <c r="J577" s="78"/>
      <c r="K577" s="78"/>
      <c r="L577" s="146">
        <f t="shared" si="27"/>
        <v>504000</v>
      </c>
      <c r="M577" s="73"/>
      <c r="N577" s="73"/>
      <c r="O577" s="7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 x14ac:dyDescent="0.35">
      <c r="A578" s="9">
        <f t="shared" si="26"/>
        <v>570</v>
      </c>
      <c r="B578" s="15"/>
      <c r="C578" s="11">
        <f t="shared" si="25"/>
        <v>1</v>
      </c>
      <c r="D578" s="11"/>
      <c r="E578" s="11"/>
      <c r="F578" s="11"/>
      <c r="G578" s="89">
        <f>IFERROR(VLOOKUP(F578,COA!$A$1:$K$26,2,FALSE),0)</f>
        <v>0</v>
      </c>
      <c r="H578" s="11"/>
      <c r="I578" s="11"/>
      <c r="J578" s="78"/>
      <c r="K578" s="78"/>
      <c r="L578" s="146">
        <f t="shared" si="27"/>
        <v>504000</v>
      </c>
      <c r="M578" s="73"/>
      <c r="N578" s="73"/>
      <c r="O578" s="7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 x14ac:dyDescent="0.35">
      <c r="A579" s="9">
        <f t="shared" si="26"/>
        <v>571</v>
      </c>
      <c r="B579" s="15"/>
      <c r="C579" s="11">
        <f t="shared" si="25"/>
        <v>1</v>
      </c>
      <c r="D579" s="11"/>
      <c r="E579" s="11"/>
      <c r="F579" s="11"/>
      <c r="G579" s="89">
        <f>IFERROR(VLOOKUP(F579,COA!$A$1:$K$26,2,FALSE),0)</f>
        <v>0</v>
      </c>
      <c r="H579" s="11"/>
      <c r="I579" s="11"/>
      <c r="J579" s="78"/>
      <c r="K579" s="78"/>
      <c r="L579" s="146">
        <f t="shared" si="27"/>
        <v>504000</v>
      </c>
      <c r="M579" s="73"/>
      <c r="N579" s="73"/>
      <c r="O579" s="7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 x14ac:dyDescent="0.35">
      <c r="A580" s="9">
        <f t="shared" si="26"/>
        <v>572</v>
      </c>
      <c r="B580" s="15"/>
      <c r="C580" s="11">
        <f t="shared" si="25"/>
        <v>1</v>
      </c>
      <c r="D580" s="11"/>
      <c r="E580" s="11"/>
      <c r="F580" s="11"/>
      <c r="G580" s="89">
        <f>IFERROR(VLOOKUP(F580,COA!$A$1:$K$26,2,FALSE),0)</f>
        <v>0</v>
      </c>
      <c r="H580" s="11"/>
      <c r="I580" s="11"/>
      <c r="J580" s="78"/>
      <c r="K580" s="78"/>
      <c r="L580" s="146">
        <f t="shared" si="27"/>
        <v>504000</v>
      </c>
      <c r="M580" s="73"/>
      <c r="N580" s="73"/>
      <c r="O580" s="7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 x14ac:dyDescent="0.35">
      <c r="A581" s="9">
        <f t="shared" si="26"/>
        <v>573</v>
      </c>
      <c r="B581" s="15"/>
      <c r="C581" s="11">
        <f t="shared" si="25"/>
        <v>1</v>
      </c>
      <c r="D581" s="11"/>
      <c r="E581" s="11"/>
      <c r="F581" s="11"/>
      <c r="G581" s="89">
        <f>IFERROR(VLOOKUP(F581,COA!$A$1:$K$26,2,FALSE),0)</f>
        <v>0</v>
      </c>
      <c r="H581" s="11"/>
      <c r="I581" s="11"/>
      <c r="J581" s="78"/>
      <c r="K581" s="78"/>
      <c r="L581" s="146">
        <f t="shared" si="27"/>
        <v>504000</v>
      </c>
      <c r="M581" s="73"/>
      <c r="N581" s="73"/>
      <c r="O581" s="7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 x14ac:dyDescent="0.35">
      <c r="A582" s="9">
        <f t="shared" si="26"/>
        <v>574</v>
      </c>
      <c r="B582" s="15"/>
      <c r="C582" s="11">
        <f t="shared" si="25"/>
        <v>1</v>
      </c>
      <c r="D582" s="11"/>
      <c r="E582" s="11"/>
      <c r="F582" s="11"/>
      <c r="G582" s="89">
        <f>IFERROR(VLOOKUP(F582,COA!$A$1:$K$26,2,FALSE),0)</f>
        <v>0</v>
      </c>
      <c r="H582" s="13"/>
      <c r="I582" s="13"/>
      <c r="J582" s="78"/>
      <c r="K582" s="78"/>
      <c r="L582" s="146">
        <f t="shared" si="27"/>
        <v>504000</v>
      </c>
      <c r="M582" s="73"/>
      <c r="N582" s="73"/>
      <c r="O582" s="7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 x14ac:dyDescent="0.35">
      <c r="A583" s="9">
        <f t="shared" si="26"/>
        <v>575</v>
      </c>
      <c r="B583" s="15"/>
      <c r="C583" s="11">
        <f t="shared" si="25"/>
        <v>1</v>
      </c>
      <c r="D583" s="11"/>
      <c r="E583" s="11"/>
      <c r="F583" s="11"/>
      <c r="G583" s="89">
        <f>IFERROR(VLOOKUP(F583,COA!$A$1:$K$26,2,FALSE),0)</f>
        <v>0</v>
      </c>
      <c r="H583" s="11"/>
      <c r="I583" s="11"/>
      <c r="J583" s="78"/>
      <c r="K583" s="78"/>
      <c r="L583" s="146">
        <f t="shared" si="27"/>
        <v>504000</v>
      </c>
      <c r="M583" s="73"/>
      <c r="N583" s="73"/>
      <c r="O583" s="7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 x14ac:dyDescent="0.35">
      <c r="A584" s="9">
        <f t="shared" si="26"/>
        <v>576</v>
      </c>
      <c r="B584" s="15"/>
      <c r="C584" s="11">
        <f t="shared" ref="C584:C647" si="28">MONTH(B584)</f>
        <v>1</v>
      </c>
      <c r="D584" s="11"/>
      <c r="E584" s="11"/>
      <c r="F584" s="11"/>
      <c r="G584" s="89">
        <f>IFERROR(VLOOKUP(F584,COA!$A$1:$K$26,2,FALSE),0)</f>
        <v>0</v>
      </c>
      <c r="H584" s="11"/>
      <c r="I584" s="11"/>
      <c r="J584" s="78"/>
      <c r="K584" s="78"/>
      <c r="L584" s="146">
        <f t="shared" si="27"/>
        <v>504000</v>
      </c>
      <c r="M584" s="73"/>
      <c r="N584" s="73"/>
      <c r="O584" s="7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 x14ac:dyDescent="0.35">
      <c r="A585" s="9">
        <f t="shared" si="26"/>
        <v>577</v>
      </c>
      <c r="B585" s="15"/>
      <c r="C585" s="11">
        <f t="shared" si="28"/>
        <v>1</v>
      </c>
      <c r="D585" s="11"/>
      <c r="E585" s="11"/>
      <c r="F585" s="11"/>
      <c r="G585" s="89">
        <f>IFERROR(VLOOKUP(F585,COA!$A$1:$K$26,2,FALSE),0)</f>
        <v>0</v>
      </c>
      <c r="H585" s="13"/>
      <c r="I585" s="13"/>
      <c r="J585" s="78"/>
      <c r="K585" s="78"/>
      <c r="L585" s="146">
        <f t="shared" si="27"/>
        <v>504000</v>
      </c>
      <c r="M585" s="73"/>
      <c r="N585" s="73"/>
      <c r="O585" s="7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 x14ac:dyDescent="0.35">
      <c r="A586" s="9">
        <f t="shared" si="26"/>
        <v>578</v>
      </c>
      <c r="B586" s="15"/>
      <c r="C586" s="11">
        <f t="shared" si="28"/>
        <v>1</v>
      </c>
      <c r="D586" s="11"/>
      <c r="E586" s="11"/>
      <c r="F586" s="11"/>
      <c r="G586" s="89">
        <f>IFERROR(VLOOKUP(F586,COA!$A$1:$K$26,2,FALSE),0)</f>
        <v>0</v>
      </c>
      <c r="H586" s="11"/>
      <c r="I586" s="11"/>
      <c r="J586" s="78"/>
      <c r="K586" s="78"/>
      <c r="L586" s="146">
        <f t="shared" si="27"/>
        <v>504000</v>
      </c>
      <c r="M586" s="73"/>
      <c r="N586" s="73"/>
      <c r="O586" s="7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 x14ac:dyDescent="0.35">
      <c r="A587" s="9">
        <f t="shared" ref="A587:A650" si="29">A586+1</f>
        <v>579</v>
      </c>
      <c r="B587" s="15"/>
      <c r="C587" s="11">
        <f t="shared" si="28"/>
        <v>1</v>
      </c>
      <c r="D587" s="11"/>
      <c r="E587" s="11"/>
      <c r="F587" s="11"/>
      <c r="G587" s="89">
        <f>IFERROR(VLOOKUP(F587,COA!$A$1:$K$26,2,FALSE),0)</f>
        <v>0</v>
      </c>
      <c r="H587" s="11"/>
      <c r="I587" s="11"/>
      <c r="J587" s="78"/>
      <c r="K587" s="78"/>
      <c r="L587" s="146">
        <f t="shared" ref="L587:L650" si="30">L586+J587-K587</f>
        <v>504000</v>
      </c>
      <c r="M587" s="73"/>
      <c r="N587" s="73"/>
      <c r="O587" s="7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 x14ac:dyDescent="0.35">
      <c r="A588" s="9">
        <f t="shared" si="29"/>
        <v>580</v>
      </c>
      <c r="B588" s="15"/>
      <c r="C588" s="11">
        <f t="shared" si="28"/>
        <v>1</v>
      </c>
      <c r="D588" s="11"/>
      <c r="E588" s="11"/>
      <c r="F588" s="11"/>
      <c r="G588" s="89">
        <f>IFERROR(VLOOKUP(F588,COA!$A$1:$K$26,2,FALSE),0)</f>
        <v>0</v>
      </c>
      <c r="H588" s="11"/>
      <c r="I588" s="11"/>
      <c r="J588" s="78"/>
      <c r="K588" s="78"/>
      <c r="L588" s="146">
        <f t="shared" si="30"/>
        <v>504000</v>
      </c>
      <c r="M588" s="73"/>
      <c r="N588" s="73"/>
      <c r="O588" s="7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 x14ac:dyDescent="0.35">
      <c r="A589" s="9">
        <f t="shared" si="29"/>
        <v>581</v>
      </c>
      <c r="B589" s="15"/>
      <c r="C589" s="11">
        <f t="shared" si="28"/>
        <v>1</v>
      </c>
      <c r="D589" s="11"/>
      <c r="E589" s="11"/>
      <c r="F589" s="11"/>
      <c r="G589" s="89">
        <f>IFERROR(VLOOKUP(F589,COA!$A$1:$K$26,2,FALSE),0)</f>
        <v>0</v>
      </c>
      <c r="H589" s="11"/>
      <c r="I589" s="11"/>
      <c r="J589" s="78"/>
      <c r="K589" s="78"/>
      <c r="L589" s="146">
        <f t="shared" si="30"/>
        <v>504000</v>
      </c>
      <c r="M589" s="73"/>
      <c r="N589" s="73"/>
      <c r="O589" s="7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 x14ac:dyDescent="0.35">
      <c r="A590" s="9">
        <f t="shared" si="29"/>
        <v>582</v>
      </c>
      <c r="B590" s="15"/>
      <c r="C590" s="11">
        <f t="shared" si="28"/>
        <v>1</v>
      </c>
      <c r="D590" s="11"/>
      <c r="E590" s="11"/>
      <c r="F590" s="11"/>
      <c r="G590" s="89">
        <f>IFERROR(VLOOKUP(F590,COA!$A$1:$K$26,2,FALSE),0)</f>
        <v>0</v>
      </c>
      <c r="H590" s="11"/>
      <c r="I590" s="11"/>
      <c r="J590" s="78"/>
      <c r="K590" s="78"/>
      <c r="L590" s="146">
        <f t="shared" si="30"/>
        <v>504000</v>
      </c>
      <c r="M590" s="73"/>
      <c r="N590" s="73"/>
      <c r="O590" s="7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 x14ac:dyDescent="0.35">
      <c r="A591" s="9">
        <f t="shared" si="29"/>
        <v>583</v>
      </c>
      <c r="B591" s="15"/>
      <c r="C591" s="11">
        <f t="shared" si="28"/>
        <v>1</v>
      </c>
      <c r="D591" s="11"/>
      <c r="E591" s="11"/>
      <c r="F591" s="11"/>
      <c r="G591" s="89">
        <f>IFERROR(VLOOKUP(F591,COA!$A$1:$K$26,2,FALSE),0)</f>
        <v>0</v>
      </c>
      <c r="H591" s="11"/>
      <c r="I591" s="11"/>
      <c r="J591" s="78"/>
      <c r="K591" s="78"/>
      <c r="L591" s="146">
        <f t="shared" si="30"/>
        <v>504000</v>
      </c>
      <c r="M591" s="73"/>
      <c r="N591" s="73"/>
      <c r="O591" s="7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 x14ac:dyDescent="0.35">
      <c r="A592" s="9">
        <f t="shared" si="29"/>
        <v>584</v>
      </c>
      <c r="B592" s="15"/>
      <c r="C592" s="11">
        <f t="shared" si="28"/>
        <v>1</v>
      </c>
      <c r="D592" s="11"/>
      <c r="E592" s="11"/>
      <c r="F592" s="11"/>
      <c r="G592" s="89">
        <f>IFERROR(VLOOKUP(F592,COA!$A$1:$K$26,2,FALSE),0)</f>
        <v>0</v>
      </c>
      <c r="H592" s="13"/>
      <c r="I592" s="13"/>
      <c r="J592" s="78"/>
      <c r="K592" s="78"/>
      <c r="L592" s="146">
        <f t="shared" si="30"/>
        <v>504000</v>
      </c>
      <c r="M592" s="73"/>
      <c r="N592" s="73"/>
      <c r="O592" s="7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 x14ac:dyDescent="0.35">
      <c r="A593" s="9">
        <f t="shared" si="29"/>
        <v>585</v>
      </c>
      <c r="B593" s="15"/>
      <c r="C593" s="11">
        <f t="shared" si="28"/>
        <v>1</v>
      </c>
      <c r="D593" s="11"/>
      <c r="E593" s="11"/>
      <c r="F593" s="11"/>
      <c r="G593" s="89">
        <f>IFERROR(VLOOKUP(F593,COA!$A$1:$K$26,2,FALSE),0)</f>
        <v>0</v>
      </c>
      <c r="H593" s="11"/>
      <c r="I593" s="11"/>
      <c r="J593" s="78"/>
      <c r="K593" s="78"/>
      <c r="L593" s="146">
        <f t="shared" si="30"/>
        <v>504000</v>
      </c>
      <c r="M593" s="73"/>
      <c r="N593" s="73"/>
      <c r="O593" s="7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 x14ac:dyDescent="0.35">
      <c r="A594" s="9">
        <f t="shared" si="29"/>
        <v>586</v>
      </c>
      <c r="B594" s="15"/>
      <c r="C594" s="11">
        <f t="shared" si="28"/>
        <v>1</v>
      </c>
      <c r="D594" s="11"/>
      <c r="E594" s="11"/>
      <c r="F594" s="11"/>
      <c r="G594" s="89">
        <f>IFERROR(VLOOKUP(F594,COA!$A$1:$K$26,2,FALSE),0)</f>
        <v>0</v>
      </c>
      <c r="H594" s="11"/>
      <c r="I594" s="11"/>
      <c r="J594" s="78"/>
      <c r="K594" s="78"/>
      <c r="L594" s="146">
        <f t="shared" si="30"/>
        <v>504000</v>
      </c>
      <c r="M594" s="73"/>
      <c r="N594" s="73"/>
      <c r="O594" s="7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 x14ac:dyDescent="0.35">
      <c r="A595" s="9">
        <f t="shared" si="29"/>
        <v>587</v>
      </c>
      <c r="B595" s="15"/>
      <c r="C595" s="11">
        <f t="shared" si="28"/>
        <v>1</v>
      </c>
      <c r="D595" s="11"/>
      <c r="E595" s="11"/>
      <c r="F595" s="11"/>
      <c r="G595" s="89">
        <f>IFERROR(VLOOKUP(F595,COA!$A$1:$K$26,2,FALSE),0)</f>
        <v>0</v>
      </c>
      <c r="H595" s="11"/>
      <c r="I595" s="11"/>
      <c r="J595" s="78"/>
      <c r="K595" s="78"/>
      <c r="L595" s="146">
        <f t="shared" si="30"/>
        <v>504000</v>
      </c>
      <c r="M595" s="73"/>
      <c r="N595" s="73"/>
      <c r="O595" s="7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 x14ac:dyDescent="0.35">
      <c r="A596" s="9">
        <f t="shared" si="29"/>
        <v>588</v>
      </c>
      <c r="B596" s="15"/>
      <c r="C596" s="11">
        <f t="shared" si="28"/>
        <v>1</v>
      </c>
      <c r="D596" s="11"/>
      <c r="E596" s="11"/>
      <c r="F596" s="11"/>
      <c r="G596" s="89">
        <f>IFERROR(VLOOKUP(F596,COA!$A$1:$K$26,2,FALSE),0)</f>
        <v>0</v>
      </c>
      <c r="H596" s="11"/>
      <c r="I596" s="11"/>
      <c r="J596" s="78"/>
      <c r="K596" s="78"/>
      <c r="L596" s="146">
        <f t="shared" si="30"/>
        <v>504000</v>
      </c>
      <c r="M596" s="73"/>
      <c r="N596" s="73"/>
      <c r="O596" s="7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 x14ac:dyDescent="0.35">
      <c r="A597" s="9">
        <f t="shared" si="29"/>
        <v>589</v>
      </c>
      <c r="B597" s="15"/>
      <c r="C597" s="11">
        <f t="shared" si="28"/>
        <v>1</v>
      </c>
      <c r="D597" s="11"/>
      <c r="E597" s="11"/>
      <c r="F597" s="11"/>
      <c r="G597" s="89">
        <f>IFERROR(VLOOKUP(F597,COA!$A$1:$K$26,2,FALSE),0)</f>
        <v>0</v>
      </c>
      <c r="H597" s="11"/>
      <c r="I597" s="11"/>
      <c r="J597" s="78"/>
      <c r="K597" s="78"/>
      <c r="L597" s="146">
        <f t="shared" si="30"/>
        <v>504000</v>
      </c>
      <c r="M597" s="73"/>
      <c r="N597" s="73"/>
      <c r="O597" s="7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 x14ac:dyDescent="0.35">
      <c r="A598" s="9">
        <f t="shared" si="29"/>
        <v>590</v>
      </c>
      <c r="B598" s="15"/>
      <c r="C598" s="11">
        <f t="shared" si="28"/>
        <v>1</v>
      </c>
      <c r="D598" s="11"/>
      <c r="E598" s="11"/>
      <c r="F598" s="11"/>
      <c r="G598" s="89">
        <f>IFERROR(VLOOKUP(F598,COA!$A$1:$K$26,2,FALSE),0)</f>
        <v>0</v>
      </c>
      <c r="H598" s="13"/>
      <c r="I598" s="13"/>
      <c r="J598" s="78"/>
      <c r="K598" s="78"/>
      <c r="L598" s="146">
        <f t="shared" si="30"/>
        <v>504000</v>
      </c>
      <c r="M598" s="73"/>
      <c r="N598" s="73"/>
      <c r="O598" s="7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 x14ac:dyDescent="0.35">
      <c r="A599" s="9">
        <f t="shared" si="29"/>
        <v>591</v>
      </c>
      <c r="B599" s="15"/>
      <c r="C599" s="11">
        <f t="shared" si="28"/>
        <v>1</v>
      </c>
      <c r="D599" s="11"/>
      <c r="E599" s="11"/>
      <c r="F599" s="11"/>
      <c r="G599" s="89">
        <f>IFERROR(VLOOKUP(F599,COA!$A$1:$K$26,2,FALSE),0)</f>
        <v>0</v>
      </c>
      <c r="H599" s="11"/>
      <c r="I599" s="11"/>
      <c r="J599" s="78"/>
      <c r="K599" s="78"/>
      <c r="L599" s="146">
        <f t="shared" si="30"/>
        <v>504000</v>
      </c>
      <c r="M599" s="73"/>
      <c r="N599" s="73"/>
      <c r="O599" s="7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 x14ac:dyDescent="0.35">
      <c r="A600" s="9">
        <f t="shared" si="29"/>
        <v>592</v>
      </c>
      <c r="B600" s="15"/>
      <c r="C600" s="11">
        <f t="shared" si="28"/>
        <v>1</v>
      </c>
      <c r="D600" s="11"/>
      <c r="E600" s="11"/>
      <c r="F600" s="11"/>
      <c r="G600" s="89">
        <f>IFERROR(VLOOKUP(F600,COA!$A$1:$K$26,2,FALSE),0)</f>
        <v>0</v>
      </c>
      <c r="H600" s="11"/>
      <c r="I600" s="11"/>
      <c r="J600" s="78"/>
      <c r="K600" s="78"/>
      <c r="L600" s="146">
        <f t="shared" si="30"/>
        <v>504000</v>
      </c>
      <c r="M600" s="73"/>
      <c r="N600" s="73"/>
      <c r="O600" s="7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 x14ac:dyDescent="0.35">
      <c r="A601" s="9">
        <f t="shared" si="29"/>
        <v>593</v>
      </c>
      <c r="B601" s="15"/>
      <c r="C601" s="11">
        <f t="shared" si="28"/>
        <v>1</v>
      </c>
      <c r="D601" s="11"/>
      <c r="E601" s="11"/>
      <c r="F601" s="11"/>
      <c r="G601" s="89">
        <f>IFERROR(VLOOKUP(F601,COA!$A$1:$K$26,2,FALSE),0)</f>
        <v>0</v>
      </c>
      <c r="H601" s="11"/>
      <c r="I601" s="11"/>
      <c r="J601" s="78"/>
      <c r="K601" s="78"/>
      <c r="L601" s="146">
        <f t="shared" si="30"/>
        <v>504000</v>
      </c>
      <c r="M601" s="73"/>
      <c r="N601" s="73"/>
      <c r="O601" s="7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 x14ac:dyDescent="0.35">
      <c r="A602" s="9">
        <f t="shared" si="29"/>
        <v>594</v>
      </c>
      <c r="B602" s="15"/>
      <c r="C602" s="11">
        <f t="shared" si="28"/>
        <v>1</v>
      </c>
      <c r="D602" s="11"/>
      <c r="E602" s="11"/>
      <c r="F602" s="11"/>
      <c r="G602" s="89">
        <f>IFERROR(VLOOKUP(F602,COA!$A$1:$K$26,2,FALSE),0)</f>
        <v>0</v>
      </c>
      <c r="H602" s="11"/>
      <c r="I602" s="11"/>
      <c r="J602" s="78"/>
      <c r="K602" s="78"/>
      <c r="L602" s="146">
        <f t="shared" si="30"/>
        <v>504000</v>
      </c>
      <c r="M602" s="73"/>
      <c r="N602" s="73"/>
      <c r="O602" s="7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 x14ac:dyDescent="0.35">
      <c r="A603" s="9">
        <f t="shared" si="29"/>
        <v>595</v>
      </c>
      <c r="B603" s="15"/>
      <c r="C603" s="11">
        <f t="shared" si="28"/>
        <v>1</v>
      </c>
      <c r="D603" s="11"/>
      <c r="E603" s="11"/>
      <c r="F603" s="11"/>
      <c r="G603" s="89">
        <f>IFERROR(VLOOKUP(F603,COA!$A$1:$K$26,2,FALSE),0)</f>
        <v>0</v>
      </c>
      <c r="H603" s="11"/>
      <c r="I603" s="11"/>
      <c r="J603" s="78"/>
      <c r="K603" s="78"/>
      <c r="L603" s="146">
        <f t="shared" si="30"/>
        <v>504000</v>
      </c>
      <c r="M603" s="73"/>
      <c r="N603" s="73"/>
      <c r="O603" s="7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 x14ac:dyDescent="0.35">
      <c r="A604" s="9">
        <f t="shared" si="29"/>
        <v>596</v>
      </c>
      <c r="B604" s="15"/>
      <c r="C604" s="11">
        <f t="shared" si="28"/>
        <v>1</v>
      </c>
      <c r="D604" s="11"/>
      <c r="E604" s="11"/>
      <c r="F604" s="11"/>
      <c r="G604" s="89">
        <f>IFERROR(VLOOKUP(F604,COA!$A$1:$K$26,2,FALSE),0)</f>
        <v>0</v>
      </c>
      <c r="H604" s="13"/>
      <c r="I604" s="13"/>
      <c r="J604" s="78"/>
      <c r="K604" s="78"/>
      <c r="L604" s="146">
        <f t="shared" si="30"/>
        <v>504000</v>
      </c>
      <c r="M604" s="73"/>
      <c r="N604" s="73"/>
      <c r="O604" s="7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 x14ac:dyDescent="0.35">
      <c r="A605" s="9">
        <f t="shared" si="29"/>
        <v>597</v>
      </c>
      <c r="B605" s="15"/>
      <c r="C605" s="11">
        <f t="shared" si="28"/>
        <v>1</v>
      </c>
      <c r="D605" s="11"/>
      <c r="E605" s="11"/>
      <c r="F605" s="11"/>
      <c r="G605" s="89">
        <f>IFERROR(VLOOKUP(F605,COA!$A$1:$K$26,2,FALSE),0)</f>
        <v>0</v>
      </c>
      <c r="H605" s="11"/>
      <c r="I605" s="11"/>
      <c r="J605" s="78"/>
      <c r="K605" s="78"/>
      <c r="L605" s="146">
        <f t="shared" si="30"/>
        <v>504000</v>
      </c>
      <c r="M605" s="73"/>
      <c r="N605" s="73"/>
      <c r="O605" s="7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 x14ac:dyDescent="0.35">
      <c r="A606" s="9">
        <f t="shared" si="29"/>
        <v>598</v>
      </c>
      <c r="B606" s="15"/>
      <c r="C606" s="11">
        <f t="shared" si="28"/>
        <v>1</v>
      </c>
      <c r="D606" s="11"/>
      <c r="E606" s="11"/>
      <c r="F606" s="11"/>
      <c r="G606" s="89">
        <f>IFERROR(VLOOKUP(F606,COA!$A$1:$K$26,2,FALSE),0)</f>
        <v>0</v>
      </c>
      <c r="H606" s="11"/>
      <c r="I606" s="11"/>
      <c r="J606" s="78"/>
      <c r="K606" s="78"/>
      <c r="L606" s="146">
        <f t="shared" si="30"/>
        <v>504000</v>
      </c>
      <c r="M606" s="73"/>
      <c r="N606" s="73"/>
      <c r="O606" s="7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 x14ac:dyDescent="0.35">
      <c r="A607" s="9">
        <f t="shared" si="29"/>
        <v>599</v>
      </c>
      <c r="B607" s="15"/>
      <c r="C607" s="11">
        <f t="shared" si="28"/>
        <v>1</v>
      </c>
      <c r="D607" s="11"/>
      <c r="E607" s="11"/>
      <c r="F607" s="11"/>
      <c r="G607" s="89">
        <f>IFERROR(VLOOKUP(F607,COA!$A$1:$K$26,2,FALSE),0)</f>
        <v>0</v>
      </c>
      <c r="H607" s="11"/>
      <c r="I607" s="11"/>
      <c r="J607" s="78"/>
      <c r="K607" s="78"/>
      <c r="L607" s="146">
        <f t="shared" si="30"/>
        <v>504000</v>
      </c>
      <c r="M607" s="73"/>
      <c r="N607" s="73"/>
      <c r="O607" s="7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 x14ac:dyDescent="0.35">
      <c r="A608" s="9">
        <f t="shared" si="29"/>
        <v>600</v>
      </c>
      <c r="B608" s="15"/>
      <c r="C608" s="11">
        <f t="shared" si="28"/>
        <v>1</v>
      </c>
      <c r="D608" s="11"/>
      <c r="E608" s="11"/>
      <c r="F608" s="11"/>
      <c r="G608" s="89">
        <f>IFERROR(VLOOKUP(F608,COA!$A$1:$K$26,2,FALSE),0)</f>
        <v>0</v>
      </c>
      <c r="H608" s="11"/>
      <c r="I608" s="11"/>
      <c r="J608" s="78"/>
      <c r="K608" s="78"/>
      <c r="L608" s="146">
        <f t="shared" si="30"/>
        <v>504000</v>
      </c>
      <c r="M608" s="73"/>
      <c r="N608" s="73"/>
      <c r="O608" s="7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 x14ac:dyDescent="0.35">
      <c r="A609" s="9">
        <f t="shared" si="29"/>
        <v>601</v>
      </c>
      <c r="B609" s="15"/>
      <c r="C609" s="11">
        <f t="shared" si="28"/>
        <v>1</v>
      </c>
      <c r="D609" s="11"/>
      <c r="E609" s="11"/>
      <c r="F609" s="11"/>
      <c r="G609" s="89">
        <f>IFERROR(VLOOKUP(F609,COA!$A$1:$K$26,2,FALSE),0)</f>
        <v>0</v>
      </c>
      <c r="H609" s="11"/>
      <c r="I609" s="11"/>
      <c r="J609" s="78"/>
      <c r="K609" s="78"/>
      <c r="L609" s="146">
        <f t="shared" si="30"/>
        <v>504000</v>
      </c>
      <c r="M609" s="73"/>
      <c r="N609" s="73"/>
      <c r="O609" s="7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 x14ac:dyDescent="0.35">
      <c r="A610" s="9">
        <f t="shared" si="29"/>
        <v>602</v>
      </c>
      <c r="B610" s="15"/>
      <c r="C610" s="11">
        <f t="shared" si="28"/>
        <v>1</v>
      </c>
      <c r="D610" s="11"/>
      <c r="E610" s="11"/>
      <c r="F610" s="11"/>
      <c r="G610" s="89">
        <f>IFERROR(VLOOKUP(F610,COA!$A$1:$K$26,2,FALSE),0)</f>
        <v>0</v>
      </c>
      <c r="H610" s="13"/>
      <c r="I610" s="13"/>
      <c r="J610" s="78"/>
      <c r="K610" s="78"/>
      <c r="L610" s="146">
        <f t="shared" si="30"/>
        <v>504000</v>
      </c>
      <c r="M610" s="73"/>
      <c r="N610" s="73"/>
      <c r="O610" s="7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 x14ac:dyDescent="0.35">
      <c r="A611" s="9">
        <f t="shared" si="29"/>
        <v>603</v>
      </c>
      <c r="B611" s="15"/>
      <c r="C611" s="11">
        <f t="shared" si="28"/>
        <v>1</v>
      </c>
      <c r="D611" s="11"/>
      <c r="E611" s="11"/>
      <c r="F611" s="11"/>
      <c r="G611" s="89">
        <f>IFERROR(VLOOKUP(F611,COA!$A$1:$K$26,2,FALSE),0)</f>
        <v>0</v>
      </c>
      <c r="H611" s="11"/>
      <c r="I611" s="11"/>
      <c r="J611" s="78"/>
      <c r="K611" s="78"/>
      <c r="L611" s="146">
        <f t="shared" si="30"/>
        <v>504000</v>
      </c>
      <c r="M611" s="73"/>
      <c r="N611" s="73"/>
      <c r="O611" s="7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 x14ac:dyDescent="0.35">
      <c r="A612" s="9">
        <f t="shared" si="29"/>
        <v>604</v>
      </c>
      <c r="B612" s="15"/>
      <c r="C612" s="11">
        <f t="shared" si="28"/>
        <v>1</v>
      </c>
      <c r="D612" s="11"/>
      <c r="E612" s="11"/>
      <c r="F612" s="11"/>
      <c r="G612" s="89">
        <f>IFERROR(VLOOKUP(F612,COA!$A$1:$K$26,2,FALSE),0)</f>
        <v>0</v>
      </c>
      <c r="H612" s="11"/>
      <c r="I612" s="11"/>
      <c r="J612" s="78"/>
      <c r="K612" s="78"/>
      <c r="L612" s="146">
        <f t="shared" si="30"/>
        <v>504000</v>
      </c>
      <c r="M612" s="73"/>
      <c r="N612" s="73"/>
      <c r="O612" s="7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 x14ac:dyDescent="0.35">
      <c r="A613" s="9">
        <f t="shared" si="29"/>
        <v>605</v>
      </c>
      <c r="B613" s="15"/>
      <c r="C613" s="11">
        <f t="shared" si="28"/>
        <v>1</v>
      </c>
      <c r="D613" s="11"/>
      <c r="E613" s="11"/>
      <c r="F613" s="11"/>
      <c r="G613" s="89">
        <f>IFERROR(VLOOKUP(F613,COA!$A$1:$K$26,2,FALSE),0)</f>
        <v>0</v>
      </c>
      <c r="H613" s="11"/>
      <c r="I613" s="11"/>
      <c r="J613" s="78"/>
      <c r="K613" s="78"/>
      <c r="L613" s="146">
        <f t="shared" si="30"/>
        <v>504000</v>
      </c>
      <c r="M613" s="73"/>
      <c r="N613" s="73"/>
      <c r="O613" s="7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 x14ac:dyDescent="0.35">
      <c r="A614" s="9">
        <f t="shared" si="29"/>
        <v>606</v>
      </c>
      <c r="B614" s="15"/>
      <c r="C614" s="11">
        <f t="shared" si="28"/>
        <v>1</v>
      </c>
      <c r="D614" s="11"/>
      <c r="E614" s="11"/>
      <c r="F614" s="11"/>
      <c r="G614" s="89">
        <f>IFERROR(VLOOKUP(F614,COA!$A$1:$K$26,2,FALSE),0)</f>
        <v>0</v>
      </c>
      <c r="H614" s="11"/>
      <c r="I614" s="11"/>
      <c r="J614" s="78"/>
      <c r="K614" s="78"/>
      <c r="L614" s="146">
        <f t="shared" si="30"/>
        <v>504000</v>
      </c>
      <c r="M614" s="73"/>
      <c r="N614" s="73"/>
      <c r="O614" s="7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 x14ac:dyDescent="0.35">
      <c r="A615" s="9">
        <f t="shared" si="29"/>
        <v>607</v>
      </c>
      <c r="B615" s="15"/>
      <c r="C615" s="11">
        <f t="shared" si="28"/>
        <v>1</v>
      </c>
      <c r="D615" s="11"/>
      <c r="E615" s="11"/>
      <c r="F615" s="11"/>
      <c r="G615" s="89">
        <f>IFERROR(VLOOKUP(F615,COA!$A$1:$K$26,2,FALSE),0)</f>
        <v>0</v>
      </c>
      <c r="H615" s="11"/>
      <c r="I615" s="11"/>
      <c r="J615" s="78"/>
      <c r="K615" s="78"/>
      <c r="L615" s="146">
        <f t="shared" si="30"/>
        <v>504000</v>
      </c>
      <c r="M615" s="73"/>
      <c r="N615" s="73"/>
      <c r="O615" s="7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 x14ac:dyDescent="0.35">
      <c r="A616" s="9">
        <f t="shared" si="29"/>
        <v>608</v>
      </c>
      <c r="B616" s="15"/>
      <c r="C616" s="11">
        <f t="shared" si="28"/>
        <v>1</v>
      </c>
      <c r="D616" s="11"/>
      <c r="E616" s="11"/>
      <c r="F616" s="11"/>
      <c r="G616" s="89">
        <f>IFERROR(VLOOKUP(F616,COA!$A$1:$K$26,2,FALSE),0)</f>
        <v>0</v>
      </c>
      <c r="H616" s="11"/>
      <c r="I616" s="11"/>
      <c r="J616" s="78"/>
      <c r="K616" s="78"/>
      <c r="L616" s="146">
        <f t="shared" si="30"/>
        <v>504000</v>
      </c>
      <c r="M616" s="73"/>
      <c r="N616" s="73"/>
      <c r="O616" s="7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 x14ac:dyDescent="0.35">
      <c r="A617" s="9">
        <f t="shared" si="29"/>
        <v>609</v>
      </c>
      <c r="B617" s="15"/>
      <c r="C617" s="11">
        <f t="shared" si="28"/>
        <v>1</v>
      </c>
      <c r="D617" s="11"/>
      <c r="E617" s="11"/>
      <c r="F617" s="11"/>
      <c r="G617" s="89">
        <f>IFERROR(VLOOKUP(F617,COA!$A$1:$K$26,2,FALSE),0)</f>
        <v>0</v>
      </c>
      <c r="H617" s="11"/>
      <c r="I617" s="11"/>
      <c r="J617" s="78"/>
      <c r="K617" s="78"/>
      <c r="L617" s="146">
        <f t="shared" si="30"/>
        <v>504000</v>
      </c>
      <c r="M617" s="73"/>
      <c r="N617" s="73"/>
      <c r="O617" s="7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 x14ac:dyDescent="0.35">
      <c r="A618" s="9">
        <f t="shared" si="29"/>
        <v>610</v>
      </c>
      <c r="B618" s="15"/>
      <c r="C618" s="11">
        <f t="shared" si="28"/>
        <v>1</v>
      </c>
      <c r="D618" s="11"/>
      <c r="E618" s="11"/>
      <c r="F618" s="11"/>
      <c r="G618" s="89">
        <f>IFERROR(VLOOKUP(F618,COA!$A$1:$K$26,2,FALSE),0)</f>
        <v>0</v>
      </c>
      <c r="H618" s="13"/>
      <c r="I618" s="13"/>
      <c r="J618" s="78"/>
      <c r="K618" s="78"/>
      <c r="L618" s="146">
        <f t="shared" si="30"/>
        <v>504000</v>
      </c>
      <c r="M618" s="73"/>
      <c r="N618" s="73"/>
      <c r="O618" s="7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 x14ac:dyDescent="0.35">
      <c r="A619" s="9">
        <f t="shared" si="29"/>
        <v>611</v>
      </c>
      <c r="B619" s="15"/>
      <c r="C619" s="11">
        <f t="shared" si="28"/>
        <v>1</v>
      </c>
      <c r="D619" s="11"/>
      <c r="E619" s="11"/>
      <c r="F619" s="11"/>
      <c r="G619" s="89">
        <f>IFERROR(VLOOKUP(F619,COA!$A$1:$K$26,2,FALSE),0)</f>
        <v>0</v>
      </c>
      <c r="H619" s="11"/>
      <c r="I619" s="11"/>
      <c r="J619" s="78"/>
      <c r="K619" s="78"/>
      <c r="L619" s="146">
        <f t="shared" si="30"/>
        <v>504000</v>
      </c>
      <c r="M619" s="73"/>
      <c r="N619" s="73"/>
      <c r="O619" s="7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 x14ac:dyDescent="0.35">
      <c r="A620" s="9">
        <f t="shared" si="29"/>
        <v>612</v>
      </c>
      <c r="B620" s="15"/>
      <c r="C620" s="11">
        <f t="shared" si="28"/>
        <v>1</v>
      </c>
      <c r="D620" s="11"/>
      <c r="E620" s="11"/>
      <c r="F620" s="11"/>
      <c r="G620" s="89">
        <f>IFERROR(VLOOKUP(F620,COA!$A$1:$K$26,2,FALSE),0)</f>
        <v>0</v>
      </c>
      <c r="H620" s="11"/>
      <c r="I620" s="11"/>
      <c r="J620" s="78"/>
      <c r="K620" s="78"/>
      <c r="L620" s="146">
        <f t="shared" si="30"/>
        <v>504000</v>
      </c>
      <c r="M620" s="73"/>
      <c r="N620" s="73"/>
      <c r="O620" s="7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 x14ac:dyDescent="0.35">
      <c r="A621" s="9">
        <f t="shared" si="29"/>
        <v>613</v>
      </c>
      <c r="B621" s="15"/>
      <c r="C621" s="11">
        <f t="shared" si="28"/>
        <v>1</v>
      </c>
      <c r="D621" s="11"/>
      <c r="E621" s="11"/>
      <c r="F621" s="11"/>
      <c r="G621" s="89">
        <f>IFERROR(VLOOKUP(F621,COA!$A$1:$K$26,2,FALSE),0)</f>
        <v>0</v>
      </c>
      <c r="H621" s="11"/>
      <c r="I621" s="11"/>
      <c r="J621" s="78"/>
      <c r="K621" s="78"/>
      <c r="L621" s="146">
        <f t="shared" si="30"/>
        <v>504000</v>
      </c>
      <c r="M621" s="73"/>
      <c r="N621" s="73"/>
      <c r="O621" s="7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 x14ac:dyDescent="0.35">
      <c r="A622" s="9">
        <f t="shared" si="29"/>
        <v>614</v>
      </c>
      <c r="B622" s="15"/>
      <c r="C622" s="11">
        <f t="shared" si="28"/>
        <v>1</v>
      </c>
      <c r="D622" s="11"/>
      <c r="E622" s="11"/>
      <c r="F622" s="11"/>
      <c r="G622" s="89">
        <f>IFERROR(VLOOKUP(F622,COA!$A$1:$K$26,2,FALSE),0)</f>
        <v>0</v>
      </c>
      <c r="H622" s="11"/>
      <c r="I622" s="11"/>
      <c r="J622" s="78"/>
      <c r="K622" s="78"/>
      <c r="L622" s="146">
        <f t="shared" si="30"/>
        <v>504000</v>
      </c>
      <c r="M622" s="73"/>
      <c r="N622" s="73"/>
      <c r="O622" s="7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 x14ac:dyDescent="0.35">
      <c r="A623" s="9">
        <f t="shared" si="29"/>
        <v>615</v>
      </c>
      <c r="B623" s="15"/>
      <c r="C623" s="11">
        <f t="shared" si="28"/>
        <v>1</v>
      </c>
      <c r="D623" s="11"/>
      <c r="E623" s="11"/>
      <c r="F623" s="11"/>
      <c r="G623" s="89">
        <f>IFERROR(VLOOKUP(F623,COA!$A$1:$K$26,2,FALSE),0)</f>
        <v>0</v>
      </c>
      <c r="H623" s="11"/>
      <c r="I623" s="11"/>
      <c r="J623" s="78"/>
      <c r="K623" s="78"/>
      <c r="L623" s="146">
        <f t="shared" si="30"/>
        <v>504000</v>
      </c>
      <c r="M623" s="73"/>
      <c r="N623" s="73"/>
      <c r="O623" s="7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 x14ac:dyDescent="0.35">
      <c r="A624" s="9">
        <f t="shared" si="29"/>
        <v>616</v>
      </c>
      <c r="B624" s="15"/>
      <c r="C624" s="11">
        <f t="shared" si="28"/>
        <v>1</v>
      </c>
      <c r="D624" s="11"/>
      <c r="E624" s="11"/>
      <c r="F624" s="11"/>
      <c r="G624" s="89">
        <f>IFERROR(VLOOKUP(F624,COA!$A$1:$K$26,2,FALSE),0)</f>
        <v>0</v>
      </c>
      <c r="H624" s="13"/>
      <c r="I624" s="13"/>
      <c r="J624" s="78"/>
      <c r="K624" s="78"/>
      <c r="L624" s="146">
        <f t="shared" si="30"/>
        <v>504000</v>
      </c>
      <c r="M624" s="73"/>
      <c r="N624" s="73"/>
      <c r="O624" s="7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 x14ac:dyDescent="0.35">
      <c r="A625" s="9">
        <f t="shared" si="29"/>
        <v>617</v>
      </c>
      <c r="B625" s="15"/>
      <c r="C625" s="11">
        <f t="shared" si="28"/>
        <v>1</v>
      </c>
      <c r="D625" s="11"/>
      <c r="E625" s="11"/>
      <c r="F625" s="11"/>
      <c r="G625" s="89">
        <f>IFERROR(VLOOKUP(F625,COA!$A$1:$K$26,2,FALSE),0)</f>
        <v>0</v>
      </c>
      <c r="H625" s="11"/>
      <c r="I625" s="11"/>
      <c r="J625" s="78"/>
      <c r="K625" s="78"/>
      <c r="L625" s="146">
        <f t="shared" si="30"/>
        <v>504000</v>
      </c>
      <c r="M625" s="73"/>
      <c r="N625" s="73"/>
      <c r="O625" s="7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 x14ac:dyDescent="0.35">
      <c r="A626" s="9">
        <f t="shared" si="29"/>
        <v>618</v>
      </c>
      <c r="B626" s="15"/>
      <c r="C626" s="11">
        <f t="shared" si="28"/>
        <v>1</v>
      </c>
      <c r="D626" s="11"/>
      <c r="E626" s="11"/>
      <c r="F626" s="11"/>
      <c r="G626" s="89">
        <f>IFERROR(VLOOKUP(F626,COA!$A$1:$K$26,2,FALSE),0)</f>
        <v>0</v>
      </c>
      <c r="H626" s="11"/>
      <c r="I626" s="11"/>
      <c r="J626" s="78"/>
      <c r="K626" s="78"/>
      <c r="L626" s="146">
        <f t="shared" si="30"/>
        <v>504000</v>
      </c>
      <c r="M626" s="73"/>
      <c r="N626" s="73"/>
      <c r="O626" s="7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 x14ac:dyDescent="0.35">
      <c r="A627" s="9">
        <f t="shared" si="29"/>
        <v>619</v>
      </c>
      <c r="B627" s="15"/>
      <c r="C627" s="11">
        <f t="shared" si="28"/>
        <v>1</v>
      </c>
      <c r="D627" s="11"/>
      <c r="E627" s="11"/>
      <c r="F627" s="11"/>
      <c r="G627" s="89">
        <f>IFERROR(VLOOKUP(F627,COA!$A$1:$K$26,2,FALSE),0)</f>
        <v>0</v>
      </c>
      <c r="H627" s="11"/>
      <c r="I627" s="11"/>
      <c r="J627" s="78"/>
      <c r="K627" s="78"/>
      <c r="L627" s="146">
        <f t="shared" si="30"/>
        <v>504000</v>
      </c>
      <c r="M627" s="73"/>
      <c r="N627" s="73"/>
      <c r="O627" s="7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 x14ac:dyDescent="0.35">
      <c r="A628" s="9">
        <f t="shared" si="29"/>
        <v>620</v>
      </c>
      <c r="B628" s="15"/>
      <c r="C628" s="11">
        <f t="shared" si="28"/>
        <v>1</v>
      </c>
      <c r="D628" s="11"/>
      <c r="E628" s="11"/>
      <c r="F628" s="11"/>
      <c r="G628" s="89">
        <f>IFERROR(VLOOKUP(F628,COA!$A$1:$K$26,2,FALSE),0)</f>
        <v>0</v>
      </c>
      <c r="H628" s="11"/>
      <c r="I628" s="11"/>
      <c r="J628" s="78"/>
      <c r="K628" s="78"/>
      <c r="L628" s="146">
        <f t="shared" si="30"/>
        <v>504000</v>
      </c>
      <c r="M628" s="73"/>
      <c r="N628" s="73"/>
      <c r="O628" s="7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 x14ac:dyDescent="0.35">
      <c r="A629" s="9">
        <f t="shared" si="29"/>
        <v>621</v>
      </c>
      <c r="B629" s="15"/>
      <c r="C629" s="11">
        <f t="shared" si="28"/>
        <v>1</v>
      </c>
      <c r="D629" s="11"/>
      <c r="E629" s="11"/>
      <c r="F629" s="11"/>
      <c r="G629" s="89">
        <f>IFERROR(VLOOKUP(F629,COA!$A$1:$K$26,2,FALSE),0)</f>
        <v>0</v>
      </c>
      <c r="H629" s="11"/>
      <c r="I629" s="11"/>
      <c r="J629" s="78"/>
      <c r="K629" s="78"/>
      <c r="L629" s="146">
        <f t="shared" si="30"/>
        <v>504000</v>
      </c>
      <c r="M629" s="73"/>
      <c r="N629" s="73"/>
      <c r="O629" s="7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 x14ac:dyDescent="0.35">
      <c r="A630" s="9">
        <f t="shared" si="29"/>
        <v>622</v>
      </c>
      <c r="B630" s="15"/>
      <c r="C630" s="11">
        <f t="shared" si="28"/>
        <v>1</v>
      </c>
      <c r="D630" s="11"/>
      <c r="E630" s="11"/>
      <c r="F630" s="11"/>
      <c r="G630" s="89">
        <f>IFERROR(VLOOKUP(F630,COA!$A$1:$K$26,2,FALSE),0)</f>
        <v>0</v>
      </c>
      <c r="H630" s="13"/>
      <c r="I630" s="13"/>
      <c r="J630" s="78"/>
      <c r="K630" s="78"/>
      <c r="L630" s="146">
        <f t="shared" si="30"/>
        <v>504000</v>
      </c>
      <c r="M630" s="73"/>
      <c r="N630" s="73"/>
      <c r="O630" s="7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 x14ac:dyDescent="0.35">
      <c r="A631" s="9">
        <f t="shared" si="29"/>
        <v>623</v>
      </c>
      <c r="B631" s="15"/>
      <c r="C631" s="11">
        <f t="shared" si="28"/>
        <v>1</v>
      </c>
      <c r="D631" s="11"/>
      <c r="E631" s="11"/>
      <c r="F631" s="11"/>
      <c r="G631" s="89">
        <f>IFERROR(VLOOKUP(F631,COA!$A$1:$K$26,2,FALSE),0)</f>
        <v>0</v>
      </c>
      <c r="H631" s="11"/>
      <c r="I631" s="11"/>
      <c r="J631" s="78"/>
      <c r="K631" s="78"/>
      <c r="L631" s="146">
        <f t="shared" si="30"/>
        <v>504000</v>
      </c>
      <c r="M631" s="73"/>
      <c r="N631" s="73"/>
      <c r="O631" s="7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 x14ac:dyDescent="0.35">
      <c r="A632" s="9">
        <f t="shared" si="29"/>
        <v>624</v>
      </c>
      <c r="B632" s="15"/>
      <c r="C632" s="11">
        <f t="shared" si="28"/>
        <v>1</v>
      </c>
      <c r="D632" s="11"/>
      <c r="E632" s="11"/>
      <c r="F632" s="11"/>
      <c r="G632" s="89">
        <f>IFERROR(VLOOKUP(F632,COA!$A$1:$K$26,2,FALSE),0)</f>
        <v>0</v>
      </c>
      <c r="H632" s="11"/>
      <c r="I632" s="11"/>
      <c r="J632" s="78"/>
      <c r="K632" s="78"/>
      <c r="L632" s="146">
        <f t="shared" si="30"/>
        <v>504000</v>
      </c>
      <c r="M632" s="73"/>
      <c r="N632" s="73"/>
      <c r="O632" s="7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 x14ac:dyDescent="0.35">
      <c r="A633" s="9">
        <f t="shared" si="29"/>
        <v>625</v>
      </c>
      <c r="B633" s="15"/>
      <c r="C633" s="11">
        <f t="shared" si="28"/>
        <v>1</v>
      </c>
      <c r="D633" s="11"/>
      <c r="E633" s="11"/>
      <c r="F633" s="11"/>
      <c r="G633" s="89">
        <f>IFERROR(VLOOKUP(F633,COA!$A$1:$K$26,2,FALSE),0)</f>
        <v>0</v>
      </c>
      <c r="H633" s="11"/>
      <c r="I633" s="11"/>
      <c r="J633" s="78"/>
      <c r="K633" s="78"/>
      <c r="L633" s="146">
        <f t="shared" si="30"/>
        <v>504000</v>
      </c>
      <c r="M633" s="73"/>
      <c r="N633" s="73"/>
      <c r="O633" s="7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 x14ac:dyDescent="0.35">
      <c r="A634" s="9">
        <f t="shared" si="29"/>
        <v>626</v>
      </c>
      <c r="B634" s="15"/>
      <c r="C634" s="11">
        <f t="shared" si="28"/>
        <v>1</v>
      </c>
      <c r="D634" s="11"/>
      <c r="E634" s="11"/>
      <c r="F634" s="11"/>
      <c r="G634" s="89">
        <f>IFERROR(VLOOKUP(F634,COA!$A$1:$K$26,2,FALSE),0)</f>
        <v>0</v>
      </c>
      <c r="H634" s="11"/>
      <c r="I634" s="11"/>
      <c r="J634" s="78"/>
      <c r="K634" s="78"/>
      <c r="L634" s="146">
        <f t="shared" si="30"/>
        <v>504000</v>
      </c>
      <c r="M634" s="73"/>
      <c r="N634" s="73"/>
      <c r="O634" s="7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 x14ac:dyDescent="0.35">
      <c r="A635" s="9">
        <f t="shared" si="29"/>
        <v>627</v>
      </c>
      <c r="B635" s="21"/>
      <c r="C635" s="11">
        <f t="shared" si="28"/>
        <v>1</v>
      </c>
      <c r="D635" s="11"/>
      <c r="E635" s="11"/>
      <c r="F635" s="11"/>
      <c r="G635" s="89">
        <f>IFERROR(VLOOKUP(F635,COA!$A$1:$K$26,2,FALSE),0)</f>
        <v>0</v>
      </c>
      <c r="H635" s="11"/>
      <c r="I635" s="11"/>
      <c r="J635" s="78"/>
      <c r="K635" s="78"/>
      <c r="L635" s="146">
        <f t="shared" si="30"/>
        <v>504000</v>
      </c>
      <c r="M635" s="73"/>
      <c r="N635" s="73"/>
      <c r="O635" s="7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 x14ac:dyDescent="0.35">
      <c r="A636" s="9">
        <f t="shared" si="29"/>
        <v>628</v>
      </c>
      <c r="B636" s="21"/>
      <c r="C636" s="11">
        <f t="shared" si="28"/>
        <v>1</v>
      </c>
      <c r="D636" s="11"/>
      <c r="E636" s="11"/>
      <c r="F636" s="11"/>
      <c r="G636" s="89">
        <f>IFERROR(VLOOKUP(F636,COA!$A$1:$K$26,2,FALSE),0)</f>
        <v>0</v>
      </c>
      <c r="H636" s="11"/>
      <c r="I636" s="11"/>
      <c r="J636" s="78"/>
      <c r="K636" s="78"/>
      <c r="L636" s="146">
        <f t="shared" si="30"/>
        <v>504000</v>
      </c>
      <c r="M636" s="73"/>
      <c r="N636" s="73"/>
      <c r="O636" s="7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 x14ac:dyDescent="0.35">
      <c r="A637" s="9">
        <f t="shared" si="29"/>
        <v>629</v>
      </c>
      <c r="B637" s="21"/>
      <c r="C637" s="11">
        <f t="shared" si="28"/>
        <v>1</v>
      </c>
      <c r="D637" s="11"/>
      <c r="E637" s="11"/>
      <c r="F637" s="11"/>
      <c r="G637" s="89">
        <f>IFERROR(VLOOKUP(F637,COA!$A$1:$K$26,2,FALSE),0)</f>
        <v>0</v>
      </c>
      <c r="H637" s="11"/>
      <c r="I637" s="11"/>
      <c r="J637" s="78"/>
      <c r="K637" s="78"/>
      <c r="L637" s="146">
        <f t="shared" si="30"/>
        <v>504000</v>
      </c>
      <c r="M637" s="73"/>
      <c r="N637" s="73"/>
      <c r="O637" s="7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 x14ac:dyDescent="0.35">
      <c r="A638" s="9">
        <f t="shared" si="29"/>
        <v>630</v>
      </c>
      <c r="B638" s="15"/>
      <c r="C638" s="11">
        <f t="shared" si="28"/>
        <v>1</v>
      </c>
      <c r="D638" s="11"/>
      <c r="E638" s="11"/>
      <c r="F638" s="11"/>
      <c r="G638" s="89">
        <f>IFERROR(VLOOKUP(F638,COA!$A$1:$K$26,2,FALSE),0)</f>
        <v>0</v>
      </c>
      <c r="H638" s="11"/>
      <c r="I638" s="11"/>
      <c r="J638" s="78"/>
      <c r="K638" s="78"/>
      <c r="L638" s="146">
        <f t="shared" si="30"/>
        <v>504000</v>
      </c>
      <c r="M638" s="73"/>
      <c r="N638" s="73"/>
      <c r="O638" s="7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 x14ac:dyDescent="0.35">
      <c r="A639" s="9">
        <f t="shared" si="29"/>
        <v>631</v>
      </c>
      <c r="B639" s="15"/>
      <c r="C639" s="11">
        <f t="shared" si="28"/>
        <v>1</v>
      </c>
      <c r="D639" s="11"/>
      <c r="E639" s="11"/>
      <c r="F639" s="11"/>
      <c r="G639" s="89">
        <f>IFERROR(VLOOKUP(F639,COA!$A$1:$K$26,2,FALSE),0)</f>
        <v>0</v>
      </c>
      <c r="H639" s="11"/>
      <c r="I639" s="11"/>
      <c r="J639" s="78"/>
      <c r="K639" s="78"/>
      <c r="L639" s="146">
        <f t="shared" si="30"/>
        <v>504000</v>
      </c>
      <c r="M639" s="73"/>
      <c r="N639" s="73"/>
      <c r="O639" s="7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 x14ac:dyDescent="0.35">
      <c r="A640" s="9">
        <f t="shared" si="29"/>
        <v>632</v>
      </c>
      <c r="B640" s="15"/>
      <c r="C640" s="11">
        <f t="shared" si="28"/>
        <v>1</v>
      </c>
      <c r="D640" s="11"/>
      <c r="E640" s="11"/>
      <c r="F640" s="11"/>
      <c r="G640" s="89">
        <f>IFERROR(VLOOKUP(F640,COA!$A$1:$K$26,2,FALSE),0)</f>
        <v>0</v>
      </c>
      <c r="H640" s="11"/>
      <c r="I640" s="11"/>
      <c r="J640" s="78"/>
      <c r="K640" s="78"/>
      <c r="L640" s="146">
        <f t="shared" si="30"/>
        <v>504000</v>
      </c>
      <c r="M640" s="73"/>
      <c r="N640" s="73"/>
      <c r="O640" s="7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 x14ac:dyDescent="0.35">
      <c r="A641" s="9">
        <f t="shared" si="29"/>
        <v>633</v>
      </c>
      <c r="B641" s="15"/>
      <c r="C641" s="11">
        <f t="shared" si="28"/>
        <v>1</v>
      </c>
      <c r="D641" s="11"/>
      <c r="E641" s="11"/>
      <c r="F641" s="11"/>
      <c r="G641" s="89">
        <f>IFERROR(VLOOKUP(F641,COA!$A$1:$K$26,2,FALSE),0)</f>
        <v>0</v>
      </c>
      <c r="H641" s="11"/>
      <c r="I641" s="11"/>
      <c r="J641" s="78"/>
      <c r="K641" s="78"/>
      <c r="L641" s="146">
        <f t="shared" si="30"/>
        <v>504000</v>
      </c>
      <c r="M641" s="73"/>
      <c r="N641" s="73"/>
      <c r="O641" s="7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 x14ac:dyDescent="0.35">
      <c r="A642" s="9">
        <f t="shared" si="29"/>
        <v>634</v>
      </c>
      <c r="B642" s="15"/>
      <c r="C642" s="11">
        <f t="shared" si="28"/>
        <v>1</v>
      </c>
      <c r="D642" s="11"/>
      <c r="E642" s="11"/>
      <c r="F642" s="11"/>
      <c r="G642" s="89">
        <f>IFERROR(VLOOKUP(F642,COA!$A$1:$K$26,2,FALSE),0)</f>
        <v>0</v>
      </c>
      <c r="H642" s="11"/>
      <c r="I642" s="11"/>
      <c r="J642" s="78"/>
      <c r="K642" s="78"/>
      <c r="L642" s="146">
        <f t="shared" si="30"/>
        <v>504000</v>
      </c>
      <c r="M642" s="73"/>
      <c r="N642" s="73"/>
      <c r="O642" s="7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 x14ac:dyDescent="0.35">
      <c r="A643" s="9">
        <f t="shared" si="29"/>
        <v>635</v>
      </c>
      <c r="B643" s="15"/>
      <c r="C643" s="11">
        <f t="shared" si="28"/>
        <v>1</v>
      </c>
      <c r="D643" s="11"/>
      <c r="E643" s="11"/>
      <c r="F643" s="11"/>
      <c r="G643" s="89">
        <f>IFERROR(VLOOKUP(F643,COA!$A$1:$K$26,2,FALSE),0)</f>
        <v>0</v>
      </c>
      <c r="H643" s="11"/>
      <c r="I643" s="11"/>
      <c r="J643" s="78"/>
      <c r="K643" s="78"/>
      <c r="L643" s="146">
        <f t="shared" si="30"/>
        <v>504000</v>
      </c>
      <c r="M643" s="73"/>
      <c r="N643" s="73"/>
      <c r="O643" s="7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 x14ac:dyDescent="0.35">
      <c r="A644" s="9">
        <f t="shared" si="29"/>
        <v>636</v>
      </c>
      <c r="B644" s="15"/>
      <c r="C644" s="11">
        <f t="shared" si="28"/>
        <v>1</v>
      </c>
      <c r="D644" s="11"/>
      <c r="E644" s="11"/>
      <c r="F644" s="11"/>
      <c r="G644" s="89">
        <f>IFERROR(VLOOKUP(F644,COA!$A$1:$K$26,2,FALSE),0)</f>
        <v>0</v>
      </c>
      <c r="H644" s="11"/>
      <c r="I644" s="11"/>
      <c r="J644" s="78"/>
      <c r="K644" s="78"/>
      <c r="L644" s="146">
        <f t="shared" si="30"/>
        <v>504000</v>
      </c>
      <c r="M644" s="73"/>
      <c r="N644" s="73"/>
      <c r="O644" s="7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 x14ac:dyDescent="0.35">
      <c r="A645" s="9">
        <f t="shared" si="29"/>
        <v>637</v>
      </c>
      <c r="B645" s="15"/>
      <c r="C645" s="11">
        <f t="shared" si="28"/>
        <v>1</v>
      </c>
      <c r="D645" s="11"/>
      <c r="E645" s="11"/>
      <c r="F645" s="11"/>
      <c r="G645" s="89">
        <f>IFERROR(VLOOKUP(F645,COA!$A$1:$K$26,2,FALSE),0)</f>
        <v>0</v>
      </c>
      <c r="H645" s="11"/>
      <c r="I645" s="11"/>
      <c r="J645" s="78"/>
      <c r="K645" s="78"/>
      <c r="L645" s="146">
        <f t="shared" si="30"/>
        <v>504000</v>
      </c>
      <c r="M645" s="73"/>
      <c r="N645" s="73"/>
      <c r="O645" s="7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 x14ac:dyDescent="0.35">
      <c r="A646" s="9">
        <f t="shared" si="29"/>
        <v>638</v>
      </c>
      <c r="B646" s="15"/>
      <c r="C646" s="11">
        <f t="shared" si="28"/>
        <v>1</v>
      </c>
      <c r="D646" s="11"/>
      <c r="E646" s="11"/>
      <c r="F646" s="11"/>
      <c r="G646" s="89">
        <f>IFERROR(VLOOKUP(F646,COA!$A$1:$K$26,2,FALSE),0)</f>
        <v>0</v>
      </c>
      <c r="H646" s="11"/>
      <c r="I646" s="11"/>
      <c r="J646" s="78"/>
      <c r="K646" s="78"/>
      <c r="L646" s="146">
        <f t="shared" si="30"/>
        <v>504000</v>
      </c>
      <c r="M646" s="73"/>
      <c r="N646" s="73"/>
      <c r="O646" s="7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 x14ac:dyDescent="0.35">
      <c r="A647" s="9">
        <f t="shared" si="29"/>
        <v>639</v>
      </c>
      <c r="B647" s="15"/>
      <c r="C647" s="11">
        <f t="shared" si="28"/>
        <v>1</v>
      </c>
      <c r="D647" s="11"/>
      <c r="E647" s="11"/>
      <c r="F647" s="11"/>
      <c r="G647" s="89">
        <f>IFERROR(VLOOKUP(F647,COA!$A$1:$K$26,2,FALSE),0)</f>
        <v>0</v>
      </c>
      <c r="H647" s="11"/>
      <c r="I647" s="11"/>
      <c r="J647" s="78"/>
      <c r="K647" s="78"/>
      <c r="L647" s="146">
        <f t="shared" si="30"/>
        <v>504000</v>
      </c>
      <c r="M647" s="73"/>
      <c r="N647" s="73"/>
      <c r="O647" s="7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 x14ac:dyDescent="0.35">
      <c r="A648" s="9">
        <f t="shared" si="29"/>
        <v>640</v>
      </c>
      <c r="B648" s="15"/>
      <c r="C648" s="11">
        <f t="shared" ref="C648:C711" si="31">MONTH(B648)</f>
        <v>1</v>
      </c>
      <c r="D648" s="11"/>
      <c r="E648" s="11"/>
      <c r="F648" s="11"/>
      <c r="G648" s="89">
        <f>IFERROR(VLOOKUP(F648,COA!$A$1:$K$26,2,FALSE),0)</f>
        <v>0</v>
      </c>
      <c r="H648" s="11"/>
      <c r="I648" s="11"/>
      <c r="J648" s="78"/>
      <c r="K648" s="78"/>
      <c r="L648" s="146">
        <f t="shared" si="30"/>
        <v>504000</v>
      </c>
      <c r="M648" s="73"/>
      <c r="N648" s="73"/>
      <c r="O648" s="7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 x14ac:dyDescent="0.35">
      <c r="A649" s="9">
        <f t="shared" si="29"/>
        <v>641</v>
      </c>
      <c r="B649" s="15"/>
      <c r="C649" s="11">
        <f t="shared" si="31"/>
        <v>1</v>
      </c>
      <c r="D649" s="11"/>
      <c r="E649" s="11"/>
      <c r="F649" s="11"/>
      <c r="G649" s="89">
        <f>IFERROR(VLOOKUP(F649,COA!$A$1:$K$26,2,FALSE),0)</f>
        <v>0</v>
      </c>
      <c r="H649" s="11"/>
      <c r="I649" s="11"/>
      <c r="J649" s="78"/>
      <c r="K649" s="78"/>
      <c r="L649" s="146">
        <f t="shared" si="30"/>
        <v>504000</v>
      </c>
      <c r="M649" s="73"/>
      <c r="N649" s="73"/>
      <c r="O649" s="7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 x14ac:dyDescent="0.35">
      <c r="A650" s="9">
        <f t="shared" si="29"/>
        <v>642</v>
      </c>
      <c r="B650" s="15"/>
      <c r="C650" s="11">
        <f t="shared" si="31"/>
        <v>1</v>
      </c>
      <c r="D650" s="11"/>
      <c r="E650" s="11"/>
      <c r="F650" s="11"/>
      <c r="G650" s="89">
        <f>IFERROR(VLOOKUP(F650,COA!$A$1:$K$26,2,FALSE),0)</f>
        <v>0</v>
      </c>
      <c r="H650" s="11"/>
      <c r="I650" s="11"/>
      <c r="J650" s="78"/>
      <c r="K650" s="78"/>
      <c r="L650" s="146">
        <f t="shared" si="30"/>
        <v>504000</v>
      </c>
      <c r="M650" s="73"/>
      <c r="N650" s="73"/>
      <c r="O650" s="7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 x14ac:dyDescent="0.35">
      <c r="A651" s="9">
        <f t="shared" ref="A651:A714" si="32">A650+1</f>
        <v>643</v>
      </c>
      <c r="B651" s="15"/>
      <c r="C651" s="11">
        <f t="shared" si="31"/>
        <v>1</v>
      </c>
      <c r="D651" s="11"/>
      <c r="E651" s="11"/>
      <c r="F651" s="11"/>
      <c r="G651" s="89">
        <f>IFERROR(VLOOKUP(F651,COA!$A$1:$K$26,2,FALSE),0)</f>
        <v>0</v>
      </c>
      <c r="H651" s="11"/>
      <c r="I651" s="4"/>
      <c r="J651" s="78"/>
      <c r="K651" s="78"/>
      <c r="L651" s="146">
        <f t="shared" ref="L651:L714" si="33">L650+J651-K651</f>
        <v>504000</v>
      </c>
      <c r="M651" s="73"/>
      <c r="N651" s="73"/>
      <c r="O651" s="7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 x14ac:dyDescent="0.35">
      <c r="A652" s="9">
        <f t="shared" si="32"/>
        <v>644</v>
      </c>
      <c r="B652" s="15"/>
      <c r="C652" s="11">
        <f t="shared" si="31"/>
        <v>1</v>
      </c>
      <c r="D652" s="11"/>
      <c r="E652" s="11"/>
      <c r="F652" s="11"/>
      <c r="G652" s="89">
        <f>IFERROR(VLOOKUP(F652,COA!$A$1:$K$26,2,FALSE),0)</f>
        <v>0</v>
      </c>
      <c r="H652" s="13"/>
      <c r="I652" s="13"/>
      <c r="J652" s="78"/>
      <c r="K652" s="78"/>
      <c r="L652" s="146">
        <f t="shared" si="33"/>
        <v>504000</v>
      </c>
      <c r="M652" s="73"/>
      <c r="N652" s="73"/>
      <c r="O652" s="7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 x14ac:dyDescent="0.35">
      <c r="A653" s="9">
        <f t="shared" si="32"/>
        <v>645</v>
      </c>
      <c r="B653" s="15"/>
      <c r="C653" s="11">
        <f t="shared" si="31"/>
        <v>1</v>
      </c>
      <c r="D653" s="11"/>
      <c r="E653" s="11"/>
      <c r="F653" s="11"/>
      <c r="G653" s="89">
        <f>IFERROR(VLOOKUP(F653,COA!$A$1:$K$26,2,FALSE),0)</f>
        <v>0</v>
      </c>
      <c r="H653" s="11"/>
      <c r="I653" s="11"/>
      <c r="J653" s="78"/>
      <c r="K653" s="78"/>
      <c r="L653" s="146">
        <f t="shared" si="33"/>
        <v>504000</v>
      </c>
      <c r="M653" s="73"/>
      <c r="N653" s="73"/>
      <c r="O653" s="7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 x14ac:dyDescent="0.35">
      <c r="A654" s="9">
        <f t="shared" si="32"/>
        <v>646</v>
      </c>
      <c r="B654" s="15"/>
      <c r="C654" s="11">
        <f t="shared" si="31"/>
        <v>1</v>
      </c>
      <c r="D654" s="11"/>
      <c r="E654" s="11"/>
      <c r="F654" s="11"/>
      <c r="G654" s="89">
        <f>IFERROR(VLOOKUP(F654,COA!$A$1:$K$26,2,FALSE),0)</f>
        <v>0</v>
      </c>
      <c r="H654" s="11"/>
      <c r="I654" s="11"/>
      <c r="J654" s="78"/>
      <c r="K654" s="78"/>
      <c r="L654" s="146">
        <f t="shared" si="33"/>
        <v>504000</v>
      </c>
      <c r="M654" s="73"/>
      <c r="N654" s="73"/>
      <c r="O654" s="7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 x14ac:dyDescent="0.35">
      <c r="A655" s="9">
        <f t="shared" si="32"/>
        <v>647</v>
      </c>
      <c r="B655" s="15"/>
      <c r="C655" s="11">
        <f t="shared" si="31"/>
        <v>1</v>
      </c>
      <c r="D655" s="11"/>
      <c r="E655" s="11"/>
      <c r="F655" s="11"/>
      <c r="G655" s="89">
        <f>IFERROR(VLOOKUP(F655,COA!$A$1:$K$26,2,FALSE),0)</f>
        <v>0</v>
      </c>
      <c r="H655" s="11"/>
      <c r="I655" s="11"/>
      <c r="J655" s="78"/>
      <c r="K655" s="78"/>
      <c r="L655" s="146">
        <f t="shared" si="33"/>
        <v>504000</v>
      </c>
      <c r="M655" s="73"/>
      <c r="N655" s="73"/>
      <c r="O655" s="7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 x14ac:dyDescent="0.35">
      <c r="A656" s="9">
        <f t="shared" si="32"/>
        <v>648</v>
      </c>
      <c r="B656" s="15"/>
      <c r="C656" s="11">
        <f t="shared" si="31"/>
        <v>1</v>
      </c>
      <c r="D656" s="11"/>
      <c r="E656" s="11"/>
      <c r="F656" s="11"/>
      <c r="G656" s="89">
        <f>IFERROR(VLOOKUP(F656,COA!$A$1:$K$26,2,FALSE),0)</f>
        <v>0</v>
      </c>
      <c r="H656" s="11"/>
      <c r="I656" s="11"/>
      <c r="J656" s="78"/>
      <c r="K656" s="78"/>
      <c r="L656" s="146">
        <f t="shared" si="33"/>
        <v>504000</v>
      </c>
      <c r="M656" s="73"/>
      <c r="N656" s="73"/>
      <c r="O656" s="7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 x14ac:dyDescent="0.35">
      <c r="A657" s="9">
        <f t="shared" si="32"/>
        <v>649</v>
      </c>
      <c r="B657" s="15"/>
      <c r="C657" s="11">
        <f t="shared" si="31"/>
        <v>1</v>
      </c>
      <c r="D657" s="11"/>
      <c r="E657" s="11"/>
      <c r="F657" s="11"/>
      <c r="G657" s="89">
        <f>IFERROR(VLOOKUP(F657,COA!$A$1:$K$26,2,FALSE),0)</f>
        <v>0</v>
      </c>
      <c r="H657" s="11"/>
      <c r="I657" s="11"/>
      <c r="J657" s="78"/>
      <c r="K657" s="78"/>
      <c r="L657" s="146">
        <f t="shared" si="33"/>
        <v>504000</v>
      </c>
      <c r="M657" s="73"/>
      <c r="N657" s="73"/>
      <c r="O657" s="7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 x14ac:dyDescent="0.35">
      <c r="A658" s="9">
        <f t="shared" si="32"/>
        <v>650</v>
      </c>
      <c r="B658" s="15"/>
      <c r="C658" s="11">
        <f t="shared" si="31"/>
        <v>1</v>
      </c>
      <c r="D658" s="11"/>
      <c r="E658" s="11"/>
      <c r="F658" s="11"/>
      <c r="G658" s="89">
        <f>IFERROR(VLOOKUP(F658,COA!$A$1:$K$26,2,FALSE),0)</f>
        <v>0</v>
      </c>
      <c r="H658" s="11"/>
      <c r="I658" s="11"/>
      <c r="J658" s="78"/>
      <c r="K658" s="78"/>
      <c r="L658" s="146">
        <f t="shared" si="33"/>
        <v>504000</v>
      </c>
      <c r="M658" s="73"/>
      <c r="N658" s="73"/>
      <c r="O658" s="7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 x14ac:dyDescent="0.35">
      <c r="A659" s="9">
        <f t="shared" si="32"/>
        <v>651</v>
      </c>
      <c r="B659" s="15"/>
      <c r="C659" s="11">
        <f t="shared" si="31"/>
        <v>1</v>
      </c>
      <c r="D659" s="11"/>
      <c r="E659" s="11"/>
      <c r="F659" s="11"/>
      <c r="G659" s="89">
        <f>IFERROR(VLOOKUP(F659,COA!$A$1:$K$26,2,FALSE),0)</f>
        <v>0</v>
      </c>
      <c r="H659" s="11"/>
      <c r="I659" s="11"/>
      <c r="J659" s="78"/>
      <c r="K659" s="78"/>
      <c r="L659" s="146">
        <f t="shared" si="33"/>
        <v>504000</v>
      </c>
      <c r="M659" s="73"/>
      <c r="N659" s="73"/>
      <c r="O659" s="7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 x14ac:dyDescent="0.35">
      <c r="A660" s="9">
        <f t="shared" si="32"/>
        <v>652</v>
      </c>
      <c r="B660" s="15"/>
      <c r="C660" s="11">
        <f t="shared" si="31"/>
        <v>1</v>
      </c>
      <c r="D660" s="11"/>
      <c r="E660" s="11"/>
      <c r="F660" s="11"/>
      <c r="G660" s="89">
        <f>IFERROR(VLOOKUP(F660,COA!$A$1:$K$26,2,FALSE),0)</f>
        <v>0</v>
      </c>
      <c r="H660" s="11"/>
      <c r="I660" s="11"/>
      <c r="J660" s="78"/>
      <c r="K660" s="78"/>
      <c r="L660" s="146">
        <f t="shared" si="33"/>
        <v>504000</v>
      </c>
      <c r="M660" s="73"/>
      <c r="N660" s="73"/>
      <c r="O660" s="7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 x14ac:dyDescent="0.35">
      <c r="A661" s="9">
        <f t="shared" si="32"/>
        <v>653</v>
      </c>
      <c r="B661" s="15"/>
      <c r="C661" s="11">
        <f t="shared" si="31"/>
        <v>1</v>
      </c>
      <c r="D661" s="11"/>
      <c r="E661" s="11"/>
      <c r="F661" s="11"/>
      <c r="G661" s="89">
        <f>IFERROR(VLOOKUP(F661,COA!$A$1:$K$26,2,FALSE),0)</f>
        <v>0</v>
      </c>
      <c r="H661" s="11"/>
      <c r="I661" s="11"/>
      <c r="J661" s="78"/>
      <c r="K661" s="78"/>
      <c r="L661" s="146">
        <f t="shared" si="33"/>
        <v>504000</v>
      </c>
      <c r="M661" s="73"/>
      <c r="N661" s="73"/>
      <c r="O661" s="7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 x14ac:dyDescent="0.35">
      <c r="A662" s="9">
        <f t="shared" si="32"/>
        <v>654</v>
      </c>
      <c r="B662" s="15"/>
      <c r="C662" s="11">
        <f t="shared" si="31"/>
        <v>1</v>
      </c>
      <c r="D662" s="11"/>
      <c r="E662" s="11"/>
      <c r="F662" s="11"/>
      <c r="G662" s="89">
        <f>IFERROR(VLOOKUP(F662,COA!$A$1:$K$26,2,FALSE),0)</f>
        <v>0</v>
      </c>
      <c r="H662" s="11"/>
      <c r="I662" s="11"/>
      <c r="J662" s="78"/>
      <c r="K662" s="78"/>
      <c r="L662" s="146">
        <f t="shared" si="33"/>
        <v>504000</v>
      </c>
      <c r="M662" s="73"/>
      <c r="N662" s="73"/>
      <c r="O662" s="7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 x14ac:dyDescent="0.35">
      <c r="A663" s="9">
        <f t="shared" si="32"/>
        <v>655</v>
      </c>
      <c r="B663" s="15"/>
      <c r="C663" s="11">
        <f t="shared" si="31"/>
        <v>1</v>
      </c>
      <c r="D663" s="11"/>
      <c r="E663" s="11"/>
      <c r="F663" s="11"/>
      <c r="G663" s="89">
        <f>IFERROR(VLOOKUP(F663,COA!$A$1:$K$26,2,FALSE),0)</f>
        <v>0</v>
      </c>
      <c r="H663" s="11"/>
      <c r="I663" s="11"/>
      <c r="J663" s="78"/>
      <c r="K663" s="78"/>
      <c r="L663" s="146">
        <f t="shared" si="33"/>
        <v>504000</v>
      </c>
      <c r="M663" s="73"/>
      <c r="N663" s="73"/>
      <c r="O663" s="7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 x14ac:dyDescent="0.35">
      <c r="A664" s="9">
        <f t="shared" si="32"/>
        <v>656</v>
      </c>
      <c r="B664" s="15"/>
      <c r="C664" s="11">
        <f t="shared" si="31"/>
        <v>1</v>
      </c>
      <c r="D664" s="11"/>
      <c r="E664" s="11"/>
      <c r="F664" s="11"/>
      <c r="G664" s="89">
        <f>IFERROR(VLOOKUP(F664,COA!$A$1:$K$26,2,FALSE),0)</f>
        <v>0</v>
      </c>
      <c r="H664" s="11"/>
      <c r="I664" s="11"/>
      <c r="J664" s="78"/>
      <c r="K664" s="78"/>
      <c r="L664" s="146">
        <f t="shared" si="33"/>
        <v>504000</v>
      </c>
      <c r="M664" s="73"/>
      <c r="N664" s="73"/>
      <c r="O664" s="7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 x14ac:dyDescent="0.35">
      <c r="A665" s="9">
        <f t="shared" si="32"/>
        <v>657</v>
      </c>
      <c r="B665" s="15"/>
      <c r="C665" s="11">
        <f t="shared" si="31"/>
        <v>1</v>
      </c>
      <c r="D665" s="11"/>
      <c r="E665" s="11"/>
      <c r="F665" s="11"/>
      <c r="G665" s="89">
        <f>IFERROR(VLOOKUP(F665,COA!$A$1:$K$26,2,FALSE),0)</f>
        <v>0</v>
      </c>
      <c r="H665" s="13"/>
      <c r="I665" s="13"/>
      <c r="J665" s="78"/>
      <c r="K665" s="78"/>
      <c r="L665" s="146">
        <f t="shared" si="33"/>
        <v>504000</v>
      </c>
      <c r="M665" s="73"/>
      <c r="N665" s="73"/>
      <c r="O665" s="7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 x14ac:dyDescent="0.35">
      <c r="A666" s="9">
        <f t="shared" si="32"/>
        <v>658</v>
      </c>
      <c r="B666" s="15"/>
      <c r="C666" s="11">
        <f t="shared" si="31"/>
        <v>1</v>
      </c>
      <c r="D666" s="11"/>
      <c r="E666" s="11"/>
      <c r="F666" s="11"/>
      <c r="G666" s="89">
        <f>IFERROR(VLOOKUP(F666,COA!$A$1:$K$26,2,FALSE),0)</f>
        <v>0</v>
      </c>
      <c r="H666" s="11"/>
      <c r="I666" s="11"/>
      <c r="J666" s="78"/>
      <c r="K666" s="78"/>
      <c r="L666" s="146">
        <f t="shared" si="33"/>
        <v>504000</v>
      </c>
      <c r="M666" s="73"/>
      <c r="N666" s="73"/>
      <c r="O666" s="7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 x14ac:dyDescent="0.35">
      <c r="A667" s="9">
        <f t="shared" si="32"/>
        <v>659</v>
      </c>
      <c r="B667" s="15"/>
      <c r="C667" s="11">
        <f t="shared" si="31"/>
        <v>1</v>
      </c>
      <c r="D667" s="11"/>
      <c r="E667" s="11"/>
      <c r="F667" s="11"/>
      <c r="G667" s="89">
        <f>IFERROR(VLOOKUP(F667,COA!$A$1:$K$26,2,FALSE),0)</f>
        <v>0</v>
      </c>
      <c r="H667" s="11"/>
      <c r="I667" s="11"/>
      <c r="J667" s="78"/>
      <c r="K667" s="78"/>
      <c r="L667" s="146">
        <f t="shared" si="33"/>
        <v>504000</v>
      </c>
      <c r="M667" s="73"/>
      <c r="N667" s="73"/>
      <c r="O667" s="7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 x14ac:dyDescent="0.35">
      <c r="A668" s="9">
        <f t="shared" si="32"/>
        <v>660</v>
      </c>
      <c r="B668" s="15"/>
      <c r="C668" s="11">
        <f t="shared" si="31"/>
        <v>1</v>
      </c>
      <c r="D668" s="11"/>
      <c r="E668" s="11"/>
      <c r="F668" s="11"/>
      <c r="G668" s="89">
        <f>IFERROR(VLOOKUP(F668,COA!$A$1:$K$26,2,FALSE),0)</f>
        <v>0</v>
      </c>
      <c r="H668" s="11"/>
      <c r="I668" s="11"/>
      <c r="J668" s="78"/>
      <c r="K668" s="78"/>
      <c r="L668" s="146">
        <f t="shared" si="33"/>
        <v>504000</v>
      </c>
      <c r="M668" s="73"/>
      <c r="N668" s="73"/>
      <c r="O668" s="7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 x14ac:dyDescent="0.35">
      <c r="A669" s="9">
        <f t="shared" si="32"/>
        <v>661</v>
      </c>
      <c r="B669" s="15"/>
      <c r="C669" s="11">
        <f t="shared" si="31"/>
        <v>1</v>
      </c>
      <c r="D669" s="11"/>
      <c r="E669" s="11"/>
      <c r="F669" s="11"/>
      <c r="G669" s="89">
        <f>IFERROR(VLOOKUP(F669,COA!$A$1:$K$26,2,FALSE),0)</f>
        <v>0</v>
      </c>
      <c r="H669" s="11"/>
      <c r="I669" s="11"/>
      <c r="J669" s="78"/>
      <c r="K669" s="78"/>
      <c r="L669" s="146">
        <f t="shared" si="33"/>
        <v>504000</v>
      </c>
      <c r="M669" s="73"/>
      <c r="N669" s="73"/>
      <c r="O669" s="7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 x14ac:dyDescent="0.35">
      <c r="A670" s="9">
        <f t="shared" si="32"/>
        <v>662</v>
      </c>
      <c r="B670" s="15"/>
      <c r="C670" s="11">
        <f t="shared" si="31"/>
        <v>1</v>
      </c>
      <c r="D670" s="11"/>
      <c r="E670" s="11"/>
      <c r="F670" s="11"/>
      <c r="G670" s="89">
        <f>IFERROR(VLOOKUP(F670,COA!$A$1:$K$26,2,FALSE),0)</f>
        <v>0</v>
      </c>
      <c r="H670" s="11"/>
      <c r="I670" s="11"/>
      <c r="J670" s="78"/>
      <c r="K670" s="78"/>
      <c r="L670" s="146">
        <f t="shared" si="33"/>
        <v>504000</v>
      </c>
      <c r="M670" s="73"/>
      <c r="N670" s="73"/>
      <c r="O670" s="7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 x14ac:dyDescent="0.35">
      <c r="A671" s="9">
        <f t="shared" si="32"/>
        <v>663</v>
      </c>
      <c r="B671" s="15"/>
      <c r="C671" s="11">
        <f t="shared" si="31"/>
        <v>1</v>
      </c>
      <c r="D671" s="11"/>
      <c r="E671" s="11"/>
      <c r="F671" s="11"/>
      <c r="G671" s="89">
        <f>IFERROR(VLOOKUP(F671,COA!$A$1:$K$26,2,FALSE),0)</f>
        <v>0</v>
      </c>
      <c r="H671" s="13"/>
      <c r="I671" s="13"/>
      <c r="J671" s="78"/>
      <c r="K671" s="78"/>
      <c r="L671" s="146">
        <f t="shared" si="33"/>
        <v>504000</v>
      </c>
      <c r="M671" s="73"/>
      <c r="N671" s="73"/>
      <c r="O671" s="7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 x14ac:dyDescent="0.35">
      <c r="A672" s="9">
        <f t="shared" si="32"/>
        <v>664</v>
      </c>
      <c r="B672" s="15"/>
      <c r="C672" s="11">
        <f t="shared" si="31"/>
        <v>1</v>
      </c>
      <c r="D672" s="11"/>
      <c r="E672" s="11"/>
      <c r="F672" s="11"/>
      <c r="G672" s="89">
        <f>IFERROR(VLOOKUP(F672,COA!$A$1:$K$26,2,FALSE),0)</f>
        <v>0</v>
      </c>
      <c r="H672" s="11"/>
      <c r="I672" s="11"/>
      <c r="J672" s="78"/>
      <c r="K672" s="78"/>
      <c r="L672" s="146">
        <f t="shared" si="33"/>
        <v>504000</v>
      </c>
      <c r="M672" s="73"/>
      <c r="N672" s="73"/>
      <c r="O672" s="7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 x14ac:dyDescent="0.35">
      <c r="A673" s="9">
        <f t="shared" si="32"/>
        <v>665</v>
      </c>
      <c r="B673" s="15"/>
      <c r="C673" s="11">
        <f t="shared" si="31"/>
        <v>1</v>
      </c>
      <c r="D673" s="11"/>
      <c r="E673" s="11"/>
      <c r="F673" s="11"/>
      <c r="G673" s="89">
        <f>IFERROR(VLOOKUP(F673,COA!$A$1:$K$26,2,FALSE),0)</f>
        <v>0</v>
      </c>
      <c r="H673" s="11"/>
      <c r="I673" s="11"/>
      <c r="J673" s="78"/>
      <c r="K673" s="78"/>
      <c r="L673" s="146">
        <f t="shared" si="33"/>
        <v>504000</v>
      </c>
      <c r="M673" s="73"/>
      <c r="N673" s="73"/>
      <c r="O673" s="7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 x14ac:dyDescent="0.35">
      <c r="A674" s="9">
        <f t="shared" si="32"/>
        <v>666</v>
      </c>
      <c r="B674" s="15"/>
      <c r="C674" s="11">
        <f t="shared" si="31"/>
        <v>1</v>
      </c>
      <c r="D674" s="11"/>
      <c r="E674" s="11"/>
      <c r="F674" s="11"/>
      <c r="G674" s="89">
        <f>IFERROR(VLOOKUP(F674,COA!$A$1:$K$26,2,FALSE),0)</f>
        <v>0</v>
      </c>
      <c r="H674" s="11"/>
      <c r="I674" s="11"/>
      <c r="J674" s="78"/>
      <c r="K674" s="78"/>
      <c r="L674" s="146">
        <f t="shared" si="33"/>
        <v>504000</v>
      </c>
      <c r="M674" s="73"/>
      <c r="N674" s="73"/>
      <c r="O674" s="7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 x14ac:dyDescent="0.35">
      <c r="A675" s="9">
        <f t="shared" si="32"/>
        <v>667</v>
      </c>
      <c r="B675" s="15"/>
      <c r="C675" s="11">
        <f t="shared" si="31"/>
        <v>1</v>
      </c>
      <c r="D675" s="11"/>
      <c r="E675" s="11"/>
      <c r="F675" s="11"/>
      <c r="G675" s="89">
        <f>IFERROR(VLOOKUP(F675,COA!$A$1:$K$26,2,FALSE),0)</f>
        <v>0</v>
      </c>
      <c r="H675" s="11"/>
      <c r="I675" s="11"/>
      <c r="J675" s="78"/>
      <c r="K675" s="78"/>
      <c r="L675" s="146">
        <f t="shared" si="33"/>
        <v>504000</v>
      </c>
      <c r="M675" s="73"/>
      <c r="N675" s="73"/>
      <c r="O675" s="7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 x14ac:dyDescent="0.35">
      <c r="A676" s="9">
        <f t="shared" si="32"/>
        <v>668</v>
      </c>
      <c r="B676" s="15"/>
      <c r="C676" s="11">
        <f t="shared" si="31"/>
        <v>1</v>
      </c>
      <c r="D676" s="11"/>
      <c r="E676" s="11"/>
      <c r="F676" s="11"/>
      <c r="G676" s="89">
        <f>IFERROR(VLOOKUP(F676,COA!$A$1:$K$26,2,FALSE),0)</f>
        <v>0</v>
      </c>
      <c r="H676" s="11"/>
      <c r="I676" s="11"/>
      <c r="J676" s="78"/>
      <c r="K676" s="78"/>
      <c r="L676" s="146">
        <f t="shared" si="33"/>
        <v>504000</v>
      </c>
      <c r="M676" s="73"/>
      <c r="N676" s="73"/>
      <c r="O676" s="7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 x14ac:dyDescent="0.35">
      <c r="A677" s="9">
        <f t="shared" si="32"/>
        <v>669</v>
      </c>
      <c r="B677" s="15"/>
      <c r="C677" s="11">
        <f t="shared" si="31"/>
        <v>1</v>
      </c>
      <c r="D677" s="11"/>
      <c r="E677" s="11"/>
      <c r="F677" s="11"/>
      <c r="G677" s="89">
        <f>IFERROR(VLOOKUP(F677,COA!$A$1:$K$26,2,FALSE),0)</f>
        <v>0</v>
      </c>
      <c r="H677" s="13"/>
      <c r="I677" s="13"/>
      <c r="J677" s="78"/>
      <c r="K677" s="78"/>
      <c r="L677" s="146">
        <f t="shared" si="33"/>
        <v>504000</v>
      </c>
      <c r="M677" s="73"/>
      <c r="N677" s="73"/>
      <c r="O677" s="7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 x14ac:dyDescent="0.35">
      <c r="A678" s="9">
        <f t="shared" si="32"/>
        <v>670</v>
      </c>
      <c r="B678" s="15"/>
      <c r="C678" s="11">
        <f t="shared" si="31"/>
        <v>1</v>
      </c>
      <c r="D678" s="11"/>
      <c r="E678" s="11"/>
      <c r="F678" s="11"/>
      <c r="G678" s="89">
        <f>IFERROR(VLOOKUP(F678,COA!$A$1:$K$26,2,FALSE),0)</f>
        <v>0</v>
      </c>
      <c r="H678" s="11"/>
      <c r="I678" s="11"/>
      <c r="J678" s="78"/>
      <c r="K678" s="78"/>
      <c r="L678" s="146">
        <f t="shared" si="33"/>
        <v>504000</v>
      </c>
      <c r="M678" s="73"/>
      <c r="N678" s="73"/>
      <c r="O678" s="7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 x14ac:dyDescent="0.35">
      <c r="A679" s="9">
        <f t="shared" si="32"/>
        <v>671</v>
      </c>
      <c r="B679" s="15"/>
      <c r="C679" s="11">
        <f t="shared" si="31"/>
        <v>1</v>
      </c>
      <c r="D679" s="11"/>
      <c r="E679" s="11"/>
      <c r="F679" s="11"/>
      <c r="G679" s="89">
        <f>IFERROR(VLOOKUP(F679,COA!$A$1:$K$26,2,FALSE),0)</f>
        <v>0</v>
      </c>
      <c r="H679" s="11"/>
      <c r="I679" s="11"/>
      <c r="J679" s="78"/>
      <c r="K679" s="78"/>
      <c r="L679" s="146">
        <f t="shared" si="33"/>
        <v>504000</v>
      </c>
      <c r="M679" s="73"/>
      <c r="N679" s="73"/>
      <c r="O679" s="7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 x14ac:dyDescent="0.35">
      <c r="A680" s="9">
        <f t="shared" si="32"/>
        <v>672</v>
      </c>
      <c r="B680" s="15"/>
      <c r="C680" s="11">
        <f t="shared" si="31"/>
        <v>1</v>
      </c>
      <c r="D680" s="11"/>
      <c r="E680" s="11"/>
      <c r="F680" s="11"/>
      <c r="G680" s="89">
        <f>IFERROR(VLOOKUP(F680,COA!$A$1:$K$26,2,FALSE),0)</f>
        <v>0</v>
      </c>
      <c r="H680" s="11"/>
      <c r="I680" s="11"/>
      <c r="J680" s="78"/>
      <c r="K680" s="78"/>
      <c r="L680" s="146">
        <f t="shared" si="33"/>
        <v>504000</v>
      </c>
      <c r="M680" s="73"/>
      <c r="N680" s="73"/>
      <c r="O680" s="7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 x14ac:dyDescent="0.35">
      <c r="A681" s="9">
        <f t="shared" si="32"/>
        <v>673</v>
      </c>
      <c r="B681" s="15"/>
      <c r="C681" s="11">
        <f t="shared" si="31"/>
        <v>1</v>
      </c>
      <c r="D681" s="11"/>
      <c r="E681" s="11"/>
      <c r="F681" s="11"/>
      <c r="G681" s="89">
        <f>IFERROR(VLOOKUP(F681,COA!$A$1:$K$26,2,FALSE),0)</f>
        <v>0</v>
      </c>
      <c r="H681" s="11"/>
      <c r="I681" s="11"/>
      <c r="J681" s="78"/>
      <c r="K681" s="78"/>
      <c r="L681" s="146">
        <f t="shared" si="33"/>
        <v>504000</v>
      </c>
      <c r="M681" s="73"/>
      <c r="N681" s="73"/>
      <c r="O681" s="7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 x14ac:dyDescent="0.35">
      <c r="A682" s="9">
        <f t="shared" si="32"/>
        <v>674</v>
      </c>
      <c r="B682" s="15"/>
      <c r="C682" s="11">
        <f t="shared" si="31"/>
        <v>1</v>
      </c>
      <c r="D682" s="11"/>
      <c r="E682" s="11"/>
      <c r="F682" s="11"/>
      <c r="G682" s="89">
        <f>IFERROR(VLOOKUP(F682,COA!$A$1:$K$26,2,FALSE),0)</f>
        <v>0</v>
      </c>
      <c r="H682" s="11"/>
      <c r="I682" s="11"/>
      <c r="J682" s="78"/>
      <c r="K682" s="78"/>
      <c r="L682" s="146">
        <f t="shared" si="33"/>
        <v>504000</v>
      </c>
      <c r="M682" s="73"/>
      <c r="N682" s="73"/>
      <c r="O682" s="7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 x14ac:dyDescent="0.35">
      <c r="A683" s="9">
        <f t="shared" si="32"/>
        <v>675</v>
      </c>
      <c r="B683" s="15"/>
      <c r="C683" s="11">
        <f t="shared" si="31"/>
        <v>1</v>
      </c>
      <c r="D683" s="11"/>
      <c r="E683" s="11"/>
      <c r="F683" s="11"/>
      <c r="G683" s="89">
        <f>IFERROR(VLOOKUP(F683,COA!$A$1:$K$26,2,FALSE),0)</f>
        <v>0</v>
      </c>
      <c r="H683" s="11"/>
      <c r="I683" s="11"/>
      <c r="J683" s="78"/>
      <c r="K683" s="78"/>
      <c r="L683" s="146">
        <f t="shared" si="33"/>
        <v>504000</v>
      </c>
      <c r="M683" s="73"/>
      <c r="N683" s="73"/>
      <c r="O683" s="7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 x14ac:dyDescent="0.35">
      <c r="A684" s="9">
        <f t="shared" si="32"/>
        <v>676</v>
      </c>
      <c r="B684" s="15"/>
      <c r="C684" s="11">
        <f t="shared" si="31"/>
        <v>1</v>
      </c>
      <c r="D684" s="11"/>
      <c r="E684" s="11"/>
      <c r="F684" s="11"/>
      <c r="G684" s="89">
        <f>IFERROR(VLOOKUP(F684,COA!$A$1:$K$26,2,FALSE),0)</f>
        <v>0</v>
      </c>
      <c r="H684" s="11"/>
      <c r="I684" s="11"/>
      <c r="J684" s="78"/>
      <c r="K684" s="78"/>
      <c r="L684" s="146">
        <f t="shared" si="33"/>
        <v>504000</v>
      </c>
      <c r="M684" s="73"/>
      <c r="N684" s="73"/>
      <c r="O684" s="7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 x14ac:dyDescent="0.35">
      <c r="A685" s="9">
        <f t="shared" si="32"/>
        <v>677</v>
      </c>
      <c r="B685" s="15"/>
      <c r="C685" s="11">
        <f t="shared" si="31"/>
        <v>1</v>
      </c>
      <c r="D685" s="11"/>
      <c r="E685" s="11"/>
      <c r="F685" s="11"/>
      <c r="G685" s="89">
        <f>IFERROR(VLOOKUP(F685,COA!$A$1:$K$26,2,FALSE),0)</f>
        <v>0</v>
      </c>
      <c r="H685" s="11"/>
      <c r="I685" s="11"/>
      <c r="J685" s="78"/>
      <c r="K685" s="78"/>
      <c r="L685" s="146">
        <f t="shared" si="33"/>
        <v>504000</v>
      </c>
      <c r="M685" s="73"/>
      <c r="N685" s="73"/>
      <c r="O685" s="7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 x14ac:dyDescent="0.35">
      <c r="A686" s="9">
        <f t="shared" si="32"/>
        <v>678</v>
      </c>
      <c r="B686" s="15"/>
      <c r="C686" s="11">
        <f t="shared" si="31"/>
        <v>1</v>
      </c>
      <c r="D686" s="11"/>
      <c r="E686" s="11"/>
      <c r="F686" s="11"/>
      <c r="G686" s="89">
        <f>IFERROR(VLOOKUP(F686,COA!$A$1:$K$26,2,FALSE),0)</f>
        <v>0</v>
      </c>
      <c r="H686" s="13"/>
      <c r="I686" s="13"/>
      <c r="J686" s="78"/>
      <c r="K686" s="78"/>
      <c r="L686" s="146">
        <f t="shared" si="33"/>
        <v>504000</v>
      </c>
      <c r="M686" s="73"/>
      <c r="N686" s="73"/>
      <c r="O686" s="7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 x14ac:dyDescent="0.35">
      <c r="A687" s="9">
        <f t="shared" si="32"/>
        <v>679</v>
      </c>
      <c r="B687" s="15"/>
      <c r="C687" s="11">
        <f t="shared" si="31"/>
        <v>1</v>
      </c>
      <c r="D687" s="11"/>
      <c r="E687" s="11"/>
      <c r="F687" s="11"/>
      <c r="G687" s="89">
        <f>IFERROR(VLOOKUP(F687,COA!$A$1:$K$26,2,FALSE),0)</f>
        <v>0</v>
      </c>
      <c r="H687" s="11"/>
      <c r="I687" s="11"/>
      <c r="J687" s="78"/>
      <c r="K687" s="78"/>
      <c r="L687" s="146">
        <f t="shared" si="33"/>
        <v>504000</v>
      </c>
      <c r="M687" s="73"/>
      <c r="N687" s="73"/>
      <c r="O687" s="7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 x14ac:dyDescent="0.35">
      <c r="A688" s="9">
        <f t="shared" si="32"/>
        <v>680</v>
      </c>
      <c r="B688" s="15"/>
      <c r="C688" s="11">
        <f t="shared" si="31"/>
        <v>1</v>
      </c>
      <c r="D688" s="11"/>
      <c r="E688" s="11"/>
      <c r="F688" s="11"/>
      <c r="G688" s="89">
        <f>IFERROR(VLOOKUP(F688,COA!$A$1:$K$26,2,FALSE),0)</f>
        <v>0</v>
      </c>
      <c r="H688" s="11"/>
      <c r="I688" s="11"/>
      <c r="J688" s="78"/>
      <c r="K688" s="78"/>
      <c r="L688" s="146">
        <f t="shared" si="33"/>
        <v>504000</v>
      </c>
      <c r="M688" s="73"/>
      <c r="N688" s="73"/>
      <c r="O688" s="7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 x14ac:dyDescent="0.35">
      <c r="A689" s="9">
        <f t="shared" si="32"/>
        <v>681</v>
      </c>
      <c r="B689" s="15"/>
      <c r="C689" s="11">
        <f t="shared" si="31"/>
        <v>1</v>
      </c>
      <c r="D689" s="11"/>
      <c r="E689" s="11"/>
      <c r="F689" s="11"/>
      <c r="G689" s="89">
        <f>IFERROR(VLOOKUP(F689,COA!$A$1:$K$26,2,FALSE),0)</f>
        <v>0</v>
      </c>
      <c r="H689" s="11"/>
      <c r="I689" s="11"/>
      <c r="J689" s="78"/>
      <c r="K689" s="78"/>
      <c r="L689" s="146">
        <f t="shared" si="33"/>
        <v>504000</v>
      </c>
      <c r="M689" s="73"/>
      <c r="N689" s="73"/>
      <c r="O689" s="7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 x14ac:dyDescent="0.35">
      <c r="A690" s="9">
        <f t="shared" si="32"/>
        <v>682</v>
      </c>
      <c r="B690" s="15"/>
      <c r="C690" s="11">
        <f t="shared" si="31"/>
        <v>1</v>
      </c>
      <c r="D690" s="11"/>
      <c r="E690" s="11"/>
      <c r="F690" s="11"/>
      <c r="G690" s="89">
        <f>IFERROR(VLOOKUP(F690,COA!$A$1:$K$26,2,FALSE),0)</f>
        <v>0</v>
      </c>
      <c r="H690" s="11"/>
      <c r="I690" s="11"/>
      <c r="J690" s="78"/>
      <c r="K690" s="78"/>
      <c r="L690" s="146">
        <f t="shared" si="33"/>
        <v>504000</v>
      </c>
      <c r="M690" s="73"/>
      <c r="N690" s="73"/>
      <c r="O690" s="7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 x14ac:dyDescent="0.35">
      <c r="A691" s="9">
        <f t="shared" si="32"/>
        <v>683</v>
      </c>
      <c r="B691" s="15"/>
      <c r="C691" s="11">
        <f t="shared" si="31"/>
        <v>1</v>
      </c>
      <c r="D691" s="11"/>
      <c r="E691" s="11"/>
      <c r="F691" s="11"/>
      <c r="G691" s="89">
        <f>IFERROR(VLOOKUP(F691,COA!$A$1:$K$26,2,FALSE),0)</f>
        <v>0</v>
      </c>
      <c r="H691" s="11"/>
      <c r="I691" s="11"/>
      <c r="J691" s="78"/>
      <c r="K691" s="78"/>
      <c r="L691" s="146">
        <f t="shared" si="33"/>
        <v>504000</v>
      </c>
      <c r="M691" s="73"/>
      <c r="N691" s="73"/>
      <c r="O691" s="7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 x14ac:dyDescent="0.35">
      <c r="A692" s="9">
        <f t="shared" si="32"/>
        <v>684</v>
      </c>
      <c r="B692" s="15"/>
      <c r="C692" s="11">
        <f t="shared" si="31"/>
        <v>1</v>
      </c>
      <c r="D692" s="11"/>
      <c r="E692" s="11"/>
      <c r="F692" s="11"/>
      <c r="G692" s="89">
        <f>IFERROR(VLOOKUP(F692,COA!$A$1:$K$26,2,FALSE),0)</f>
        <v>0</v>
      </c>
      <c r="H692" s="11"/>
      <c r="I692" s="11"/>
      <c r="J692" s="78"/>
      <c r="K692" s="78"/>
      <c r="L692" s="146">
        <f t="shared" si="33"/>
        <v>504000</v>
      </c>
      <c r="M692" s="73"/>
      <c r="N692" s="73"/>
      <c r="O692" s="7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 x14ac:dyDescent="0.35">
      <c r="A693" s="9">
        <f t="shared" si="32"/>
        <v>685</v>
      </c>
      <c r="B693" s="15"/>
      <c r="C693" s="11">
        <f t="shared" si="31"/>
        <v>1</v>
      </c>
      <c r="D693" s="11"/>
      <c r="E693" s="11"/>
      <c r="F693" s="11"/>
      <c r="G693" s="89">
        <f>IFERROR(VLOOKUP(F693,COA!$A$1:$K$26,2,FALSE),0)</f>
        <v>0</v>
      </c>
      <c r="H693" s="13"/>
      <c r="I693" s="13"/>
      <c r="J693" s="78"/>
      <c r="K693" s="78"/>
      <c r="L693" s="146">
        <f t="shared" si="33"/>
        <v>504000</v>
      </c>
      <c r="M693" s="73"/>
      <c r="N693" s="73"/>
      <c r="O693" s="7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 x14ac:dyDescent="0.35">
      <c r="A694" s="9">
        <f t="shared" si="32"/>
        <v>686</v>
      </c>
      <c r="B694" s="15"/>
      <c r="C694" s="11">
        <f t="shared" si="31"/>
        <v>1</v>
      </c>
      <c r="D694" s="11"/>
      <c r="E694" s="11"/>
      <c r="F694" s="11"/>
      <c r="G694" s="89">
        <f>IFERROR(VLOOKUP(F694,COA!$A$1:$K$26,2,FALSE),0)</f>
        <v>0</v>
      </c>
      <c r="H694" s="11"/>
      <c r="I694" s="11"/>
      <c r="J694" s="78"/>
      <c r="K694" s="78"/>
      <c r="L694" s="146">
        <f t="shared" si="33"/>
        <v>504000</v>
      </c>
      <c r="M694" s="73"/>
      <c r="N694" s="73"/>
      <c r="O694" s="7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 x14ac:dyDescent="0.35">
      <c r="A695" s="9">
        <f t="shared" si="32"/>
        <v>687</v>
      </c>
      <c r="B695" s="15"/>
      <c r="C695" s="11">
        <f t="shared" si="31"/>
        <v>1</v>
      </c>
      <c r="D695" s="11"/>
      <c r="E695" s="11"/>
      <c r="F695" s="11"/>
      <c r="G695" s="89">
        <f>IFERROR(VLOOKUP(F695,COA!$A$1:$K$26,2,FALSE),0)</f>
        <v>0</v>
      </c>
      <c r="H695" s="11"/>
      <c r="I695" s="11"/>
      <c r="J695" s="78"/>
      <c r="K695" s="78"/>
      <c r="L695" s="146">
        <f t="shared" si="33"/>
        <v>504000</v>
      </c>
      <c r="M695" s="73"/>
      <c r="N695" s="73"/>
      <c r="O695" s="7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 x14ac:dyDescent="0.35">
      <c r="A696" s="9">
        <f t="shared" si="32"/>
        <v>688</v>
      </c>
      <c r="B696" s="15"/>
      <c r="C696" s="11">
        <f t="shared" si="31"/>
        <v>1</v>
      </c>
      <c r="D696" s="11"/>
      <c r="E696" s="11"/>
      <c r="F696" s="11"/>
      <c r="G696" s="89">
        <f>IFERROR(VLOOKUP(F696,COA!$A$1:$K$26,2,FALSE),0)</f>
        <v>0</v>
      </c>
      <c r="H696" s="11"/>
      <c r="I696" s="11"/>
      <c r="J696" s="78"/>
      <c r="K696" s="78"/>
      <c r="L696" s="146">
        <f t="shared" si="33"/>
        <v>504000</v>
      </c>
      <c r="M696" s="73"/>
      <c r="N696" s="73"/>
      <c r="O696" s="7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 x14ac:dyDescent="0.35">
      <c r="A697" s="9">
        <f t="shared" si="32"/>
        <v>689</v>
      </c>
      <c r="B697" s="15"/>
      <c r="C697" s="11">
        <f t="shared" si="31"/>
        <v>1</v>
      </c>
      <c r="D697" s="11"/>
      <c r="E697" s="11"/>
      <c r="F697" s="11"/>
      <c r="G697" s="89">
        <f>IFERROR(VLOOKUP(F697,COA!$A$1:$K$26,2,FALSE),0)</f>
        <v>0</v>
      </c>
      <c r="H697" s="11"/>
      <c r="I697" s="11"/>
      <c r="J697" s="78"/>
      <c r="K697" s="78"/>
      <c r="L697" s="146">
        <f t="shared" si="33"/>
        <v>504000</v>
      </c>
      <c r="M697" s="73"/>
      <c r="N697" s="73"/>
      <c r="O697" s="7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 x14ac:dyDescent="0.35">
      <c r="A698" s="9">
        <f t="shared" si="32"/>
        <v>690</v>
      </c>
      <c r="B698" s="15"/>
      <c r="C698" s="11">
        <f t="shared" si="31"/>
        <v>1</v>
      </c>
      <c r="D698" s="11"/>
      <c r="E698" s="11"/>
      <c r="F698" s="11"/>
      <c r="G698" s="89">
        <f>IFERROR(VLOOKUP(F698,COA!$A$1:$K$26,2,FALSE),0)</f>
        <v>0</v>
      </c>
      <c r="H698" s="11"/>
      <c r="I698" s="11"/>
      <c r="J698" s="78"/>
      <c r="K698" s="78"/>
      <c r="L698" s="146">
        <f t="shared" si="33"/>
        <v>504000</v>
      </c>
      <c r="M698" s="73"/>
      <c r="N698" s="73"/>
      <c r="O698" s="7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 x14ac:dyDescent="0.35">
      <c r="A699" s="9">
        <f t="shared" si="32"/>
        <v>691</v>
      </c>
      <c r="B699" s="15"/>
      <c r="C699" s="11">
        <f t="shared" si="31"/>
        <v>1</v>
      </c>
      <c r="D699" s="11"/>
      <c r="E699" s="11"/>
      <c r="F699" s="11"/>
      <c r="G699" s="89">
        <f>IFERROR(VLOOKUP(F699,COA!$A$1:$K$26,2,FALSE),0)</f>
        <v>0</v>
      </c>
      <c r="H699" s="13"/>
      <c r="I699" s="13"/>
      <c r="J699" s="78"/>
      <c r="K699" s="78"/>
      <c r="L699" s="146">
        <f t="shared" si="33"/>
        <v>504000</v>
      </c>
      <c r="M699" s="73"/>
      <c r="N699" s="73"/>
      <c r="O699" s="7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 x14ac:dyDescent="0.35">
      <c r="A700" s="9">
        <f t="shared" si="32"/>
        <v>692</v>
      </c>
      <c r="B700" s="15"/>
      <c r="C700" s="11">
        <f t="shared" si="31"/>
        <v>1</v>
      </c>
      <c r="D700" s="11"/>
      <c r="E700" s="11"/>
      <c r="F700" s="11"/>
      <c r="G700" s="89">
        <f>IFERROR(VLOOKUP(F700,COA!$A$1:$K$26,2,FALSE),0)</f>
        <v>0</v>
      </c>
      <c r="H700" s="11"/>
      <c r="I700" s="11"/>
      <c r="J700" s="78"/>
      <c r="K700" s="78"/>
      <c r="L700" s="146">
        <f t="shared" si="33"/>
        <v>504000</v>
      </c>
      <c r="M700" s="73"/>
      <c r="N700" s="73"/>
      <c r="O700" s="7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 x14ac:dyDescent="0.35">
      <c r="A701" s="9">
        <f t="shared" si="32"/>
        <v>693</v>
      </c>
      <c r="B701" s="15"/>
      <c r="C701" s="11">
        <f t="shared" si="31"/>
        <v>1</v>
      </c>
      <c r="D701" s="11"/>
      <c r="E701" s="11"/>
      <c r="F701" s="11"/>
      <c r="G701" s="89">
        <f>IFERROR(VLOOKUP(F701,COA!$A$1:$K$26,2,FALSE),0)</f>
        <v>0</v>
      </c>
      <c r="H701" s="11"/>
      <c r="I701" s="11"/>
      <c r="J701" s="78"/>
      <c r="K701" s="78"/>
      <c r="L701" s="146">
        <f t="shared" si="33"/>
        <v>504000</v>
      </c>
      <c r="M701" s="73"/>
      <c r="N701" s="73"/>
      <c r="O701" s="7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 x14ac:dyDescent="0.35">
      <c r="A702" s="9">
        <f t="shared" si="32"/>
        <v>694</v>
      </c>
      <c r="B702" s="15"/>
      <c r="C702" s="11">
        <f t="shared" si="31"/>
        <v>1</v>
      </c>
      <c r="D702" s="11"/>
      <c r="E702" s="11"/>
      <c r="F702" s="11"/>
      <c r="G702" s="89">
        <f>IFERROR(VLOOKUP(F702,COA!$A$1:$K$26,2,FALSE),0)</f>
        <v>0</v>
      </c>
      <c r="H702" s="11"/>
      <c r="I702" s="11"/>
      <c r="J702" s="78"/>
      <c r="K702" s="78"/>
      <c r="L702" s="146">
        <f t="shared" si="33"/>
        <v>504000</v>
      </c>
      <c r="M702" s="73"/>
      <c r="N702" s="73"/>
      <c r="O702" s="7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 x14ac:dyDescent="0.35">
      <c r="A703" s="9">
        <f t="shared" si="32"/>
        <v>695</v>
      </c>
      <c r="B703" s="15"/>
      <c r="C703" s="11">
        <f t="shared" si="31"/>
        <v>1</v>
      </c>
      <c r="D703" s="11"/>
      <c r="E703" s="11"/>
      <c r="F703" s="11"/>
      <c r="G703" s="89">
        <f>IFERROR(VLOOKUP(F703,COA!$A$1:$K$26,2,FALSE),0)</f>
        <v>0</v>
      </c>
      <c r="H703" s="11"/>
      <c r="I703" s="11"/>
      <c r="J703" s="78"/>
      <c r="K703" s="78"/>
      <c r="L703" s="146">
        <f t="shared" si="33"/>
        <v>504000</v>
      </c>
      <c r="M703" s="73"/>
      <c r="N703" s="73"/>
      <c r="O703" s="7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 x14ac:dyDescent="0.35">
      <c r="A704" s="9">
        <f t="shared" si="32"/>
        <v>696</v>
      </c>
      <c r="B704" s="15"/>
      <c r="C704" s="11">
        <f t="shared" si="31"/>
        <v>1</v>
      </c>
      <c r="D704" s="11"/>
      <c r="E704" s="11"/>
      <c r="F704" s="11"/>
      <c r="G704" s="89">
        <f>IFERROR(VLOOKUP(F704,COA!$A$1:$K$26,2,FALSE),0)</f>
        <v>0</v>
      </c>
      <c r="H704" s="11"/>
      <c r="I704" s="11"/>
      <c r="J704" s="78"/>
      <c r="K704" s="78"/>
      <c r="L704" s="146">
        <f t="shared" si="33"/>
        <v>504000</v>
      </c>
      <c r="M704" s="73"/>
      <c r="N704" s="73"/>
      <c r="O704" s="7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 x14ac:dyDescent="0.35">
      <c r="A705" s="9">
        <f t="shared" si="32"/>
        <v>697</v>
      </c>
      <c r="B705" s="15"/>
      <c r="C705" s="11">
        <f t="shared" si="31"/>
        <v>1</v>
      </c>
      <c r="D705" s="11"/>
      <c r="E705" s="11"/>
      <c r="F705" s="11"/>
      <c r="G705" s="89">
        <f>IFERROR(VLOOKUP(F705,COA!$A$1:$K$26,2,FALSE),0)</f>
        <v>0</v>
      </c>
      <c r="H705" s="13"/>
      <c r="I705" s="13"/>
      <c r="J705" s="78"/>
      <c r="K705" s="78"/>
      <c r="L705" s="146">
        <f t="shared" si="33"/>
        <v>504000</v>
      </c>
      <c r="M705" s="73"/>
      <c r="N705" s="73"/>
      <c r="O705" s="7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 x14ac:dyDescent="0.35">
      <c r="A706" s="9">
        <f t="shared" si="32"/>
        <v>698</v>
      </c>
      <c r="B706" s="15"/>
      <c r="C706" s="11">
        <f t="shared" si="31"/>
        <v>1</v>
      </c>
      <c r="D706" s="11"/>
      <c r="E706" s="11"/>
      <c r="F706" s="11"/>
      <c r="G706" s="89">
        <f>IFERROR(VLOOKUP(F706,COA!$A$1:$K$26,2,FALSE),0)</f>
        <v>0</v>
      </c>
      <c r="H706" s="11"/>
      <c r="I706" s="11"/>
      <c r="J706" s="78"/>
      <c r="K706" s="78"/>
      <c r="L706" s="146">
        <f t="shared" si="33"/>
        <v>504000</v>
      </c>
      <c r="M706" s="73"/>
      <c r="N706" s="73"/>
      <c r="O706" s="7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 x14ac:dyDescent="0.35">
      <c r="A707" s="9">
        <f t="shared" si="32"/>
        <v>699</v>
      </c>
      <c r="B707" s="15"/>
      <c r="C707" s="11">
        <f t="shared" si="31"/>
        <v>1</v>
      </c>
      <c r="D707" s="11"/>
      <c r="E707" s="11"/>
      <c r="F707" s="11"/>
      <c r="G707" s="89">
        <f>IFERROR(VLOOKUP(F707,COA!$A$1:$K$26,2,FALSE),0)</f>
        <v>0</v>
      </c>
      <c r="H707" s="11"/>
      <c r="I707" s="11"/>
      <c r="J707" s="78"/>
      <c r="K707" s="78"/>
      <c r="L707" s="146">
        <f t="shared" si="33"/>
        <v>504000</v>
      </c>
      <c r="M707" s="73"/>
      <c r="N707" s="73"/>
      <c r="O707" s="7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 x14ac:dyDescent="0.35">
      <c r="A708" s="9">
        <f t="shared" si="32"/>
        <v>700</v>
      </c>
      <c r="B708" s="15"/>
      <c r="C708" s="11">
        <f t="shared" si="31"/>
        <v>1</v>
      </c>
      <c r="D708" s="11"/>
      <c r="E708" s="11"/>
      <c r="F708" s="11"/>
      <c r="G708" s="89">
        <f>IFERROR(VLOOKUP(F708,COA!$A$1:$K$26,2,FALSE),0)</f>
        <v>0</v>
      </c>
      <c r="H708" s="11"/>
      <c r="I708" s="11"/>
      <c r="J708" s="78"/>
      <c r="K708" s="78"/>
      <c r="L708" s="146">
        <f t="shared" si="33"/>
        <v>504000</v>
      </c>
      <c r="M708" s="73"/>
      <c r="N708" s="73"/>
      <c r="O708" s="7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 x14ac:dyDescent="0.35">
      <c r="A709" s="9">
        <f t="shared" si="32"/>
        <v>701</v>
      </c>
      <c r="B709" s="15"/>
      <c r="C709" s="11">
        <f t="shared" si="31"/>
        <v>1</v>
      </c>
      <c r="D709" s="11"/>
      <c r="E709" s="11"/>
      <c r="F709" s="11"/>
      <c r="G709" s="89">
        <f>IFERROR(VLOOKUP(F709,COA!$A$1:$K$26,2,FALSE),0)</f>
        <v>0</v>
      </c>
      <c r="H709" s="11"/>
      <c r="I709" s="11"/>
      <c r="J709" s="78"/>
      <c r="K709" s="78"/>
      <c r="L709" s="146">
        <f t="shared" si="33"/>
        <v>504000</v>
      </c>
      <c r="M709" s="73"/>
      <c r="N709" s="73"/>
      <c r="O709" s="7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 x14ac:dyDescent="0.35">
      <c r="A710" s="9">
        <f t="shared" si="32"/>
        <v>702</v>
      </c>
      <c r="B710" s="15"/>
      <c r="C710" s="11">
        <f t="shared" si="31"/>
        <v>1</v>
      </c>
      <c r="D710" s="11"/>
      <c r="E710" s="11"/>
      <c r="F710" s="11"/>
      <c r="G710" s="89">
        <f>IFERROR(VLOOKUP(F710,COA!$A$1:$K$26,2,FALSE),0)</f>
        <v>0</v>
      </c>
      <c r="H710" s="11"/>
      <c r="I710" s="11"/>
      <c r="J710" s="78"/>
      <c r="K710" s="78"/>
      <c r="L710" s="146">
        <f t="shared" si="33"/>
        <v>504000</v>
      </c>
      <c r="M710" s="73"/>
      <c r="N710" s="73"/>
      <c r="O710" s="7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 x14ac:dyDescent="0.35">
      <c r="A711" s="9">
        <f t="shared" si="32"/>
        <v>703</v>
      </c>
      <c r="B711" s="15"/>
      <c r="C711" s="11">
        <f t="shared" si="31"/>
        <v>1</v>
      </c>
      <c r="D711" s="11"/>
      <c r="E711" s="11"/>
      <c r="F711" s="11"/>
      <c r="G711" s="89">
        <f>IFERROR(VLOOKUP(F711,COA!$A$1:$K$26,2,FALSE),0)</f>
        <v>0</v>
      </c>
      <c r="H711" s="11"/>
      <c r="I711" s="11"/>
      <c r="J711" s="78"/>
      <c r="K711" s="78"/>
      <c r="L711" s="146">
        <f t="shared" si="33"/>
        <v>504000</v>
      </c>
      <c r="M711" s="73"/>
      <c r="N711" s="73"/>
      <c r="O711" s="7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 x14ac:dyDescent="0.35">
      <c r="A712" s="9">
        <f t="shared" si="32"/>
        <v>704</v>
      </c>
      <c r="B712" s="15"/>
      <c r="C712" s="11">
        <f t="shared" ref="C712:C775" si="34">MONTH(B712)</f>
        <v>1</v>
      </c>
      <c r="D712" s="11"/>
      <c r="E712" s="11"/>
      <c r="F712" s="11"/>
      <c r="G712" s="89">
        <f>IFERROR(VLOOKUP(F712,COA!$A$1:$K$26,2,FALSE),0)</f>
        <v>0</v>
      </c>
      <c r="H712" s="11"/>
      <c r="I712" s="11"/>
      <c r="J712" s="78"/>
      <c r="K712" s="78"/>
      <c r="L712" s="146">
        <f t="shared" si="33"/>
        <v>504000</v>
      </c>
      <c r="M712" s="73"/>
      <c r="N712" s="73"/>
      <c r="O712" s="7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 x14ac:dyDescent="0.35">
      <c r="A713" s="9">
        <f t="shared" si="32"/>
        <v>705</v>
      </c>
      <c r="B713" s="15"/>
      <c r="C713" s="11">
        <f t="shared" si="34"/>
        <v>1</v>
      </c>
      <c r="D713" s="11"/>
      <c r="E713" s="11"/>
      <c r="F713" s="11"/>
      <c r="G713" s="89">
        <f>IFERROR(VLOOKUP(F713,COA!$A$1:$K$26,2,FALSE),0)</f>
        <v>0</v>
      </c>
      <c r="H713" s="13"/>
      <c r="I713" s="13"/>
      <c r="J713" s="78"/>
      <c r="K713" s="78"/>
      <c r="L713" s="146">
        <f t="shared" si="33"/>
        <v>504000</v>
      </c>
      <c r="M713" s="73"/>
      <c r="N713" s="73"/>
      <c r="O713" s="7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 x14ac:dyDescent="0.35">
      <c r="A714" s="9">
        <f t="shared" si="32"/>
        <v>706</v>
      </c>
      <c r="B714" s="15"/>
      <c r="C714" s="11">
        <f t="shared" si="34"/>
        <v>1</v>
      </c>
      <c r="D714" s="11"/>
      <c r="E714" s="11"/>
      <c r="F714" s="11"/>
      <c r="G714" s="89">
        <f>IFERROR(VLOOKUP(F714,COA!$A$1:$K$26,2,FALSE),0)</f>
        <v>0</v>
      </c>
      <c r="H714" s="11"/>
      <c r="I714" s="11"/>
      <c r="J714" s="78"/>
      <c r="K714" s="78"/>
      <c r="L714" s="146">
        <f t="shared" si="33"/>
        <v>504000</v>
      </c>
      <c r="M714" s="73"/>
      <c r="N714" s="73"/>
      <c r="O714" s="7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 x14ac:dyDescent="0.35">
      <c r="A715" s="9">
        <f t="shared" ref="A715:A778" si="35">A714+1</f>
        <v>707</v>
      </c>
      <c r="B715" s="15"/>
      <c r="C715" s="11">
        <f t="shared" si="34"/>
        <v>1</v>
      </c>
      <c r="D715" s="11"/>
      <c r="E715" s="11"/>
      <c r="F715" s="11"/>
      <c r="G715" s="89">
        <f>IFERROR(VLOOKUP(F715,COA!$A$1:$K$26,2,FALSE),0)</f>
        <v>0</v>
      </c>
      <c r="H715" s="11"/>
      <c r="I715" s="11"/>
      <c r="J715" s="78"/>
      <c r="K715" s="78"/>
      <c r="L715" s="146">
        <f t="shared" ref="L715:L778" si="36">L714+J715-K715</f>
        <v>504000</v>
      </c>
      <c r="M715" s="73"/>
      <c r="N715" s="73"/>
      <c r="O715" s="7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 x14ac:dyDescent="0.35">
      <c r="A716" s="9">
        <f t="shared" si="35"/>
        <v>708</v>
      </c>
      <c r="B716" s="15"/>
      <c r="C716" s="11">
        <f t="shared" si="34"/>
        <v>1</v>
      </c>
      <c r="D716" s="11"/>
      <c r="E716" s="11"/>
      <c r="F716" s="11"/>
      <c r="G716" s="89">
        <f>IFERROR(VLOOKUP(F716,COA!$A$1:$K$26,2,FALSE),0)</f>
        <v>0</v>
      </c>
      <c r="H716" s="11"/>
      <c r="I716" s="11"/>
      <c r="J716" s="78"/>
      <c r="K716" s="78"/>
      <c r="L716" s="146">
        <f t="shared" si="36"/>
        <v>504000</v>
      </c>
      <c r="M716" s="73"/>
      <c r="N716" s="73"/>
      <c r="O716" s="7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 x14ac:dyDescent="0.35">
      <c r="A717" s="9">
        <f t="shared" si="35"/>
        <v>709</v>
      </c>
      <c r="B717" s="15"/>
      <c r="C717" s="11">
        <f t="shared" si="34"/>
        <v>1</v>
      </c>
      <c r="D717" s="11"/>
      <c r="E717" s="11"/>
      <c r="F717" s="11"/>
      <c r="G717" s="89">
        <f>IFERROR(VLOOKUP(F717,COA!$A$1:$K$26,2,FALSE),0)</f>
        <v>0</v>
      </c>
      <c r="H717" s="11"/>
      <c r="I717" s="11"/>
      <c r="J717" s="78"/>
      <c r="K717" s="78"/>
      <c r="L717" s="146">
        <f t="shared" si="36"/>
        <v>504000</v>
      </c>
      <c r="M717" s="73"/>
      <c r="N717" s="73"/>
      <c r="O717" s="7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 x14ac:dyDescent="0.35">
      <c r="A718" s="9">
        <f t="shared" si="35"/>
        <v>710</v>
      </c>
      <c r="B718" s="15"/>
      <c r="C718" s="11">
        <f t="shared" si="34"/>
        <v>1</v>
      </c>
      <c r="D718" s="11"/>
      <c r="E718" s="11"/>
      <c r="F718" s="11"/>
      <c r="G718" s="89">
        <f>IFERROR(VLOOKUP(F718,COA!$A$1:$K$26,2,FALSE),0)</f>
        <v>0</v>
      </c>
      <c r="H718" s="11"/>
      <c r="I718" s="11"/>
      <c r="J718" s="78"/>
      <c r="K718" s="78"/>
      <c r="L718" s="146">
        <f t="shared" si="36"/>
        <v>504000</v>
      </c>
      <c r="M718" s="73"/>
      <c r="N718" s="73"/>
      <c r="O718" s="7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 x14ac:dyDescent="0.35">
      <c r="A719" s="9">
        <f t="shared" si="35"/>
        <v>711</v>
      </c>
      <c r="B719" s="15"/>
      <c r="C719" s="11">
        <f t="shared" si="34"/>
        <v>1</v>
      </c>
      <c r="D719" s="11"/>
      <c r="E719" s="11"/>
      <c r="F719" s="11"/>
      <c r="G719" s="89">
        <f>IFERROR(VLOOKUP(F719,COA!$A$1:$K$26,2,FALSE),0)</f>
        <v>0</v>
      </c>
      <c r="H719" s="13"/>
      <c r="I719" s="13"/>
      <c r="J719" s="78"/>
      <c r="K719" s="78"/>
      <c r="L719" s="146">
        <f t="shared" si="36"/>
        <v>504000</v>
      </c>
      <c r="M719" s="73"/>
      <c r="N719" s="73"/>
      <c r="O719" s="7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 x14ac:dyDescent="0.35">
      <c r="A720" s="9">
        <f t="shared" si="35"/>
        <v>712</v>
      </c>
      <c r="B720" s="15"/>
      <c r="C720" s="11">
        <f t="shared" si="34"/>
        <v>1</v>
      </c>
      <c r="D720" s="11"/>
      <c r="E720" s="11"/>
      <c r="F720" s="11"/>
      <c r="G720" s="89">
        <f>IFERROR(VLOOKUP(F720,COA!$A$1:$K$26,2,FALSE),0)</f>
        <v>0</v>
      </c>
      <c r="H720" s="11"/>
      <c r="I720" s="11"/>
      <c r="J720" s="78"/>
      <c r="K720" s="78"/>
      <c r="L720" s="146">
        <f t="shared" si="36"/>
        <v>504000</v>
      </c>
      <c r="M720" s="73"/>
      <c r="N720" s="73"/>
      <c r="O720" s="7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 x14ac:dyDescent="0.35">
      <c r="A721" s="9">
        <f t="shared" si="35"/>
        <v>713</v>
      </c>
      <c r="B721" s="15"/>
      <c r="C721" s="11">
        <f t="shared" si="34"/>
        <v>1</v>
      </c>
      <c r="D721" s="11"/>
      <c r="E721" s="11"/>
      <c r="F721" s="11"/>
      <c r="G721" s="89">
        <f>IFERROR(VLOOKUP(F721,COA!$A$1:$K$26,2,FALSE),0)</f>
        <v>0</v>
      </c>
      <c r="H721" s="11"/>
      <c r="I721" s="11"/>
      <c r="J721" s="78"/>
      <c r="K721" s="78"/>
      <c r="L721" s="146">
        <f t="shared" si="36"/>
        <v>504000</v>
      </c>
      <c r="M721" s="73"/>
      <c r="N721" s="73"/>
      <c r="O721" s="7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 x14ac:dyDescent="0.35">
      <c r="A722" s="9">
        <f t="shared" si="35"/>
        <v>714</v>
      </c>
      <c r="B722" s="15"/>
      <c r="C722" s="11">
        <f t="shared" si="34"/>
        <v>1</v>
      </c>
      <c r="D722" s="11"/>
      <c r="E722" s="11"/>
      <c r="F722" s="11"/>
      <c r="G722" s="89">
        <f>IFERROR(VLOOKUP(F722,COA!$A$1:$K$26,2,FALSE),0)</f>
        <v>0</v>
      </c>
      <c r="H722" s="11"/>
      <c r="I722" s="11"/>
      <c r="J722" s="78"/>
      <c r="K722" s="78"/>
      <c r="L722" s="146">
        <f t="shared" si="36"/>
        <v>504000</v>
      </c>
      <c r="M722" s="73"/>
      <c r="N722" s="73"/>
      <c r="O722" s="7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 x14ac:dyDescent="0.35">
      <c r="A723" s="9">
        <f t="shared" si="35"/>
        <v>715</v>
      </c>
      <c r="B723" s="15"/>
      <c r="C723" s="11">
        <f t="shared" si="34"/>
        <v>1</v>
      </c>
      <c r="D723" s="11"/>
      <c r="E723" s="11"/>
      <c r="F723" s="11"/>
      <c r="G723" s="89">
        <f>IFERROR(VLOOKUP(F723,COA!$A$1:$K$26,2,FALSE),0)</f>
        <v>0</v>
      </c>
      <c r="H723" s="11"/>
      <c r="I723" s="11"/>
      <c r="J723" s="78"/>
      <c r="K723" s="78"/>
      <c r="L723" s="146">
        <f t="shared" si="36"/>
        <v>504000</v>
      </c>
      <c r="M723" s="73"/>
      <c r="N723" s="73"/>
      <c r="O723" s="7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 x14ac:dyDescent="0.35">
      <c r="A724" s="9">
        <f t="shared" si="35"/>
        <v>716</v>
      </c>
      <c r="B724" s="15"/>
      <c r="C724" s="11">
        <f t="shared" si="34"/>
        <v>1</v>
      </c>
      <c r="D724" s="11"/>
      <c r="E724" s="11"/>
      <c r="F724" s="11"/>
      <c r="G724" s="89">
        <f>IFERROR(VLOOKUP(F724,COA!$A$1:$K$26,2,FALSE),0)</f>
        <v>0</v>
      </c>
      <c r="H724" s="11"/>
      <c r="I724" s="11"/>
      <c r="J724" s="78"/>
      <c r="K724" s="78"/>
      <c r="L724" s="146">
        <f t="shared" si="36"/>
        <v>504000</v>
      </c>
      <c r="M724" s="73"/>
      <c r="N724" s="73"/>
      <c r="O724" s="7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 x14ac:dyDescent="0.35">
      <c r="A725" s="9">
        <f t="shared" si="35"/>
        <v>717</v>
      </c>
      <c r="B725" s="15"/>
      <c r="C725" s="11">
        <f t="shared" si="34"/>
        <v>1</v>
      </c>
      <c r="D725" s="11"/>
      <c r="E725" s="11"/>
      <c r="F725" s="11"/>
      <c r="G725" s="89">
        <f>IFERROR(VLOOKUP(F725,COA!$A$1:$K$26,2,FALSE),0)</f>
        <v>0</v>
      </c>
      <c r="H725" s="13"/>
      <c r="I725" s="13"/>
      <c r="J725" s="78"/>
      <c r="K725" s="78"/>
      <c r="L725" s="146">
        <f t="shared" si="36"/>
        <v>504000</v>
      </c>
      <c r="M725" s="73"/>
      <c r="N725" s="73"/>
      <c r="O725" s="7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 x14ac:dyDescent="0.35">
      <c r="A726" s="9">
        <f t="shared" si="35"/>
        <v>718</v>
      </c>
      <c r="B726" s="15"/>
      <c r="C726" s="11">
        <f t="shared" si="34"/>
        <v>1</v>
      </c>
      <c r="D726" s="11"/>
      <c r="E726" s="11"/>
      <c r="F726" s="11"/>
      <c r="G726" s="89">
        <f>IFERROR(VLOOKUP(F726,COA!$A$1:$K$26,2,FALSE),0)</f>
        <v>0</v>
      </c>
      <c r="H726" s="11"/>
      <c r="I726" s="11"/>
      <c r="J726" s="78"/>
      <c r="K726" s="78"/>
      <c r="L726" s="146">
        <f t="shared" si="36"/>
        <v>504000</v>
      </c>
      <c r="M726" s="73"/>
      <c r="N726" s="73"/>
      <c r="O726" s="7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 x14ac:dyDescent="0.35">
      <c r="A727" s="9">
        <f t="shared" si="35"/>
        <v>719</v>
      </c>
      <c r="B727" s="15"/>
      <c r="C727" s="11">
        <f t="shared" si="34"/>
        <v>1</v>
      </c>
      <c r="D727" s="11"/>
      <c r="E727" s="11"/>
      <c r="F727" s="11"/>
      <c r="G727" s="89">
        <f>IFERROR(VLOOKUP(F727,COA!$A$1:$K$26,2,FALSE),0)</f>
        <v>0</v>
      </c>
      <c r="H727" s="11"/>
      <c r="I727" s="11"/>
      <c r="J727" s="78"/>
      <c r="K727" s="78"/>
      <c r="L727" s="146">
        <f t="shared" si="36"/>
        <v>504000</v>
      </c>
      <c r="M727" s="73"/>
      <c r="N727" s="73"/>
      <c r="O727" s="7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 x14ac:dyDescent="0.35">
      <c r="A728" s="9">
        <f t="shared" si="35"/>
        <v>720</v>
      </c>
      <c r="B728" s="15"/>
      <c r="C728" s="11">
        <f t="shared" si="34"/>
        <v>1</v>
      </c>
      <c r="D728" s="11"/>
      <c r="E728" s="11"/>
      <c r="F728" s="11"/>
      <c r="G728" s="89">
        <f>IFERROR(VLOOKUP(F728,COA!$A$1:$K$26,2,FALSE),0)</f>
        <v>0</v>
      </c>
      <c r="H728" s="11"/>
      <c r="I728" s="11"/>
      <c r="J728" s="78"/>
      <c r="K728" s="78"/>
      <c r="L728" s="146">
        <f t="shared" si="36"/>
        <v>504000</v>
      </c>
      <c r="M728" s="73"/>
      <c r="N728" s="73"/>
      <c r="O728" s="7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 x14ac:dyDescent="0.35">
      <c r="A729" s="9">
        <f t="shared" si="35"/>
        <v>721</v>
      </c>
      <c r="B729" s="15"/>
      <c r="C729" s="11">
        <f t="shared" si="34"/>
        <v>1</v>
      </c>
      <c r="D729" s="11"/>
      <c r="E729" s="11"/>
      <c r="F729" s="11"/>
      <c r="G729" s="89">
        <f>IFERROR(VLOOKUP(F729,COA!$A$1:$K$26,2,FALSE),0)</f>
        <v>0</v>
      </c>
      <c r="H729" s="11"/>
      <c r="I729" s="11"/>
      <c r="J729" s="78"/>
      <c r="K729" s="78"/>
      <c r="L729" s="146">
        <f t="shared" si="36"/>
        <v>504000</v>
      </c>
      <c r="M729" s="73"/>
      <c r="N729" s="73"/>
      <c r="O729" s="7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 x14ac:dyDescent="0.35">
      <c r="A730" s="9">
        <f t="shared" si="35"/>
        <v>722</v>
      </c>
      <c r="B730" s="15"/>
      <c r="C730" s="11">
        <f t="shared" si="34"/>
        <v>1</v>
      </c>
      <c r="D730" s="11"/>
      <c r="E730" s="11"/>
      <c r="F730" s="11"/>
      <c r="G730" s="89">
        <f>IFERROR(VLOOKUP(F730,COA!$A$1:$K$26,2,FALSE),0)</f>
        <v>0</v>
      </c>
      <c r="H730" s="11"/>
      <c r="I730" s="11"/>
      <c r="J730" s="78"/>
      <c r="K730" s="78"/>
      <c r="L730" s="146">
        <f t="shared" si="36"/>
        <v>504000</v>
      </c>
      <c r="M730" s="73"/>
      <c r="N730" s="73"/>
      <c r="O730" s="7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 x14ac:dyDescent="0.35">
      <c r="A731" s="9">
        <f t="shared" si="35"/>
        <v>723</v>
      </c>
      <c r="B731" s="15"/>
      <c r="C731" s="11">
        <f t="shared" si="34"/>
        <v>1</v>
      </c>
      <c r="D731" s="11"/>
      <c r="E731" s="11"/>
      <c r="F731" s="11"/>
      <c r="G731" s="89">
        <f>IFERROR(VLOOKUP(F731,COA!$A$1:$K$26,2,FALSE),0)</f>
        <v>0</v>
      </c>
      <c r="H731" s="13"/>
      <c r="I731" s="13"/>
      <c r="J731" s="78"/>
      <c r="K731" s="78"/>
      <c r="L731" s="146">
        <f t="shared" si="36"/>
        <v>504000</v>
      </c>
      <c r="M731" s="73"/>
      <c r="N731" s="73"/>
      <c r="O731" s="7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 x14ac:dyDescent="0.35">
      <c r="A732" s="9">
        <f t="shared" si="35"/>
        <v>724</v>
      </c>
      <c r="B732" s="15"/>
      <c r="C732" s="11">
        <f t="shared" si="34"/>
        <v>1</v>
      </c>
      <c r="D732" s="11"/>
      <c r="E732" s="11"/>
      <c r="F732" s="11"/>
      <c r="G732" s="89">
        <f>IFERROR(VLOOKUP(F732,COA!$A$1:$K$26,2,FALSE),0)</f>
        <v>0</v>
      </c>
      <c r="H732" s="11"/>
      <c r="I732" s="11"/>
      <c r="J732" s="78"/>
      <c r="K732" s="78"/>
      <c r="L732" s="146">
        <f t="shared" si="36"/>
        <v>504000</v>
      </c>
      <c r="M732" s="73"/>
      <c r="N732" s="73"/>
      <c r="O732" s="7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 x14ac:dyDescent="0.35">
      <c r="A733" s="9">
        <f t="shared" si="35"/>
        <v>725</v>
      </c>
      <c r="B733" s="15"/>
      <c r="C733" s="11">
        <f t="shared" si="34"/>
        <v>1</v>
      </c>
      <c r="D733" s="11"/>
      <c r="E733" s="11"/>
      <c r="F733" s="11"/>
      <c r="G733" s="89">
        <f>IFERROR(VLOOKUP(F733,COA!$A$1:$K$26,2,FALSE),0)</f>
        <v>0</v>
      </c>
      <c r="H733" s="11"/>
      <c r="I733" s="11"/>
      <c r="J733" s="78"/>
      <c r="K733" s="78"/>
      <c r="L733" s="146">
        <f t="shared" si="36"/>
        <v>504000</v>
      </c>
      <c r="M733" s="73"/>
      <c r="N733" s="73"/>
      <c r="O733" s="7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 x14ac:dyDescent="0.35">
      <c r="A734" s="9">
        <f t="shared" si="35"/>
        <v>726</v>
      </c>
      <c r="B734" s="15"/>
      <c r="C734" s="11">
        <f t="shared" si="34"/>
        <v>1</v>
      </c>
      <c r="D734" s="11"/>
      <c r="E734" s="11"/>
      <c r="F734" s="11"/>
      <c r="G734" s="89">
        <f>IFERROR(VLOOKUP(F734,COA!$A$1:$K$26,2,FALSE),0)</f>
        <v>0</v>
      </c>
      <c r="H734" s="11"/>
      <c r="I734" s="11"/>
      <c r="J734" s="78"/>
      <c r="K734" s="78"/>
      <c r="L734" s="146">
        <f t="shared" si="36"/>
        <v>504000</v>
      </c>
      <c r="M734" s="73"/>
      <c r="N734" s="73"/>
      <c r="O734" s="7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 x14ac:dyDescent="0.35">
      <c r="A735" s="9">
        <f t="shared" si="35"/>
        <v>727</v>
      </c>
      <c r="B735" s="15"/>
      <c r="C735" s="11">
        <f t="shared" si="34"/>
        <v>1</v>
      </c>
      <c r="D735" s="11"/>
      <c r="E735" s="11"/>
      <c r="F735" s="11"/>
      <c r="G735" s="89">
        <f>IFERROR(VLOOKUP(F735,COA!$A$1:$K$26,2,FALSE),0)</f>
        <v>0</v>
      </c>
      <c r="H735" s="11"/>
      <c r="I735" s="11"/>
      <c r="J735" s="78"/>
      <c r="K735" s="78"/>
      <c r="L735" s="146">
        <f t="shared" si="36"/>
        <v>504000</v>
      </c>
      <c r="M735" s="73"/>
      <c r="N735" s="73"/>
      <c r="O735" s="7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 x14ac:dyDescent="0.35">
      <c r="A736" s="9">
        <f t="shared" si="35"/>
        <v>728</v>
      </c>
      <c r="B736" s="15"/>
      <c r="C736" s="11">
        <f t="shared" si="34"/>
        <v>1</v>
      </c>
      <c r="D736" s="11"/>
      <c r="E736" s="11"/>
      <c r="F736" s="11"/>
      <c r="G736" s="89">
        <f>IFERROR(VLOOKUP(F736,COA!$A$1:$K$26,2,FALSE),0)</f>
        <v>0</v>
      </c>
      <c r="H736" s="11"/>
      <c r="I736" s="11"/>
      <c r="J736" s="78"/>
      <c r="K736" s="78"/>
      <c r="L736" s="146">
        <f t="shared" si="36"/>
        <v>504000</v>
      </c>
      <c r="M736" s="73"/>
      <c r="N736" s="73"/>
      <c r="O736" s="7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 x14ac:dyDescent="0.35">
      <c r="A737" s="9">
        <f t="shared" si="35"/>
        <v>729</v>
      </c>
      <c r="B737" s="15"/>
      <c r="C737" s="11">
        <f t="shared" si="34"/>
        <v>1</v>
      </c>
      <c r="D737" s="11"/>
      <c r="E737" s="11"/>
      <c r="F737" s="11"/>
      <c r="G737" s="89">
        <f>IFERROR(VLOOKUP(F737,COA!$A$1:$K$26,2,FALSE),0)</f>
        <v>0</v>
      </c>
      <c r="H737" s="13"/>
      <c r="I737" s="13"/>
      <c r="J737" s="78"/>
      <c r="K737" s="78"/>
      <c r="L737" s="146">
        <f t="shared" si="36"/>
        <v>504000</v>
      </c>
      <c r="M737" s="73"/>
      <c r="N737" s="73"/>
      <c r="O737" s="7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 x14ac:dyDescent="0.35">
      <c r="A738" s="9">
        <f t="shared" si="35"/>
        <v>730</v>
      </c>
      <c r="B738" s="15"/>
      <c r="C738" s="11">
        <f t="shared" si="34"/>
        <v>1</v>
      </c>
      <c r="D738" s="11"/>
      <c r="E738" s="11"/>
      <c r="F738" s="11"/>
      <c r="G738" s="89">
        <f>IFERROR(VLOOKUP(F738,COA!$A$1:$K$26,2,FALSE),0)</f>
        <v>0</v>
      </c>
      <c r="H738" s="11"/>
      <c r="I738" s="11"/>
      <c r="J738" s="78"/>
      <c r="K738" s="78"/>
      <c r="L738" s="146">
        <f t="shared" si="36"/>
        <v>504000</v>
      </c>
      <c r="M738" s="73"/>
      <c r="N738" s="73"/>
      <c r="O738" s="7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 x14ac:dyDescent="0.35">
      <c r="A739" s="9">
        <f t="shared" si="35"/>
        <v>731</v>
      </c>
      <c r="B739" s="15"/>
      <c r="C739" s="11">
        <f t="shared" si="34"/>
        <v>1</v>
      </c>
      <c r="D739" s="11"/>
      <c r="E739" s="11"/>
      <c r="F739" s="11"/>
      <c r="G739" s="89">
        <f>IFERROR(VLOOKUP(F739,COA!$A$1:$K$26,2,FALSE),0)</f>
        <v>0</v>
      </c>
      <c r="H739" s="11"/>
      <c r="I739" s="11"/>
      <c r="J739" s="78"/>
      <c r="K739" s="78"/>
      <c r="L739" s="146">
        <f t="shared" si="36"/>
        <v>504000</v>
      </c>
      <c r="M739" s="73"/>
      <c r="N739" s="73"/>
      <c r="O739" s="7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 x14ac:dyDescent="0.35">
      <c r="A740" s="9">
        <f t="shared" si="35"/>
        <v>732</v>
      </c>
      <c r="B740" s="15"/>
      <c r="C740" s="11">
        <f t="shared" si="34"/>
        <v>1</v>
      </c>
      <c r="D740" s="11"/>
      <c r="E740" s="11"/>
      <c r="F740" s="11"/>
      <c r="G740" s="89">
        <f>IFERROR(VLOOKUP(F740,COA!$A$1:$K$26,2,FALSE),0)</f>
        <v>0</v>
      </c>
      <c r="H740" s="11"/>
      <c r="I740" s="11"/>
      <c r="J740" s="78"/>
      <c r="K740" s="78"/>
      <c r="L740" s="146">
        <f t="shared" si="36"/>
        <v>504000</v>
      </c>
      <c r="M740" s="73"/>
      <c r="N740" s="73"/>
      <c r="O740" s="7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 x14ac:dyDescent="0.35">
      <c r="A741" s="9">
        <f t="shared" si="35"/>
        <v>733</v>
      </c>
      <c r="B741" s="15"/>
      <c r="C741" s="11">
        <f t="shared" si="34"/>
        <v>1</v>
      </c>
      <c r="D741" s="11"/>
      <c r="E741" s="11"/>
      <c r="F741" s="11"/>
      <c r="G741" s="89">
        <f>IFERROR(VLOOKUP(F741,COA!$A$1:$K$26,2,FALSE),0)</f>
        <v>0</v>
      </c>
      <c r="H741" s="11"/>
      <c r="I741" s="11"/>
      <c r="J741" s="78"/>
      <c r="K741" s="78"/>
      <c r="L741" s="146">
        <f t="shared" si="36"/>
        <v>504000</v>
      </c>
      <c r="M741" s="73"/>
      <c r="N741" s="73"/>
      <c r="O741" s="7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 x14ac:dyDescent="0.35">
      <c r="A742" s="9">
        <f t="shared" si="35"/>
        <v>734</v>
      </c>
      <c r="B742" s="15"/>
      <c r="C742" s="11">
        <f t="shared" si="34"/>
        <v>1</v>
      </c>
      <c r="D742" s="11"/>
      <c r="E742" s="11"/>
      <c r="F742" s="11"/>
      <c r="G742" s="89">
        <f>IFERROR(VLOOKUP(F742,COA!$A$1:$K$26,2,FALSE),0)</f>
        <v>0</v>
      </c>
      <c r="H742" s="11"/>
      <c r="I742" s="11"/>
      <c r="J742" s="78"/>
      <c r="K742" s="78"/>
      <c r="L742" s="146">
        <f t="shared" si="36"/>
        <v>504000</v>
      </c>
      <c r="M742" s="73"/>
      <c r="N742" s="73"/>
      <c r="O742" s="7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 x14ac:dyDescent="0.35">
      <c r="A743" s="9">
        <f t="shared" si="35"/>
        <v>735</v>
      </c>
      <c r="B743" s="15"/>
      <c r="C743" s="11">
        <f t="shared" si="34"/>
        <v>1</v>
      </c>
      <c r="D743" s="11"/>
      <c r="E743" s="11"/>
      <c r="F743" s="11"/>
      <c r="G743" s="89">
        <f>IFERROR(VLOOKUP(F743,COA!$A$1:$K$26,2,FALSE),0)</f>
        <v>0</v>
      </c>
      <c r="H743" s="11"/>
      <c r="I743" s="11"/>
      <c r="J743" s="78"/>
      <c r="K743" s="78"/>
      <c r="L743" s="146">
        <f t="shared" si="36"/>
        <v>504000</v>
      </c>
      <c r="M743" s="73"/>
      <c r="N743" s="73"/>
      <c r="O743" s="7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 x14ac:dyDescent="0.35">
      <c r="A744" s="9">
        <f t="shared" si="35"/>
        <v>736</v>
      </c>
      <c r="B744" s="15"/>
      <c r="C744" s="11">
        <f t="shared" si="34"/>
        <v>1</v>
      </c>
      <c r="D744" s="11"/>
      <c r="E744" s="11"/>
      <c r="F744" s="11"/>
      <c r="G744" s="89">
        <f>IFERROR(VLOOKUP(F744,COA!$A$1:$K$26,2,FALSE),0)</f>
        <v>0</v>
      </c>
      <c r="H744" s="11"/>
      <c r="I744" s="11"/>
      <c r="J744" s="78"/>
      <c r="K744" s="78"/>
      <c r="L744" s="146">
        <f t="shared" si="36"/>
        <v>504000</v>
      </c>
      <c r="M744" s="73"/>
      <c r="N744" s="73"/>
      <c r="O744" s="7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 x14ac:dyDescent="0.35">
      <c r="A745" s="9">
        <f t="shared" si="35"/>
        <v>737</v>
      </c>
      <c r="B745" s="15"/>
      <c r="C745" s="11">
        <f t="shared" si="34"/>
        <v>1</v>
      </c>
      <c r="D745" s="11"/>
      <c r="E745" s="11"/>
      <c r="F745" s="11"/>
      <c r="G745" s="89">
        <f>IFERROR(VLOOKUP(F745,COA!$A$1:$K$26,2,FALSE),0)</f>
        <v>0</v>
      </c>
      <c r="H745" s="13"/>
      <c r="I745" s="13"/>
      <c r="J745" s="78"/>
      <c r="K745" s="78"/>
      <c r="L745" s="146">
        <f t="shared" si="36"/>
        <v>504000</v>
      </c>
      <c r="M745" s="73"/>
      <c r="N745" s="73"/>
      <c r="O745" s="7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 x14ac:dyDescent="0.35">
      <c r="A746" s="9">
        <f t="shared" si="35"/>
        <v>738</v>
      </c>
      <c r="B746" s="15"/>
      <c r="C746" s="11">
        <f t="shared" si="34"/>
        <v>1</v>
      </c>
      <c r="D746" s="11"/>
      <c r="E746" s="11"/>
      <c r="F746" s="11"/>
      <c r="G746" s="89">
        <f>IFERROR(VLOOKUP(F746,COA!$A$1:$K$26,2,FALSE),0)</f>
        <v>0</v>
      </c>
      <c r="H746" s="11"/>
      <c r="I746" s="11"/>
      <c r="J746" s="78"/>
      <c r="K746" s="78"/>
      <c r="L746" s="146">
        <f t="shared" si="36"/>
        <v>504000</v>
      </c>
      <c r="M746" s="73"/>
      <c r="N746" s="73"/>
      <c r="O746" s="7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 x14ac:dyDescent="0.35">
      <c r="A747" s="9">
        <f t="shared" si="35"/>
        <v>739</v>
      </c>
      <c r="B747" s="15"/>
      <c r="C747" s="11">
        <f t="shared" si="34"/>
        <v>1</v>
      </c>
      <c r="D747" s="11"/>
      <c r="E747" s="11"/>
      <c r="F747" s="11"/>
      <c r="G747" s="89">
        <f>IFERROR(VLOOKUP(F747,COA!$A$1:$K$26,2,FALSE),0)</f>
        <v>0</v>
      </c>
      <c r="H747" s="11"/>
      <c r="I747" s="11"/>
      <c r="J747" s="78"/>
      <c r="K747" s="78"/>
      <c r="L747" s="146">
        <f t="shared" si="36"/>
        <v>504000</v>
      </c>
      <c r="M747" s="73"/>
      <c r="N747" s="73"/>
      <c r="O747" s="7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 x14ac:dyDescent="0.35">
      <c r="A748" s="9">
        <f t="shared" si="35"/>
        <v>740</v>
      </c>
      <c r="B748" s="15"/>
      <c r="C748" s="11">
        <f t="shared" si="34"/>
        <v>1</v>
      </c>
      <c r="D748" s="11"/>
      <c r="E748" s="11"/>
      <c r="F748" s="11"/>
      <c r="G748" s="89">
        <f>IFERROR(VLOOKUP(F748,COA!$A$1:$K$26,2,FALSE),0)</f>
        <v>0</v>
      </c>
      <c r="H748" s="11"/>
      <c r="I748" s="11"/>
      <c r="J748" s="78"/>
      <c r="K748" s="78"/>
      <c r="L748" s="146">
        <f t="shared" si="36"/>
        <v>504000</v>
      </c>
      <c r="M748" s="73"/>
      <c r="N748" s="73"/>
      <c r="O748" s="7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 x14ac:dyDescent="0.35">
      <c r="A749" s="9">
        <f t="shared" si="35"/>
        <v>741</v>
      </c>
      <c r="B749" s="15"/>
      <c r="C749" s="11">
        <f t="shared" si="34"/>
        <v>1</v>
      </c>
      <c r="D749" s="11"/>
      <c r="E749" s="11"/>
      <c r="F749" s="11"/>
      <c r="G749" s="89">
        <f>IFERROR(VLOOKUP(F749,COA!$A$1:$K$26,2,FALSE),0)</f>
        <v>0</v>
      </c>
      <c r="H749" s="11"/>
      <c r="I749" s="11"/>
      <c r="J749" s="78"/>
      <c r="K749" s="78"/>
      <c r="L749" s="146">
        <f t="shared" si="36"/>
        <v>504000</v>
      </c>
      <c r="M749" s="73"/>
      <c r="N749" s="73"/>
      <c r="O749" s="7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 x14ac:dyDescent="0.35">
      <c r="A750" s="9">
        <f t="shared" si="35"/>
        <v>742</v>
      </c>
      <c r="B750" s="15"/>
      <c r="C750" s="11">
        <f t="shared" si="34"/>
        <v>1</v>
      </c>
      <c r="D750" s="11"/>
      <c r="E750" s="11"/>
      <c r="F750" s="11"/>
      <c r="G750" s="89">
        <f>IFERROR(VLOOKUP(F750,COA!$A$1:$K$26,2,FALSE),0)</f>
        <v>0</v>
      </c>
      <c r="H750" s="11"/>
      <c r="I750" s="11"/>
      <c r="J750" s="78"/>
      <c r="K750" s="78"/>
      <c r="L750" s="146">
        <f t="shared" si="36"/>
        <v>504000</v>
      </c>
      <c r="M750" s="73"/>
      <c r="N750" s="73"/>
      <c r="O750" s="7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 x14ac:dyDescent="0.35">
      <c r="A751" s="9">
        <f t="shared" si="35"/>
        <v>743</v>
      </c>
      <c r="B751" s="15"/>
      <c r="C751" s="11">
        <f t="shared" si="34"/>
        <v>1</v>
      </c>
      <c r="D751" s="11"/>
      <c r="E751" s="11"/>
      <c r="F751" s="11"/>
      <c r="G751" s="89">
        <f>IFERROR(VLOOKUP(F751,COA!$A$1:$K$26,2,FALSE),0)</f>
        <v>0</v>
      </c>
      <c r="H751" s="13"/>
      <c r="I751" s="13"/>
      <c r="J751" s="78"/>
      <c r="K751" s="78"/>
      <c r="L751" s="146">
        <f t="shared" si="36"/>
        <v>504000</v>
      </c>
      <c r="M751" s="73"/>
      <c r="N751" s="73"/>
      <c r="O751" s="7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 x14ac:dyDescent="0.35">
      <c r="A752" s="9">
        <f t="shared" si="35"/>
        <v>744</v>
      </c>
      <c r="B752" s="15"/>
      <c r="C752" s="11">
        <f t="shared" si="34"/>
        <v>1</v>
      </c>
      <c r="D752" s="11"/>
      <c r="E752" s="11"/>
      <c r="F752" s="11"/>
      <c r="G752" s="89">
        <f>IFERROR(VLOOKUP(F752,COA!$A$1:$K$26,2,FALSE),0)</f>
        <v>0</v>
      </c>
      <c r="H752" s="11"/>
      <c r="I752" s="11"/>
      <c r="J752" s="78"/>
      <c r="K752" s="78"/>
      <c r="L752" s="146">
        <f t="shared" si="36"/>
        <v>504000</v>
      </c>
      <c r="M752" s="73"/>
      <c r="N752" s="73"/>
      <c r="O752" s="7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 x14ac:dyDescent="0.35">
      <c r="A753" s="9">
        <f t="shared" si="35"/>
        <v>745</v>
      </c>
      <c r="B753" s="15"/>
      <c r="C753" s="11">
        <f t="shared" si="34"/>
        <v>1</v>
      </c>
      <c r="D753" s="11"/>
      <c r="E753" s="11"/>
      <c r="F753" s="11"/>
      <c r="G753" s="89">
        <f>IFERROR(VLOOKUP(F753,COA!$A$1:$K$26,2,FALSE),0)</f>
        <v>0</v>
      </c>
      <c r="H753" s="11"/>
      <c r="I753" s="11"/>
      <c r="J753" s="78"/>
      <c r="K753" s="78"/>
      <c r="L753" s="146">
        <f t="shared" si="36"/>
        <v>504000</v>
      </c>
      <c r="M753" s="73"/>
      <c r="N753" s="73"/>
      <c r="O753" s="7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 x14ac:dyDescent="0.35">
      <c r="A754" s="9">
        <f t="shared" si="35"/>
        <v>746</v>
      </c>
      <c r="B754" s="15"/>
      <c r="C754" s="11">
        <f t="shared" si="34"/>
        <v>1</v>
      </c>
      <c r="D754" s="11"/>
      <c r="E754" s="11"/>
      <c r="F754" s="11"/>
      <c r="G754" s="89">
        <f>IFERROR(VLOOKUP(F754,COA!$A$1:$K$26,2,FALSE),0)</f>
        <v>0</v>
      </c>
      <c r="H754" s="11"/>
      <c r="I754" s="11"/>
      <c r="J754" s="78"/>
      <c r="K754" s="78"/>
      <c r="L754" s="146">
        <f t="shared" si="36"/>
        <v>504000</v>
      </c>
      <c r="M754" s="73"/>
      <c r="N754" s="73"/>
      <c r="O754" s="7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 x14ac:dyDescent="0.35">
      <c r="A755" s="9">
        <f t="shared" si="35"/>
        <v>747</v>
      </c>
      <c r="B755" s="15"/>
      <c r="C755" s="11">
        <f t="shared" si="34"/>
        <v>1</v>
      </c>
      <c r="D755" s="11"/>
      <c r="E755" s="11"/>
      <c r="F755" s="11"/>
      <c r="G755" s="89">
        <f>IFERROR(VLOOKUP(F755,COA!$A$1:$K$26,2,FALSE),0)</f>
        <v>0</v>
      </c>
      <c r="H755" s="11"/>
      <c r="I755" s="11"/>
      <c r="J755" s="78"/>
      <c r="K755" s="78"/>
      <c r="L755" s="146">
        <f t="shared" si="36"/>
        <v>504000</v>
      </c>
      <c r="M755" s="73"/>
      <c r="N755" s="73"/>
      <c r="O755" s="7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 x14ac:dyDescent="0.35">
      <c r="A756" s="9">
        <f t="shared" si="35"/>
        <v>748</v>
      </c>
      <c r="B756" s="15"/>
      <c r="C756" s="11">
        <f t="shared" si="34"/>
        <v>1</v>
      </c>
      <c r="D756" s="11"/>
      <c r="E756" s="11"/>
      <c r="F756" s="11"/>
      <c r="G756" s="89">
        <f>IFERROR(VLOOKUP(F756,COA!$A$1:$K$26,2,FALSE),0)</f>
        <v>0</v>
      </c>
      <c r="H756" s="11"/>
      <c r="I756" s="11"/>
      <c r="J756" s="78"/>
      <c r="K756" s="78"/>
      <c r="L756" s="146">
        <f t="shared" si="36"/>
        <v>504000</v>
      </c>
      <c r="M756" s="73"/>
      <c r="N756" s="73"/>
      <c r="O756" s="7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 x14ac:dyDescent="0.35">
      <c r="A757" s="9">
        <f t="shared" si="35"/>
        <v>749</v>
      </c>
      <c r="B757" s="15"/>
      <c r="C757" s="11">
        <f t="shared" si="34"/>
        <v>1</v>
      </c>
      <c r="D757" s="11"/>
      <c r="E757" s="11"/>
      <c r="F757" s="11"/>
      <c r="G757" s="89">
        <f>IFERROR(VLOOKUP(F757,COA!$A$1:$K$26,2,FALSE),0)</f>
        <v>0</v>
      </c>
      <c r="H757" s="13"/>
      <c r="I757" s="13"/>
      <c r="J757" s="78"/>
      <c r="K757" s="78"/>
      <c r="L757" s="146">
        <f t="shared" si="36"/>
        <v>504000</v>
      </c>
      <c r="M757" s="73"/>
      <c r="N757" s="73"/>
      <c r="O757" s="7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 x14ac:dyDescent="0.35">
      <c r="A758" s="9">
        <f t="shared" si="35"/>
        <v>750</v>
      </c>
      <c r="B758" s="15"/>
      <c r="C758" s="11">
        <f t="shared" si="34"/>
        <v>1</v>
      </c>
      <c r="D758" s="11"/>
      <c r="E758" s="11"/>
      <c r="F758" s="11"/>
      <c r="G758" s="89">
        <f>IFERROR(VLOOKUP(F758,COA!$A$1:$K$26,2,FALSE),0)</f>
        <v>0</v>
      </c>
      <c r="H758" s="11"/>
      <c r="I758" s="11"/>
      <c r="J758" s="78"/>
      <c r="K758" s="78"/>
      <c r="L758" s="146">
        <f t="shared" si="36"/>
        <v>504000</v>
      </c>
      <c r="M758" s="73"/>
      <c r="N758" s="73"/>
      <c r="O758" s="7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 x14ac:dyDescent="0.35">
      <c r="A759" s="9">
        <f t="shared" si="35"/>
        <v>751</v>
      </c>
      <c r="B759" s="15"/>
      <c r="C759" s="11">
        <f t="shared" si="34"/>
        <v>1</v>
      </c>
      <c r="D759" s="11"/>
      <c r="E759" s="11"/>
      <c r="F759" s="11"/>
      <c r="G759" s="89">
        <f>IFERROR(VLOOKUP(F759,COA!$A$1:$K$26,2,FALSE),0)</f>
        <v>0</v>
      </c>
      <c r="H759" s="11"/>
      <c r="I759" s="11"/>
      <c r="J759" s="78"/>
      <c r="K759" s="78"/>
      <c r="L759" s="146">
        <f t="shared" si="36"/>
        <v>504000</v>
      </c>
      <c r="M759" s="73"/>
      <c r="N759" s="73"/>
      <c r="O759" s="7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 x14ac:dyDescent="0.35">
      <c r="A760" s="9">
        <f t="shared" si="35"/>
        <v>752</v>
      </c>
      <c r="B760" s="15"/>
      <c r="C760" s="11">
        <f t="shared" si="34"/>
        <v>1</v>
      </c>
      <c r="D760" s="11"/>
      <c r="E760" s="11"/>
      <c r="F760" s="11"/>
      <c r="G760" s="89">
        <f>IFERROR(VLOOKUP(F760,COA!$A$1:$K$26,2,FALSE),0)</f>
        <v>0</v>
      </c>
      <c r="H760" s="11"/>
      <c r="I760" s="11"/>
      <c r="J760" s="78"/>
      <c r="K760" s="78"/>
      <c r="L760" s="146">
        <f t="shared" si="36"/>
        <v>504000</v>
      </c>
      <c r="M760" s="73"/>
      <c r="N760" s="73"/>
      <c r="O760" s="7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 x14ac:dyDescent="0.35">
      <c r="A761" s="9">
        <f t="shared" si="35"/>
        <v>753</v>
      </c>
      <c r="B761" s="15"/>
      <c r="C761" s="11">
        <f t="shared" si="34"/>
        <v>1</v>
      </c>
      <c r="D761" s="11"/>
      <c r="E761" s="11"/>
      <c r="F761" s="11"/>
      <c r="G761" s="89">
        <f>IFERROR(VLOOKUP(F761,COA!$A$1:$K$26,2,FALSE),0)</f>
        <v>0</v>
      </c>
      <c r="H761" s="11"/>
      <c r="I761" s="11"/>
      <c r="J761" s="78"/>
      <c r="K761" s="78"/>
      <c r="L761" s="146">
        <f t="shared" si="36"/>
        <v>504000</v>
      </c>
      <c r="M761" s="73"/>
      <c r="N761" s="73"/>
      <c r="O761" s="7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 x14ac:dyDescent="0.35">
      <c r="A762" s="9">
        <f t="shared" si="35"/>
        <v>754</v>
      </c>
      <c r="B762" s="15"/>
      <c r="C762" s="11">
        <f t="shared" si="34"/>
        <v>1</v>
      </c>
      <c r="D762" s="11"/>
      <c r="E762" s="11"/>
      <c r="F762" s="11"/>
      <c r="G762" s="89">
        <f>IFERROR(VLOOKUP(F762,COA!$A$1:$K$26,2,FALSE),0)</f>
        <v>0</v>
      </c>
      <c r="H762" s="11"/>
      <c r="I762" s="11"/>
      <c r="J762" s="78"/>
      <c r="K762" s="78"/>
      <c r="L762" s="146">
        <f t="shared" si="36"/>
        <v>504000</v>
      </c>
      <c r="M762" s="73"/>
      <c r="N762" s="73"/>
      <c r="O762" s="7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 x14ac:dyDescent="0.35">
      <c r="A763" s="9">
        <f t="shared" si="35"/>
        <v>755</v>
      </c>
      <c r="B763" s="15"/>
      <c r="C763" s="11">
        <f t="shared" si="34"/>
        <v>1</v>
      </c>
      <c r="D763" s="11"/>
      <c r="E763" s="11"/>
      <c r="F763" s="11"/>
      <c r="G763" s="89">
        <f>IFERROR(VLOOKUP(F763,COA!$A$1:$K$26,2,FALSE),0)</f>
        <v>0</v>
      </c>
      <c r="H763" s="13"/>
      <c r="I763" s="13"/>
      <c r="J763" s="78"/>
      <c r="K763" s="78"/>
      <c r="L763" s="146">
        <f t="shared" si="36"/>
        <v>504000</v>
      </c>
      <c r="M763" s="73"/>
      <c r="N763" s="73"/>
      <c r="O763" s="7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 x14ac:dyDescent="0.35">
      <c r="A764" s="9">
        <f t="shared" si="35"/>
        <v>756</v>
      </c>
      <c r="B764" s="15"/>
      <c r="C764" s="11">
        <f t="shared" si="34"/>
        <v>1</v>
      </c>
      <c r="D764" s="11"/>
      <c r="E764" s="11"/>
      <c r="F764" s="11"/>
      <c r="G764" s="89">
        <f>IFERROR(VLOOKUP(F764,COA!$A$1:$K$26,2,FALSE),0)</f>
        <v>0</v>
      </c>
      <c r="H764" s="11"/>
      <c r="I764" s="11"/>
      <c r="J764" s="78"/>
      <c r="K764" s="78"/>
      <c r="L764" s="146">
        <f t="shared" si="36"/>
        <v>504000</v>
      </c>
      <c r="M764" s="73"/>
      <c r="N764" s="73"/>
      <c r="O764" s="7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 x14ac:dyDescent="0.35">
      <c r="A765" s="9">
        <f t="shared" si="35"/>
        <v>757</v>
      </c>
      <c r="B765" s="15"/>
      <c r="C765" s="11">
        <f t="shared" si="34"/>
        <v>1</v>
      </c>
      <c r="D765" s="11"/>
      <c r="E765" s="11"/>
      <c r="F765" s="11"/>
      <c r="G765" s="89">
        <f>IFERROR(VLOOKUP(F765,COA!$A$1:$K$26,2,FALSE),0)</f>
        <v>0</v>
      </c>
      <c r="H765" s="11"/>
      <c r="I765" s="11"/>
      <c r="J765" s="78"/>
      <c r="K765" s="78"/>
      <c r="L765" s="146">
        <f t="shared" si="36"/>
        <v>504000</v>
      </c>
      <c r="M765" s="73"/>
      <c r="N765" s="73"/>
      <c r="O765" s="7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 x14ac:dyDescent="0.35">
      <c r="A766" s="9">
        <f t="shared" si="35"/>
        <v>758</v>
      </c>
      <c r="B766" s="15"/>
      <c r="C766" s="11">
        <f t="shared" si="34"/>
        <v>1</v>
      </c>
      <c r="D766" s="11"/>
      <c r="E766" s="11"/>
      <c r="F766" s="11"/>
      <c r="G766" s="89">
        <f>IFERROR(VLOOKUP(F766,COA!$A$1:$K$26,2,FALSE),0)</f>
        <v>0</v>
      </c>
      <c r="H766" s="11"/>
      <c r="I766" s="11"/>
      <c r="J766" s="78"/>
      <c r="K766" s="78"/>
      <c r="L766" s="146">
        <f t="shared" si="36"/>
        <v>504000</v>
      </c>
      <c r="M766" s="73"/>
      <c r="N766" s="73"/>
      <c r="O766" s="7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 x14ac:dyDescent="0.35">
      <c r="A767" s="9">
        <f t="shared" si="35"/>
        <v>759</v>
      </c>
      <c r="B767" s="15"/>
      <c r="C767" s="11">
        <f t="shared" si="34"/>
        <v>1</v>
      </c>
      <c r="D767" s="11"/>
      <c r="E767" s="11"/>
      <c r="F767" s="11"/>
      <c r="G767" s="89">
        <f>IFERROR(VLOOKUP(F767,COA!$A$1:$K$26,2,FALSE),0)</f>
        <v>0</v>
      </c>
      <c r="H767" s="11"/>
      <c r="I767" s="11"/>
      <c r="J767" s="78"/>
      <c r="K767" s="78"/>
      <c r="L767" s="146">
        <f t="shared" si="36"/>
        <v>504000</v>
      </c>
      <c r="M767" s="73"/>
      <c r="N767" s="73"/>
      <c r="O767" s="7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 x14ac:dyDescent="0.35">
      <c r="A768" s="9">
        <f t="shared" si="35"/>
        <v>760</v>
      </c>
      <c r="B768" s="15"/>
      <c r="C768" s="11">
        <f t="shared" si="34"/>
        <v>1</v>
      </c>
      <c r="D768" s="11"/>
      <c r="E768" s="11"/>
      <c r="F768" s="11"/>
      <c r="G768" s="89">
        <f>IFERROR(VLOOKUP(F768,COA!$A$1:$K$26,2,FALSE),0)</f>
        <v>0</v>
      </c>
      <c r="H768" s="11"/>
      <c r="I768" s="11"/>
      <c r="J768" s="78"/>
      <c r="K768" s="78"/>
      <c r="L768" s="146">
        <f t="shared" si="36"/>
        <v>504000</v>
      </c>
      <c r="M768" s="73"/>
      <c r="N768" s="73"/>
      <c r="O768" s="7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 x14ac:dyDescent="0.35">
      <c r="A769" s="9">
        <f t="shared" si="35"/>
        <v>761</v>
      </c>
      <c r="B769" s="15"/>
      <c r="C769" s="11">
        <f t="shared" si="34"/>
        <v>1</v>
      </c>
      <c r="D769" s="11"/>
      <c r="E769" s="11"/>
      <c r="F769" s="11"/>
      <c r="G769" s="89">
        <f>IFERROR(VLOOKUP(F769,COA!$A$1:$K$26,2,FALSE),0)</f>
        <v>0</v>
      </c>
      <c r="H769" s="13"/>
      <c r="I769" s="13"/>
      <c r="J769" s="78"/>
      <c r="K769" s="78"/>
      <c r="L769" s="146">
        <f t="shared" si="36"/>
        <v>504000</v>
      </c>
      <c r="M769" s="73"/>
      <c r="N769" s="73"/>
      <c r="O769" s="7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 x14ac:dyDescent="0.35">
      <c r="A770" s="9">
        <f t="shared" si="35"/>
        <v>762</v>
      </c>
      <c r="B770" s="15"/>
      <c r="C770" s="11">
        <f t="shared" si="34"/>
        <v>1</v>
      </c>
      <c r="D770" s="11"/>
      <c r="E770" s="11"/>
      <c r="F770" s="11"/>
      <c r="G770" s="89">
        <f>IFERROR(VLOOKUP(F770,COA!$A$1:$K$26,2,FALSE),0)</f>
        <v>0</v>
      </c>
      <c r="H770" s="11"/>
      <c r="I770" s="11"/>
      <c r="J770" s="78"/>
      <c r="K770" s="78"/>
      <c r="L770" s="146">
        <f t="shared" si="36"/>
        <v>504000</v>
      </c>
      <c r="M770" s="73"/>
      <c r="N770" s="73"/>
      <c r="O770" s="7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 x14ac:dyDescent="0.35">
      <c r="A771" s="9">
        <f t="shared" si="35"/>
        <v>763</v>
      </c>
      <c r="B771" s="15"/>
      <c r="C771" s="11">
        <f t="shared" si="34"/>
        <v>1</v>
      </c>
      <c r="D771" s="11"/>
      <c r="E771" s="11"/>
      <c r="F771" s="11"/>
      <c r="G771" s="89">
        <f>IFERROR(VLOOKUP(F771,COA!$A$1:$K$26,2,FALSE),0)</f>
        <v>0</v>
      </c>
      <c r="H771" s="11"/>
      <c r="I771" s="11"/>
      <c r="J771" s="78"/>
      <c r="K771" s="78"/>
      <c r="L771" s="146">
        <f t="shared" si="36"/>
        <v>504000</v>
      </c>
      <c r="M771" s="73"/>
      <c r="N771" s="73"/>
      <c r="O771" s="7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 x14ac:dyDescent="0.35">
      <c r="A772" s="9">
        <f t="shared" si="35"/>
        <v>764</v>
      </c>
      <c r="B772" s="15"/>
      <c r="C772" s="11">
        <f t="shared" si="34"/>
        <v>1</v>
      </c>
      <c r="D772" s="11"/>
      <c r="E772" s="11"/>
      <c r="F772" s="11"/>
      <c r="G772" s="89">
        <f>IFERROR(VLOOKUP(F772,COA!$A$1:$K$26,2,FALSE),0)</f>
        <v>0</v>
      </c>
      <c r="H772" s="11"/>
      <c r="I772" s="11"/>
      <c r="J772" s="78"/>
      <c r="K772" s="78"/>
      <c r="L772" s="146">
        <f t="shared" si="36"/>
        <v>504000</v>
      </c>
      <c r="M772" s="73"/>
      <c r="N772" s="73"/>
      <c r="O772" s="7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 x14ac:dyDescent="0.35">
      <c r="A773" s="9">
        <f t="shared" si="35"/>
        <v>765</v>
      </c>
      <c r="B773" s="15"/>
      <c r="C773" s="11">
        <f t="shared" si="34"/>
        <v>1</v>
      </c>
      <c r="D773" s="11"/>
      <c r="E773" s="11"/>
      <c r="F773" s="11"/>
      <c r="G773" s="89">
        <f>IFERROR(VLOOKUP(F773,COA!$A$1:$K$26,2,FALSE),0)</f>
        <v>0</v>
      </c>
      <c r="H773" s="11"/>
      <c r="I773" s="11"/>
      <c r="J773" s="78"/>
      <c r="K773" s="78"/>
      <c r="L773" s="146">
        <f t="shared" si="36"/>
        <v>504000</v>
      </c>
      <c r="M773" s="73"/>
      <c r="N773" s="73"/>
      <c r="O773" s="7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 x14ac:dyDescent="0.35">
      <c r="A774" s="9">
        <f t="shared" si="35"/>
        <v>766</v>
      </c>
      <c r="B774" s="15"/>
      <c r="C774" s="11">
        <f t="shared" si="34"/>
        <v>1</v>
      </c>
      <c r="D774" s="11"/>
      <c r="E774" s="11"/>
      <c r="F774" s="11"/>
      <c r="G774" s="89">
        <f>IFERROR(VLOOKUP(F774,COA!$A$1:$K$26,2,FALSE),0)</f>
        <v>0</v>
      </c>
      <c r="H774" s="11"/>
      <c r="I774" s="11"/>
      <c r="J774" s="78"/>
      <c r="K774" s="78"/>
      <c r="L774" s="146">
        <f t="shared" si="36"/>
        <v>504000</v>
      </c>
      <c r="M774" s="73"/>
      <c r="N774" s="73"/>
      <c r="O774" s="7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 x14ac:dyDescent="0.35">
      <c r="A775" s="9">
        <f t="shared" si="35"/>
        <v>767</v>
      </c>
      <c r="B775" s="15"/>
      <c r="C775" s="11">
        <f t="shared" si="34"/>
        <v>1</v>
      </c>
      <c r="D775" s="11"/>
      <c r="E775" s="11"/>
      <c r="F775" s="11"/>
      <c r="G775" s="89">
        <f>IFERROR(VLOOKUP(F775,COA!$A$1:$K$26,2,FALSE),0)</f>
        <v>0</v>
      </c>
      <c r="H775" s="11"/>
      <c r="I775" s="11"/>
      <c r="J775" s="78"/>
      <c r="K775" s="78"/>
      <c r="L775" s="146">
        <f t="shared" si="36"/>
        <v>504000</v>
      </c>
      <c r="M775" s="73"/>
      <c r="N775" s="73"/>
      <c r="O775" s="7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 x14ac:dyDescent="0.35">
      <c r="A776" s="9">
        <f t="shared" si="35"/>
        <v>768</v>
      </c>
      <c r="B776" s="15"/>
      <c r="C776" s="11">
        <f t="shared" ref="C776:C839" si="37">MONTH(B776)</f>
        <v>1</v>
      </c>
      <c r="D776" s="11"/>
      <c r="E776" s="11"/>
      <c r="F776" s="11"/>
      <c r="G776" s="89">
        <f>IFERROR(VLOOKUP(F776,COA!$A$1:$K$26,2,FALSE),0)</f>
        <v>0</v>
      </c>
      <c r="H776" s="11"/>
      <c r="I776" s="11"/>
      <c r="J776" s="78"/>
      <c r="K776" s="78"/>
      <c r="L776" s="146">
        <f t="shared" si="36"/>
        <v>504000</v>
      </c>
      <c r="M776" s="73"/>
      <c r="N776" s="73"/>
      <c r="O776" s="7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 x14ac:dyDescent="0.35">
      <c r="A777" s="9">
        <f t="shared" si="35"/>
        <v>769</v>
      </c>
      <c r="B777" s="15"/>
      <c r="C777" s="11">
        <f t="shared" si="37"/>
        <v>1</v>
      </c>
      <c r="D777" s="11"/>
      <c r="E777" s="11"/>
      <c r="F777" s="11"/>
      <c r="G777" s="89">
        <f>IFERROR(VLOOKUP(F777,COA!$A$1:$K$26,2,FALSE),0)</f>
        <v>0</v>
      </c>
      <c r="H777" s="11"/>
      <c r="I777" s="11"/>
      <c r="J777" s="78"/>
      <c r="K777" s="78"/>
      <c r="L777" s="146">
        <f t="shared" si="36"/>
        <v>504000</v>
      </c>
      <c r="M777" s="73"/>
      <c r="N777" s="73"/>
      <c r="O777" s="7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 x14ac:dyDescent="0.35">
      <c r="A778" s="9">
        <f t="shared" si="35"/>
        <v>770</v>
      </c>
      <c r="B778" s="15"/>
      <c r="C778" s="11">
        <f t="shared" si="37"/>
        <v>1</v>
      </c>
      <c r="D778" s="11"/>
      <c r="E778" s="11"/>
      <c r="F778" s="11"/>
      <c r="G778" s="89">
        <f>IFERROR(VLOOKUP(F778,COA!$A$1:$K$26,2,FALSE),0)</f>
        <v>0</v>
      </c>
      <c r="H778" s="11"/>
      <c r="I778" s="11"/>
      <c r="J778" s="78"/>
      <c r="K778" s="78"/>
      <c r="L778" s="146">
        <f t="shared" si="36"/>
        <v>504000</v>
      </c>
      <c r="M778" s="73"/>
      <c r="N778" s="73"/>
      <c r="O778" s="7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 x14ac:dyDescent="0.35">
      <c r="A779" s="9">
        <f t="shared" ref="A779:A842" si="38">A778+1</f>
        <v>771</v>
      </c>
      <c r="B779" s="15"/>
      <c r="C779" s="11">
        <f t="shared" si="37"/>
        <v>1</v>
      </c>
      <c r="D779" s="11"/>
      <c r="E779" s="11"/>
      <c r="F779" s="11"/>
      <c r="G779" s="89">
        <f>IFERROR(VLOOKUP(F779,COA!$A$1:$K$26,2,FALSE),0)</f>
        <v>0</v>
      </c>
      <c r="H779" s="11"/>
      <c r="I779" s="11"/>
      <c r="J779" s="78"/>
      <c r="K779" s="78"/>
      <c r="L779" s="146">
        <f t="shared" ref="L779:L842" si="39">L778+J779-K779</f>
        <v>504000</v>
      </c>
      <c r="M779" s="73"/>
      <c r="N779" s="73"/>
      <c r="O779" s="7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 x14ac:dyDescent="0.35">
      <c r="A780" s="9">
        <f t="shared" si="38"/>
        <v>772</v>
      </c>
      <c r="B780" s="15"/>
      <c r="C780" s="11">
        <f t="shared" si="37"/>
        <v>1</v>
      </c>
      <c r="D780" s="11"/>
      <c r="E780" s="11"/>
      <c r="F780" s="11"/>
      <c r="G780" s="89">
        <f>IFERROR(VLOOKUP(F780,COA!$A$1:$K$26,2,FALSE),0)</f>
        <v>0</v>
      </c>
      <c r="H780" s="11"/>
      <c r="I780" s="11"/>
      <c r="J780" s="78"/>
      <c r="K780" s="78"/>
      <c r="L780" s="146">
        <f t="shared" si="39"/>
        <v>504000</v>
      </c>
      <c r="M780" s="73"/>
      <c r="N780" s="73"/>
      <c r="O780" s="7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 x14ac:dyDescent="0.35">
      <c r="A781" s="9">
        <f t="shared" si="38"/>
        <v>773</v>
      </c>
      <c r="B781" s="15"/>
      <c r="C781" s="11">
        <f t="shared" si="37"/>
        <v>1</v>
      </c>
      <c r="D781" s="11"/>
      <c r="E781" s="11"/>
      <c r="F781" s="11"/>
      <c r="G781" s="89">
        <f>IFERROR(VLOOKUP(F781,COA!$A$1:$K$26,2,FALSE),0)</f>
        <v>0</v>
      </c>
      <c r="H781" s="11"/>
      <c r="I781" s="11"/>
      <c r="J781" s="78"/>
      <c r="K781" s="78"/>
      <c r="L781" s="146">
        <f t="shared" si="39"/>
        <v>504000</v>
      </c>
      <c r="M781" s="73"/>
      <c r="N781" s="73"/>
      <c r="O781" s="7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 x14ac:dyDescent="0.35">
      <c r="A782" s="9">
        <f t="shared" si="38"/>
        <v>774</v>
      </c>
      <c r="B782" s="15"/>
      <c r="C782" s="11">
        <f t="shared" si="37"/>
        <v>1</v>
      </c>
      <c r="D782" s="11"/>
      <c r="E782" s="11"/>
      <c r="F782" s="11"/>
      <c r="G782" s="89">
        <f>IFERROR(VLOOKUP(F782,COA!$A$1:$K$26,2,FALSE),0)</f>
        <v>0</v>
      </c>
      <c r="H782" s="11"/>
      <c r="I782" s="11"/>
      <c r="J782" s="78"/>
      <c r="K782" s="78"/>
      <c r="L782" s="146">
        <f t="shared" si="39"/>
        <v>504000</v>
      </c>
      <c r="M782" s="73"/>
      <c r="N782" s="73"/>
      <c r="O782" s="7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 x14ac:dyDescent="0.35">
      <c r="A783" s="9">
        <f t="shared" si="38"/>
        <v>775</v>
      </c>
      <c r="B783" s="15"/>
      <c r="C783" s="11">
        <f t="shared" si="37"/>
        <v>1</v>
      </c>
      <c r="D783" s="11"/>
      <c r="E783" s="11"/>
      <c r="F783" s="11"/>
      <c r="G783" s="89">
        <f>IFERROR(VLOOKUP(F783,COA!$A$1:$K$26,2,FALSE),0)</f>
        <v>0</v>
      </c>
      <c r="H783" s="11"/>
      <c r="I783" s="11"/>
      <c r="J783" s="78"/>
      <c r="K783" s="78"/>
      <c r="L783" s="146">
        <f t="shared" si="39"/>
        <v>504000</v>
      </c>
      <c r="M783" s="73"/>
      <c r="N783" s="73"/>
      <c r="O783" s="7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 x14ac:dyDescent="0.35">
      <c r="A784" s="9">
        <f t="shared" si="38"/>
        <v>776</v>
      </c>
      <c r="B784" s="15"/>
      <c r="C784" s="11">
        <f t="shared" si="37"/>
        <v>1</v>
      </c>
      <c r="D784" s="11"/>
      <c r="E784" s="11"/>
      <c r="F784" s="11"/>
      <c r="G784" s="89">
        <f>IFERROR(VLOOKUP(F784,COA!$A$1:$K$26,2,FALSE),0)</f>
        <v>0</v>
      </c>
      <c r="H784" s="11"/>
      <c r="I784" s="11"/>
      <c r="J784" s="78"/>
      <c r="K784" s="78"/>
      <c r="L784" s="146">
        <f t="shared" si="39"/>
        <v>504000</v>
      </c>
      <c r="M784" s="73"/>
      <c r="N784" s="73"/>
      <c r="O784" s="7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 x14ac:dyDescent="0.35">
      <c r="A785" s="9">
        <f t="shared" si="38"/>
        <v>777</v>
      </c>
      <c r="B785" s="15"/>
      <c r="C785" s="11">
        <f t="shared" si="37"/>
        <v>1</v>
      </c>
      <c r="D785" s="11"/>
      <c r="E785" s="11"/>
      <c r="F785" s="11"/>
      <c r="G785" s="89">
        <f>IFERROR(VLOOKUP(F785,COA!$A$1:$K$26,2,FALSE),0)</f>
        <v>0</v>
      </c>
      <c r="H785" s="11"/>
      <c r="I785" s="11"/>
      <c r="J785" s="78"/>
      <c r="K785" s="78"/>
      <c r="L785" s="146">
        <f t="shared" si="39"/>
        <v>504000</v>
      </c>
      <c r="M785" s="73"/>
      <c r="N785" s="73"/>
      <c r="O785" s="7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 x14ac:dyDescent="0.35">
      <c r="A786" s="9">
        <f t="shared" si="38"/>
        <v>778</v>
      </c>
      <c r="B786" s="15"/>
      <c r="C786" s="11">
        <f t="shared" si="37"/>
        <v>1</v>
      </c>
      <c r="D786" s="11"/>
      <c r="E786" s="11"/>
      <c r="F786" s="11"/>
      <c r="G786" s="89">
        <f>IFERROR(VLOOKUP(F786,COA!$A$1:$K$26,2,FALSE),0)</f>
        <v>0</v>
      </c>
      <c r="H786" s="11"/>
      <c r="I786" s="11"/>
      <c r="J786" s="78"/>
      <c r="K786" s="78"/>
      <c r="L786" s="146">
        <f t="shared" si="39"/>
        <v>504000</v>
      </c>
      <c r="M786" s="73"/>
      <c r="N786" s="73"/>
      <c r="O786" s="7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 x14ac:dyDescent="0.35">
      <c r="A787" s="9">
        <f t="shared" si="38"/>
        <v>779</v>
      </c>
      <c r="B787" s="15"/>
      <c r="C787" s="11">
        <f t="shared" si="37"/>
        <v>1</v>
      </c>
      <c r="D787" s="11"/>
      <c r="E787" s="11"/>
      <c r="F787" s="11"/>
      <c r="G787" s="89">
        <f>IFERROR(VLOOKUP(F787,COA!$A$1:$K$26,2,FALSE),0)</f>
        <v>0</v>
      </c>
      <c r="H787" s="13"/>
      <c r="I787" s="13"/>
      <c r="J787" s="78"/>
      <c r="K787" s="78"/>
      <c r="L787" s="146">
        <f t="shared" si="39"/>
        <v>504000</v>
      </c>
      <c r="M787" s="73"/>
      <c r="N787" s="73"/>
      <c r="O787" s="7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 x14ac:dyDescent="0.35">
      <c r="A788" s="9">
        <f t="shared" si="38"/>
        <v>780</v>
      </c>
      <c r="B788" s="15"/>
      <c r="C788" s="11">
        <f t="shared" si="37"/>
        <v>1</v>
      </c>
      <c r="D788" s="11"/>
      <c r="E788" s="11"/>
      <c r="F788" s="11"/>
      <c r="G788" s="89">
        <f>IFERROR(VLOOKUP(F788,COA!$A$1:$K$26,2,FALSE),0)</f>
        <v>0</v>
      </c>
      <c r="H788" s="11"/>
      <c r="I788" s="11"/>
      <c r="J788" s="78"/>
      <c r="K788" s="78"/>
      <c r="L788" s="146">
        <f t="shared" si="39"/>
        <v>504000</v>
      </c>
      <c r="M788" s="73"/>
      <c r="N788" s="73"/>
      <c r="O788" s="7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 x14ac:dyDescent="0.35">
      <c r="A789" s="9">
        <f t="shared" si="38"/>
        <v>781</v>
      </c>
      <c r="B789" s="15"/>
      <c r="C789" s="11">
        <f t="shared" si="37"/>
        <v>1</v>
      </c>
      <c r="D789" s="11"/>
      <c r="E789" s="11"/>
      <c r="F789" s="11"/>
      <c r="G789" s="89">
        <f>IFERROR(VLOOKUP(F789,COA!$A$1:$K$26,2,FALSE),0)</f>
        <v>0</v>
      </c>
      <c r="H789" s="11"/>
      <c r="I789" s="11"/>
      <c r="J789" s="78"/>
      <c r="K789" s="78"/>
      <c r="L789" s="146">
        <f t="shared" si="39"/>
        <v>504000</v>
      </c>
      <c r="M789" s="73"/>
      <c r="N789" s="73"/>
      <c r="O789" s="7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 x14ac:dyDescent="0.35">
      <c r="A790" s="9">
        <f t="shared" si="38"/>
        <v>782</v>
      </c>
      <c r="B790" s="15"/>
      <c r="C790" s="11">
        <f t="shared" si="37"/>
        <v>1</v>
      </c>
      <c r="D790" s="11"/>
      <c r="E790" s="11"/>
      <c r="F790" s="11"/>
      <c r="G790" s="89">
        <f>IFERROR(VLOOKUP(F790,COA!$A$1:$K$26,2,FALSE),0)</f>
        <v>0</v>
      </c>
      <c r="H790" s="11"/>
      <c r="I790" s="11"/>
      <c r="J790" s="78"/>
      <c r="K790" s="78"/>
      <c r="L790" s="146">
        <f t="shared" si="39"/>
        <v>504000</v>
      </c>
      <c r="M790" s="73"/>
      <c r="N790" s="73"/>
      <c r="O790" s="7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 x14ac:dyDescent="0.35">
      <c r="A791" s="9">
        <f t="shared" si="38"/>
        <v>783</v>
      </c>
      <c r="B791" s="15"/>
      <c r="C791" s="11">
        <f t="shared" si="37"/>
        <v>1</v>
      </c>
      <c r="D791" s="11"/>
      <c r="E791" s="11"/>
      <c r="F791" s="11"/>
      <c r="G791" s="89">
        <f>IFERROR(VLOOKUP(F791,COA!$A$1:$K$26,2,FALSE),0)</f>
        <v>0</v>
      </c>
      <c r="H791" s="11"/>
      <c r="I791" s="11"/>
      <c r="J791" s="78"/>
      <c r="K791" s="78"/>
      <c r="L791" s="146">
        <f t="shared" si="39"/>
        <v>504000</v>
      </c>
      <c r="M791" s="73"/>
      <c r="N791" s="73"/>
      <c r="O791" s="7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 x14ac:dyDescent="0.35">
      <c r="A792" s="9">
        <f t="shared" si="38"/>
        <v>784</v>
      </c>
      <c r="B792" s="15"/>
      <c r="C792" s="11">
        <f t="shared" si="37"/>
        <v>1</v>
      </c>
      <c r="D792" s="11"/>
      <c r="E792" s="11"/>
      <c r="F792" s="11"/>
      <c r="G792" s="89">
        <f>IFERROR(VLOOKUP(F792,COA!$A$1:$K$26,2,FALSE),0)</f>
        <v>0</v>
      </c>
      <c r="H792" s="11"/>
      <c r="I792" s="11"/>
      <c r="J792" s="78"/>
      <c r="K792" s="78"/>
      <c r="L792" s="146">
        <f t="shared" si="39"/>
        <v>504000</v>
      </c>
      <c r="M792" s="73"/>
      <c r="N792" s="73"/>
      <c r="O792" s="7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 x14ac:dyDescent="0.35">
      <c r="A793" s="9">
        <f t="shared" si="38"/>
        <v>785</v>
      </c>
      <c r="B793" s="15"/>
      <c r="C793" s="11">
        <f t="shared" si="37"/>
        <v>1</v>
      </c>
      <c r="D793" s="11"/>
      <c r="E793" s="11"/>
      <c r="F793" s="11"/>
      <c r="G793" s="89">
        <f>IFERROR(VLOOKUP(F793,COA!$A$1:$K$26,2,FALSE),0)</f>
        <v>0</v>
      </c>
      <c r="H793" s="11"/>
      <c r="I793" s="11"/>
      <c r="J793" s="78"/>
      <c r="K793" s="78"/>
      <c r="L793" s="146">
        <f t="shared" si="39"/>
        <v>504000</v>
      </c>
      <c r="M793" s="73"/>
      <c r="N793" s="73"/>
      <c r="O793" s="7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 x14ac:dyDescent="0.35">
      <c r="A794" s="9">
        <f t="shared" si="38"/>
        <v>786</v>
      </c>
      <c r="B794" s="15"/>
      <c r="C794" s="11">
        <f t="shared" si="37"/>
        <v>1</v>
      </c>
      <c r="D794" s="11"/>
      <c r="E794" s="11"/>
      <c r="F794" s="11"/>
      <c r="G794" s="89">
        <f>IFERROR(VLOOKUP(F794,COA!$A$1:$K$26,2,FALSE),0)</f>
        <v>0</v>
      </c>
      <c r="H794" s="11"/>
      <c r="I794" s="11"/>
      <c r="J794" s="78"/>
      <c r="K794" s="78"/>
      <c r="L794" s="146">
        <f t="shared" si="39"/>
        <v>504000</v>
      </c>
      <c r="M794" s="73"/>
      <c r="N794" s="73"/>
      <c r="O794" s="7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 x14ac:dyDescent="0.35">
      <c r="A795" s="9">
        <f t="shared" si="38"/>
        <v>787</v>
      </c>
      <c r="B795" s="15"/>
      <c r="C795" s="11">
        <f t="shared" si="37"/>
        <v>1</v>
      </c>
      <c r="D795" s="11"/>
      <c r="E795" s="11"/>
      <c r="F795" s="11"/>
      <c r="G795" s="89">
        <f>IFERROR(VLOOKUP(F795,COA!$A$1:$K$26,2,FALSE),0)</f>
        <v>0</v>
      </c>
      <c r="H795" s="11"/>
      <c r="I795" s="11"/>
      <c r="J795" s="78"/>
      <c r="K795" s="78"/>
      <c r="L795" s="146">
        <f t="shared" si="39"/>
        <v>504000</v>
      </c>
      <c r="M795" s="73"/>
      <c r="N795" s="73"/>
      <c r="O795" s="7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 x14ac:dyDescent="0.35">
      <c r="A796" s="9">
        <f t="shared" si="38"/>
        <v>788</v>
      </c>
      <c r="B796" s="15"/>
      <c r="C796" s="11">
        <f t="shared" si="37"/>
        <v>1</v>
      </c>
      <c r="D796" s="11"/>
      <c r="E796" s="11"/>
      <c r="F796" s="11"/>
      <c r="G796" s="89">
        <f>IFERROR(VLOOKUP(F796,COA!$A$1:$K$26,2,FALSE),0)</f>
        <v>0</v>
      </c>
      <c r="H796" s="11"/>
      <c r="I796" s="11"/>
      <c r="J796" s="78"/>
      <c r="K796" s="78"/>
      <c r="L796" s="146">
        <f t="shared" si="39"/>
        <v>504000</v>
      </c>
      <c r="M796" s="73"/>
      <c r="N796" s="73"/>
      <c r="O796" s="7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 x14ac:dyDescent="0.35">
      <c r="A797" s="9">
        <f t="shared" si="38"/>
        <v>789</v>
      </c>
      <c r="B797" s="15"/>
      <c r="C797" s="11">
        <f t="shared" si="37"/>
        <v>1</v>
      </c>
      <c r="D797" s="11"/>
      <c r="E797" s="11"/>
      <c r="F797" s="11"/>
      <c r="G797" s="89">
        <f>IFERROR(VLOOKUP(F797,COA!$A$1:$K$26,2,FALSE),0)</f>
        <v>0</v>
      </c>
      <c r="H797" s="11"/>
      <c r="I797" s="11"/>
      <c r="J797" s="78"/>
      <c r="K797" s="78"/>
      <c r="L797" s="146">
        <f t="shared" si="39"/>
        <v>504000</v>
      </c>
      <c r="M797" s="73"/>
      <c r="N797" s="73"/>
      <c r="O797" s="7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 x14ac:dyDescent="0.35">
      <c r="A798" s="9">
        <f t="shared" si="38"/>
        <v>790</v>
      </c>
      <c r="B798" s="15"/>
      <c r="C798" s="11">
        <f t="shared" si="37"/>
        <v>1</v>
      </c>
      <c r="D798" s="11"/>
      <c r="E798" s="11"/>
      <c r="F798" s="11"/>
      <c r="G798" s="89">
        <f>IFERROR(VLOOKUP(F798,COA!$A$1:$K$26,2,FALSE),0)</f>
        <v>0</v>
      </c>
      <c r="H798" s="11"/>
      <c r="I798" s="11"/>
      <c r="J798" s="78"/>
      <c r="K798" s="78"/>
      <c r="L798" s="146">
        <f t="shared" si="39"/>
        <v>504000</v>
      </c>
      <c r="M798" s="73"/>
      <c r="N798" s="73"/>
      <c r="O798" s="7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 x14ac:dyDescent="0.35">
      <c r="A799" s="9">
        <f t="shared" si="38"/>
        <v>791</v>
      </c>
      <c r="B799" s="15"/>
      <c r="C799" s="11">
        <f t="shared" si="37"/>
        <v>1</v>
      </c>
      <c r="D799" s="11"/>
      <c r="E799" s="11"/>
      <c r="F799" s="11"/>
      <c r="G799" s="89">
        <f>IFERROR(VLOOKUP(F799,COA!$A$1:$K$26,2,FALSE),0)</f>
        <v>0</v>
      </c>
      <c r="H799" s="11"/>
      <c r="I799" s="11"/>
      <c r="J799" s="78"/>
      <c r="K799" s="78"/>
      <c r="L799" s="146">
        <f t="shared" si="39"/>
        <v>504000</v>
      </c>
      <c r="M799" s="73"/>
      <c r="N799" s="73"/>
      <c r="O799" s="7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 x14ac:dyDescent="0.35">
      <c r="A800" s="9">
        <f t="shared" si="38"/>
        <v>792</v>
      </c>
      <c r="B800" s="15"/>
      <c r="C800" s="11">
        <f t="shared" si="37"/>
        <v>1</v>
      </c>
      <c r="D800" s="11"/>
      <c r="E800" s="11"/>
      <c r="F800" s="11"/>
      <c r="G800" s="89">
        <f>IFERROR(VLOOKUP(F800,COA!$A$1:$K$26,2,FALSE),0)</f>
        <v>0</v>
      </c>
      <c r="H800" s="11"/>
      <c r="I800" s="11"/>
      <c r="J800" s="78"/>
      <c r="K800" s="78"/>
      <c r="L800" s="146">
        <f t="shared" si="39"/>
        <v>504000</v>
      </c>
      <c r="M800" s="73"/>
      <c r="N800" s="73"/>
      <c r="O800" s="7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 x14ac:dyDescent="0.35">
      <c r="A801" s="9">
        <f t="shared" si="38"/>
        <v>793</v>
      </c>
      <c r="B801" s="15"/>
      <c r="C801" s="11">
        <f t="shared" si="37"/>
        <v>1</v>
      </c>
      <c r="D801" s="11"/>
      <c r="E801" s="11"/>
      <c r="F801" s="11"/>
      <c r="G801" s="89">
        <f>IFERROR(VLOOKUP(F801,COA!$A$1:$K$26,2,FALSE),0)</f>
        <v>0</v>
      </c>
      <c r="H801" s="11"/>
      <c r="I801" s="11"/>
      <c r="J801" s="78"/>
      <c r="K801" s="78"/>
      <c r="L801" s="146">
        <f t="shared" si="39"/>
        <v>504000</v>
      </c>
      <c r="M801" s="73"/>
      <c r="N801" s="73"/>
      <c r="O801" s="7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 x14ac:dyDescent="0.35">
      <c r="A802" s="9">
        <f t="shared" si="38"/>
        <v>794</v>
      </c>
      <c r="B802" s="15"/>
      <c r="C802" s="11">
        <f t="shared" si="37"/>
        <v>1</v>
      </c>
      <c r="D802" s="11"/>
      <c r="E802" s="11"/>
      <c r="F802" s="11"/>
      <c r="G802" s="89">
        <f>IFERROR(VLOOKUP(F802,COA!$A$1:$K$26,2,FALSE),0)</f>
        <v>0</v>
      </c>
      <c r="H802" s="11"/>
      <c r="I802" s="11"/>
      <c r="J802" s="78"/>
      <c r="K802" s="78"/>
      <c r="L802" s="146">
        <f t="shared" si="39"/>
        <v>504000</v>
      </c>
      <c r="M802" s="73"/>
      <c r="N802" s="73"/>
      <c r="O802" s="7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 x14ac:dyDescent="0.35">
      <c r="A803" s="9">
        <f t="shared" si="38"/>
        <v>795</v>
      </c>
      <c r="B803" s="15"/>
      <c r="C803" s="11">
        <f t="shared" si="37"/>
        <v>1</v>
      </c>
      <c r="D803" s="11"/>
      <c r="E803" s="11"/>
      <c r="F803" s="11"/>
      <c r="G803" s="89">
        <f>IFERROR(VLOOKUP(F803,COA!$A$1:$K$26,2,FALSE),0)</f>
        <v>0</v>
      </c>
      <c r="H803" s="13"/>
      <c r="I803" s="13"/>
      <c r="J803" s="78"/>
      <c r="K803" s="78"/>
      <c r="L803" s="146">
        <f t="shared" si="39"/>
        <v>504000</v>
      </c>
      <c r="M803" s="73"/>
      <c r="N803" s="73"/>
      <c r="O803" s="7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 x14ac:dyDescent="0.35">
      <c r="A804" s="9">
        <f t="shared" si="38"/>
        <v>796</v>
      </c>
      <c r="B804" s="15"/>
      <c r="C804" s="11">
        <f t="shared" si="37"/>
        <v>1</v>
      </c>
      <c r="D804" s="11"/>
      <c r="E804" s="11"/>
      <c r="F804" s="11"/>
      <c r="G804" s="89">
        <f>IFERROR(VLOOKUP(F804,COA!$A$1:$K$26,2,FALSE),0)</f>
        <v>0</v>
      </c>
      <c r="H804" s="13"/>
      <c r="I804" s="13"/>
      <c r="J804" s="78"/>
      <c r="K804" s="78"/>
      <c r="L804" s="146">
        <f t="shared" si="39"/>
        <v>504000</v>
      </c>
      <c r="M804" s="73"/>
      <c r="N804" s="73"/>
      <c r="O804" s="7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 x14ac:dyDescent="0.35">
      <c r="A805" s="9">
        <f t="shared" si="38"/>
        <v>797</v>
      </c>
      <c r="B805" s="15"/>
      <c r="C805" s="11">
        <f t="shared" si="37"/>
        <v>1</v>
      </c>
      <c r="D805" s="11"/>
      <c r="E805" s="11"/>
      <c r="F805" s="11"/>
      <c r="G805" s="89">
        <f>IFERROR(VLOOKUP(F805,COA!$A$1:$K$26,2,FALSE),0)</f>
        <v>0</v>
      </c>
      <c r="H805" s="11"/>
      <c r="I805" s="11"/>
      <c r="J805" s="78"/>
      <c r="K805" s="78"/>
      <c r="L805" s="146">
        <f t="shared" si="39"/>
        <v>504000</v>
      </c>
      <c r="M805" s="73"/>
      <c r="N805" s="73"/>
      <c r="O805" s="7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 x14ac:dyDescent="0.35">
      <c r="A806" s="9">
        <f t="shared" si="38"/>
        <v>798</v>
      </c>
      <c r="B806" s="15"/>
      <c r="C806" s="11">
        <f t="shared" si="37"/>
        <v>1</v>
      </c>
      <c r="D806" s="11"/>
      <c r="E806" s="11"/>
      <c r="F806" s="11"/>
      <c r="G806" s="89">
        <f>IFERROR(VLOOKUP(F806,COA!$A$1:$K$26,2,FALSE),0)</f>
        <v>0</v>
      </c>
      <c r="H806" s="11"/>
      <c r="I806" s="11"/>
      <c r="J806" s="78"/>
      <c r="K806" s="78"/>
      <c r="L806" s="146">
        <f t="shared" si="39"/>
        <v>504000</v>
      </c>
      <c r="M806" s="73"/>
      <c r="N806" s="73"/>
      <c r="O806" s="7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 x14ac:dyDescent="0.35">
      <c r="A807" s="9">
        <f t="shared" si="38"/>
        <v>799</v>
      </c>
      <c r="B807" s="15"/>
      <c r="C807" s="11">
        <f t="shared" si="37"/>
        <v>1</v>
      </c>
      <c r="D807" s="11"/>
      <c r="E807" s="11"/>
      <c r="F807" s="11"/>
      <c r="G807" s="89">
        <f>IFERROR(VLOOKUP(F807,COA!$A$1:$K$26,2,FALSE),0)</f>
        <v>0</v>
      </c>
      <c r="H807" s="11"/>
      <c r="I807" s="11"/>
      <c r="J807" s="78"/>
      <c r="K807" s="78"/>
      <c r="L807" s="146">
        <f t="shared" si="39"/>
        <v>504000</v>
      </c>
      <c r="M807" s="73"/>
      <c r="N807" s="73"/>
      <c r="O807" s="7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 x14ac:dyDescent="0.35">
      <c r="A808" s="9">
        <f t="shared" si="38"/>
        <v>800</v>
      </c>
      <c r="B808" s="15"/>
      <c r="C808" s="11">
        <f t="shared" si="37"/>
        <v>1</v>
      </c>
      <c r="D808" s="11"/>
      <c r="E808" s="11"/>
      <c r="F808" s="11"/>
      <c r="G808" s="89">
        <f>IFERROR(VLOOKUP(F808,COA!$A$1:$K$26,2,FALSE),0)</f>
        <v>0</v>
      </c>
      <c r="H808" s="11"/>
      <c r="I808" s="11"/>
      <c r="J808" s="78"/>
      <c r="K808" s="78"/>
      <c r="L808" s="146">
        <f t="shared" si="39"/>
        <v>504000</v>
      </c>
      <c r="M808" s="73"/>
      <c r="N808" s="73"/>
      <c r="O808" s="7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 x14ac:dyDescent="0.35">
      <c r="A809" s="9">
        <f t="shared" si="38"/>
        <v>801</v>
      </c>
      <c r="B809" s="15"/>
      <c r="C809" s="11">
        <f t="shared" si="37"/>
        <v>1</v>
      </c>
      <c r="D809" s="11"/>
      <c r="E809" s="11"/>
      <c r="F809" s="11"/>
      <c r="G809" s="89">
        <f>IFERROR(VLOOKUP(F809,COA!$A$1:$K$26,2,FALSE),0)</f>
        <v>0</v>
      </c>
      <c r="H809" s="11"/>
      <c r="I809" s="11"/>
      <c r="J809" s="78"/>
      <c r="K809" s="78"/>
      <c r="L809" s="146">
        <f t="shared" si="39"/>
        <v>504000</v>
      </c>
      <c r="M809" s="73"/>
      <c r="N809" s="73"/>
      <c r="O809" s="7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 x14ac:dyDescent="0.35">
      <c r="A810" s="9">
        <f t="shared" si="38"/>
        <v>802</v>
      </c>
      <c r="B810" s="15"/>
      <c r="C810" s="11">
        <f t="shared" si="37"/>
        <v>1</v>
      </c>
      <c r="D810" s="11"/>
      <c r="E810" s="11"/>
      <c r="F810" s="11"/>
      <c r="G810" s="89">
        <f>IFERROR(VLOOKUP(F810,COA!$A$1:$K$26,2,FALSE),0)</f>
        <v>0</v>
      </c>
      <c r="H810" s="13"/>
      <c r="I810" s="13"/>
      <c r="J810" s="78"/>
      <c r="K810" s="78"/>
      <c r="L810" s="146">
        <f t="shared" si="39"/>
        <v>504000</v>
      </c>
      <c r="M810" s="73"/>
      <c r="N810" s="73"/>
      <c r="O810" s="7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 x14ac:dyDescent="0.35">
      <c r="A811" s="9">
        <f t="shared" si="38"/>
        <v>803</v>
      </c>
      <c r="B811" s="15"/>
      <c r="C811" s="11">
        <f t="shared" si="37"/>
        <v>1</v>
      </c>
      <c r="D811" s="11"/>
      <c r="E811" s="11"/>
      <c r="F811" s="11"/>
      <c r="G811" s="89">
        <f>IFERROR(VLOOKUP(F811,COA!$A$1:$K$26,2,FALSE),0)</f>
        <v>0</v>
      </c>
      <c r="H811" s="11"/>
      <c r="I811" s="11"/>
      <c r="J811" s="78"/>
      <c r="K811" s="78"/>
      <c r="L811" s="146">
        <f t="shared" si="39"/>
        <v>504000</v>
      </c>
      <c r="M811" s="73"/>
      <c r="N811" s="73"/>
      <c r="O811" s="7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 x14ac:dyDescent="0.35">
      <c r="A812" s="9">
        <f t="shared" si="38"/>
        <v>804</v>
      </c>
      <c r="B812" s="15"/>
      <c r="C812" s="11">
        <f t="shared" si="37"/>
        <v>1</v>
      </c>
      <c r="D812" s="11"/>
      <c r="E812" s="11"/>
      <c r="F812" s="11"/>
      <c r="G812" s="89">
        <f>IFERROR(VLOOKUP(F812,COA!$A$1:$K$26,2,FALSE),0)</f>
        <v>0</v>
      </c>
      <c r="H812" s="11"/>
      <c r="I812" s="11"/>
      <c r="J812" s="78"/>
      <c r="K812" s="78"/>
      <c r="L812" s="146">
        <f t="shared" si="39"/>
        <v>504000</v>
      </c>
      <c r="M812" s="73"/>
      <c r="N812" s="73"/>
      <c r="O812" s="7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 x14ac:dyDescent="0.35">
      <c r="A813" s="9">
        <f t="shared" si="38"/>
        <v>805</v>
      </c>
      <c r="B813" s="15"/>
      <c r="C813" s="11">
        <f t="shared" si="37"/>
        <v>1</v>
      </c>
      <c r="D813" s="11"/>
      <c r="E813" s="11"/>
      <c r="F813" s="11"/>
      <c r="G813" s="89">
        <f>IFERROR(VLOOKUP(F813,COA!$A$1:$K$26,2,FALSE),0)</f>
        <v>0</v>
      </c>
      <c r="H813" s="11"/>
      <c r="I813" s="11"/>
      <c r="J813" s="78"/>
      <c r="K813" s="78"/>
      <c r="L813" s="146">
        <f t="shared" si="39"/>
        <v>504000</v>
      </c>
      <c r="M813" s="73"/>
      <c r="N813" s="73"/>
      <c r="O813" s="7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 x14ac:dyDescent="0.35">
      <c r="A814" s="9">
        <f t="shared" si="38"/>
        <v>806</v>
      </c>
      <c r="B814" s="15"/>
      <c r="C814" s="11">
        <f t="shared" si="37"/>
        <v>1</v>
      </c>
      <c r="D814" s="11"/>
      <c r="E814" s="11"/>
      <c r="F814" s="11"/>
      <c r="G814" s="89">
        <f>IFERROR(VLOOKUP(F814,COA!$A$1:$K$26,2,FALSE),0)</f>
        <v>0</v>
      </c>
      <c r="H814" s="11"/>
      <c r="I814" s="11"/>
      <c r="J814" s="78"/>
      <c r="K814" s="78"/>
      <c r="L814" s="146">
        <f t="shared" si="39"/>
        <v>504000</v>
      </c>
      <c r="M814" s="73"/>
      <c r="N814" s="73"/>
      <c r="O814" s="7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 x14ac:dyDescent="0.35">
      <c r="A815" s="9">
        <f t="shared" si="38"/>
        <v>807</v>
      </c>
      <c r="B815" s="15"/>
      <c r="C815" s="11">
        <f t="shared" si="37"/>
        <v>1</v>
      </c>
      <c r="D815" s="11"/>
      <c r="E815" s="11"/>
      <c r="F815" s="11"/>
      <c r="G815" s="89">
        <f>IFERROR(VLOOKUP(F815,COA!$A$1:$K$26,2,FALSE),0)</f>
        <v>0</v>
      </c>
      <c r="H815" s="11"/>
      <c r="I815" s="11"/>
      <c r="J815" s="78"/>
      <c r="K815" s="78"/>
      <c r="L815" s="146">
        <f t="shared" si="39"/>
        <v>504000</v>
      </c>
      <c r="M815" s="73"/>
      <c r="N815" s="73"/>
      <c r="O815" s="7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 x14ac:dyDescent="0.35">
      <c r="A816" s="9">
        <f t="shared" si="38"/>
        <v>808</v>
      </c>
      <c r="B816" s="15"/>
      <c r="C816" s="11">
        <f t="shared" si="37"/>
        <v>1</v>
      </c>
      <c r="D816" s="11"/>
      <c r="E816" s="11"/>
      <c r="F816" s="11"/>
      <c r="G816" s="89">
        <f>IFERROR(VLOOKUP(F816,COA!$A$1:$K$26,2,FALSE),0)</f>
        <v>0</v>
      </c>
      <c r="H816" s="13"/>
      <c r="I816" s="13"/>
      <c r="J816" s="78"/>
      <c r="K816" s="78"/>
      <c r="L816" s="146">
        <f t="shared" si="39"/>
        <v>504000</v>
      </c>
      <c r="M816" s="73"/>
      <c r="N816" s="73"/>
      <c r="O816" s="7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 x14ac:dyDescent="0.35">
      <c r="A817" s="9">
        <f t="shared" si="38"/>
        <v>809</v>
      </c>
      <c r="B817" s="15"/>
      <c r="C817" s="11">
        <f t="shared" si="37"/>
        <v>1</v>
      </c>
      <c r="D817" s="11"/>
      <c r="E817" s="11"/>
      <c r="F817" s="11"/>
      <c r="G817" s="89">
        <f>IFERROR(VLOOKUP(F817,COA!$A$1:$K$26,2,FALSE),0)</f>
        <v>0</v>
      </c>
      <c r="H817" s="11"/>
      <c r="I817" s="11"/>
      <c r="J817" s="78"/>
      <c r="K817" s="78"/>
      <c r="L817" s="146">
        <f t="shared" si="39"/>
        <v>504000</v>
      </c>
      <c r="M817" s="73"/>
      <c r="N817" s="73"/>
      <c r="O817" s="7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 x14ac:dyDescent="0.35">
      <c r="A818" s="9">
        <f t="shared" si="38"/>
        <v>810</v>
      </c>
      <c r="B818" s="15"/>
      <c r="C818" s="11">
        <f t="shared" si="37"/>
        <v>1</v>
      </c>
      <c r="D818" s="11"/>
      <c r="E818" s="11"/>
      <c r="F818" s="11"/>
      <c r="G818" s="89">
        <f>IFERROR(VLOOKUP(F818,COA!$A$1:$K$26,2,FALSE),0)</f>
        <v>0</v>
      </c>
      <c r="H818" s="11"/>
      <c r="I818" s="11"/>
      <c r="J818" s="78"/>
      <c r="K818" s="78"/>
      <c r="L818" s="146">
        <f t="shared" si="39"/>
        <v>504000</v>
      </c>
      <c r="M818" s="73"/>
      <c r="N818" s="73"/>
      <c r="O818" s="7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 x14ac:dyDescent="0.35">
      <c r="A819" s="9">
        <f t="shared" si="38"/>
        <v>811</v>
      </c>
      <c r="B819" s="15"/>
      <c r="C819" s="11">
        <f t="shared" si="37"/>
        <v>1</v>
      </c>
      <c r="D819" s="11"/>
      <c r="E819" s="11"/>
      <c r="F819" s="11"/>
      <c r="G819" s="89">
        <f>IFERROR(VLOOKUP(F819,COA!$A$1:$K$26,2,FALSE),0)</f>
        <v>0</v>
      </c>
      <c r="H819" s="11"/>
      <c r="I819" s="11"/>
      <c r="J819" s="78"/>
      <c r="K819" s="78"/>
      <c r="L819" s="146">
        <f t="shared" si="39"/>
        <v>504000</v>
      </c>
      <c r="M819" s="73"/>
      <c r="N819" s="73"/>
      <c r="O819" s="7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 x14ac:dyDescent="0.35">
      <c r="A820" s="9">
        <f t="shared" si="38"/>
        <v>812</v>
      </c>
      <c r="B820" s="15"/>
      <c r="C820" s="11">
        <f t="shared" si="37"/>
        <v>1</v>
      </c>
      <c r="D820" s="11"/>
      <c r="E820" s="11"/>
      <c r="F820" s="11"/>
      <c r="G820" s="89">
        <f>IFERROR(VLOOKUP(F820,COA!$A$1:$K$26,2,FALSE),0)</f>
        <v>0</v>
      </c>
      <c r="H820" s="11"/>
      <c r="I820" s="11"/>
      <c r="J820" s="78"/>
      <c r="K820" s="78"/>
      <c r="L820" s="146">
        <f t="shared" si="39"/>
        <v>504000</v>
      </c>
      <c r="M820" s="73"/>
      <c r="N820" s="73"/>
      <c r="O820" s="7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 x14ac:dyDescent="0.35">
      <c r="A821" s="9">
        <f t="shared" si="38"/>
        <v>813</v>
      </c>
      <c r="B821" s="15"/>
      <c r="C821" s="11">
        <f t="shared" si="37"/>
        <v>1</v>
      </c>
      <c r="D821" s="11"/>
      <c r="E821" s="11"/>
      <c r="F821" s="11"/>
      <c r="G821" s="89">
        <f>IFERROR(VLOOKUP(F821,COA!$A$1:$K$26,2,FALSE),0)</f>
        <v>0</v>
      </c>
      <c r="H821" s="11"/>
      <c r="I821" s="11"/>
      <c r="J821" s="78"/>
      <c r="K821" s="78"/>
      <c r="L821" s="146">
        <f t="shared" si="39"/>
        <v>504000</v>
      </c>
      <c r="M821" s="73"/>
      <c r="N821" s="73"/>
      <c r="O821" s="7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 x14ac:dyDescent="0.35">
      <c r="A822" s="9">
        <f t="shared" si="38"/>
        <v>814</v>
      </c>
      <c r="B822" s="15"/>
      <c r="C822" s="11">
        <f t="shared" si="37"/>
        <v>1</v>
      </c>
      <c r="D822" s="11"/>
      <c r="E822" s="11"/>
      <c r="F822" s="11"/>
      <c r="G822" s="89">
        <f>IFERROR(VLOOKUP(F822,COA!$A$1:$K$26,2,FALSE),0)</f>
        <v>0</v>
      </c>
      <c r="H822" s="11"/>
      <c r="I822" s="11"/>
      <c r="J822" s="78"/>
      <c r="K822" s="78"/>
      <c r="L822" s="146">
        <f t="shared" si="39"/>
        <v>504000</v>
      </c>
      <c r="M822" s="73"/>
      <c r="N822" s="73"/>
      <c r="O822" s="7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 x14ac:dyDescent="0.35">
      <c r="A823" s="9">
        <f t="shared" si="38"/>
        <v>815</v>
      </c>
      <c r="B823" s="15"/>
      <c r="C823" s="11">
        <f t="shared" si="37"/>
        <v>1</v>
      </c>
      <c r="D823" s="11"/>
      <c r="E823" s="11"/>
      <c r="F823" s="11"/>
      <c r="G823" s="89">
        <f>IFERROR(VLOOKUP(F823,COA!$A$1:$K$26,2,FALSE),0)</f>
        <v>0</v>
      </c>
      <c r="H823" s="11"/>
      <c r="I823" s="11"/>
      <c r="J823" s="78"/>
      <c r="K823" s="78"/>
      <c r="L823" s="146">
        <f t="shared" si="39"/>
        <v>504000</v>
      </c>
      <c r="M823" s="73"/>
      <c r="N823" s="73"/>
      <c r="O823" s="7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 x14ac:dyDescent="0.35">
      <c r="A824" s="9">
        <f t="shared" si="38"/>
        <v>816</v>
      </c>
      <c r="B824" s="15"/>
      <c r="C824" s="11">
        <f t="shared" si="37"/>
        <v>1</v>
      </c>
      <c r="D824" s="11"/>
      <c r="E824" s="11"/>
      <c r="F824" s="11"/>
      <c r="G824" s="89">
        <f>IFERROR(VLOOKUP(F824,COA!$A$1:$K$26,2,FALSE),0)</f>
        <v>0</v>
      </c>
      <c r="H824" s="11"/>
      <c r="I824" s="11"/>
      <c r="J824" s="78"/>
      <c r="K824" s="78"/>
      <c r="L824" s="146">
        <f t="shared" si="39"/>
        <v>504000</v>
      </c>
      <c r="M824" s="73"/>
      <c r="N824" s="73"/>
      <c r="O824" s="7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 x14ac:dyDescent="0.35">
      <c r="A825" s="9">
        <f t="shared" si="38"/>
        <v>817</v>
      </c>
      <c r="B825" s="15"/>
      <c r="C825" s="11">
        <f t="shared" si="37"/>
        <v>1</v>
      </c>
      <c r="D825" s="11"/>
      <c r="E825" s="11"/>
      <c r="F825" s="11"/>
      <c r="G825" s="89">
        <f>IFERROR(VLOOKUP(F825,COA!$A$1:$K$26,2,FALSE),0)</f>
        <v>0</v>
      </c>
      <c r="H825" s="13"/>
      <c r="I825" s="13"/>
      <c r="J825" s="78"/>
      <c r="K825" s="78"/>
      <c r="L825" s="146">
        <f t="shared" si="39"/>
        <v>504000</v>
      </c>
      <c r="M825" s="73"/>
      <c r="N825" s="73"/>
      <c r="O825" s="7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 x14ac:dyDescent="0.35">
      <c r="A826" s="9">
        <f t="shared" si="38"/>
        <v>818</v>
      </c>
      <c r="B826" s="15"/>
      <c r="C826" s="11">
        <f t="shared" si="37"/>
        <v>1</v>
      </c>
      <c r="D826" s="11"/>
      <c r="E826" s="11"/>
      <c r="F826" s="11"/>
      <c r="G826" s="89">
        <f>IFERROR(VLOOKUP(F826,COA!$A$1:$K$26,2,FALSE),0)</f>
        <v>0</v>
      </c>
      <c r="H826" s="11"/>
      <c r="I826" s="11"/>
      <c r="J826" s="78"/>
      <c r="K826" s="78"/>
      <c r="L826" s="146">
        <f t="shared" si="39"/>
        <v>504000</v>
      </c>
      <c r="M826" s="73"/>
      <c r="N826" s="73"/>
      <c r="O826" s="7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 x14ac:dyDescent="0.35">
      <c r="A827" s="9">
        <f t="shared" si="38"/>
        <v>819</v>
      </c>
      <c r="B827" s="15"/>
      <c r="C827" s="11">
        <f t="shared" si="37"/>
        <v>1</v>
      </c>
      <c r="D827" s="11"/>
      <c r="E827" s="11"/>
      <c r="F827" s="11"/>
      <c r="G827" s="89">
        <f>IFERROR(VLOOKUP(F827,COA!$A$1:$K$26,2,FALSE),0)</f>
        <v>0</v>
      </c>
      <c r="H827" s="11"/>
      <c r="I827" s="11"/>
      <c r="J827" s="78"/>
      <c r="K827" s="78"/>
      <c r="L827" s="146">
        <f t="shared" si="39"/>
        <v>504000</v>
      </c>
      <c r="M827" s="73"/>
      <c r="N827" s="73"/>
      <c r="O827" s="7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 x14ac:dyDescent="0.35">
      <c r="A828" s="9">
        <f t="shared" si="38"/>
        <v>820</v>
      </c>
      <c r="B828" s="15"/>
      <c r="C828" s="11">
        <f t="shared" si="37"/>
        <v>1</v>
      </c>
      <c r="D828" s="11"/>
      <c r="E828" s="11"/>
      <c r="F828" s="11"/>
      <c r="G828" s="89">
        <f>IFERROR(VLOOKUP(F828,COA!$A$1:$K$26,2,FALSE),0)</f>
        <v>0</v>
      </c>
      <c r="H828" s="11"/>
      <c r="I828" s="11"/>
      <c r="J828" s="78"/>
      <c r="K828" s="78"/>
      <c r="L828" s="146">
        <f t="shared" si="39"/>
        <v>504000</v>
      </c>
      <c r="M828" s="73"/>
      <c r="N828" s="73"/>
      <c r="O828" s="7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 x14ac:dyDescent="0.35">
      <c r="A829" s="9">
        <f t="shared" si="38"/>
        <v>821</v>
      </c>
      <c r="B829" s="15"/>
      <c r="C829" s="11">
        <f t="shared" si="37"/>
        <v>1</v>
      </c>
      <c r="D829" s="11"/>
      <c r="E829" s="11"/>
      <c r="F829" s="11"/>
      <c r="G829" s="89">
        <f>IFERROR(VLOOKUP(F829,COA!$A$1:$K$26,2,FALSE),0)</f>
        <v>0</v>
      </c>
      <c r="H829" s="11"/>
      <c r="I829" s="11"/>
      <c r="J829" s="78"/>
      <c r="K829" s="78"/>
      <c r="L829" s="146">
        <f t="shared" si="39"/>
        <v>504000</v>
      </c>
      <c r="M829" s="73"/>
      <c r="N829" s="73"/>
      <c r="O829" s="7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 x14ac:dyDescent="0.35">
      <c r="A830" s="9">
        <f t="shared" si="38"/>
        <v>822</v>
      </c>
      <c r="B830" s="15"/>
      <c r="C830" s="11">
        <f t="shared" si="37"/>
        <v>1</v>
      </c>
      <c r="D830" s="11"/>
      <c r="E830" s="11"/>
      <c r="F830" s="11"/>
      <c r="G830" s="89">
        <f>IFERROR(VLOOKUP(F830,COA!$A$1:$K$26,2,FALSE),0)</f>
        <v>0</v>
      </c>
      <c r="H830" s="11"/>
      <c r="I830" s="11"/>
      <c r="J830" s="78"/>
      <c r="K830" s="78"/>
      <c r="L830" s="146">
        <f t="shared" si="39"/>
        <v>504000</v>
      </c>
      <c r="M830" s="73"/>
      <c r="N830" s="73"/>
      <c r="O830" s="7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 x14ac:dyDescent="0.35">
      <c r="A831" s="9">
        <f t="shared" si="38"/>
        <v>823</v>
      </c>
      <c r="B831" s="15"/>
      <c r="C831" s="11">
        <f t="shared" si="37"/>
        <v>1</v>
      </c>
      <c r="D831" s="11"/>
      <c r="E831" s="11"/>
      <c r="F831" s="11"/>
      <c r="G831" s="89">
        <f>IFERROR(VLOOKUP(F831,COA!$A$1:$K$26,2,FALSE),0)</f>
        <v>0</v>
      </c>
      <c r="H831" s="11"/>
      <c r="I831" s="11"/>
      <c r="J831" s="78"/>
      <c r="K831" s="78"/>
      <c r="L831" s="146">
        <f t="shared" si="39"/>
        <v>504000</v>
      </c>
      <c r="M831" s="73"/>
      <c r="N831" s="73"/>
      <c r="O831" s="7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 x14ac:dyDescent="0.35">
      <c r="A832" s="9">
        <f t="shared" si="38"/>
        <v>824</v>
      </c>
      <c r="B832" s="15"/>
      <c r="C832" s="11">
        <f t="shared" si="37"/>
        <v>1</v>
      </c>
      <c r="D832" s="11"/>
      <c r="E832" s="11"/>
      <c r="F832" s="11"/>
      <c r="G832" s="89">
        <f>IFERROR(VLOOKUP(F832,COA!$A$1:$K$26,2,FALSE),0)</f>
        <v>0</v>
      </c>
      <c r="H832" s="11"/>
      <c r="I832" s="11"/>
      <c r="J832" s="78"/>
      <c r="K832" s="78"/>
      <c r="L832" s="146">
        <f t="shared" si="39"/>
        <v>504000</v>
      </c>
      <c r="M832" s="73"/>
      <c r="N832" s="73"/>
      <c r="O832" s="7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 x14ac:dyDescent="0.35">
      <c r="A833" s="9">
        <f t="shared" si="38"/>
        <v>825</v>
      </c>
      <c r="B833" s="15"/>
      <c r="C833" s="11">
        <f t="shared" si="37"/>
        <v>1</v>
      </c>
      <c r="D833" s="11"/>
      <c r="E833" s="11"/>
      <c r="F833" s="11"/>
      <c r="G833" s="89">
        <f>IFERROR(VLOOKUP(F833,COA!$A$1:$K$26,2,FALSE),0)</f>
        <v>0</v>
      </c>
      <c r="H833" s="11"/>
      <c r="I833" s="11"/>
      <c r="J833" s="78"/>
      <c r="K833" s="78"/>
      <c r="L833" s="146">
        <f t="shared" si="39"/>
        <v>504000</v>
      </c>
      <c r="M833" s="73"/>
      <c r="N833" s="73"/>
      <c r="O833" s="7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 x14ac:dyDescent="0.35">
      <c r="A834" s="9">
        <f t="shared" si="38"/>
        <v>826</v>
      </c>
      <c r="B834" s="15"/>
      <c r="C834" s="11">
        <f t="shared" si="37"/>
        <v>1</v>
      </c>
      <c r="D834" s="11"/>
      <c r="E834" s="11"/>
      <c r="F834" s="11"/>
      <c r="G834" s="89">
        <f>IFERROR(VLOOKUP(F834,COA!$A$1:$K$26,2,FALSE),0)</f>
        <v>0</v>
      </c>
      <c r="H834" s="11"/>
      <c r="I834" s="11"/>
      <c r="J834" s="78"/>
      <c r="K834" s="78"/>
      <c r="L834" s="146">
        <f t="shared" si="39"/>
        <v>504000</v>
      </c>
      <c r="M834" s="73"/>
      <c r="N834" s="73"/>
      <c r="O834" s="7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 x14ac:dyDescent="0.35">
      <c r="A835" s="9">
        <f t="shared" si="38"/>
        <v>827</v>
      </c>
      <c r="B835" s="15"/>
      <c r="C835" s="11">
        <f t="shared" si="37"/>
        <v>1</v>
      </c>
      <c r="D835" s="11"/>
      <c r="E835" s="11"/>
      <c r="F835" s="11"/>
      <c r="G835" s="89">
        <f>IFERROR(VLOOKUP(F835,COA!$A$1:$K$26,2,FALSE),0)</f>
        <v>0</v>
      </c>
      <c r="H835" s="13"/>
      <c r="I835" s="13"/>
      <c r="J835" s="78"/>
      <c r="K835" s="78"/>
      <c r="L835" s="146">
        <f t="shared" si="39"/>
        <v>504000</v>
      </c>
      <c r="M835" s="73"/>
      <c r="N835" s="73"/>
      <c r="O835" s="7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 x14ac:dyDescent="0.35">
      <c r="A836" s="9">
        <f t="shared" si="38"/>
        <v>828</v>
      </c>
      <c r="B836" s="15"/>
      <c r="C836" s="11">
        <f t="shared" si="37"/>
        <v>1</v>
      </c>
      <c r="D836" s="11"/>
      <c r="E836" s="11"/>
      <c r="F836" s="11"/>
      <c r="G836" s="89">
        <f>IFERROR(VLOOKUP(F836,COA!$A$1:$K$26,2,FALSE),0)</f>
        <v>0</v>
      </c>
      <c r="H836" s="11"/>
      <c r="I836" s="11"/>
      <c r="J836" s="78"/>
      <c r="K836" s="78"/>
      <c r="L836" s="146">
        <f t="shared" si="39"/>
        <v>504000</v>
      </c>
      <c r="M836" s="73"/>
      <c r="N836" s="73"/>
      <c r="O836" s="7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 x14ac:dyDescent="0.35">
      <c r="A837" s="9">
        <f t="shared" si="38"/>
        <v>829</v>
      </c>
      <c r="B837" s="15"/>
      <c r="C837" s="11">
        <f t="shared" si="37"/>
        <v>1</v>
      </c>
      <c r="D837" s="11"/>
      <c r="E837" s="11"/>
      <c r="F837" s="11"/>
      <c r="G837" s="89">
        <f>IFERROR(VLOOKUP(F837,COA!$A$1:$K$26,2,FALSE),0)</f>
        <v>0</v>
      </c>
      <c r="H837" s="11"/>
      <c r="I837" s="11"/>
      <c r="J837" s="78"/>
      <c r="K837" s="78"/>
      <c r="L837" s="146">
        <f t="shared" si="39"/>
        <v>504000</v>
      </c>
      <c r="M837" s="73"/>
      <c r="N837" s="73"/>
      <c r="O837" s="7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 x14ac:dyDescent="0.35">
      <c r="A838" s="9">
        <f t="shared" si="38"/>
        <v>830</v>
      </c>
      <c r="B838" s="15"/>
      <c r="C838" s="11">
        <f t="shared" si="37"/>
        <v>1</v>
      </c>
      <c r="D838" s="11"/>
      <c r="E838" s="11"/>
      <c r="F838" s="11"/>
      <c r="G838" s="89">
        <f>IFERROR(VLOOKUP(F838,COA!$A$1:$K$26,2,FALSE),0)</f>
        <v>0</v>
      </c>
      <c r="H838" s="11"/>
      <c r="I838" s="11"/>
      <c r="J838" s="78"/>
      <c r="K838" s="78"/>
      <c r="L838" s="146">
        <f t="shared" si="39"/>
        <v>504000</v>
      </c>
      <c r="M838" s="73"/>
      <c r="N838" s="73"/>
      <c r="O838" s="7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 x14ac:dyDescent="0.35">
      <c r="A839" s="9">
        <f t="shared" si="38"/>
        <v>831</v>
      </c>
      <c r="B839" s="15"/>
      <c r="C839" s="11">
        <f t="shared" si="37"/>
        <v>1</v>
      </c>
      <c r="D839" s="11"/>
      <c r="E839" s="11"/>
      <c r="F839" s="11"/>
      <c r="G839" s="89">
        <f>IFERROR(VLOOKUP(F839,COA!$A$1:$K$26,2,FALSE),0)</f>
        <v>0</v>
      </c>
      <c r="H839" s="11"/>
      <c r="I839" s="11"/>
      <c r="J839" s="78"/>
      <c r="K839" s="78"/>
      <c r="L839" s="146">
        <f t="shared" si="39"/>
        <v>504000</v>
      </c>
      <c r="M839" s="73"/>
      <c r="N839" s="73"/>
      <c r="O839" s="7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 x14ac:dyDescent="0.35">
      <c r="A840" s="9">
        <f t="shared" si="38"/>
        <v>832</v>
      </c>
      <c r="B840" s="15"/>
      <c r="C840" s="11">
        <f t="shared" ref="C840:C903" si="40">MONTH(B840)</f>
        <v>1</v>
      </c>
      <c r="D840" s="11"/>
      <c r="E840" s="11"/>
      <c r="F840" s="11"/>
      <c r="G840" s="89">
        <f>IFERROR(VLOOKUP(F840,COA!$A$1:$K$26,2,FALSE),0)</f>
        <v>0</v>
      </c>
      <c r="H840" s="11"/>
      <c r="I840" s="11"/>
      <c r="J840" s="78"/>
      <c r="K840" s="78"/>
      <c r="L840" s="146">
        <f t="shared" si="39"/>
        <v>504000</v>
      </c>
      <c r="M840" s="73"/>
      <c r="N840" s="73"/>
      <c r="O840" s="7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 x14ac:dyDescent="0.35">
      <c r="A841" s="9">
        <f t="shared" si="38"/>
        <v>833</v>
      </c>
      <c r="B841" s="15"/>
      <c r="C841" s="11">
        <f t="shared" si="40"/>
        <v>1</v>
      </c>
      <c r="D841" s="11"/>
      <c r="E841" s="11"/>
      <c r="F841" s="11"/>
      <c r="G841" s="89">
        <f>IFERROR(VLOOKUP(F841,COA!$A$1:$K$26,2,FALSE),0)</f>
        <v>0</v>
      </c>
      <c r="H841" s="13"/>
      <c r="I841" s="13"/>
      <c r="J841" s="78"/>
      <c r="K841" s="78"/>
      <c r="L841" s="146">
        <f t="shared" si="39"/>
        <v>504000</v>
      </c>
      <c r="M841" s="73"/>
      <c r="N841" s="73"/>
      <c r="O841" s="7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 x14ac:dyDescent="0.35">
      <c r="A842" s="9">
        <f t="shared" si="38"/>
        <v>834</v>
      </c>
      <c r="B842" s="15"/>
      <c r="C842" s="11">
        <f t="shared" si="40"/>
        <v>1</v>
      </c>
      <c r="D842" s="11"/>
      <c r="E842" s="11"/>
      <c r="F842" s="11"/>
      <c r="G842" s="89">
        <f>IFERROR(VLOOKUP(F842,COA!$A$1:$K$26,2,FALSE),0)</f>
        <v>0</v>
      </c>
      <c r="H842" s="11"/>
      <c r="I842" s="11"/>
      <c r="J842" s="78"/>
      <c r="K842" s="78"/>
      <c r="L842" s="146">
        <f t="shared" si="39"/>
        <v>504000</v>
      </c>
      <c r="M842" s="73"/>
      <c r="N842" s="73"/>
      <c r="O842" s="7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 x14ac:dyDescent="0.35">
      <c r="A843" s="9">
        <f t="shared" ref="A843:A906" si="41">A842+1</f>
        <v>835</v>
      </c>
      <c r="B843" s="15"/>
      <c r="C843" s="11">
        <f t="shared" si="40"/>
        <v>1</v>
      </c>
      <c r="D843" s="11"/>
      <c r="E843" s="11"/>
      <c r="F843" s="11"/>
      <c r="G843" s="89">
        <f>IFERROR(VLOOKUP(F843,COA!$A$1:$K$26,2,FALSE),0)</f>
        <v>0</v>
      </c>
      <c r="H843" s="11"/>
      <c r="I843" s="11"/>
      <c r="J843" s="78"/>
      <c r="K843" s="78"/>
      <c r="L843" s="146">
        <f t="shared" ref="L843:L906" si="42">L842+J843-K843</f>
        <v>504000</v>
      </c>
      <c r="M843" s="73"/>
      <c r="N843" s="73"/>
      <c r="O843" s="7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 x14ac:dyDescent="0.35">
      <c r="A844" s="9">
        <f t="shared" si="41"/>
        <v>836</v>
      </c>
      <c r="B844" s="15"/>
      <c r="C844" s="11">
        <f t="shared" si="40"/>
        <v>1</v>
      </c>
      <c r="D844" s="11"/>
      <c r="E844" s="11"/>
      <c r="F844" s="11"/>
      <c r="G844" s="89">
        <f>IFERROR(VLOOKUP(F844,COA!$A$1:$K$26,2,FALSE),0)</f>
        <v>0</v>
      </c>
      <c r="H844" s="11"/>
      <c r="I844" s="11"/>
      <c r="J844" s="78"/>
      <c r="K844" s="78"/>
      <c r="L844" s="146">
        <f t="shared" si="42"/>
        <v>504000</v>
      </c>
      <c r="M844" s="73"/>
      <c r="N844" s="73"/>
      <c r="O844" s="7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 x14ac:dyDescent="0.35">
      <c r="A845" s="9">
        <f t="shared" si="41"/>
        <v>837</v>
      </c>
      <c r="B845" s="15"/>
      <c r="C845" s="11">
        <f t="shared" si="40"/>
        <v>1</v>
      </c>
      <c r="D845" s="11"/>
      <c r="E845" s="11"/>
      <c r="F845" s="11"/>
      <c r="G845" s="89">
        <f>IFERROR(VLOOKUP(F845,COA!$A$1:$K$26,2,FALSE),0)</f>
        <v>0</v>
      </c>
      <c r="H845" s="11"/>
      <c r="I845" s="11"/>
      <c r="J845" s="78"/>
      <c r="K845" s="78"/>
      <c r="L845" s="146">
        <f t="shared" si="42"/>
        <v>504000</v>
      </c>
      <c r="M845" s="73"/>
      <c r="N845" s="73"/>
      <c r="O845" s="7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 x14ac:dyDescent="0.35">
      <c r="A846" s="9">
        <f t="shared" si="41"/>
        <v>838</v>
      </c>
      <c r="B846" s="15"/>
      <c r="C846" s="11">
        <f t="shared" si="40"/>
        <v>1</v>
      </c>
      <c r="D846" s="11"/>
      <c r="E846" s="11"/>
      <c r="F846" s="11"/>
      <c r="G846" s="89">
        <f>IFERROR(VLOOKUP(F846,COA!$A$1:$K$26,2,FALSE),0)</f>
        <v>0</v>
      </c>
      <c r="H846" s="11"/>
      <c r="I846" s="11"/>
      <c r="J846" s="78"/>
      <c r="K846" s="78"/>
      <c r="L846" s="146">
        <f t="shared" si="42"/>
        <v>504000</v>
      </c>
      <c r="M846" s="73"/>
      <c r="N846" s="73"/>
      <c r="O846" s="7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 x14ac:dyDescent="0.35">
      <c r="A847" s="9">
        <f t="shared" si="41"/>
        <v>839</v>
      </c>
      <c r="B847" s="15"/>
      <c r="C847" s="11">
        <f t="shared" si="40"/>
        <v>1</v>
      </c>
      <c r="D847" s="11"/>
      <c r="E847" s="11"/>
      <c r="F847" s="11"/>
      <c r="G847" s="89">
        <f>IFERROR(VLOOKUP(F847,COA!$A$1:$K$26,2,FALSE),0)</f>
        <v>0</v>
      </c>
      <c r="H847" s="13"/>
      <c r="I847" s="13"/>
      <c r="J847" s="78"/>
      <c r="K847" s="78"/>
      <c r="L847" s="146">
        <f t="shared" si="42"/>
        <v>504000</v>
      </c>
      <c r="M847" s="73"/>
      <c r="N847" s="73"/>
      <c r="O847" s="7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 x14ac:dyDescent="0.35">
      <c r="A848" s="9">
        <f t="shared" si="41"/>
        <v>840</v>
      </c>
      <c r="B848" s="15"/>
      <c r="C848" s="11">
        <f t="shared" si="40"/>
        <v>1</v>
      </c>
      <c r="D848" s="11"/>
      <c r="E848" s="11"/>
      <c r="F848" s="11"/>
      <c r="G848" s="89">
        <f>IFERROR(VLOOKUP(F848,COA!$A$1:$K$26,2,FALSE),0)</f>
        <v>0</v>
      </c>
      <c r="H848" s="11"/>
      <c r="I848" s="11"/>
      <c r="J848" s="78"/>
      <c r="K848" s="78"/>
      <c r="L848" s="146">
        <f t="shared" si="42"/>
        <v>504000</v>
      </c>
      <c r="M848" s="73"/>
      <c r="N848" s="73"/>
      <c r="O848" s="7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 x14ac:dyDescent="0.35">
      <c r="A849" s="9">
        <f t="shared" si="41"/>
        <v>841</v>
      </c>
      <c r="B849" s="15"/>
      <c r="C849" s="11">
        <f t="shared" si="40"/>
        <v>1</v>
      </c>
      <c r="D849" s="11"/>
      <c r="E849" s="11"/>
      <c r="F849" s="11"/>
      <c r="G849" s="89">
        <f>IFERROR(VLOOKUP(F849,COA!$A$1:$K$26,2,FALSE),0)</f>
        <v>0</v>
      </c>
      <c r="H849" s="11"/>
      <c r="I849" s="11"/>
      <c r="J849" s="78"/>
      <c r="K849" s="78"/>
      <c r="L849" s="146">
        <f t="shared" si="42"/>
        <v>504000</v>
      </c>
      <c r="M849" s="73"/>
      <c r="N849" s="73"/>
      <c r="O849" s="7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 x14ac:dyDescent="0.35">
      <c r="A850" s="9">
        <f t="shared" si="41"/>
        <v>842</v>
      </c>
      <c r="B850" s="15"/>
      <c r="C850" s="11">
        <f t="shared" si="40"/>
        <v>1</v>
      </c>
      <c r="D850" s="11"/>
      <c r="E850" s="11"/>
      <c r="F850" s="11"/>
      <c r="G850" s="89">
        <f>IFERROR(VLOOKUP(F850,COA!$A$1:$K$26,2,FALSE),0)</f>
        <v>0</v>
      </c>
      <c r="H850" s="11"/>
      <c r="I850" s="11"/>
      <c r="J850" s="78"/>
      <c r="K850" s="78"/>
      <c r="L850" s="146">
        <f t="shared" si="42"/>
        <v>504000</v>
      </c>
      <c r="M850" s="73"/>
      <c r="N850" s="73"/>
      <c r="O850" s="7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 x14ac:dyDescent="0.35">
      <c r="A851" s="9">
        <f t="shared" si="41"/>
        <v>843</v>
      </c>
      <c r="B851" s="15"/>
      <c r="C851" s="11">
        <f t="shared" si="40"/>
        <v>1</v>
      </c>
      <c r="D851" s="11"/>
      <c r="E851" s="11"/>
      <c r="F851" s="11"/>
      <c r="G851" s="89">
        <f>IFERROR(VLOOKUP(F851,COA!$A$1:$K$26,2,FALSE),0)</f>
        <v>0</v>
      </c>
      <c r="H851" s="11"/>
      <c r="I851" s="11"/>
      <c r="J851" s="78"/>
      <c r="K851" s="78"/>
      <c r="L851" s="146">
        <f t="shared" si="42"/>
        <v>504000</v>
      </c>
      <c r="M851" s="73"/>
      <c r="N851" s="73"/>
      <c r="O851" s="7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 x14ac:dyDescent="0.35">
      <c r="A852" s="9">
        <f t="shared" si="41"/>
        <v>844</v>
      </c>
      <c r="B852" s="15"/>
      <c r="C852" s="11">
        <f t="shared" si="40"/>
        <v>1</v>
      </c>
      <c r="D852" s="11"/>
      <c r="E852" s="11"/>
      <c r="F852" s="11"/>
      <c r="G852" s="89">
        <f>IFERROR(VLOOKUP(F852,COA!$A$1:$K$26,2,FALSE),0)</f>
        <v>0</v>
      </c>
      <c r="H852" s="11"/>
      <c r="I852" s="11"/>
      <c r="J852" s="78"/>
      <c r="K852" s="78"/>
      <c r="L852" s="146">
        <f t="shared" si="42"/>
        <v>504000</v>
      </c>
      <c r="M852" s="73"/>
      <c r="N852" s="73"/>
      <c r="O852" s="7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 x14ac:dyDescent="0.35">
      <c r="A853" s="9">
        <f t="shared" si="41"/>
        <v>845</v>
      </c>
      <c r="B853" s="15"/>
      <c r="C853" s="11">
        <f t="shared" si="40"/>
        <v>1</v>
      </c>
      <c r="D853" s="11"/>
      <c r="E853" s="11"/>
      <c r="F853" s="11"/>
      <c r="G853" s="89">
        <f>IFERROR(VLOOKUP(F853,COA!$A$1:$K$26,2,FALSE),0)</f>
        <v>0</v>
      </c>
      <c r="H853" s="13"/>
      <c r="I853" s="13"/>
      <c r="J853" s="78"/>
      <c r="K853" s="78"/>
      <c r="L853" s="146">
        <f t="shared" si="42"/>
        <v>504000</v>
      </c>
      <c r="M853" s="73"/>
      <c r="N853" s="73"/>
      <c r="O853" s="7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 x14ac:dyDescent="0.35">
      <c r="A854" s="9">
        <f t="shared" si="41"/>
        <v>846</v>
      </c>
      <c r="B854" s="15"/>
      <c r="C854" s="11">
        <f t="shared" si="40"/>
        <v>1</v>
      </c>
      <c r="D854" s="11"/>
      <c r="E854" s="11"/>
      <c r="F854" s="11"/>
      <c r="G854" s="89">
        <f>IFERROR(VLOOKUP(F854,COA!$A$1:$K$26,2,FALSE),0)</f>
        <v>0</v>
      </c>
      <c r="H854" s="11"/>
      <c r="I854" s="11"/>
      <c r="J854" s="78"/>
      <c r="K854" s="78"/>
      <c r="L854" s="146">
        <f t="shared" si="42"/>
        <v>504000</v>
      </c>
      <c r="M854" s="73"/>
      <c r="N854" s="73"/>
      <c r="O854" s="7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 x14ac:dyDescent="0.35">
      <c r="A855" s="9">
        <f t="shared" si="41"/>
        <v>847</v>
      </c>
      <c r="B855" s="15"/>
      <c r="C855" s="11">
        <f t="shared" si="40"/>
        <v>1</v>
      </c>
      <c r="D855" s="11"/>
      <c r="E855" s="11"/>
      <c r="F855" s="11"/>
      <c r="G855" s="89">
        <f>IFERROR(VLOOKUP(F855,COA!$A$1:$K$26,2,FALSE),0)</f>
        <v>0</v>
      </c>
      <c r="H855" s="11"/>
      <c r="I855" s="11"/>
      <c r="J855" s="78"/>
      <c r="K855" s="78"/>
      <c r="L855" s="146">
        <f t="shared" si="42"/>
        <v>504000</v>
      </c>
      <c r="M855" s="73"/>
      <c r="N855" s="73"/>
      <c r="O855" s="7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 x14ac:dyDescent="0.35">
      <c r="A856" s="9">
        <f t="shared" si="41"/>
        <v>848</v>
      </c>
      <c r="B856" s="15"/>
      <c r="C856" s="11">
        <f t="shared" si="40"/>
        <v>1</v>
      </c>
      <c r="D856" s="11"/>
      <c r="E856" s="11"/>
      <c r="F856" s="11"/>
      <c r="G856" s="89">
        <f>IFERROR(VLOOKUP(F856,COA!$A$1:$K$26,2,FALSE),0)</f>
        <v>0</v>
      </c>
      <c r="H856" s="11"/>
      <c r="I856" s="11"/>
      <c r="J856" s="78"/>
      <c r="K856" s="78"/>
      <c r="L856" s="146">
        <f t="shared" si="42"/>
        <v>504000</v>
      </c>
      <c r="M856" s="73"/>
      <c r="N856" s="73"/>
      <c r="O856" s="7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 x14ac:dyDescent="0.35">
      <c r="A857" s="9">
        <f t="shared" si="41"/>
        <v>849</v>
      </c>
      <c r="B857" s="15"/>
      <c r="C857" s="11">
        <f t="shared" si="40"/>
        <v>1</v>
      </c>
      <c r="D857" s="11"/>
      <c r="E857" s="11"/>
      <c r="F857" s="11"/>
      <c r="G857" s="89">
        <f>IFERROR(VLOOKUP(F857,COA!$A$1:$K$26,2,FALSE),0)</f>
        <v>0</v>
      </c>
      <c r="H857" s="11"/>
      <c r="I857" s="11"/>
      <c r="J857" s="78"/>
      <c r="K857" s="78"/>
      <c r="L857" s="146">
        <f t="shared" si="42"/>
        <v>504000</v>
      </c>
      <c r="M857" s="73"/>
      <c r="N857" s="73"/>
      <c r="O857" s="7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 x14ac:dyDescent="0.35">
      <c r="A858" s="9">
        <f t="shared" si="41"/>
        <v>850</v>
      </c>
      <c r="B858" s="15"/>
      <c r="C858" s="11">
        <f t="shared" si="40"/>
        <v>1</v>
      </c>
      <c r="D858" s="11"/>
      <c r="E858" s="11"/>
      <c r="F858" s="11"/>
      <c r="G858" s="89">
        <f>IFERROR(VLOOKUP(F858,COA!$A$1:$K$26,2,FALSE),0)</f>
        <v>0</v>
      </c>
      <c r="H858" s="11"/>
      <c r="I858" s="11"/>
      <c r="J858" s="78"/>
      <c r="K858" s="78"/>
      <c r="L858" s="146">
        <f t="shared" si="42"/>
        <v>504000</v>
      </c>
      <c r="M858" s="73"/>
      <c r="N858" s="73"/>
      <c r="O858" s="7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 x14ac:dyDescent="0.35">
      <c r="A859" s="9">
        <f t="shared" si="41"/>
        <v>851</v>
      </c>
      <c r="B859" s="15"/>
      <c r="C859" s="11">
        <f t="shared" si="40"/>
        <v>1</v>
      </c>
      <c r="D859" s="11"/>
      <c r="E859" s="11"/>
      <c r="F859" s="11"/>
      <c r="G859" s="89">
        <f>IFERROR(VLOOKUP(F859,COA!$A$1:$K$26,2,FALSE),0)</f>
        <v>0</v>
      </c>
      <c r="H859" s="11"/>
      <c r="I859" s="11"/>
      <c r="J859" s="78"/>
      <c r="K859" s="78"/>
      <c r="L859" s="146">
        <f t="shared" si="42"/>
        <v>504000</v>
      </c>
      <c r="M859" s="73"/>
      <c r="N859" s="73"/>
      <c r="O859" s="7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 x14ac:dyDescent="0.35">
      <c r="A860" s="9">
        <f t="shared" si="41"/>
        <v>852</v>
      </c>
      <c r="B860" s="15"/>
      <c r="C860" s="11">
        <f t="shared" si="40"/>
        <v>1</v>
      </c>
      <c r="D860" s="11"/>
      <c r="E860" s="11"/>
      <c r="F860" s="11"/>
      <c r="G860" s="89">
        <f>IFERROR(VLOOKUP(F860,COA!$A$1:$K$26,2,FALSE),0)</f>
        <v>0</v>
      </c>
      <c r="H860" s="11"/>
      <c r="I860" s="11"/>
      <c r="J860" s="78"/>
      <c r="K860" s="78"/>
      <c r="L860" s="146">
        <f t="shared" si="42"/>
        <v>504000</v>
      </c>
      <c r="M860" s="73"/>
      <c r="N860" s="73"/>
      <c r="O860" s="7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 x14ac:dyDescent="0.35">
      <c r="A861" s="9">
        <f t="shared" si="41"/>
        <v>853</v>
      </c>
      <c r="B861" s="15"/>
      <c r="C861" s="11">
        <f t="shared" si="40"/>
        <v>1</v>
      </c>
      <c r="D861" s="11"/>
      <c r="E861" s="11"/>
      <c r="F861" s="11"/>
      <c r="G861" s="89">
        <f>IFERROR(VLOOKUP(F861,COA!$A$1:$K$26,2,FALSE),0)</f>
        <v>0</v>
      </c>
      <c r="H861" s="11"/>
      <c r="I861" s="11"/>
      <c r="J861" s="78"/>
      <c r="K861" s="78"/>
      <c r="L861" s="146">
        <f t="shared" si="42"/>
        <v>504000</v>
      </c>
      <c r="M861" s="73"/>
      <c r="N861" s="73"/>
      <c r="O861" s="7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 x14ac:dyDescent="0.35">
      <c r="A862" s="9">
        <f t="shared" si="41"/>
        <v>854</v>
      </c>
      <c r="B862" s="15"/>
      <c r="C862" s="11">
        <f t="shared" si="40"/>
        <v>1</v>
      </c>
      <c r="D862" s="11"/>
      <c r="E862" s="11"/>
      <c r="F862" s="11"/>
      <c r="G862" s="89">
        <f>IFERROR(VLOOKUP(F862,COA!$A$1:$K$26,2,FALSE),0)</f>
        <v>0</v>
      </c>
      <c r="H862" s="13"/>
      <c r="I862" s="13"/>
      <c r="J862" s="78"/>
      <c r="K862" s="78"/>
      <c r="L862" s="146">
        <f t="shared" si="42"/>
        <v>504000</v>
      </c>
      <c r="M862" s="73"/>
      <c r="N862" s="73"/>
      <c r="O862" s="7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 x14ac:dyDescent="0.35">
      <c r="A863" s="9">
        <f t="shared" si="41"/>
        <v>855</v>
      </c>
      <c r="B863" s="15"/>
      <c r="C863" s="11">
        <f t="shared" si="40"/>
        <v>1</v>
      </c>
      <c r="D863" s="11"/>
      <c r="E863" s="11"/>
      <c r="F863" s="11"/>
      <c r="G863" s="89">
        <f>IFERROR(VLOOKUP(F863,COA!$A$1:$K$26,2,FALSE),0)</f>
        <v>0</v>
      </c>
      <c r="H863" s="11"/>
      <c r="I863" s="11"/>
      <c r="J863" s="78"/>
      <c r="K863" s="78"/>
      <c r="L863" s="146">
        <f t="shared" si="42"/>
        <v>504000</v>
      </c>
      <c r="M863" s="73"/>
      <c r="N863" s="73"/>
      <c r="O863" s="7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 x14ac:dyDescent="0.35">
      <c r="A864" s="9">
        <f t="shared" si="41"/>
        <v>856</v>
      </c>
      <c r="B864" s="15"/>
      <c r="C864" s="11">
        <f t="shared" si="40"/>
        <v>1</v>
      </c>
      <c r="D864" s="11"/>
      <c r="E864" s="11"/>
      <c r="F864" s="11"/>
      <c r="G864" s="89">
        <f>IFERROR(VLOOKUP(F864,COA!$A$1:$K$26,2,FALSE),0)</f>
        <v>0</v>
      </c>
      <c r="H864" s="11"/>
      <c r="I864" s="11"/>
      <c r="J864" s="78"/>
      <c r="K864" s="78"/>
      <c r="L864" s="146">
        <f t="shared" si="42"/>
        <v>504000</v>
      </c>
      <c r="M864" s="73"/>
      <c r="N864" s="73"/>
      <c r="O864" s="7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 x14ac:dyDescent="0.35">
      <c r="A865" s="9">
        <f t="shared" si="41"/>
        <v>857</v>
      </c>
      <c r="B865" s="15"/>
      <c r="C865" s="11">
        <f t="shared" si="40"/>
        <v>1</v>
      </c>
      <c r="D865" s="11"/>
      <c r="E865" s="11"/>
      <c r="F865" s="11"/>
      <c r="G865" s="89">
        <f>IFERROR(VLOOKUP(F865,COA!$A$1:$K$26,2,FALSE),0)</f>
        <v>0</v>
      </c>
      <c r="H865" s="11"/>
      <c r="I865" s="11"/>
      <c r="J865" s="78"/>
      <c r="K865" s="78"/>
      <c r="L865" s="146">
        <f t="shared" si="42"/>
        <v>504000</v>
      </c>
      <c r="M865" s="73"/>
      <c r="N865" s="73"/>
      <c r="O865" s="7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 x14ac:dyDescent="0.35">
      <c r="A866" s="9">
        <f t="shared" si="41"/>
        <v>858</v>
      </c>
      <c r="B866" s="15"/>
      <c r="C866" s="11">
        <f t="shared" si="40"/>
        <v>1</v>
      </c>
      <c r="D866" s="11"/>
      <c r="E866" s="11"/>
      <c r="F866" s="11"/>
      <c r="G866" s="89">
        <f>IFERROR(VLOOKUP(F866,COA!$A$1:$K$26,2,FALSE),0)</f>
        <v>0</v>
      </c>
      <c r="H866" s="11"/>
      <c r="I866" s="11"/>
      <c r="J866" s="78"/>
      <c r="K866" s="78"/>
      <c r="L866" s="146">
        <f t="shared" si="42"/>
        <v>504000</v>
      </c>
      <c r="M866" s="73"/>
      <c r="N866" s="73"/>
      <c r="O866" s="7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 x14ac:dyDescent="0.35">
      <c r="A867" s="9">
        <f t="shared" si="41"/>
        <v>859</v>
      </c>
      <c r="B867" s="15"/>
      <c r="C867" s="11">
        <f t="shared" si="40"/>
        <v>1</v>
      </c>
      <c r="D867" s="11"/>
      <c r="E867" s="11"/>
      <c r="F867" s="11"/>
      <c r="G867" s="89">
        <f>IFERROR(VLOOKUP(F867,COA!$A$1:$K$26,2,FALSE),0)</f>
        <v>0</v>
      </c>
      <c r="H867" s="11"/>
      <c r="I867" s="11"/>
      <c r="J867" s="78"/>
      <c r="K867" s="78"/>
      <c r="L867" s="146">
        <f t="shared" si="42"/>
        <v>504000</v>
      </c>
      <c r="M867" s="73"/>
      <c r="N867" s="73"/>
      <c r="O867" s="7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 x14ac:dyDescent="0.35">
      <c r="A868" s="9">
        <f t="shared" si="41"/>
        <v>860</v>
      </c>
      <c r="B868" s="15"/>
      <c r="C868" s="11">
        <f t="shared" si="40"/>
        <v>1</v>
      </c>
      <c r="D868" s="11"/>
      <c r="E868" s="11"/>
      <c r="F868" s="11"/>
      <c r="G868" s="89">
        <f>IFERROR(VLOOKUP(F868,COA!$A$1:$K$26,2,FALSE),0)</f>
        <v>0</v>
      </c>
      <c r="H868" s="13"/>
      <c r="I868" s="13"/>
      <c r="J868" s="78"/>
      <c r="K868" s="78"/>
      <c r="L868" s="146">
        <f t="shared" si="42"/>
        <v>504000</v>
      </c>
      <c r="M868" s="73"/>
      <c r="N868" s="73"/>
      <c r="O868" s="7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 x14ac:dyDescent="0.35">
      <c r="A869" s="9">
        <f t="shared" si="41"/>
        <v>861</v>
      </c>
      <c r="B869" s="15"/>
      <c r="C869" s="11">
        <f t="shared" si="40"/>
        <v>1</v>
      </c>
      <c r="D869" s="11"/>
      <c r="E869" s="11"/>
      <c r="F869" s="11"/>
      <c r="G869" s="89">
        <f>IFERROR(VLOOKUP(F869,COA!$A$1:$K$26,2,FALSE),0)</f>
        <v>0</v>
      </c>
      <c r="H869" s="11"/>
      <c r="I869" s="11"/>
      <c r="J869" s="78"/>
      <c r="K869" s="78"/>
      <c r="L869" s="146">
        <f t="shared" si="42"/>
        <v>504000</v>
      </c>
      <c r="M869" s="73"/>
      <c r="N869" s="73"/>
      <c r="O869" s="7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 x14ac:dyDescent="0.35">
      <c r="A870" s="9">
        <f t="shared" si="41"/>
        <v>862</v>
      </c>
      <c r="B870" s="15"/>
      <c r="C870" s="11">
        <f t="shared" si="40"/>
        <v>1</v>
      </c>
      <c r="D870" s="11"/>
      <c r="E870" s="11"/>
      <c r="F870" s="11"/>
      <c r="G870" s="89">
        <f>IFERROR(VLOOKUP(F870,COA!$A$1:$K$26,2,FALSE),0)</f>
        <v>0</v>
      </c>
      <c r="H870" s="11"/>
      <c r="I870" s="11"/>
      <c r="J870" s="78"/>
      <c r="K870" s="78"/>
      <c r="L870" s="146">
        <f t="shared" si="42"/>
        <v>504000</v>
      </c>
      <c r="M870" s="73"/>
      <c r="N870" s="73"/>
      <c r="O870" s="7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 x14ac:dyDescent="0.35">
      <c r="A871" s="9">
        <f t="shared" si="41"/>
        <v>863</v>
      </c>
      <c r="B871" s="15"/>
      <c r="C871" s="11">
        <f t="shared" si="40"/>
        <v>1</v>
      </c>
      <c r="D871" s="11"/>
      <c r="E871" s="11"/>
      <c r="F871" s="11"/>
      <c r="G871" s="89">
        <f>IFERROR(VLOOKUP(F871,COA!$A$1:$K$26,2,FALSE),0)</f>
        <v>0</v>
      </c>
      <c r="H871" s="11"/>
      <c r="I871" s="11"/>
      <c r="J871" s="78"/>
      <c r="K871" s="78"/>
      <c r="L871" s="146">
        <f t="shared" si="42"/>
        <v>504000</v>
      </c>
      <c r="M871" s="73"/>
      <c r="N871" s="73"/>
      <c r="O871" s="7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 x14ac:dyDescent="0.35">
      <c r="A872" s="9">
        <f t="shared" si="41"/>
        <v>864</v>
      </c>
      <c r="B872" s="15"/>
      <c r="C872" s="11">
        <f t="shared" si="40"/>
        <v>1</v>
      </c>
      <c r="D872" s="11"/>
      <c r="E872" s="11"/>
      <c r="F872" s="11"/>
      <c r="G872" s="89">
        <f>IFERROR(VLOOKUP(F872,COA!$A$1:$K$26,2,FALSE),0)</f>
        <v>0</v>
      </c>
      <c r="H872" s="11"/>
      <c r="I872" s="11"/>
      <c r="J872" s="78"/>
      <c r="K872" s="78"/>
      <c r="L872" s="146">
        <f t="shared" si="42"/>
        <v>504000</v>
      </c>
      <c r="M872" s="73"/>
      <c r="N872" s="73"/>
      <c r="O872" s="7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 x14ac:dyDescent="0.35">
      <c r="A873" s="9">
        <f t="shared" si="41"/>
        <v>865</v>
      </c>
      <c r="B873" s="15"/>
      <c r="C873" s="11">
        <f t="shared" si="40"/>
        <v>1</v>
      </c>
      <c r="D873" s="11"/>
      <c r="E873" s="11"/>
      <c r="F873" s="11"/>
      <c r="G873" s="89">
        <f>IFERROR(VLOOKUP(F873,COA!$A$1:$K$26,2,FALSE),0)</f>
        <v>0</v>
      </c>
      <c r="H873" s="11"/>
      <c r="I873" s="11"/>
      <c r="J873" s="78"/>
      <c r="K873" s="78"/>
      <c r="L873" s="146">
        <f t="shared" si="42"/>
        <v>504000</v>
      </c>
      <c r="M873" s="73"/>
      <c r="N873" s="73"/>
      <c r="O873" s="7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 x14ac:dyDescent="0.35">
      <c r="A874" s="9">
        <f t="shared" si="41"/>
        <v>866</v>
      </c>
      <c r="B874" s="15"/>
      <c r="C874" s="11">
        <f t="shared" si="40"/>
        <v>1</v>
      </c>
      <c r="D874" s="11"/>
      <c r="E874" s="11"/>
      <c r="F874" s="11"/>
      <c r="G874" s="89">
        <f>IFERROR(VLOOKUP(F874,COA!$A$1:$K$26,2,FALSE),0)</f>
        <v>0</v>
      </c>
      <c r="H874" s="13"/>
      <c r="I874" s="13"/>
      <c r="J874" s="78"/>
      <c r="K874" s="78"/>
      <c r="L874" s="146">
        <f t="shared" si="42"/>
        <v>504000</v>
      </c>
      <c r="M874" s="73"/>
      <c r="N874" s="73"/>
      <c r="O874" s="7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 x14ac:dyDescent="0.35">
      <c r="A875" s="9">
        <f t="shared" si="41"/>
        <v>867</v>
      </c>
      <c r="B875" s="15"/>
      <c r="C875" s="11">
        <f t="shared" si="40"/>
        <v>1</v>
      </c>
      <c r="D875" s="11"/>
      <c r="E875" s="11"/>
      <c r="F875" s="11"/>
      <c r="G875" s="89">
        <f>IFERROR(VLOOKUP(F875,COA!$A$1:$K$26,2,FALSE),0)</f>
        <v>0</v>
      </c>
      <c r="H875" s="11"/>
      <c r="I875" s="11"/>
      <c r="J875" s="78"/>
      <c r="K875" s="78"/>
      <c r="L875" s="146">
        <f t="shared" si="42"/>
        <v>504000</v>
      </c>
      <c r="M875" s="73"/>
      <c r="N875" s="73"/>
      <c r="O875" s="7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 x14ac:dyDescent="0.35">
      <c r="A876" s="9">
        <f t="shared" si="41"/>
        <v>868</v>
      </c>
      <c r="B876" s="15"/>
      <c r="C876" s="11">
        <f t="shared" si="40"/>
        <v>1</v>
      </c>
      <c r="D876" s="11"/>
      <c r="E876" s="11"/>
      <c r="F876" s="11"/>
      <c r="G876" s="89">
        <f>IFERROR(VLOOKUP(F876,COA!$A$1:$K$26,2,FALSE),0)</f>
        <v>0</v>
      </c>
      <c r="H876" s="11"/>
      <c r="I876" s="11"/>
      <c r="J876" s="78"/>
      <c r="K876" s="78"/>
      <c r="L876" s="146">
        <f t="shared" si="42"/>
        <v>504000</v>
      </c>
      <c r="M876" s="73"/>
      <c r="N876" s="73"/>
      <c r="O876" s="7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 x14ac:dyDescent="0.35">
      <c r="A877" s="9">
        <f t="shared" si="41"/>
        <v>869</v>
      </c>
      <c r="B877" s="15"/>
      <c r="C877" s="11">
        <f t="shared" si="40"/>
        <v>1</v>
      </c>
      <c r="D877" s="11"/>
      <c r="E877" s="11"/>
      <c r="F877" s="11"/>
      <c r="G877" s="89">
        <f>IFERROR(VLOOKUP(F877,COA!$A$1:$K$26,2,FALSE),0)</f>
        <v>0</v>
      </c>
      <c r="H877" s="11"/>
      <c r="I877" s="11"/>
      <c r="J877" s="78"/>
      <c r="K877" s="78"/>
      <c r="L877" s="146">
        <f t="shared" si="42"/>
        <v>504000</v>
      </c>
      <c r="M877" s="73"/>
      <c r="N877" s="73"/>
      <c r="O877" s="7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 x14ac:dyDescent="0.35">
      <c r="A878" s="9">
        <f t="shared" si="41"/>
        <v>870</v>
      </c>
      <c r="B878" s="15"/>
      <c r="C878" s="11">
        <f t="shared" si="40"/>
        <v>1</v>
      </c>
      <c r="D878" s="11"/>
      <c r="E878" s="11"/>
      <c r="F878" s="11"/>
      <c r="G878" s="89">
        <f>IFERROR(VLOOKUP(F878,COA!$A$1:$K$26,2,FALSE),0)</f>
        <v>0</v>
      </c>
      <c r="H878" s="11"/>
      <c r="I878" s="11"/>
      <c r="J878" s="78"/>
      <c r="K878" s="78"/>
      <c r="L878" s="146">
        <f t="shared" si="42"/>
        <v>504000</v>
      </c>
      <c r="M878" s="73"/>
      <c r="N878" s="73"/>
      <c r="O878" s="7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 x14ac:dyDescent="0.35">
      <c r="A879" s="9">
        <f t="shared" si="41"/>
        <v>871</v>
      </c>
      <c r="B879" s="15"/>
      <c r="C879" s="11">
        <f t="shared" si="40"/>
        <v>1</v>
      </c>
      <c r="D879" s="11"/>
      <c r="E879" s="11"/>
      <c r="F879" s="11"/>
      <c r="G879" s="89">
        <f>IFERROR(VLOOKUP(F879,COA!$A$1:$K$26,2,FALSE),0)</f>
        <v>0</v>
      </c>
      <c r="H879" s="11"/>
      <c r="I879" s="11"/>
      <c r="J879" s="78"/>
      <c r="K879" s="78"/>
      <c r="L879" s="146">
        <f t="shared" si="42"/>
        <v>504000</v>
      </c>
      <c r="M879" s="73"/>
      <c r="N879" s="73"/>
      <c r="O879" s="7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 x14ac:dyDescent="0.35">
      <c r="A880" s="9">
        <f t="shared" si="41"/>
        <v>872</v>
      </c>
      <c r="B880" s="15"/>
      <c r="C880" s="11">
        <f t="shared" si="40"/>
        <v>1</v>
      </c>
      <c r="D880" s="11"/>
      <c r="E880" s="11"/>
      <c r="F880" s="11"/>
      <c r="G880" s="89">
        <f>IFERROR(VLOOKUP(F880,COA!$A$1:$K$26,2,FALSE),0)</f>
        <v>0</v>
      </c>
      <c r="H880" s="11"/>
      <c r="I880" s="11"/>
      <c r="J880" s="78"/>
      <c r="K880" s="78"/>
      <c r="L880" s="146">
        <f t="shared" si="42"/>
        <v>504000</v>
      </c>
      <c r="M880" s="73"/>
      <c r="N880" s="73"/>
      <c r="O880" s="7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 x14ac:dyDescent="0.35">
      <c r="A881" s="9">
        <f t="shared" si="41"/>
        <v>873</v>
      </c>
      <c r="B881" s="15"/>
      <c r="C881" s="11">
        <f t="shared" si="40"/>
        <v>1</v>
      </c>
      <c r="D881" s="11"/>
      <c r="E881" s="11"/>
      <c r="F881" s="11"/>
      <c r="G881" s="89">
        <f>IFERROR(VLOOKUP(F881,COA!$A$1:$K$26,2,FALSE),0)</f>
        <v>0</v>
      </c>
      <c r="H881" s="13"/>
      <c r="I881" s="13"/>
      <c r="J881" s="78"/>
      <c r="K881" s="78"/>
      <c r="L881" s="146">
        <f t="shared" si="42"/>
        <v>504000</v>
      </c>
      <c r="M881" s="73"/>
      <c r="N881" s="73"/>
      <c r="O881" s="7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 x14ac:dyDescent="0.35">
      <c r="A882" s="9">
        <f t="shared" si="41"/>
        <v>874</v>
      </c>
      <c r="B882" s="15"/>
      <c r="C882" s="11">
        <f t="shared" si="40"/>
        <v>1</v>
      </c>
      <c r="D882" s="11"/>
      <c r="E882" s="11"/>
      <c r="F882" s="11"/>
      <c r="G882" s="89">
        <f>IFERROR(VLOOKUP(F882,COA!$A$1:$K$26,2,FALSE),0)</f>
        <v>0</v>
      </c>
      <c r="H882" s="11"/>
      <c r="I882" s="11"/>
      <c r="J882" s="78"/>
      <c r="K882" s="78"/>
      <c r="L882" s="146">
        <f t="shared" si="42"/>
        <v>504000</v>
      </c>
      <c r="M882" s="73"/>
      <c r="N882" s="73"/>
      <c r="O882" s="7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 x14ac:dyDescent="0.35">
      <c r="A883" s="9">
        <f t="shared" si="41"/>
        <v>875</v>
      </c>
      <c r="B883" s="15"/>
      <c r="C883" s="11">
        <f t="shared" si="40"/>
        <v>1</v>
      </c>
      <c r="D883" s="11"/>
      <c r="E883" s="11"/>
      <c r="F883" s="11"/>
      <c r="G883" s="89">
        <f>IFERROR(VLOOKUP(F883,COA!$A$1:$K$26,2,FALSE),0)</f>
        <v>0</v>
      </c>
      <c r="H883" s="11"/>
      <c r="I883" s="11"/>
      <c r="J883" s="78"/>
      <c r="K883" s="78"/>
      <c r="L883" s="146">
        <f t="shared" si="42"/>
        <v>504000</v>
      </c>
      <c r="M883" s="73"/>
      <c r="N883" s="73"/>
      <c r="O883" s="7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 x14ac:dyDescent="0.35">
      <c r="A884" s="9">
        <f t="shared" si="41"/>
        <v>876</v>
      </c>
      <c r="B884" s="15"/>
      <c r="C884" s="11">
        <f t="shared" si="40"/>
        <v>1</v>
      </c>
      <c r="D884" s="11"/>
      <c r="E884" s="11"/>
      <c r="F884" s="11"/>
      <c r="G884" s="89">
        <f>IFERROR(VLOOKUP(F884,COA!$A$1:$K$26,2,FALSE),0)</f>
        <v>0</v>
      </c>
      <c r="H884" s="11"/>
      <c r="I884" s="11"/>
      <c r="J884" s="78"/>
      <c r="K884" s="78"/>
      <c r="L884" s="146">
        <f t="shared" si="42"/>
        <v>504000</v>
      </c>
      <c r="M884" s="73"/>
      <c r="N884" s="73"/>
      <c r="O884" s="7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 x14ac:dyDescent="0.35">
      <c r="A885" s="9">
        <f t="shared" si="41"/>
        <v>877</v>
      </c>
      <c r="B885" s="15"/>
      <c r="C885" s="11">
        <f t="shared" si="40"/>
        <v>1</v>
      </c>
      <c r="D885" s="11"/>
      <c r="E885" s="11"/>
      <c r="F885" s="11"/>
      <c r="G885" s="89">
        <f>IFERROR(VLOOKUP(F885,COA!$A$1:$K$26,2,FALSE),0)</f>
        <v>0</v>
      </c>
      <c r="H885" s="11"/>
      <c r="I885" s="11"/>
      <c r="J885" s="78"/>
      <c r="K885" s="78"/>
      <c r="L885" s="146">
        <f t="shared" si="42"/>
        <v>504000</v>
      </c>
      <c r="M885" s="73"/>
      <c r="N885" s="73"/>
      <c r="O885" s="7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 x14ac:dyDescent="0.35">
      <c r="A886" s="9">
        <f t="shared" si="41"/>
        <v>878</v>
      </c>
      <c r="B886" s="15"/>
      <c r="C886" s="11">
        <f t="shared" si="40"/>
        <v>1</v>
      </c>
      <c r="D886" s="11"/>
      <c r="E886" s="11"/>
      <c r="F886" s="11"/>
      <c r="G886" s="89">
        <f>IFERROR(VLOOKUP(F886,COA!$A$1:$K$26,2,FALSE),0)</f>
        <v>0</v>
      </c>
      <c r="H886" s="11"/>
      <c r="I886" s="11"/>
      <c r="J886" s="78"/>
      <c r="K886" s="78"/>
      <c r="L886" s="146">
        <f t="shared" si="42"/>
        <v>504000</v>
      </c>
      <c r="M886" s="73"/>
      <c r="N886" s="73"/>
      <c r="O886" s="7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 x14ac:dyDescent="0.35">
      <c r="A887" s="9">
        <f t="shared" si="41"/>
        <v>879</v>
      </c>
      <c r="B887" s="15"/>
      <c r="C887" s="11">
        <f t="shared" si="40"/>
        <v>1</v>
      </c>
      <c r="D887" s="11"/>
      <c r="E887" s="11"/>
      <c r="F887" s="11"/>
      <c r="G887" s="89">
        <f>IFERROR(VLOOKUP(F887,COA!$A$1:$K$26,2,FALSE),0)</f>
        <v>0</v>
      </c>
      <c r="H887" s="11"/>
      <c r="I887" s="11"/>
      <c r="J887" s="78"/>
      <c r="K887" s="78"/>
      <c r="L887" s="146">
        <f t="shared" si="42"/>
        <v>504000</v>
      </c>
      <c r="M887" s="73"/>
      <c r="N887" s="73"/>
      <c r="O887" s="7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 x14ac:dyDescent="0.35">
      <c r="A888" s="9">
        <f t="shared" si="41"/>
        <v>880</v>
      </c>
      <c r="B888" s="15"/>
      <c r="C888" s="11">
        <f t="shared" si="40"/>
        <v>1</v>
      </c>
      <c r="D888" s="11"/>
      <c r="E888" s="11"/>
      <c r="F888" s="11"/>
      <c r="G888" s="89">
        <f>IFERROR(VLOOKUP(F888,COA!$A$1:$K$26,2,FALSE),0)</f>
        <v>0</v>
      </c>
      <c r="H888" s="11"/>
      <c r="I888" s="11"/>
      <c r="J888" s="78"/>
      <c r="K888" s="78"/>
      <c r="L888" s="146">
        <f t="shared" si="42"/>
        <v>504000</v>
      </c>
      <c r="M888" s="73"/>
      <c r="N888" s="73"/>
      <c r="O888" s="7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 x14ac:dyDescent="0.35">
      <c r="A889" s="9">
        <f t="shared" si="41"/>
        <v>881</v>
      </c>
      <c r="B889" s="15"/>
      <c r="C889" s="11">
        <f t="shared" si="40"/>
        <v>1</v>
      </c>
      <c r="D889" s="11"/>
      <c r="E889" s="11"/>
      <c r="F889" s="11"/>
      <c r="G889" s="89">
        <f>IFERROR(VLOOKUP(F889,COA!$A$1:$K$26,2,FALSE),0)</f>
        <v>0</v>
      </c>
      <c r="H889" s="11"/>
      <c r="I889" s="11"/>
      <c r="J889" s="78"/>
      <c r="K889" s="78"/>
      <c r="L889" s="146">
        <f t="shared" si="42"/>
        <v>504000</v>
      </c>
      <c r="M889" s="73"/>
      <c r="N889" s="73"/>
      <c r="O889" s="7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 x14ac:dyDescent="0.35">
      <c r="A890" s="9">
        <f t="shared" si="41"/>
        <v>882</v>
      </c>
      <c r="B890" s="15"/>
      <c r="C890" s="11">
        <f t="shared" si="40"/>
        <v>1</v>
      </c>
      <c r="D890" s="11"/>
      <c r="E890" s="11"/>
      <c r="F890" s="11"/>
      <c r="G890" s="89">
        <f>IFERROR(VLOOKUP(F890,COA!$A$1:$K$26,2,FALSE),0)</f>
        <v>0</v>
      </c>
      <c r="H890" s="11"/>
      <c r="I890" s="11"/>
      <c r="J890" s="78"/>
      <c r="K890" s="78"/>
      <c r="L890" s="146">
        <f t="shared" si="42"/>
        <v>504000</v>
      </c>
      <c r="M890" s="73"/>
      <c r="N890" s="73"/>
      <c r="O890" s="7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 x14ac:dyDescent="0.35">
      <c r="A891" s="9">
        <f t="shared" si="41"/>
        <v>883</v>
      </c>
      <c r="B891" s="15"/>
      <c r="C891" s="11">
        <f t="shared" si="40"/>
        <v>1</v>
      </c>
      <c r="D891" s="11"/>
      <c r="E891" s="11"/>
      <c r="F891" s="11"/>
      <c r="G891" s="89">
        <f>IFERROR(VLOOKUP(F891,COA!$A$1:$K$26,2,FALSE),0)</f>
        <v>0</v>
      </c>
      <c r="H891" s="11"/>
      <c r="I891" s="11"/>
      <c r="J891" s="78"/>
      <c r="K891" s="78"/>
      <c r="L891" s="146">
        <f t="shared" si="42"/>
        <v>504000</v>
      </c>
      <c r="M891" s="73"/>
      <c r="N891" s="73"/>
      <c r="O891" s="7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 x14ac:dyDescent="0.35">
      <c r="A892" s="9">
        <f t="shared" si="41"/>
        <v>884</v>
      </c>
      <c r="B892" s="15"/>
      <c r="C892" s="11">
        <f t="shared" si="40"/>
        <v>1</v>
      </c>
      <c r="D892" s="11"/>
      <c r="E892" s="11"/>
      <c r="F892" s="11"/>
      <c r="G892" s="89">
        <f>IFERROR(VLOOKUP(F892,COA!$A$1:$K$26,2,FALSE),0)</f>
        <v>0</v>
      </c>
      <c r="H892" s="13"/>
      <c r="I892" s="13"/>
      <c r="J892" s="78"/>
      <c r="K892" s="78"/>
      <c r="L892" s="146">
        <f t="shared" si="42"/>
        <v>504000</v>
      </c>
      <c r="M892" s="73"/>
      <c r="N892" s="73"/>
      <c r="O892" s="7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 x14ac:dyDescent="0.35">
      <c r="A893" s="9">
        <f t="shared" si="41"/>
        <v>885</v>
      </c>
      <c r="B893" s="15"/>
      <c r="C893" s="11">
        <f t="shared" si="40"/>
        <v>1</v>
      </c>
      <c r="D893" s="11"/>
      <c r="E893" s="11"/>
      <c r="F893" s="11"/>
      <c r="G893" s="89">
        <f>IFERROR(VLOOKUP(F893,COA!$A$1:$K$26,2,FALSE),0)</f>
        <v>0</v>
      </c>
      <c r="H893" s="11"/>
      <c r="I893" s="11"/>
      <c r="J893" s="78"/>
      <c r="K893" s="78"/>
      <c r="L893" s="146">
        <f t="shared" si="42"/>
        <v>504000</v>
      </c>
      <c r="M893" s="73"/>
      <c r="N893" s="73"/>
      <c r="O893" s="7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 x14ac:dyDescent="0.35">
      <c r="A894" s="9">
        <f t="shared" si="41"/>
        <v>886</v>
      </c>
      <c r="B894" s="15"/>
      <c r="C894" s="11">
        <f t="shared" si="40"/>
        <v>1</v>
      </c>
      <c r="D894" s="11"/>
      <c r="E894" s="11"/>
      <c r="F894" s="11"/>
      <c r="G894" s="89">
        <f>IFERROR(VLOOKUP(F894,COA!$A$1:$K$26,2,FALSE),0)</f>
        <v>0</v>
      </c>
      <c r="H894" s="11"/>
      <c r="I894" s="11"/>
      <c r="J894" s="78"/>
      <c r="K894" s="78"/>
      <c r="L894" s="146">
        <f t="shared" si="42"/>
        <v>504000</v>
      </c>
      <c r="M894" s="73"/>
      <c r="N894" s="73"/>
      <c r="O894" s="7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 x14ac:dyDescent="0.35">
      <c r="A895" s="9">
        <f t="shared" si="41"/>
        <v>887</v>
      </c>
      <c r="B895" s="15"/>
      <c r="C895" s="11">
        <f t="shared" si="40"/>
        <v>1</v>
      </c>
      <c r="D895" s="11"/>
      <c r="E895" s="11"/>
      <c r="F895" s="11"/>
      <c r="G895" s="89">
        <f>IFERROR(VLOOKUP(F895,COA!$A$1:$K$26,2,FALSE),0)</f>
        <v>0</v>
      </c>
      <c r="H895" s="11"/>
      <c r="I895" s="11"/>
      <c r="J895" s="78"/>
      <c r="K895" s="78"/>
      <c r="L895" s="146">
        <f t="shared" si="42"/>
        <v>504000</v>
      </c>
      <c r="M895" s="73"/>
      <c r="N895" s="73"/>
      <c r="O895" s="7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 x14ac:dyDescent="0.35">
      <c r="A896" s="9">
        <f t="shared" si="41"/>
        <v>888</v>
      </c>
      <c r="B896" s="15"/>
      <c r="C896" s="11">
        <f t="shared" si="40"/>
        <v>1</v>
      </c>
      <c r="D896" s="11"/>
      <c r="E896" s="11"/>
      <c r="F896" s="11"/>
      <c r="G896" s="89">
        <f>IFERROR(VLOOKUP(F896,COA!$A$1:$K$26,2,FALSE),0)</f>
        <v>0</v>
      </c>
      <c r="H896" s="11"/>
      <c r="I896" s="11"/>
      <c r="J896" s="78"/>
      <c r="K896" s="78"/>
      <c r="L896" s="146">
        <f t="shared" si="42"/>
        <v>504000</v>
      </c>
      <c r="M896" s="73"/>
      <c r="N896" s="73"/>
      <c r="O896" s="7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 x14ac:dyDescent="0.35">
      <c r="A897" s="9">
        <f t="shared" si="41"/>
        <v>889</v>
      </c>
      <c r="B897" s="15"/>
      <c r="C897" s="11">
        <f t="shared" si="40"/>
        <v>1</v>
      </c>
      <c r="D897" s="11"/>
      <c r="E897" s="11"/>
      <c r="F897" s="11"/>
      <c r="G897" s="89">
        <f>IFERROR(VLOOKUP(F897,COA!$A$1:$K$26,2,FALSE),0)</f>
        <v>0</v>
      </c>
      <c r="H897" s="11"/>
      <c r="I897" s="11"/>
      <c r="J897" s="78"/>
      <c r="K897" s="78"/>
      <c r="L897" s="146">
        <f t="shared" si="42"/>
        <v>504000</v>
      </c>
      <c r="M897" s="73"/>
      <c r="N897" s="73"/>
      <c r="O897" s="7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 x14ac:dyDescent="0.35">
      <c r="A898" s="9">
        <f t="shared" si="41"/>
        <v>890</v>
      </c>
      <c r="B898" s="15"/>
      <c r="C898" s="11">
        <f t="shared" si="40"/>
        <v>1</v>
      </c>
      <c r="D898" s="11"/>
      <c r="E898" s="11"/>
      <c r="F898" s="11"/>
      <c r="G898" s="89">
        <f>IFERROR(VLOOKUP(F898,COA!$A$1:$K$26,2,FALSE),0)</f>
        <v>0</v>
      </c>
      <c r="H898" s="13"/>
      <c r="I898" s="13"/>
      <c r="J898" s="78"/>
      <c r="K898" s="78"/>
      <c r="L898" s="146">
        <f t="shared" si="42"/>
        <v>504000</v>
      </c>
      <c r="M898" s="73"/>
      <c r="N898" s="73"/>
      <c r="O898" s="7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 x14ac:dyDescent="0.35">
      <c r="A899" s="9">
        <f t="shared" si="41"/>
        <v>891</v>
      </c>
      <c r="B899" s="15"/>
      <c r="C899" s="11">
        <f t="shared" si="40"/>
        <v>1</v>
      </c>
      <c r="D899" s="11"/>
      <c r="E899" s="11"/>
      <c r="F899" s="11"/>
      <c r="G899" s="89">
        <f>IFERROR(VLOOKUP(F899,COA!$A$1:$K$26,2,FALSE),0)</f>
        <v>0</v>
      </c>
      <c r="H899" s="11"/>
      <c r="I899" s="11"/>
      <c r="J899" s="78"/>
      <c r="K899" s="78"/>
      <c r="L899" s="146">
        <f t="shared" si="42"/>
        <v>504000</v>
      </c>
      <c r="M899" s="73"/>
      <c r="N899" s="73"/>
      <c r="O899" s="7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 x14ac:dyDescent="0.35">
      <c r="A900" s="9">
        <f t="shared" si="41"/>
        <v>892</v>
      </c>
      <c r="B900" s="15"/>
      <c r="C900" s="11">
        <f t="shared" si="40"/>
        <v>1</v>
      </c>
      <c r="D900" s="11"/>
      <c r="E900" s="11"/>
      <c r="F900" s="11"/>
      <c r="G900" s="89">
        <f>IFERROR(VLOOKUP(F900,COA!$A$1:$K$26,2,FALSE),0)</f>
        <v>0</v>
      </c>
      <c r="H900" s="11"/>
      <c r="I900" s="11"/>
      <c r="J900" s="78"/>
      <c r="K900" s="78"/>
      <c r="L900" s="146">
        <f t="shared" si="42"/>
        <v>504000</v>
      </c>
      <c r="M900" s="73"/>
      <c r="N900" s="73"/>
      <c r="O900" s="7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 x14ac:dyDescent="0.35">
      <c r="A901" s="9">
        <f t="shared" si="41"/>
        <v>893</v>
      </c>
      <c r="B901" s="15"/>
      <c r="C901" s="11">
        <f t="shared" si="40"/>
        <v>1</v>
      </c>
      <c r="D901" s="11"/>
      <c r="E901" s="11"/>
      <c r="F901" s="11"/>
      <c r="G901" s="89">
        <f>IFERROR(VLOOKUP(F901,COA!$A$1:$K$26,2,FALSE),0)</f>
        <v>0</v>
      </c>
      <c r="H901" s="11"/>
      <c r="I901" s="11"/>
      <c r="J901" s="78"/>
      <c r="K901" s="78"/>
      <c r="L901" s="146">
        <f t="shared" si="42"/>
        <v>504000</v>
      </c>
      <c r="M901" s="73"/>
      <c r="N901" s="73"/>
      <c r="O901" s="7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 x14ac:dyDescent="0.35">
      <c r="A902" s="9">
        <f t="shared" si="41"/>
        <v>894</v>
      </c>
      <c r="B902" s="15"/>
      <c r="C902" s="11">
        <f t="shared" si="40"/>
        <v>1</v>
      </c>
      <c r="D902" s="11"/>
      <c r="E902" s="11"/>
      <c r="F902" s="11"/>
      <c r="G902" s="89">
        <f>IFERROR(VLOOKUP(F902,COA!$A$1:$K$26,2,FALSE),0)</f>
        <v>0</v>
      </c>
      <c r="H902" s="11"/>
      <c r="I902" s="11"/>
      <c r="J902" s="78"/>
      <c r="K902" s="78"/>
      <c r="L902" s="146">
        <f t="shared" si="42"/>
        <v>504000</v>
      </c>
      <c r="M902" s="73"/>
      <c r="N902" s="73"/>
      <c r="O902" s="7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 x14ac:dyDescent="0.35">
      <c r="A903" s="9">
        <f t="shared" si="41"/>
        <v>895</v>
      </c>
      <c r="B903" s="15"/>
      <c r="C903" s="11">
        <f t="shared" si="40"/>
        <v>1</v>
      </c>
      <c r="D903" s="11"/>
      <c r="E903" s="11"/>
      <c r="F903" s="11"/>
      <c r="G903" s="89">
        <f>IFERROR(VLOOKUP(F903,COA!$A$1:$K$26,2,FALSE),0)</f>
        <v>0</v>
      </c>
      <c r="H903" s="11"/>
      <c r="I903" s="11"/>
      <c r="J903" s="78"/>
      <c r="K903" s="78"/>
      <c r="L903" s="146">
        <f t="shared" si="42"/>
        <v>504000</v>
      </c>
      <c r="M903" s="73"/>
      <c r="N903" s="73"/>
      <c r="O903" s="7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 x14ac:dyDescent="0.35">
      <c r="A904" s="9">
        <f t="shared" si="41"/>
        <v>896</v>
      </c>
      <c r="B904" s="15"/>
      <c r="C904" s="11">
        <f t="shared" ref="C904:C967" si="43">MONTH(B904)</f>
        <v>1</v>
      </c>
      <c r="D904" s="11"/>
      <c r="E904" s="11"/>
      <c r="F904" s="11"/>
      <c r="G904" s="89">
        <f>IFERROR(VLOOKUP(F904,COA!$A$1:$K$26,2,FALSE),0)</f>
        <v>0</v>
      </c>
      <c r="H904" s="13"/>
      <c r="I904" s="13"/>
      <c r="J904" s="78"/>
      <c r="K904" s="78"/>
      <c r="L904" s="146">
        <f t="shared" si="42"/>
        <v>504000</v>
      </c>
      <c r="M904" s="73"/>
      <c r="N904" s="73"/>
      <c r="O904" s="7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 x14ac:dyDescent="0.35">
      <c r="A905" s="9">
        <f t="shared" si="41"/>
        <v>897</v>
      </c>
      <c r="B905" s="15"/>
      <c r="C905" s="11">
        <f t="shared" si="43"/>
        <v>1</v>
      </c>
      <c r="D905" s="11"/>
      <c r="E905" s="11"/>
      <c r="F905" s="11"/>
      <c r="G905" s="89">
        <f>IFERROR(VLOOKUP(F905,COA!$A$1:$K$26,2,FALSE),0)</f>
        <v>0</v>
      </c>
      <c r="H905" s="11"/>
      <c r="I905" s="11"/>
      <c r="J905" s="78"/>
      <c r="K905" s="78"/>
      <c r="L905" s="146">
        <f t="shared" si="42"/>
        <v>504000</v>
      </c>
      <c r="M905" s="73"/>
      <c r="N905" s="73"/>
      <c r="O905" s="7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 x14ac:dyDescent="0.35">
      <c r="A906" s="9">
        <f t="shared" si="41"/>
        <v>898</v>
      </c>
      <c r="B906" s="15"/>
      <c r="C906" s="11">
        <f t="shared" si="43"/>
        <v>1</v>
      </c>
      <c r="D906" s="11"/>
      <c r="E906" s="11"/>
      <c r="F906" s="11"/>
      <c r="G906" s="89">
        <f>IFERROR(VLOOKUP(F906,COA!$A$1:$K$26,2,FALSE),0)</f>
        <v>0</v>
      </c>
      <c r="H906" s="11"/>
      <c r="I906" s="11"/>
      <c r="J906" s="78"/>
      <c r="K906" s="78"/>
      <c r="L906" s="146">
        <f t="shared" si="42"/>
        <v>504000</v>
      </c>
      <c r="M906" s="73"/>
      <c r="N906" s="73"/>
      <c r="O906" s="7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 x14ac:dyDescent="0.35">
      <c r="A907" s="9">
        <f t="shared" ref="A907:A970" si="44">A906+1</f>
        <v>899</v>
      </c>
      <c r="B907" s="15"/>
      <c r="C907" s="11">
        <f t="shared" si="43"/>
        <v>1</v>
      </c>
      <c r="D907" s="11"/>
      <c r="E907" s="11"/>
      <c r="F907" s="11"/>
      <c r="G907" s="89">
        <f>IFERROR(VLOOKUP(F907,COA!$A$1:$K$26,2,FALSE),0)</f>
        <v>0</v>
      </c>
      <c r="H907" s="11"/>
      <c r="I907" s="11"/>
      <c r="J907" s="78"/>
      <c r="K907" s="78"/>
      <c r="L907" s="146">
        <f t="shared" ref="L907:L970" si="45">L906+J907-K907</f>
        <v>504000</v>
      </c>
      <c r="M907" s="73"/>
      <c r="N907" s="73"/>
      <c r="O907" s="7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 x14ac:dyDescent="0.35">
      <c r="A908" s="9">
        <f t="shared" si="44"/>
        <v>900</v>
      </c>
      <c r="B908" s="15"/>
      <c r="C908" s="11">
        <f t="shared" si="43"/>
        <v>1</v>
      </c>
      <c r="D908" s="11"/>
      <c r="E908" s="11"/>
      <c r="F908" s="11"/>
      <c r="G908" s="89">
        <f>IFERROR(VLOOKUP(F908,COA!$A$1:$K$26,2,FALSE),0)</f>
        <v>0</v>
      </c>
      <c r="H908" s="11"/>
      <c r="I908" s="11"/>
      <c r="J908" s="78"/>
      <c r="K908" s="78"/>
      <c r="L908" s="146">
        <f t="shared" si="45"/>
        <v>504000</v>
      </c>
      <c r="M908" s="73"/>
      <c r="N908" s="73"/>
      <c r="O908" s="7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 x14ac:dyDescent="0.35">
      <c r="A909" s="9">
        <f t="shared" si="44"/>
        <v>901</v>
      </c>
      <c r="B909" s="15"/>
      <c r="C909" s="11">
        <f t="shared" si="43"/>
        <v>1</v>
      </c>
      <c r="D909" s="11"/>
      <c r="E909" s="11"/>
      <c r="F909" s="11"/>
      <c r="G909" s="89">
        <f>IFERROR(VLOOKUP(F909,COA!$A$1:$K$26,2,FALSE),0)</f>
        <v>0</v>
      </c>
      <c r="H909" s="11"/>
      <c r="I909" s="11"/>
      <c r="J909" s="78"/>
      <c r="K909" s="78"/>
      <c r="L909" s="146">
        <f t="shared" si="45"/>
        <v>504000</v>
      </c>
      <c r="M909" s="73"/>
      <c r="N909" s="73"/>
      <c r="O909" s="7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 x14ac:dyDescent="0.35">
      <c r="A910" s="9">
        <f t="shared" si="44"/>
        <v>902</v>
      </c>
      <c r="B910" s="15"/>
      <c r="C910" s="11">
        <f t="shared" si="43"/>
        <v>1</v>
      </c>
      <c r="D910" s="11"/>
      <c r="E910" s="11"/>
      <c r="F910" s="11"/>
      <c r="G910" s="89">
        <f>IFERROR(VLOOKUP(F910,COA!$A$1:$K$26,2,FALSE),0)</f>
        <v>0</v>
      </c>
      <c r="H910" s="13"/>
      <c r="I910" s="13"/>
      <c r="J910" s="78"/>
      <c r="K910" s="78"/>
      <c r="L910" s="146">
        <f t="shared" si="45"/>
        <v>504000</v>
      </c>
      <c r="M910" s="73"/>
      <c r="N910" s="73"/>
      <c r="O910" s="7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 x14ac:dyDescent="0.35">
      <c r="A911" s="9">
        <f t="shared" si="44"/>
        <v>903</v>
      </c>
      <c r="B911" s="15"/>
      <c r="C911" s="11">
        <f t="shared" si="43"/>
        <v>1</v>
      </c>
      <c r="D911" s="11"/>
      <c r="E911" s="11"/>
      <c r="F911" s="11"/>
      <c r="G911" s="89">
        <f>IFERROR(VLOOKUP(F911,COA!$A$1:$K$26,2,FALSE),0)</f>
        <v>0</v>
      </c>
      <c r="H911" s="11"/>
      <c r="I911" s="11"/>
      <c r="J911" s="78"/>
      <c r="K911" s="78"/>
      <c r="L911" s="146">
        <f t="shared" si="45"/>
        <v>504000</v>
      </c>
      <c r="M911" s="73"/>
      <c r="N911" s="73"/>
      <c r="O911" s="7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 x14ac:dyDescent="0.35">
      <c r="A912" s="9">
        <f t="shared" si="44"/>
        <v>904</v>
      </c>
      <c r="B912" s="15"/>
      <c r="C912" s="11">
        <f t="shared" si="43"/>
        <v>1</v>
      </c>
      <c r="D912" s="11"/>
      <c r="E912" s="11"/>
      <c r="F912" s="11"/>
      <c r="G912" s="89">
        <f>IFERROR(VLOOKUP(F912,COA!$A$1:$K$26,2,FALSE),0)</f>
        <v>0</v>
      </c>
      <c r="H912" s="11"/>
      <c r="I912" s="11"/>
      <c r="J912" s="78"/>
      <c r="K912" s="78"/>
      <c r="L912" s="146">
        <f t="shared" si="45"/>
        <v>504000</v>
      </c>
      <c r="M912" s="73"/>
      <c r="N912" s="73"/>
      <c r="O912" s="7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 x14ac:dyDescent="0.35">
      <c r="A913" s="9">
        <f t="shared" si="44"/>
        <v>905</v>
      </c>
      <c r="B913" s="15"/>
      <c r="C913" s="11">
        <f t="shared" si="43"/>
        <v>1</v>
      </c>
      <c r="D913" s="11"/>
      <c r="E913" s="11"/>
      <c r="F913" s="11"/>
      <c r="G913" s="89">
        <f>IFERROR(VLOOKUP(F913,COA!$A$1:$K$26,2,FALSE),0)</f>
        <v>0</v>
      </c>
      <c r="H913" s="11"/>
      <c r="I913" s="11"/>
      <c r="J913" s="78"/>
      <c r="K913" s="78"/>
      <c r="L913" s="146">
        <f t="shared" si="45"/>
        <v>504000</v>
      </c>
      <c r="M913" s="73"/>
      <c r="N913" s="73"/>
      <c r="O913" s="7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 x14ac:dyDescent="0.35">
      <c r="A914" s="9">
        <f t="shared" si="44"/>
        <v>906</v>
      </c>
      <c r="B914" s="15"/>
      <c r="C914" s="11">
        <f t="shared" si="43"/>
        <v>1</v>
      </c>
      <c r="D914" s="11"/>
      <c r="E914" s="11"/>
      <c r="F914" s="11"/>
      <c r="G914" s="89">
        <f>IFERROR(VLOOKUP(F914,COA!$A$1:$K$26,2,FALSE),0)</f>
        <v>0</v>
      </c>
      <c r="H914" s="11"/>
      <c r="I914" s="11"/>
      <c r="J914" s="78"/>
      <c r="K914" s="78"/>
      <c r="L914" s="146">
        <f t="shared" si="45"/>
        <v>504000</v>
      </c>
      <c r="M914" s="73"/>
      <c r="N914" s="73"/>
      <c r="O914" s="7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 x14ac:dyDescent="0.35">
      <c r="A915" s="9">
        <f t="shared" si="44"/>
        <v>907</v>
      </c>
      <c r="B915" s="15"/>
      <c r="C915" s="11">
        <f t="shared" si="43"/>
        <v>1</v>
      </c>
      <c r="D915" s="11"/>
      <c r="E915" s="11"/>
      <c r="F915" s="11"/>
      <c r="G915" s="89">
        <f>IFERROR(VLOOKUP(F915,COA!$A$1:$K$26,2,FALSE),0)</f>
        <v>0</v>
      </c>
      <c r="H915" s="11"/>
      <c r="I915" s="11"/>
      <c r="J915" s="78"/>
      <c r="K915" s="78"/>
      <c r="L915" s="146">
        <f t="shared" si="45"/>
        <v>504000</v>
      </c>
      <c r="M915" s="73"/>
      <c r="N915" s="73"/>
      <c r="O915" s="7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 x14ac:dyDescent="0.35">
      <c r="A916" s="9">
        <f t="shared" si="44"/>
        <v>908</v>
      </c>
      <c r="B916" s="15"/>
      <c r="C916" s="11">
        <f t="shared" si="43"/>
        <v>1</v>
      </c>
      <c r="D916" s="11"/>
      <c r="E916" s="11"/>
      <c r="F916" s="11"/>
      <c r="G916" s="89">
        <f>IFERROR(VLOOKUP(F916,COA!$A$1:$K$26,2,FALSE),0)</f>
        <v>0</v>
      </c>
      <c r="H916" s="13"/>
      <c r="I916" s="13"/>
      <c r="J916" s="78"/>
      <c r="K916" s="78"/>
      <c r="L916" s="146">
        <f t="shared" si="45"/>
        <v>504000</v>
      </c>
      <c r="M916" s="73"/>
      <c r="N916" s="73"/>
      <c r="O916" s="7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 x14ac:dyDescent="0.35">
      <c r="A917" s="9">
        <f t="shared" si="44"/>
        <v>909</v>
      </c>
      <c r="B917" s="15"/>
      <c r="C917" s="11">
        <f t="shared" si="43"/>
        <v>1</v>
      </c>
      <c r="D917" s="11"/>
      <c r="E917" s="11"/>
      <c r="F917" s="11"/>
      <c r="G917" s="89">
        <f>IFERROR(VLOOKUP(F917,COA!$A$1:$K$26,2,FALSE),0)</f>
        <v>0</v>
      </c>
      <c r="H917" s="11"/>
      <c r="I917" s="11"/>
      <c r="J917" s="78"/>
      <c r="K917" s="78"/>
      <c r="L917" s="146">
        <f t="shared" si="45"/>
        <v>504000</v>
      </c>
      <c r="M917" s="73"/>
      <c r="N917" s="73"/>
      <c r="O917" s="7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 x14ac:dyDescent="0.35">
      <c r="A918" s="9">
        <f t="shared" si="44"/>
        <v>910</v>
      </c>
      <c r="B918" s="15"/>
      <c r="C918" s="11">
        <f t="shared" si="43"/>
        <v>1</v>
      </c>
      <c r="D918" s="11"/>
      <c r="E918" s="11"/>
      <c r="F918" s="11"/>
      <c r="G918" s="89">
        <f>IFERROR(VLOOKUP(F918,COA!$A$1:$K$26,2,FALSE),0)</f>
        <v>0</v>
      </c>
      <c r="H918" s="11"/>
      <c r="I918" s="11"/>
      <c r="J918" s="78"/>
      <c r="K918" s="78"/>
      <c r="L918" s="146">
        <f t="shared" si="45"/>
        <v>504000</v>
      </c>
      <c r="M918" s="73"/>
      <c r="N918" s="73"/>
      <c r="O918" s="7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 x14ac:dyDescent="0.35">
      <c r="A919" s="9">
        <f t="shared" si="44"/>
        <v>911</v>
      </c>
      <c r="B919" s="15"/>
      <c r="C919" s="11">
        <f t="shared" si="43"/>
        <v>1</v>
      </c>
      <c r="D919" s="11"/>
      <c r="E919" s="11"/>
      <c r="F919" s="11"/>
      <c r="G919" s="89">
        <f>IFERROR(VLOOKUP(F919,COA!$A$1:$K$26,2,FALSE),0)</f>
        <v>0</v>
      </c>
      <c r="H919" s="11"/>
      <c r="I919" s="11"/>
      <c r="J919" s="78"/>
      <c r="K919" s="78"/>
      <c r="L919" s="146">
        <f t="shared" si="45"/>
        <v>504000</v>
      </c>
      <c r="M919" s="73"/>
      <c r="N919" s="73"/>
      <c r="O919" s="7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 x14ac:dyDescent="0.35">
      <c r="A920" s="9">
        <f t="shared" si="44"/>
        <v>912</v>
      </c>
      <c r="B920" s="15"/>
      <c r="C920" s="11">
        <f t="shared" si="43"/>
        <v>1</v>
      </c>
      <c r="D920" s="11"/>
      <c r="E920" s="11"/>
      <c r="F920" s="11"/>
      <c r="G920" s="89">
        <f>IFERROR(VLOOKUP(F920,COA!$A$1:$K$26,2,FALSE),0)</f>
        <v>0</v>
      </c>
      <c r="H920" s="11"/>
      <c r="I920" s="11"/>
      <c r="J920" s="78"/>
      <c r="K920" s="78"/>
      <c r="L920" s="146">
        <f t="shared" si="45"/>
        <v>504000</v>
      </c>
      <c r="M920" s="73"/>
      <c r="N920" s="73"/>
      <c r="O920" s="7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 x14ac:dyDescent="0.35">
      <c r="A921" s="9">
        <f t="shared" si="44"/>
        <v>913</v>
      </c>
      <c r="B921" s="15"/>
      <c r="C921" s="11">
        <f t="shared" si="43"/>
        <v>1</v>
      </c>
      <c r="D921" s="11"/>
      <c r="E921" s="11"/>
      <c r="F921" s="11"/>
      <c r="G921" s="89">
        <f>IFERROR(VLOOKUP(F921,COA!$A$1:$K$26,2,FALSE),0)</f>
        <v>0</v>
      </c>
      <c r="H921" s="11"/>
      <c r="I921" s="11"/>
      <c r="J921" s="78"/>
      <c r="K921" s="78"/>
      <c r="L921" s="146">
        <f t="shared" si="45"/>
        <v>504000</v>
      </c>
      <c r="M921" s="73"/>
      <c r="N921" s="73"/>
      <c r="O921" s="7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 x14ac:dyDescent="0.35">
      <c r="A922" s="9">
        <f t="shared" si="44"/>
        <v>914</v>
      </c>
      <c r="B922" s="15"/>
      <c r="C922" s="11">
        <f t="shared" si="43"/>
        <v>1</v>
      </c>
      <c r="D922" s="11"/>
      <c r="E922" s="11"/>
      <c r="F922" s="11"/>
      <c r="G922" s="89">
        <f>IFERROR(VLOOKUP(F922,COA!$A$1:$K$26,2,FALSE),0)</f>
        <v>0</v>
      </c>
      <c r="H922" s="13"/>
      <c r="I922" s="13"/>
      <c r="J922" s="78"/>
      <c r="K922" s="78"/>
      <c r="L922" s="146">
        <f t="shared" si="45"/>
        <v>504000</v>
      </c>
      <c r="M922" s="73"/>
      <c r="N922" s="73"/>
      <c r="O922" s="7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 x14ac:dyDescent="0.35">
      <c r="A923" s="9">
        <f t="shared" si="44"/>
        <v>915</v>
      </c>
      <c r="B923" s="15"/>
      <c r="C923" s="11">
        <f t="shared" si="43"/>
        <v>1</v>
      </c>
      <c r="D923" s="11"/>
      <c r="E923" s="11"/>
      <c r="F923" s="11"/>
      <c r="G923" s="89">
        <f>IFERROR(VLOOKUP(F923,COA!$A$1:$K$26,2,FALSE),0)</f>
        <v>0</v>
      </c>
      <c r="H923" s="11"/>
      <c r="I923" s="11"/>
      <c r="J923" s="78"/>
      <c r="K923" s="78"/>
      <c r="L923" s="146">
        <f t="shared" si="45"/>
        <v>504000</v>
      </c>
      <c r="M923" s="73"/>
      <c r="N923" s="73"/>
      <c r="O923" s="7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 x14ac:dyDescent="0.35">
      <c r="A924" s="9">
        <f t="shared" si="44"/>
        <v>916</v>
      </c>
      <c r="B924" s="15"/>
      <c r="C924" s="11">
        <f t="shared" si="43"/>
        <v>1</v>
      </c>
      <c r="D924" s="11"/>
      <c r="E924" s="11"/>
      <c r="F924" s="11"/>
      <c r="G924" s="89">
        <f>IFERROR(VLOOKUP(F924,COA!$A$1:$K$26,2,FALSE),0)</f>
        <v>0</v>
      </c>
      <c r="H924" s="11"/>
      <c r="I924" s="11"/>
      <c r="J924" s="78"/>
      <c r="K924" s="78"/>
      <c r="L924" s="146">
        <f t="shared" si="45"/>
        <v>504000</v>
      </c>
      <c r="M924" s="73"/>
      <c r="N924" s="73"/>
      <c r="O924" s="7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 x14ac:dyDescent="0.35">
      <c r="A925" s="9">
        <f t="shared" si="44"/>
        <v>917</v>
      </c>
      <c r="B925" s="15"/>
      <c r="C925" s="11">
        <f t="shared" si="43"/>
        <v>1</v>
      </c>
      <c r="D925" s="11"/>
      <c r="E925" s="11"/>
      <c r="F925" s="11"/>
      <c r="G925" s="89">
        <f>IFERROR(VLOOKUP(F925,COA!$A$1:$K$26,2,FALSE),0)</f>
        <v>0</v>
      </c>
      <c r="H925" s="11"/>
      <c r="I925" s="11"/>
      <c r="J925" s="78"/>
      <c r="K925" s="78"/>
      <c r="L925" s="146">
        <f t="shared" si="45"/>
        <v>504000</v>
      </c>
      <c r="M925" s="73"/>
      <c r="N925" s="73"/>
      <c r="O925" s="7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 x14ac:dyDescent="0.35">
      <c r="A926" s="9">
        <f t="shared" si="44"/>
        <v>918</v>
      </c>
      <c r="B926" s="15"/>
      <c r="C926" s="11">
        <f t="shared" si="43"/>
        <v>1</v>
      </c>
      <c r="D926" s="11"/>
      <c r="E926" s="11"/>
      <c r="F926" s="11"/>
      <c r="G926" s="89">
        <f>IFERROR(VLOOKUP(F926,COA!$A$1:$K$26,2,FALSE),0)</f>
        <v>0</v>
      </c>
      <c r="H926" s="11"/>
      <c r="I926" s="11"/>
      <c r="J926" s="78"/>
      <c r="K926" s="78"/>
      <c r="L926" s="146">
        <f t="shared" si="45"/>
        <v>504000</v>
      </c>
      <c r="M926" s="73"/>
      <c r="N926" s="73"/>
      <c r="O926" s="7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 x14ac:dyDescent="0.35">
      <c r="A927" s="9">
        <f t="shared" si="44"/>
        <v>919</v>
      </c>
      <c r="B927" s="15"/>
      <c r="C927" s="11">
        <f t="shared" si="43"/>
        <v>1</v>
      </c>
      <c r="D927" s="11"/>
      <c r="E927" s="11"/>
      <c r="F927" s="11"/>
      <c r="G927" s="89">
        <f>IFERROR(VLOOKUP(F927,COA!$A$1:$K$26,2,FALSE),0)</f>
        <v>0</v>
      </c>
      <c r="H927" s="11"/>
      <c r="I927" s="11"/>
      <c r="J927" s="78"/>
      <c r="K927" s="78"/>
      <c r="L927" s="146">
        <f t="shared" si="45"/>
        <v>504000</v>
      </c>
      <c r="M927" s="73"/>
      <c r="N927" s="73"/>
      <c r="O927" s="7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 x14ac:dyDescent="0.35">
      <c r="A928" s="9">
        <f t="shared" si="44"/>
        <v>920</v>
      </c>
      <c r="B928" s="15"/>
      <c r="C928" s="11">
        <f t="shared" si="43"/>
        <v>1</v>
      </c>
      <c r="D928" s="11"/>
      <c r="E928" s="11"/>
      <c r="F928" s="11"/>
      <c r="G928" s="89">
        <f>IFERROR(VLOOKUP(F928,COA!$A$1:$K$26,2,FALSE),0)</f>
        <v>0</v>
      </c>
      <c r="H928" s="11"/>
      <c r="I928" s="11"/>
      <c r="J928" s="78"/>
      <c r="K928" s="78"/>
      <c r="L928" s="146">
        <f t="shared" si="45"/>
        <v>504000</v>
      </c>
      <c r="M928" s="73"/>
      <c r="N928" s="73"/>
      <c r="O928" s="7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 x14ac:dyDescent="0.35">
      <c r="A929" s="9">
        <f t="shared" si="44"/>
        <v>921</v>
      </c>
      <c r="B929" s="15"/>
      <c r="C929" s="11">
        <f t="shared" si="43"/>
        <v>1</v>
      </c>
      <c r="D929" s="11"/>
      <c r="E929" s="11"/>
      <c r="F929" s="11"/>
      <c r="G929" s="89">
        <f>IFERROR(VLOOKUP(F929,COA!$A$1:$K$26,2,FALSE),0)</f>
        <v>0</v>
      </c>
      <c r="H929" s="13"/>
      <c r="I929" s="13"/>
      <c r="J929" s="78"/>
      <c r="K929" s="78"/>
      <c r="L929" s="146">
        <f t="shared" si="45"/>
        <v>504000</v>
      </c>
      <c r="M929" s="73"/>
      <c r="N929" s="73"/>
      <c r="O929" s="7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 x14ac:dyDescent="0.35">
      <c r="A930" s="9">
        <f t="shared" si="44"/>
        <v>922</v>
      </c>
      <c r="B930" s="15"/>
      <c r="C930" s="11">
        <f t="shared" si="43"/>
        <v>1</v>
      </c>
      <c r="D930" s="11"/>
      <c r="E930" s="11"/>
      <c r="F930" s="11"/>
      <c r="G930" s="89">
        <f>IFERROR(VLOOKUP(F930,COA!$A$1:$K$26,2,FALSE),0)</f>
        <v>0</v>
      </c>
      <c r="H930" s="11"/>
      <c r="I930" s="11"/>
      <c r="J930" s="78"/>
      <c r="K930" s="78"/>
      <c r="L930" s="146">
        <f t="shared" si="45"/>
        <v>504000</v>
      </c>
      <c r="M930" s="73"/>
      <c r="N930" s="73"/>
      <c r="O930" s="7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 x14ac:dyDescent="0.35">
      <c r="A931" s="9">
        <f t="shared" si="44"/>
        <v>923</v>
      </c>
      <c r="B931" s="15"/>
      <c r="C931" s="11">
        <f t="shared" si="43"/>
        <v>1</v>
      </c>
      <c r="D931" s="11"/>
      <c r="E931" s="11"/>
      <c r="F931" s="11"/>
      <c r="G931" s="89">
        <f>IFERROR(VLOOKUP(F931,COA!$A$1:$K$26,2,FALSE),0)</f>
        <v>0</v>
      </c>
      <c r="H931" s="11"/>
      <c r="I931" s="11"/>
      <c r="J931" s="78"/>
      <c r="K931" s="78"/>
      <c r="L931" s="146">
        <f t="shared" si="45"/>
        <v>504000</v>
      </c>
      <c r="M931" s="73"/>
      <c r="N931" s="73"/>
      <c r="O931" s="7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 x14ac:dyDescent="0.35">
      <c r="A932" s="9">
        <f t="shared" si="44"/>
        <v>924</v>
      </c>
      <c r="B932" s="15"/>
      <c r="C932" s="11">
        <f t="shared" si="43"/>
        <v>1</v>
      </c>
      <c r="D932" s="11"/>
      <c r="E932" s="11"/>
      <c r="F932" s="11"/>
      <c r="G932" s="89">
        <f>IFERROR(VLOOKUP(F932,COA!$A$1:$K$26,2,FALSE),0)</f>
        <v>0</v>
      </c>
      <c r="H932" s="11"/>
      <c r="I932" s="11"/>
      <c r="J932" s="78"/>
      <c r="K932" s="78"/>
      <c r="L932" s="146">
        <f t="shared" si="45"/>
        <v>504000</v>
      </c>
      <c r="M932" s="73"/>
      <c r="N932" s="73"/>
      <c r="O932" s="7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 x14ac:dyDescent="0.35">
      <c r="A933" s="9">
        <f t="shared" si="44"/>
        <v>925</v>
      </c>
      <c r="B933" s="15"/>
      <c r="C933" s="11">
        <f t="shared" si="43"/>
        <v>1</v>
      </c>
      <c r="D933" s="11"/>
      <c r="E933" s="11"/>
      <c r="F933" s="11"/>
      <c r="G933" s="89">
        <f>IFERROR(VLOOKUP(F933,COA!$A$1:$K$26,2,FALSE),0)</f>
        <v>0</v>
      </c>
      <c r="H933" s="11"/>
      <c r="I933" s="11"/>
      <c r="J933" s="78"/>
      <c r="K933" s="78"/>
      <c r="L933" s="146">
        <f t="shared" si="45"/>
        <v>504000</v>
      </c>
      <c r="M933" s="73"/>
      <c r="N933" s="73"/>
      <c r="O933" s="7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 x14ac:dyDescent="0.35">
      <c r="A934" s="9">
        <f t="shared" si="44"/>
        <v>926</v>
      </c>
      <c r="B934" s="15"/>
      <c r="C934" s="11">
        <f t="shared" si="43"/>
        <v>1</v>
      </c>
      <c r="D934" s="11"/>
      <c r="E934" s="11"/>
      <c r="F934" s="11"/>
      <c r="G934" s="89">
        <f>IFERROR(VLOOKUP(F934,COA!$A$1:$K$26,2,FALSE),0)</f>
        <v>0</v>
      </c>
      <c r="H934" s="11"/>
      <c r="I934" s="11"/>
      <c r="J934" s="78"/>
      <c r="K934" s="78"/>
      <c r="L934" s="146">
        <f t="shared" si="45"/>
        <v>504000</v>
      </c>
      <c r="M934" s="73"/>
      <c r="N934" s="73"/>
      <c r="O934" s="7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 x14ac:dyDescent="0.35">
      <c r="A935" s="9">
        <f t="shared" si="44"/>
        <v>927</v>
      </c>
      <c r="B935" s="15"/>
      <c r="C935" s="11">
        <f t="shared" si="43"/>
        <v>1</v>
      </c>
      <c r="D935" s="11"/>
      <c r="E935" s="11"/>
      <c r="F935" s="11"/>
      <c r="G935" s="89">
        <f>IFERROR(VLOOKUP(F935,COA!$A$1:$K$26,2,FALSE),0)</f>
        <v>0</v>
      </c>
      <c r="H935" s="13"/>
      <c r="I935" s="13"/>
      <c r="J935" s="78"/>
      <c r="K935" s="78"/>
      <c r="L935" s="146">
        <f t="shared" si="45"/>
        <v>504000</v>
      </c>
      <c r="M935" s="73"/>
      <c r="N935" s="73"/>
      <c r="O935" s="7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 x14ac:dyDescent="0.35">
      <c r="A936" s="9">
        <f t="shared" si="44"/>
        <v>928</v>
      </c>
      <c r="B936" s="15"/>
      <c r="C936" s="11">
        <f t="shared" si="43"/>
        <v>1</v>
      </c>
      <c r="D936" s="11"/>
      <c r="E936" s="11"/>
      <c r="F936" s="11"/>
      <c r="G936" s="89">
        <f>IFERROR(VLOOKUP(F936,COA!$A$1:$K$26,2,FALSE),0)</f>
        <v>0</v>
      </c>
      <c r="H936" s="11"/>
      <c r="I936" s="11"/>
      <c r="J936" s="78"/>
      <c r="K936" s="78"/>
      <c r="L936" s="146">
        <f t="shared" si="45"/>
        <v>504000</v>
      </c>
      <c r="M936" s="73"/>
      <c r="N936" s="73"/>
      <c r="O936" s="7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 x14ac:dyDescent="0.35">
      <c r="A937" s="9">
        <f t="shared" si="44"/>
        <v>929</v>
      </c>
      <c r="B937" s="15"/>
      <c r="C937" s="11">
        <f t="shared" si="43"/>
        <v>1</v>
      </c>
      <c r="D937" s="11"/>
      <c r="E937" s="11"/>
      <c r="F937" s="11"/>
      <c r="G937" s="89">
        <f>IFERROR(VLOOKUP(F937,COA!$A$1:$K$26,2,FALSE),0)</f>
        <v>0</v>
      </c>
      <c r="H937" s="11"/>
      <c r="I937" s="11"/>
      <c r="J937" s="78"/>
      <c r="K937" s="78"/>
      <c r="L937" s="146">
        <f t="shared" si="45"/>
        <v>504000</v>
      </c>
      <c r="M937" s="73"/>
      <c r="N937" s="73"/>
      <c r="O937" s="7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 x14ac:dyDescent="0.35">
      <c r="A938" s="9">
        <f t="shared" si="44"/>
        <v>930</v>
      </c>
      <c r="B938" s="15"/>
      <c r="C938" s="11">
        <f t="shared" si="43"/>
        <v>1</v>
      </c>
      <c r="D938" s="11"/>
      <c r="E938" s="11"/>
      <c r="F938" s="11"/>
      <c r="G938" s="89">
        <f>IFERROR(VLOOKUP(F938,COA!$A$1:$K$26,2,FALSE),0)</f>
        <v>0</v>
      </c>
      <c r="H938" s="11"/>
      <c r="I938" s="11"/>
      <c r="J938" s="78"/>
      <c r="K938" s="78"/>
      <c r="L938" s="146">
        <f t="shared" si="45"/>
        <v>504000</v>
      </c>
      <c r="M938" s="73"/>
      <c r="N938" s="73"/>
      <c r="O938" s="7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 x14ac:dyDescent="0.35">
      <c r="A939" s="9">
        <f t="shared" si="44"/>
        <v>931</v>
      </c>
      <c r="B939" s="15"/>
      <c r="C939" s="11">
        <f t="shared" si="43"/>
        <v>1</v>
      </c>
      <c r="D939" s="11"/>
      <c r="E939" s="11"/>
      <c r="F939" s="11"/>
      <c r="G939" s="89">
        <f>IFERROR(VLOOKUP(F939,COA!$A$1:$K$26,2,FALSE),0)</f>
        <v>0</v>
      </c>
      <c r="H939" s="11"/>
      <c r="I939" s="11"/>
      <c r="J939" s="78"/>
      <c r="K939" s="78"/>
      <c r="L939" s="146">
        <f t="shared" si="45"/>
        <v>504000</v>
      </c>
      <c r="M939" s="73"/>
      <c r="N939" s="73"/>
      <c r="O939" s="7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 x14ac:dyDescent="0.35">
      <c r="A940" s="9">
        <f t="shared" si="44"/>
        <v>932</v>
      </c>
      <c r="B940" s="15"/>
      <c r="C940" s="11">
        <f t="shared" si="43"/>
        <v>1</v>
      </c>
      <c r="D940" s="11"/>
      <c r="E940" s="11"/>
      <c r="F940" s="11"/>
      <c r="G940" s="89">
        <f>IFERROR(VLOOKUP(F940,COA!$A$1:$K$26,2,FALSE),0)</f>
        <v>0</v>
      </c>
      <c r="H940" s="11"/>
      <c r="I940" s="11"/>
      <c r="J940" s="78"/>
      <c r="K940" s="78"/>
      <c r="L940" s="146">
        <f t="shared" si="45"/>
        <v>504000</v>
      </c>
      <c r="M940" s="73"/>
      <c r="N940" s="73"/>
      <c r="O940" s="7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 x14ac:dyDescent="0.35">
      <c r="A941" s="9">
        <f t="shared" si="44"/>
        <v>933</v>
      </c>
      <c r="B941" s="15"/>
      <c r="C941" s="11">
        <f t="shared" si="43"/>
        <v>1</v>
      </c>
      <c r="D941" s="11"/>
      <c r="E941" s="11"/>
      <c r="F941" s="11"/>
      <c r="G941" s="89">
        <f>IFERROR(VLOOKUP(F941,COA!$A$1:$K$26,2,FALSE),0)</f>
        <v>0</v>
      </c>
      <c r="H941" s="13"/>
      <c r="I941" s="13"/>
      <c r="J941" s="78"/>
      <c r="K941" s="78"/>
      <c r="L941" s="146">
        <f t="shared" si="45"/>
        <v>504000</v>
      </c>
      <c r="M941" s="73"/>
      <c r="N941" s="73"/>
      <c r="O941" s="7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 x14ac:dyDescent="0.35">
      <c r="A942" s="9">
        <f t="shared" si="44"/>
        <v>934</v>
      </c>
      <c r="B942" s="15"/>
      <c r="C942" s="11">
        <f t="shared" si="43"/>
        <v>1</v>
      </c>
      <c r="D942" s="11"/>
      <c r="E942" s="11"/>
      <c r="F942" s="11"/>
      <c r="G942" s="89">
        <f>IFERROR(VLOOKUP(F942,COA!$A$1:$K$26,2,FALSE),0)</f>
        <v>0</v>
      </c>
      <c r="H942" s="11"/>
      <c r="I942" s="11"/>
      <c r="J942" s="78"/>
      <c r="K942" s="78"/>
      <c r="L942" s="146">
        <f t="shared" si="45"/>
        <v>504000</v>
      </c>
      <c r="M942" s="73"/>
      <c r="N942" s="73"/>
      <c r="O942" s="7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 x14ac:dyDescent="0.35">
      <c r="A943" s="9">
        <f t="shared" si="44"/>
        <v>935</v>
      </c>
      <c r="B943" s="15"/>
      <c r="C943" s="11">
        <f t="shared" si="43"/>
        <v>1</v>
      </c>
      <c r="D943" s="11"/>
      <c r="E943" s="11"/>
      <c r="F943" s="11"/>
      <c r="G943" s="89">
        <f>IFERROR(VLOOKUP(F943,COA!$A$1:$K$26,2,FALSE),0)</f>
        <v>0</v>
      </c>
      <c r="H943" s="11"/>
      <c r="I943" s="11"/>
      <c r="J943" s="78"/>
      <c r="K943" s="78"/>
      <c r="L943" s="146">
        <f t="shared" si="45"/>
        <v>504000</v>
      </c>
      <c r="M943" s="73"/>
      <c r="N943" s="73"/>
      <c r="O943" s="7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 x14ac:dyDescent="0.35">
      <c r="A944" s="9">
        <f t="shared" si="44"/>
        <v>936</v>
      </c>
      <c r="B944" s="15"/>
      <c r="C944" s="11">
        <f t="shared" si="43"/>
        <v>1</v>
      </c>
      <c r="D944" s="11"/>
      <c r="E944" s="11"/>
      <c r="F944" s="11"/>
      <c r="G944" s="89">
        <f>IFERROR(VLOOKUP(F944,COA!$A$1:$K$26,2,FALSE),0)</f>
        <v>0</v>
      </c>
      <c r="H944" s="11"/>
      <c r="I944" s="11"/>
      <c r="J944" s="78"/>
      <c r="K944" s="78"/>
      <c r="L944" s="146">
        <f t="shared" si="45"/>
        <v>504000</v>
      </c>
      <c r="M944" s="73"/>
      <c r="N944" s="73"/>
      <c r="O944" s="7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 x14ac:dyDescent="0.35">
      <c r="A945" s="9">
        <f t="shared" si="44"/>
        <v>937</v>
      </c>
      <c r="B945" s="15"/>
      <c r="C945" s="11">
        <f t="shared" si="43"/>
        <v>1</v>
      </c>
      <c r="D945" s="11"/>
      <c r="E945" s="11"/>
      <c r="F945" s="11"/>
      <c r="G945" s="89">
        <f>IFERROR(VLOOKUP(F945,COA!$A$1:$K$26,2,FALSE),0)</f>
        <v>0</v>
      </c>
      <c r="H945" s="11"/>
      <c r="I945" s="11"/>
      <c r="J945" s="78"/>
      <c r="K945" s="78"/>
      <c r="L945" s="146">
        <f t="shared" si="45"/>
        <v>504000</v>
      </c>
      <c r="M945" s="73"/>
      <c r="N945" s="73"/>
      <c r="O945" s="7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 x14ac:dyDescent="0.35">
      <c r="A946" s="9">
        <f t="shared" si="44"/>
        <v>938</v>
      </c>
      <c r="B946" s="15"/>
      <c r="C946" s="11">
        <f t="shared" si="43"/>
        <v>1</v>
      </c>
      <c r="D946" s="11"/>
      <c r="E946" s="11"/>
      <c r="F946" s="11"/>
      <c r="G946" s="89">
        <f>IFERROR(VLOOKUP(F946,COA!$A$1:$K$26,2,FALSE),0)</f>
        <v>0</v>
      </c>
      <c r="H946" s="11"/>
      <c r="I946" s="11"/>
      <c r="J946" s="78"/>
      <c r="K946" s="78"/>
      <c r="L946" s="146">
        <f t="shared" si="45"/>
        <v>504000</v>
      </c>
      <c r="M946" s="73"/>
      <c r="N946" s="73"/>
      <c r="O946" s="7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 x14ac:dyDescent="0.35">
      <c r="A947" s="9">
        <f t="shared" si="44"/>
        <v>939</v>
      </c>
      <c r="B947" s="15"/>
      <c r="C947" s="11">
        <f t="shared" si="43"/>
        <v>1</v>
      </c>
      <c r="D947" s="11"/>
      <c r="E947" s="11"/>
      <c r="F947" s="11"/>
      <c r="G947" s="89">
        <f>IFERROR(VLOOKUP(F947,COA!$A$1:$K$26,2,FALSE),0)</f>
        <v>0</v>
      </c>
      <c r="H947" s="11"/>
      <c r="I947" s="11"/>
      <c r="J947" s="78"/>
      <c r="K947" s="78"/>
      <c r="L947" s="146">
        <f t="shared" si="45"/>
        <v>504000</v>
      </c>
      <c r="M947" s="73"/>
      <c r="N947" s="73"/>
      <c r="O947" s="7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 x14ac:dyDescent="0.35">
      <c r="A948" s="9">
        <f t="shared" si="44"/>
        <v>940</v>
      </c>
      <c r="B948" s="15"/>
      <c r="C948" s="11">
        <f t="shared" si="43"/>
        <v>1</v>
      </c>
      <c r="D948" s="11"/>
      <c r="E948" s="11"/>
      <c r="F948" s="11"/>
      <c r="G948" s="89">
        <f>IFERROR(VLOOKUP(F948,COA!$A$1:$K$26,2,FALSE),0)</f>
        <v>0</v>
      </c>
      <c r="H948" s="11"/>
      <c r="I948" s="11"/>
      <c r="J948" s="78"/>
      <c r="K948" s="78"/>
      <c r="L948" s="146">
        <f t="shared" si="45"/>
        <v>504000</v>
      </c>
      <c r="M948" s="73"/>
      <c r="N948" s="73"/>
      <c r="O948" s="7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 x14ac:dyDescent="0.35">
      <c r="A949" s="9">
        <f t="shared" si="44"/>
        <v>941</v>
      </c>
      <c r="B949" s="15"/>
      <c r="C949" s="11">
        <f t="shared" si="43"/>
        <v>1</v>
      </c>
      <c r="D949" s="11"/>
      <c r="E949" s="11"/>
      <c r="F949" s="11"/>
      <c r="G949" s="89">
        <f>IFERROR(VLOOKUP(F949,COA!$A$1:$K$26,2,FALSE),0)</f>
        <v>0</v>
      </c>
      <c r="H949" s="11"/>
      <c r="I949" s="11"/>
      <c r="J949" s="78"/>
      <c r="K949" s="78"/>
      <c r="L949" s="146">
        <f t="shared" si="45"/>
        <v>504000</v>
      </c>
      <c r="M949" s="73"/>
      <c r="N949" s="73"/>
      <c r="O949" s="7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 x14ac:dyDescent="0.35">
      <c r="A950" s="9">
        <f t="shared" si="44"/>
        <v>942</v>
      </c>
      <c r="B950" s="15"/>
      <c r="C950" s="11">
        <f t="shared" si="43"/>
        <v>1</v>
      </c>
      <c r="D950" s="11"/>
      <c r="E950" s="11"/>
      <c r="F950" s="11"/>
      <c r="G950" s="89">
        <f>IFERROR(VLOOKUP(F950,COA!$A$1:$K$26,2,FALSE),0)</f>
        <v>0</v>
      </c>
      <c r="H950" s="11"/>
      <c r="I950" s="11"/>
      <c r="J950" s="78"/>
      <c r="K950" s="78"/>
      <c r="L950" s="146">
        <f t="shared" si="45"/>
        <v>504000</v>
      </c>
      <c r="M950" s="73"/>
      <c r="N950" s="73"/>
      <c r="O950" s="7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 x14ac:dyDescent="0.35">
      <c r="A951" s="9">
        <f t="shared" si="44"/>
        <v>943</v>
      </c>
      <c r="B951" s="15"/>
      <c r="C951" s="11">
        <f t="shared" si="43"/>
        <v>1</v>
      </c>
      <c r="D951" s="11"/>
      <c r="E951" s="11"/>
      <c r="F951" s="11"/>
      <c r="G951" s="89">
        <f>IFERROR(VLOOKUP(F951,COA!$A$1:$K$26,2,FALSE),0)</f>
        <v>0</v>
      </c>
      <c r="H951" s="11"/>
      <c r="I951" s="11"/>
      <c r="J951" s="78"/>
      <c r="K951" s="78"/>
      <c r="L951" s="146">
        <f t="shared" si="45"/>
        <v>504000</v>
      </c>
      <c r="M951" s="73"/>
      <c r="N951" s="73"/>
      <c r="O951" s="7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 x14ac:dyDescent="0.35">
      <c r="A952" s="9">
        <f t="shared" si="44"/>
        <v>944</v>
      </c>
      <c r="B952" s="15"/>
      <c r="C952" s="11">
        <f t="shared" si="43"/>
        <v>1</v>
      </c>
      <c r="D952" s="11"/>
      <c r="E952" s="11"/>
      <c r="F952" s="11"/>
      <c r="G952" s="89">
        <f>IFERROR(VLOOKUP(F952,COA!$A$1:$K$26,2,FALSE),0)</f>
        <v>0</v>
      </c>
      <c r="H952" s="11"/>
      <c r="I952" s="11"/>
      <c r="J952" s="78"/>
      <c r="K952" s="78"/>
      <c r="L952" s="146">
        <f t="shared" si="45"/>
        <v>504000</v>
      </c>
      <c r="M952" s="73"/>
      <c r="N952" s="73"/>
      <c r="O952" s="7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 x14ac:dyDescent="0.35">
      <c r="A953" s="9">
        <f t="shared" si="44"/>
        <v>945</v>
      </c>
      <c r="B953" s="15"/>
      <c r="C953" s="11">
        <f t="shared" si="43"/>
        <v>1</v>
      </c>
      <c r="D953" s="11"/>
      <c r="E953" s="11"/>
      <c r="F953" s="11"/>
      <c r="G953" s="89">
        <f>IFERROR(VLOOKUP(F953,COA!$A$1:$K$26,2,FALSE),0)</f>
        <v>0</v>
      </c>
      <c r="H953" s="11"/>
      <c r="I953" s="11"/>
      <c r="J953" s="78"/>
      <c r="K953" s="78"/>
      <c r="L953" s="146">
        <f t="shared" si="45"/>
        <v>504000</v>
      </c>
      <c r="M953" s="73"/>
      <c r="N953" s="73"/>
      <c r="O953" s="7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 x14ac:dyDescent="0.35">
      <c r="A954" s="9">
        <f t="shared" si="44"/>
        <v>946</v>
      </c>
      <c r="B954" s="15"/>
      <c r="C954" s="11">
        <f t="shared" si="43"/>
        <v>1</v>
      </c>
      <c r="D954" s="11"/>
      <c r="E954" s="11"/>
      <c r="F954" s="11"/>
      <c r="G954" s="89">
        <f>IFERROR(VLOOKUP(F954,COA!$A$1:$K$26,2,FALSE),0)</f>
        <v>0</v>
      </c>
      <c r="H954" s="11"/>
      <c r="I954" s="11"/>
      <c r="J954" s="78"/>
      <c r="K954" s="78"/>
      <c r="L954" s="146">
        <f t="shared" si="45"/>
        <v>504000</v>
      </c>
      <c r="M954" s="73"/>
      <c r="N954" s="73"/>
      <c r="O954" s="7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 x14ac:dyDescent="0.35">
      <c r="A955" s="9">
        <f t="shared" si="44"/>
        <v>947</v>
      </c>
      <c r="B955" s="15"/>
      <c r="C955" s="11">
        <f t="shared" si="43"/>
        <v>1</v>
      </c>
      <c r="D955" s="11"/>
      <c r="E955" s="11"/>
      <c r="F955" s="11"/>
      <c r="G955" s="89">
        <f>IFERROR(VLOOKUP(F955,COA!$A$1:$K$26,2,FALSE),0)</f>
        <v>0</v>
      </c>
      <c r="H955" s="11"/>
      <c r="I955" s="11"/>
      <c r="J955" s="78"/>
      <c r="K955" s="78"/>
      <c r="L955" s="146">
        <f t="shared" si="45"/>
        <v>504000</v>
      </c>
      <c r="M955" s="73"/>
      <c r="N955" s="73"/>
      <c r="O955" s="7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 x14ac:dyDescent="0.35">
      <c r="A956" s="9">
        <f t="shared" si="44"/>
        <v>948</v>
      </c>
      <c r="B956" s="15"/>
      <c r="C956" s="11">
        <f t="shared" si="43"/>
        <v>1</v>
      </c>
      <c r="D956" s="11"/>
      <c r="E956" s="11"/>
      <c r="F956" s="11"/>
      <c r="G956" s="89">
        <f>IFERROR(VLOOKUP(F956,COA!$A$1:$K$26,2,FALSE),0)</f>
        <v>0</v>
      </c>
      <c r="H956" s="11"/>
      <c r="I956" s="11"/>
      <c r="J956" s="78"/>
      <c r="K956" s="78"/>
      <c r="L956" s="146">
        <f t="shared" si="45"/>
        <v>504000</v>
      </c>
      <c r="M956" s="73"/>
      <c r="N956" s="73"/>
      <c r="O956" s="7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 x14ac:dyDescent="0.35">
      <c r="A957" s="9">
        <f t="shared" si="44"/>
        <v>949</v>
      </c>
      <c r="B957" s="15"/>
      <c r="C957" s="11">
        <f t="shared" si="43"/>
        <v>1</v>
      </c>
      <c r="D957" s="11"/>
      <c r="E957" s="11"/>
      <c r="F957" s="11"/>
      <c r="G957" s="89">
        <f>IFERROR(VLOOKUP(F957,COA!$A$1:$K$26,2,FALSE),0)</f>
        <v>0</v>
      </c>
      <c r="H957" s="11"/>
      <c r="I957" s="11"/>
      <c r="J957" s="78"/>
      <c r="K957" s="78"/>
      <c r="L957" s="146">
        <f t="shared" si="45"/>
        <v>504000</v>
      </c>
      <c r="M957" s="73"/>
      <c r="N957" s="73"/>
      <c r="O957" s="7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 x14ac:dyDescent="0.35">
      <c r="A958" s="9">
        <f t="shared" si="44"/>
        <v>950</v>
      </c>
      <c r="B958" s="15"/>
      <c r="C958" s="11">
        <f t="shared" si="43"/>
        <v>1</v>
      </c>
      <c r="D958" s="11"/>
      <c r="E958" s="11"/>
      <c r="F958" s="11"/>
      <c r="G958" s="89">
        <f>IFERROR(VLOOKUP(F958,COA!$A$1:$K$26,2,FALSE),0)</f>
        <v>0</v>
      </c>
      <c r="H958" s="11"/>
      <c r="I958" s="11"/>
      <c r="J958" s="78"/>
      <c r="K958" s="78"/>
      <c r="L958" s="146">
        <f t="shared" si="45"/>
        <v>504000</v>
      </c>
      <c r="M958" s="73"/>
      <c r="N958" s="73"/>
      <c r="O958" s="7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 x14ac:dyDescent="0.35">
      <c r="A959" s="9">
        <f t="shared" si="44"/>
        <v>951</v>
      </c>
      <c r="B959" s="15"/>
      <c r="C959" s="11">
        <f t="shared" si="43"/>
        <v>1</v>
      </c>
      <c r="D959" s="11"/>
      <c r="E959" s="11"/>
      <c r="F959" s="11"/>
      <c r="G959" s="89">
        <f>IFERROR(VLOOKUP(F959,COA!$A$1:$K$26,2,FALSE),0)</f>
        <v>0</v>
      </c>
      <c r="H959" s="11"/>
      <c r="I959" s="11"/>
      <c r="J959" s="78"/>
      <c r="K959" s="78"/>
      <c r="L959" s="146">
        <f t="shared" si="45"/>
        <v>504000</v>
      </c>
      <c r="M959" s="73"/>
      <c r="N959" s="73"/>
      <c r="O959" s="7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 x14ac:dyDescent="0.35">
      <c r="A960" s="9">
        <f t="shared" si="44"/>
        <v>952</v>
      </c>
      <c r="B960" s="15"/>
      <c r="C960" s="11">
        <f t="shared" si="43"/>
        <v>1</v>
      </c>
      <c r="D960" s="11"/>
      <c r="E960" s="11"/>
      <c r="F960" s="11"/>
      <c r="G960" s="89">
        <f>IFERROR(VLOOKUP(F960,COA!$A$1:$K$26,2,FALSE),0)</f>
        <v>0</v>
      </c>
      <c r="H960" s="11"/>
      <c r="I960" s="11"/>
      <c r="J960" s="78"/>
      <c r="K960" s="78"/>
      <c r="L960" s="146">
        <f t="shared" si="45"/>
        <v>504000</v>
      </c>
      <c r="M960" s="73"/>
      <c r="N960" s="73"/>
      <c r="O960" s="7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 x14ac:dyDescent="0.35">
      <c r="A961" s="9">
        <f t="shared" si="44"/>
        <v>953</v>
      </c>
      <c r="B961" s="15"/>
      <c r="C961" s="11">
        <f t="shared" si="43"/>
        <v>1</v>
      </c>
      <c r="D961" s="11"/>
      <c r="E961" s="11"/>
      <c r="F961" s="11"/>
      <c r="G961" s="89">
        <f>IFERROR(VLOOKUP(F961,COA!$A$1:$K$26,2,FALSE),0)</f>
        <v>0</v>
      </c>
      <c r="H961" s="11"/>
      <c r="I961" s="11"/>
      <c r="J961" s="78"/>
      <c r="K961" s="78"/>
      <c r="L961" s="146">
        <f t="shared" si="45"/>
        <v>504000</v>
      </c>
      <c r="M961" s="73"/>
      <c r="N961" s="73"/>
      <c r="O961" s="7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 x14ac:dyDescent="0.35">
      <c r="A962" s="9">
        <f t="shared" si="44"/>
        <v>954</v>
      </c>
      <c r="B962" s="15"/>
      <c r="C962" s="11">
        <f t="shared" si="43"/>
        <v>1</v>
      </c>
      <c r="D962" s="11"/>
      <c r="E962" s="11"/>
      <c r="F962" s="11"/>
      <c r="G962" s="89">
        <f>IFERROR(VLOOKUP(F962,COA!$A$1:$K$26,2,FALSE),0)</f>
        <v>0</v>
      </c>
      <c r="H962" s="11"/>
      <c r="I962" s="11"/>
      <c r="J962" s="78"/>
      <c r="K962" s="78"/>
      <c r="L962" s="146">
        <f t="shared" si="45"/>
        <v>504000</v>
      </c>
      <c r="M962" s="73"/>
      <c r="N962" s="73"/>
      <c r="O962" s="7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 x14ac:dyDescent="0.35">
      <c r="A963" s="9">
        <f t="shared" si="44"/>
        <v>955</v>
      </c>
      <c r="B963" s="15"/>
      <c r="C963" s="11">
        <f t="shared" si="43"/>
        <v>1</v>
      </c>
      <c r="D963" s="11"/>
      <c r="E963" s="11"/>
      <c r="F963" s="11"/>
      <c r="G963" s="89">
        <f>IFERROR(VLOOKUP(F963,COA!$A$1:$K$26,2,FALSE),0)</f>
        <v>0</v>
      </c>
      <c r="H963" s="11"/>
      <c r="I963" s="11"/>
      <c r="J963" s="78"/>
      <c r="K963" s="78"/>
      <c r="L963" s="146">
        <f t="shared" si="45"/>
        <v>504000</v>
      </c>
      <c r="M963" s="73"/>
      <c r="N963" s="73"/>
      <c r="O963" s="7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 x14ac:dyDescent="0.35">
      <c r="A964" s="9">
        <f t="shared" si="44"/>
        <v>956</v>
      </c>
      <c r="B964" s="15"/>
      <c r="C964" s="11">
        <f t="shared" si="43"/>
        <v>1</v>
      </c>
      <c r="D964" s="11"/>
      <c r="E964" s="11"/>
      <c r="F964" s="11"/>
      <c r="G964" s="89">
        <f>IFERROR(VLOOKUP(F964,COA!$A$1:$K$26,2,FALSE),0)</f>
        <v>0</v>
      </c>
      <c r="H964" s="11"/>
      <c r="I964" s="11"/>
      <c r="J964" s="78"/>
      <c r="K964" s="78"/>
      <c r="L964" s="146">
        <f t="shared" si="45"/>
        <v>504000</v>
      </c>
      <c r="M964" s="73"/>
      <c r="N964" s="73"/>
      <c r="O964" s="7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 x14ac:dyDescent="0.35">
      <c r="A965" s="9">
        <f t="shared" si="44"/>
        <v>957</v>
      </c>
      <c r="B965" s="15"/>
      <c r="C965" s="11">
        <f t="shared" si="43"/>
        <v>1</v>
      </c>
      <c r="D965" s="11"/>
      <c r="E965" s="11"/>
      <c r="F965" s="11"/>
      <c r="G965" s="89">
        <f>IFERROR(VLOOKUP(F965,COA!$A$1:$K$26,2,FALSE),0)</f>
        <v>0</v>
      </c>
      <c r="H965" s="11"/>
      <c r="I965" s="11"/>
      <c r="J965" s="78"/>
      <c r="K965" s="78"/>
      <c r="L965" s="146">
        <f t="shared" si="45"/>
        <v>504000</v>
      </c>
      <c r="M965" s="73"/>
      <c r="N965" s="73"/>
      <c r="O965" s="7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 x14ac:dyDescent="0.35">
      <c r="A966" s="9">
        <f t="shared" si="44"/>
        <v>958</v>
      </c>
      <c r="B966" s="15"/>
      <c r="C966" s="11">
        <f t="shared" si="43"/>
        <v>1</v>
      </c>
      <c r="D966" s="11"/>
      <c r="E966" s="11"/>
      <c r="F966" s="11"/>
      <c r="G966" s="89">
        <f>IFERROR(VLOOKUP(F966,COA!$A$1:$K$26,2,FALSE),0)</f>
        <v>0</v>
      </c>
      <c r="H966" s="11"/>
      <c r="I966" s="11"/>
      <c r="J966" s="78"/>
      <c r="K966" s="78"/>
      <c r="L966" s="146">
        <f t="shared" si="45"/>
        <v>504000</v>
      </c>
      <c r="M966" s="73"/>
      <c r="N966" s="73"/>
      <c r="O966" s="7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 x14ac:dyDescent="0.35">
      <c r="A967" s="9">
        <f t="shared" si="44"/>
        <v>959</v>
      </c>
      <c r="B967" s="15"/>
      <c r="C967" s="11">
        <f t="shared" si="43"/>
        <v>1</v>
      </c>
      <c r="D967" s="11"/>
      <c r="E967" s="11"/>
      <c r="F967" s="11"/>
      <c r="G967" s="89">
        <f>IFERROR(VLOOKUP(F967,COA!$A$1:$K$26,2,FALSE),0)</f>
        <v>0</v>
      </c>
      <c r="H967" s="11"/>
      <c r="I967" s="11"/>
      <c r="J967" s="78"/>
      <c r="K967" s="78"/>
      <c r="L967" s="146">
        <f t="shared" si="45"/>
        <v>504000</v>
      </c>
      <c r="M967" s="73"/>
      <c r="N967" s="73"/>
      <c r="O967" s="7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 x14ac:dyDescent="0.35">
      <c r="A968" s="9">
        <f t="shared" si="44"/>
        <v>960</v>
      </c>
      <c r="B968" s="15"/>
      <c r="C968" s="11">
        <f t="shared" ref="C968:C1031" si="46">MONTH(B968)</f>
        <v>1</v>
      </c>
      <c r="D968" s="11"/>
      <c r="E968" s="11"/>
      <c r="F968" s="11"/>
      <c r="G968" s="89">
        <f>IFERROR(VLOOKUP(F968,COA!$A$1:$K$26,2,FALSE),0)</f>
        <v>0</v>
      </c>
      <c r="H968" s="11"/>
      <c r="I968" s="11"/>
      <c r="J968" s="78"/>
      <c r="K968" s="78"/>
      <c r="L968" s="146">
        <f t="shared" si="45"/>
        <v>504000</v>
      </c>
      <c r="M968" s="73"/>
      <c r="N968" s="73"/>
      <c r="O968" s="7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 x14ac:dyDescent="0.35">
      <c r="A969" s="9">
        <f t="shared" si="44"/>
        <v>961</v>
      </c>
      <c r="B969" s="15"/>
      <c r="C969" s="11">
        <f t="shared" si="46"/>
        <v>1</v>
      </c>
      <c r="D969" s="11"/>
      <c r="E969" s="11"/>
      <c r="F969" s="11"/>
      <c r="G969" s="89">
        <f>IFERROR(VLOOKUP(F969,COA!$A$1:$K$26,2,FALSE),0)</f>
        <v>0</v>
      </c>
      <c r="H969" s="11"/>
      <c r="I969" s="11"/>
      <c r="J969" s="78"/>
      <c r="K969" s="78"/>
      <c r="L969" s="146">
        <f t="shared" si="45"/>
        <v>504000</v>
      </c>
      <c r="M969" s="73"/>
      <c r="N969" s="73"/>
      <c r="O969" s="7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 x14ac:dyDescent="0.35">
      <c r="A970" s="9">
        <f t="shared" si="44"/>
        <v>962</v>
      </c>
      <c r="B970" s="15"/>
      <c r="C970" s="11">
        <f t="shared" si="46"/>
        <v>1</v>
      </c>
      <c r="D970" s="11"/>
      <c r="E970" s="11"/>
      <c r="F970" s="11"/>
      <c r="G970" s="89">
        <f>IFERROR(VLOOKUP(F970,COA!$A$1:$K$26,2,FALSE),0)</f>
        <v>0</v>
      </c>
      <c r="H970" s="11"/>
      <c r="I970" s="11"/>
      <c r="J970" s="78"/>
      <c r="K970" s="78"/>
      <c r="L970" s="146">
        <f t="shared" si="45"/>
        <v>504000</v>
      </c>
      <c r="M970" s="73"/>
      <c r="N970" s="73"/>
      <c r="O970" s="7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 x14ac:dyDescent="0.35">
      <c r="A971" s="9">
        <f t="shared" ref="A971:A1034" si="47">A970+1</f>
        <v>963</v>
      </c>
      <c r="B971" s="15"/>
      <c r="C971" s="11">
        <f t="shared" si="46"/>
        <v>1</v>
      </c>
      <c r="D971" s="11"/>
      <c r="E971" s="11"/>
      <c r="F971" s="11"/>
      <c r="G971" s="89">
        <f>IFERROR(VLOOKUP(F971,COA!$A$1:$K$26,2,FALSE),0)</f>
        <v>0</v>
      </c>
      <c r="H971" s="11"/>
      <c r="I971" s="11"/>
      <c r="J971" s="78"/>
      <c r="K971" s="78"/>
      <c r="L971" s="146">
        <f t="shared" ref="L971:L1034" si="48">L970+J971-K971</f>
        <v>504000</v>
      </c>
      <c r="M971" s="73"/>
      <c r="N971" s="73"/>
      <c r="O971" s="7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 x14ac:dyDescent="0.35">
      <c r="A972" s="9">
        <f t="shared" si="47"/>
        <v>964</v>
      </c>
      <c r="B972" s="15"/>
      <c r="C972" s="11">
        <f t="shared" si="46"/>
        <v>1</v>
      </c>
      <c r="D972" s="11"/>
      <c r="E972" s="11"/>
      <c r="F972" s="11"/>
      <c r="G972" s="89">
        <f>IFERROR(VLOOKUP(F972,COA!$A$1:$K$26,2,FALSE),0)</f>
        <v>0</v>
      </c>
      <c r="H972" s="11"/>
      <c r="I972" s="11"/>
      <c r="J972" s="78"/>
      <c r="K972" s="78"/>
      <c r="L972" s="146">
        <f t="shared" si="48"/>
        <v>504000</v>
      </c>
      <c r="M972" s="73"/>
      <c r="N972" s="73"/>
      <c r="O972" s="7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 x14ac:dyDescent="0.35">
      <c r="A973" s="9">
        <f t="shared" si="47"/>
        <v>965</v>
      </c>
      <c r="B973" s="15"/>
      <c r="C973" s="11">
        <f t="shared" si="46"/>
        <v>1</v>
      </c>
      <c r="D973" s="11"/>
      <c r="E973" s="11"/>
      <c r="F973" s="11"/>
      <c r="G973" s="89">
        <f>IFERROR(VLOOKUP(F973,COA!$A$1:$K$26,2,FALSE),0)</f>
        <v>0</v>
      </c>
      <c r="H973" s="11"/>
      <c r="I973" s="11"/>
      <c r="J973" s="78"/>
      <c r="K973" s="78"/>
      <c r="L973" s="146">
        <f t="shared" si="48"/>
        <v>504000</v>
      </c>
      <c r="M973" s="73"/>
      <c r="N973" s="73"/>
      <c r="O973" s="7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 x14ac:dyDescent="0.35">
      <c r="A974" s="9">
        <f t="shared" si="47"/>
        <v>966</v>
      </c>
      <c r="B974" s="15"/>
      <c r="C974" s="11">
        <f t="shared" si="46"/>
        <v>1</v>
      </c>
      <c r="D974" s="11"/>
      <c r="E974" s="11"/>
      <c r="F974" s="11"/>
      <c r="G974" s="89">
        <f>IFERROR(VLOOKUP(F974,COA!$A$1:$K$26,2,FALSE),0)</f>
        <v>0</v>
      </c>
      <c r="H974" s="11"/>
      <c r="I974" s="11"/>
      <c r="J974" s="78"/>
      <c r="K974" s="78"/>
      <c r="L974" s="146">
        <f t="shared" si="48"/>
        <v>504000</v>
      </c>
      <c r="M974" s="73"/>
      <c r="N974" s="73"/>
      <c r="O974" s="7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 x14ac:dyDescent="0.35">
      <c r="A975" s="9">
        <f t="shared" si="47"/>
        <v>967</v>
      </c>
      <c r="B975" s="15"/>
      <c r="C975" s="11">
        <f t="shared" si="46"/>
        <v>1</v>
      </c>
      <c r="D975" s="11"/>
      <c r="E975" s="11"/>
      <c r="F975" s="11"/>
      <c r="G975" s="89">
        <f>IFERROR(VLOOKUP(F975,COA!$A$1:$K$26,2,FALSE),0)</f>
        <v>0</v>
      </c>
      <c r="H975" s="11"/>
      <c r="I975" s="11"/>
      <c r="J975" s="78"/>
      <c r="K975" s="78"/>
      <c r="L975" s="146">
        <f t="shared" si="48"/>
        <v>504000</v>
      </c>
      <c r="M975" s="73"/>
      <c r="N975" s="73"/>
      <c r="O975" s="7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 x14ac:dyDescent="0.35">
      <c r="A976" s="9">
        <f t="shared" si="47"/>
        <v>968</v>
      </c>
      <c r="B976" s="15"/>
      <c r="C976" s="11">
        <f t="shared" si="46"/>
        <v>1</v>
      </c>
      <c r="D976" s="11"/>
      <c r="E976" s="11"/>
      <c r="F976" s="11"/>
      <c r="G976" s="89">
        <f>IFERROR(VLOOKUP(F976,COA!$A$1:$K$26,2,FALSE),0)</f>
        <v>0</v>
      </c>
      <c r="H976" s="11"/>
      <c r="I976" s="11"/>
      <c r="J976" s="78"/>
      <c r="K976" s="78"/>
      <c r="L976" s="146">
        <f t="shared" si="48"/>
        <v>504000</v>
      </c>
      <c r="M976" s="73"/>
      <c r="N976" s="73"/>
      <c r="O976" s="7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 x14ac:dyDescent="0.35">
      <c r="A977" s="9">
        <f t="shared" si="47"/>
        <v>969</v>
      </c>
      <c r="B977" s="15"/>
      <c r="C977" s="11">
        <f t="shared" si="46"/>
        <v>1</v>
      </c>
      <c r="D977" s="11"/>
      <c r="E977" s="11"/>
      <c r="F977" s="11"/>
      <c r="G977" s="89">
        <f>IFERROR(VLOOKUP(F977,COA!$A$1:$K$26,2,FALSE),0)</f>
        <v>0</v>
      </c>
      <c r="H977" s="11"/>
      <c r="I977" s="11"/>
      <c r="J977" s="78"/>
      <c r="K977" s="78"/>
      <c r="L977" s="146">
        <f t="shared" si="48"/>
        <v>504000</v>
      </c>
      <c r="M977" s="73"/>
      <c r="N977" s="73"/>
      <c r="O977" s="7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 x14ac:dyDescent="0.35">
      <c r="A978" s="9">
        <f t="shared" si="47"/>
        <v>970</v>
      </c>
      <c r="B978" s="15"/>
      <c r="C978" s="11">
        <f t="shared" si="46"/>
        <v>1</v>
      </c>
      <c r="D978" s="11"/>
      <c r="E978" s="11"/>
      <c r="F978" s="11"/>
      <c r="G978" s="89">
        <f>IFERROR(VLOOKUP(F978,COA!$A$1:$K$26,2,FALSE),0)</f>
        <v>0</v>
      </c>
      <c r="H978" s="11"/>
      <c r="I978" s="11"/>
      <c r="J978" s="78"/>
      <c r="K978" s="78"/>
      <c r="L978" s="146">
        <f t="shared" si="48"/>
        <v>504000</v>
      </c>
      <c r="M978" s="73"/>
      <c r="N978" s="73"/>
      <c r="O978" s="7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 x14ac:dyDescent="0.35">
      <c r="A979" s="9">
        <f t="shared" si="47"/>
        <v>971</v>
      </c>
      <c r="B979" s="15"/>
      <c r="C979" s="11">
        <f t="shared" si="46"/>
        <v>1</v>
      </c>
      <c r="D979" s="11"/>
      <c r="E979" s="11"/>
      <c r="F979" s="11"/>
      <c r="G979" s="89">
        <f>IFERROR(VLOOKUP(F979,COA!$A$1:$K$26,2,FALSE),0)</f>
        <v>0</v>
      </c>
      <c r="H979" s="11"/>
      <c r="I979" s="11"/>
      <c r="J979" s="78"/>
      <c r="K979" s="78"/>
      <c r="L979" s="146">
        <f t="shared" si="48"/>
        <v>504000</v>
      </c>
      <c r="M979" s="73"/>
      <c r="N979" s="73"/>
      <c r="O979" s="7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 x14ac:dyDescent="0.35">
      <c r="A980" s="9">
        <f t="shared" si="47"/>
        <v>972</v>
      </c>
      <c r="B980" s="15"/>
      <c r="C980" s="11">
        <f t="shared" si="46"/>
        <v>1</v>
      </c>
      <c r="D980" s="11"/>
      <c r="E980" s="11"/>
      <c r="F980" s="11"/>
      <c r="G980" s="89">
        <f>IFERROR(VLOOKUP(F980,COA!$A$1:$K$26,2,FALSE),0)</f>
        <v>0</v>
      </c>
      <c r="H980" s="11"/>
      <c r="I980" s="11"/>
      <c r="J980" s="78"/>
      <c r="K980" s="78"/>
      <c r="L980" s="146">
        <f t="shared" si="48"/>
        <v>504000</v>
      </c>
      <c r="M980" s="73"/>
      <c r="N980" s="73"/>
      <c r="O980" s="7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 x14ac:dyDescent="0.35">
      <c r="A981" s="9">
        <f t="shared" si="47"/>
        <v>973</v>
      </c>
      <c r="B981" s="15"/>
      <c r="C981" s="11">
        <f t="shared" si="46"/>
        <v>1</v>
      </c>
      <c r="D981" s="11"/>
      <c r="E981" s="11"/>
      <c r="F981" s="11"/>
      <c r="G981" s="89">
        <f>IFERROR(VLOOKUP(F981,COA!$A$1:$K$26,2,FALSE),0)</f>
        <v>0</v>
      </c>
      <c r="H981" s="11"/>
      <c r="I981" s="11"/>
      <c r="J981" s="78"/>
      <c r="K981" s="78"/>
      <c r="L981" s="146">
        <f t="shared" si="48"/>
        <v>504000</v>
      </c>
      <c r="M981" s="73"/>
      <c r="N981" s="73"/>
      <c r="O981" s="7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 x14ac:dyDescent="0.35">
      <c r="A982" s="9">
        <f t="shared" si="47"/>
        <v>974</v>
      </c>
      <c r="B982" s="15"/>
      <c r="C982" s="11">
        <f t="shared" si="46"/>
        <v>1</v>
      </c>
      <c r="D982" s="11"/>
      <c r="E982" s="11"/>
      <c r="F982" s="11"/>
      <c r="G982" s="89">
        <f>IFERROR(VLOOKUP(F982,COA!$A$1:$K$26,2,FALSE),0)</f>
        <v>0</v>
      </c>
      <c r="H982" s="11"/>
      <c r="I982" s="11"/>
      <c r="J982" s="78"/>
      <c r="K982" s="78"/>
      <c r="L982" s="146">
        <f t="shared" si="48"/>
        <v>504000</v>
      </c>
      <c r="M982" s="73"/>
      <c r="N982" s="73"/>
      <c r="O982" s="7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 x14ac:dyDescent="0.35">
      <c r="A983" s="9">
        <f t="shared" si="47"/>
        <v>975</v>
      </c>
      <c r="B983" s="15"/>
      <c r="C983" s="11">
        <f t="shared" si="46"/>
        <v>1</v>
      </c>
      <c r="D983" s="11"/>
      <c r="E983" s="11"/>
      <c r="F983" s="11"/>
      <c r="G983" s="89">
        <f>IFERROR(VLOOKUP(F983,COA!$A$1:$K$26,2,FALSE),0)</f>
        <v>0</v>
      </c>
      <c r="H983" s="11"/>
      <c r="I983" s="11"/>
      <c r="J983" s="78"/>
      <c r="K983" s="78"/>
      <c r="L983" s="146">
        <f t="shared" si="48"/>
        <v>504000</v>
      </c>
      <c r="M983" s="73"/>
      <c r="N983" s="73"/>
      <c r="O983" s="7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 x14ac:dyDescent="0.35">
      <c r="A984" s="9">
        <f t="shared" si="47"/>
        <v>976</v>
      </c>
      <c r="B984" s="15"/>
      <c r="C984" s="11">
        <f t="shared" si="46"/>
        <v>1</v>
      </c>
      <c r="D984" s="11"/>
      <c r="E984" s="11"/>
      <c r="F984" s="11"/>
      <c r="G984" s="89">
        <f>IFERROR(VLOOKUP(F984,COA!$A$1:$K$26,2,FALSE),0)</f>
        <v>0</v>
      </c>
      <c r="H984" s="11"/>
      <c r="I984" s="11"/>
      <c r="J984" s="78"/>
      <c r="K984" s="78"/>
      <c r="L984" s="146">
        <f t="shared" si="48"/>
        <v>504000</v>
      </c>
      <c r="M984" s="73"/>
      <c r="N984" s="73"/>
      <c r="O984" s="7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 x14ac:dyDescent="0.35">
      <c r="A985" s="9">
        <f t="shared" si="47"/>
        <v>977</v>
      </c>
      <c r="B985" s="15"/>
      <c r="C985" s="11">
        <f t="shared" si="46"/>
        <v>1</v>
      </c>
      <c r="D985" s="11"/>
      <c r="E985" s="11"/>
      <c r="F985" s="11"/>
      <c r="G985" s="89">
        <f>IFERROR(VLOOKUP(F985,COA!$A$1:$K$26,2,FALSE),0)</f>
        <v>0</v>
      </c>
      <c r="H985" s="11"/>
      <c r="I985" s="11"/>
      <c r="J985" s="78"/>
      <c r="K985" s="78"/>
      <c r="L985" s="146">
        <f t="shared" si="48"/>
        <v>504000</v>
      </c>
      <c r="M985" s="73"/>
      <c r="N985" s="73"/>
      <c r="O985" s="7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 x14ac:dyDescent="0.35">
      <c r="A986" s="9">
        <f t="shared" si="47"/>
        <v>978</v>
      </c>
      <c r="B986" s="15"/>
      <c r="C986" s="11">
        <f t="shared" si="46"/>
        <v>1</v>
      </c>
      <c r="D986" s="11"/>
      <c r="E986" s="11"/>
      <c r="F986" s="11"/>
      <c r="G986" s="89">
        <f>IFERROR(VLOOKUP(F986,COA!$A$1:$K$26,2,FALSE),0)</f>
        <v>0</v>
      </c>
      <c r="H986" s="11"/>
      <c r="I986" s="11"/>
      <c r="J986" s="78"/>
      <c r="K986" s="78"/>
      <c r="L986" s="146">
        <f t="shared" si="48"/>
        <v>504000</v>
      </c>
      <c r="M986" s="73"/>
      <c r="N986" s="73"/>
      <c r="O986" s="7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 x14ac:dyDescent="0.35">
      <c r="A987" s="9">
        <f t="shared" si="47"/>
        <v>979</v>
      </c>
      <c r="B987" s="15"/>
      <c r="C987" s="11">
        <f t="shared" si="46"/>
        <v>1</v>
      </c>
      <c r="D987" s="11"/>
      <c r="E987" s="11"/>
      <c r="F987" s="11"/>
      <c r="G987" s="89">
        <f>IFERROR(VLOOKUP(F987,COA!$A$1:$K$26,2,FALSE),0)</f>
        <v>0</v>
      </c>
      <c r="H987" s="11"/>
      <c r="I987" s="11"/>
      <c r="J987" s="78"/>
      <c r="K987" s="78"/>
      <c r="L987" s="146">
        <f t="shared" si="48"/>
        <v>504000</v>
      </c>
      <c r="M987" s="73"/>
      <c r="N987" s="73"/>
      <c r="O987" s="7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 x14ac:dyDescent="0.35">
      <c r="A988" s="9">
        <f t="shared" si="47"/>
        <v>980</v>
      </c>
      <c r="B988" s="15"/>
      <c r="C988" s="11">
        <f t="shared" si="46"/>
        <v>1</v>
      </c>
      <c r="D988" s="11"/>
      <c r="E988" s="11"/>
      <c r="F988" s="11"/>
      <c r="G988" s="89">
        <f>IFERROR(VLOOKUP(F988,COA!$A$1:$K$26,2,FALSE),0)</f>
        <v>0</v>
      </c>
      <c r="H988" s="11"/>
      <c r="I988" s="11"/>
      <c r="J988" s="78"/>
      <c r="K988" s="78"/>
      <c r="L988" s="146">
        <f t="shared" si="48"/>
        <v>504000</v>
      </c>
      <c r="M988" s="73"/>
      <c r="N988" s="73"/>
      <c r="O988" s="7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 x14ac:dyDescent="0.35">
      <c r="A989" s="9">
        <f t="shared" si="47"/>
        <v>981</v>
      </c>
      <c r="B989" s="15"/>
      <c r="C989" s="11">
        <f t="shared" si="46"/>
        <v>1</v>
      </c>
      <c r="D989" s="11"/>
      <c r="E989" s="11"/>
      <c r="F989" s="11"/>
      <c r="G989" s="89">
        <f>IFERROR(VLOOKUP(F989,COA!$A$1:$K$26,2,FALSE),0)</f>
        <v>0</v>
      </c>
      <c r="H989" s="11"/>
      <c r="I989" s="11"/>
      <c r="J989" s="78"/>
      <c r="K989" s="78"/>
      <c r="L989" s="146">
        <f t="shared" si="48"/>
        <v>504000</v>
      </c>
      <c r="M989" s="73"/>
      <c r="N989" s="73"/>
      <c r="O989" s="7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 x14ac:dyDescent="0.35">
      <c r="A990" s="9">
        <f t="shared" si="47"/>
        <v>982</v>
      </c>
      <c r="B990" s="15"/>
      <c r="C990" s="11">
        <f t="shared" si="46"/>
        <v>1</v>
      </c>
      <c r="D990" s="11"/>
      <c r="E990" s="11"/>
      <c r="F990" s="11"/>
      <c r="G990" s="89">
        <f>IFERROR(VLOOKUP(F990,COA!$A$1:$K$26,2,FALSE),0)</f>
        <v>0</v>
      </c>
      <c r="H990" s="11"/>
      <c r="I990" s="11"/>
      <c r="J990" s="78"/>
      <c r="K990" s="78"/>
      <c r="L990" s="146">
        <f t="shared" si="48"/>
        <v>504000</v>
      </c>
      <c r="M990" s="73"/>
      <c r="N990" s="73"/>
      <c r="O990" s="7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 x14ac:dyDescent="0.35">
      <c r="A991" s="9">
        <f t="shared" si="47"/>
        <v>983</v>
      </c>
      <c r="B991" s="15"/>
      <c r="C991" s="11">
        <f t="shared" si="46"/>
        <v>1</v>
      </c>
      <c r="D991" s="11"/>
      <c r="E991" s="11"/>
      <c r="F991" s="11"/>
      <c r="G991" s="89">
        <f>IFERROR(VLOOKUP(F991,COA!$A$1:$K$26,2,FALSE),0)</f>
        <v>0</v>
      </c>
      <c r="H991" s="11"/>
      <c r="I991" s="11"/>
      <c r="J991" s="78"/>
      <c r="K991" s="78"/>
      <c r="L991" s="146">
        <f t="shared" si="48"/>
        <v>504000</v>
      </c>
      <c r="M991" s="73"/>
      <c r="N991" s="73"/>
      <c r="O991" s="7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 x14ac:dyDescent="0.35">
      <c r="A992" s="9">
        <f t="shared" si="47"/>
        <v>984</v>
      </c>
      <c r="B992" s="15"/>
      <c r="C992" s="11">
        <f t="shared" si="46"/>
        <v>1</v>
      </c>
      <c r="D992" s="11"/>
      <c r="E992" s="11"/>
      <c r="F992" s="11"/>
      <c r="G992" s="89">
        <f>IFERROR(VLOOKUP(F992,COA!$A$1:$K$26,2,FALSE),0)</f>
        <v>0</v>
      </c>
      <c r="H992" s="11"/>
      <c r="I992" s="11"/>
      <c r="J992" s="78"/>
      <c r="K992" s="78"/>
      <c r="L992" s="146">
        <f t="shared" si="48"/>
        <v>504000</v>
      </c>
      <c r="M992" s="73"/>
      <c r="N992" s="73"/>
      <c r="O992" s="7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 x14ac:dyDescent="0.35">
      <c r="A993" s="9">
        <f t="shared" si="47"/>
        <v>985</v>
      </c>
      <c r="B993" s="15"/>
      <c r="C993" s="11">
        <f t="shared" si="46"/>
        <v>1</v>
      </c>
      <c r="D993" s="11"/>
      <c r="E993" s="11"/>
      <c r="F993" s="11"/>
      <c r="G993" s="89">
        <f>IFERROR(VLOOKUP(F993,COA!$A$1:$K$26,2,FALSE),0)</f>
        <v>0</v>
      </c>
      <c r="H993" s="11"/>
      <c r="I993" s="11"/>
      <c r="J993" s="78"/>
      <c r="K993" s="78"/>
      <c r="L993" s="146">
        <f t="shared" si="48"/>
        <v>504000</v>
      </c>
      <c r="M993" s="73"/>
      <c r="N993" s="73"/>
      <c r="O993" s="7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 x14ac:dyDescent="0.35">
      <c r="A994" s="9">
        <f t="shared" si="47"/>
        <v>986</v>
      </c>
      <c r="B994" s="15"/>
      <c r="C994" s="11">
        <f t="shared" si="46"/>
        <v>1</v>
      </c>
      <c r="D994" s="11"/>
      <c r="E994" s="11"/>
      <c r="F994" s="11"/>
      <c r="G994" s="89">
        <f>IFERROR(VLOOKUP(F994,COA!$A$1:$K$26,2,FALSE),0)</f>
        <v>0</v>
      </c>
      <c r="H994" s="11"/>
      <c r="I994" s="11"/>
      <c r="J994" s="78"/>
      <c r="K994" s="78"/>
      <c r="L994" s="146">
        <f t="shared" si="48"/>
        <v>504000</v>
      </c>
      <c r="M994" s="73"/>
      <c r="N994" s="73"/>
      <c r="O994" s="7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 x14ac:dyDescent="0.35">
      <c r="A995" s="9">
        <f t="shared" si="47"/>
        <v>987</v>
      </c>
      <c r="B995" s="15"/>
      <c r="C995" s="11">
        <f t="shared" si="46"/>
        <v>1</v>
      </c>
      <c r="D995" s="11"/>
      <c r="E995" s="11"/>
      <c r="F995" s="11"/>
      <c r="G995" s="89">
        <f>IFERROR(VLOOKUP(F995,COA!$A$1:$K$26,2,FALSE),0)</f>
        <v>0</v>
      </c>
      <c r="H995" s="11"/>
      <c r="I995" s="11"/>
      <c r="J995" s="78"/>
      <c r="K995" s="78"/>
      <c r="L995" s="146">
        <f t="shared" si="48"/>
        <v>504000</v>
      </c>
      <c r="M995" s="73"/>
      <c r="N995" s="73"/>
      <c r="O995" s="7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 x14ac:dyDescent="0.35">
      <c r="A996" s="9">
        <f t="shared" si="47"/>
        <v>988</v>
      </c>
      <c r="B996" s="15"/>
      <c r="C996" s="11">
        <f t="shared" si="46"/>
        <v>1</v>
      </c>
      <c r="D996" s="11"/>
      <c r="E996" s="11"/>
      <c r="F996" s="11"/>
      <c r="G996" s="89">
        <f>IFERROR(VLOOKUP(F996,COA!$A$1:$K$26,2,FALSE),0)</f>
        <v>0</v>
      </c>
      <c r="H996" s="11"/>
      <c r="I996" s="11"/>
      <c r="J996" s="78"/>
      <c r="K996" s="78"/>
      <c r="L996" s="146">
        <f t="shared" si="48"/>
        <v>504000</v>
      </c>
      <c r="M996" s="73"/>
      <c r="N996" s="73"/>
      <c r="O996" s="7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 x14ac:dyDescent="0.35">
      <c r="A997" s="9">
        <f t="shared" si="47"/>
        <v>989</v>
      </c>
      <c r="B997" s="15"/>
      <c r="C997" s="11">
        <f t="shared" si="46"/>
        <v>1</v>
      </c>
      <c r="D997" s="11"/>
      <c r="E997" s="11"/>
      <c r="F997" s="11"/>
      <c r="G997" s="89">
        <f>IFERROR(VLOOKUP(F997,COA!$A$1:$K$26,2,FALSE),0)</f>
        <v>0</v>
      </c>
      <c r="H997" s="11"/>
      <c r="I997" s="11"/>
      <c r="J997" s="78"/>
      <c r="K997" s="78"/>
      <c r="L997" s="146">
        <f t="shared" si="48"/>
        <v>504000</v>
      </c>
      <c r="M997" s="73"/>
      <c r="N997" s="73"/>
      <c r="O997" s="7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 x14ac:dyDescent="0.35">
      <c r="A998" s="9">
        <f t="shared" si="47"/>
        <v>990</v>
      </c>
      <c r="B998" s="15"/>
      <c r="C998" s="11">
        <f t="shared" si="46"/>
        <v>1</v>
      </c>
      <c r="D998" s="11"/>
      <c r="E998" s="11"/>
      <c r="F998" s="11"/>
      <c r="G998" s="89">
        <f>IFERROR(VLOOKUP(F998,COA!$A$1:$K$26,2,FALSE),0)</f>
        <v>0</v>
      </c>
      <c r="H998" s="11"/>
      <c r="I998" s="11"/>
      <c r="J998" s="78"/>
      <c r="K998" s="78"/>
      <c r="L998" s="146">
        <f t="shared" si="48"/>
        <v>504000</v>
      </c>
      <c r="M998" s="73"/>
      <c r="N998" s="73"/>
      <c r="O998" s="7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 x14ac:dyDescent="0.35">
      <c r="A999" s="9">
        <f t="shared" si="47"/>
        <v>991</v>
      </c>
      <c r="B999" s="15"/>
      <c r="C999" s="11">
        <f t="shared" si="46"/>
        <v>1</v>
      </c>
      <c r="D999" s="11"/>
      <c r="E999" s="11"/>
      <c r="F999" s="11"/>
      <c r="G999" s="89">
        <f>IFERROR(VLOOKUP(F999,COA!$A$1:$K$26,2,FALSE),0)</f>
        <v>0</v>
      </c>
      <c r="H999" s="11"/>
      <c r="I999" s="11"/>
      <c r="J999" s="78"/>
      <c r="K999" s="78"/>
      <c r="L999" s="146">
        <f t="shared" si="48"/>
        <v>504000</v>
      </c>
      <c r="M999" s="73"/>
      <c r="N999" s="73"/>
      <c r="O999" s="7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 x14ac:dyDescent="0.35">
      <c r="A1000" s="9">
        <f t="shared" si="47"/>
        <v>992</v>
      </c>
      <c r="B1000" s="15"/>
      <c r="C1000" s="11">
        <f t="shared" si="46"/>
        <v>1</v>
      </c>
      <c r="D1000" s="11"/>
      <c r="E1000" s="11"/>
      <c r="F1000" s="11"/>
      <c r="G1000" s="89">
        <f>IFERROR(VLOOKUP(F1000,COA!$A$1:$K$26,2,FALSE),0)</f>
        <v>0</v>
      </c>
      <c r="H1000" s="11"/>
      <c r="I1000" s="11"/>
      <c r="J1000" s="78"/>
      <c r="K1000" s="78"/>
      <c r="L1000" s="146">
        <f t="shared" si="48"/>
        <v>504000</v>
      </c>
      <c r="M1000" s="73"/>
      <c r="N1000" s="73"/>
      <c r="O1000" s="7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4.25" customHeight="1" x14ac:dyDescent="0.35">
      <c r="A1001" s="9">
        <f t="shared" si="47"/>
        <v>993</v>
      </c>
      <c r="B1001" s="15"/>
      <c r="C1001" s="11">
        <f t="shared" si="46"/>
        <v>1</v>
      </c>
      <c r="D1001" s="11"/>
      <c r="E1001" s="11"/>
      <c r="F1001" s="11"/>
      <c r="G1001" s="89">
        <f>IFERROR(VLOOKUP(F1001,COA!$A$1:$K$26,2,FALSE),0)</f>
        <v>0</v>
      </c>
      <c r="H1001" s="11"/>
      <c r="I1001" s="11"/>
      <c r="J1001" s="78"/>
      <c r="K1001" s="78"/>
      <c r="L1001" s="146">
        <f t="shared" si="48"/>
        <v>504000</v>
      </c>
      <c r="M1001" s="73"/>
      <c r="N1001" s="73"/>
      <c r="O1001" s="7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4.25" customHeight="1" x14ac:dyDescent="0.35">
      <c r="A1002" s="9">
        <f t="shared" si="47"/>
        <v>994</v>
      </c>
      <c r="B1002" s="15"/>
      <c r="C1002" s="11">
        <f t="shared" si="46"/>
        <v>1</v>
      </c>
      <c r="D1002" s="11"/>
      <c r="E1002" s="11"/>
      <c r="F1002" s="11"/>
      <c r="G1002" s="89">
        <f>IFERROR(VLOOKUP(F1002,COA!$A$1:$K$26,2,FALSE),0)</f>
        <v>0</v>
      </c>
      <c r="H1002" s="11"/>
      <c r="I1002" s="11"/>
      <c r="J1002" s="78"/>
      <c r="K1002" s="78"/>
      <c r="L1002" s="146">
        <f t="shared" si="48"/>
        <v>504000</v>
      </c>
      <c r="M1002" s="73"/>
      <c r="N1002" s="73"/>
      <c r="O1002" s="7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4.25" customHeight="1" x14ac:dyDescent="0.35">
      <c r="A1003" s="9">
        <f t="shared" si="47"/>
        <v>995</v>
      </c>
      <c r="B1003" s="15"/>
      <c r="C1003" s="11">
        <f t="shared" si="46"/>
        <v>1</v>
      </c>
      <c r="D1003" s="11"/>
      <c r="E1003" s="11"/>
      <c r="F1003" s="11"/>
      <c r="G1003" s="89">
        <f>IFERROR(VLOOKUP(F1003,COA!$A$1:$K$26,2,FALSE),0)</f>
        <v>0</v>
      </c>
      <c r="H1003" s="11"/>
      <c r="I1003" s="11"/>
      <c r="J1003" s="78"/>
      <c r="K1003" s="78"/>
      <c r="L1003" s="146">
        <f t="shared" si="48"/>
        <v>504000</v>
      </c>
      <c r="M1003" s="73"/>
      <c r="N1003" s="73"/>
      <c r="O1003" s="7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4.25" customHeight="1" x14ac:dyDescent="0.35">
      <c r="A1004" s="9">
        <f t="shared" si="47"/>
        <v>996</v>
      </c>
      <c r="B1004" s="15"/>
      <c r="C1004" s="11">
        <f t="shared" si="46"/>
        <v>1</v>
      </c>
      <c r="D1004" s="11"/>
      <c r="E1004" s="11"/>
      <c r="F1004" s="11"/>
      <c r="G1004" s="89">
        <f>IFERROR(VLOOKUP(F1004,COA!$A$1:$K$26,2,FALSE),0)</f>
        <v>0</v>
      </c>
      <c r="H1004" s="11"/>
      <c r="I1004" s="11"/>
      <c r="J1004" s="78"/>
      <c r="K1004" s="78"/>
      <c r="L1004" s="146">
        <f t="shared" si="48"/>
        <v>504000</v>
      </c>
      <c r="M1004" s="73"/>
      <c r="N1004" s="73"/>
      <c r="O1004" s="7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4.25" customHeight="1" x14ac:dyDescent="0.35">
      <c r="A1005" s="9">
        <f t="shared" si="47"/>
        <v>997</v>
      </c>
      <c r="B1005" s="15"/>
      <c r="C1005" s="11">
        <f t="shared" si="46"/>
        <v>1</v>
      </c>
      <c r="D1005" s="11"/>
      <c r="E1005" s="11"/>
      <c r="F1005" s="11"/>
      <c r="G1005" s="89">
        <f>IFERROR(VLOOKUP(F1005,COA!$A$1:$K$26,2,FALSE),0)</f>
        <v>0</v>
      </c>
      <c r="H1005" s="11"/>
      <c r="I1005" s="11"/>
      <c r="J1005" s="78"/>
      <c r="K1005" s="78"/>
      <c r="L1005" s="146">
        <f t="shared" si="48"/>
        <v>504000</v>
      </c>
      <c r="M1005" s="73"/>
      <c r="N1005" s="73"/>
      <c r="O1005" s="7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4.25" customHeight="1" x14ac:dyDescent="0.35">
      <c r="A1006" s="9">
        <f t="shared" si="47"/>
        <v>998</v>
      </c>
      <c r="B1006" s="15"/>
      <c r="C1006" s="11">
        <f t="shared" si="46"/>
        <v>1</v>
      </c>
      <c r="D1006" s="11"/>
      <c r="E1006" s="11"/>
      <c r="F1006" s="11"/>
      <c r="G1006" s="89">
        <f>IFERROR(VLOOKUP(F1006,COA!$A$1:$K$26,2,FALSE),0)</f>
        <v>0</v>
      </c>
      <c r="H1006" s="11"/>
      <c r="I1006" s="11"/>
      <c r="J1006" s="78"/>
      <c r="K1006" s="78"/>
      <c r="L1006" s="146">
        <f t="shared" si="48"/>
        <v>504000</v>
      </c>
      <c r="M1006" s="73"/>
      <c r="N1006" s="73"/>
      <c r="O1006" s="7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4.25" customHeight="1" x14ac:dyDescent="0.35">
      <c r="A1007" s="9">
        <f t="shared" si="47"/>
        <v>999</v>
      </c>
      <c r="B1007" s="15"/>
      <c r="C1007" s="11">
        <f t="shared" si="46"/>
        <v>1</v>
      </c>
      <c r="D1007" s="11"/>
      <c r="E1007" s="11"/>
      <c r="F1007" s="11"/>
      <c r="G1007" s="89">
        <f>IFERROR(VLOOKUP(F1007,COA!$A$1:$K$26,2,FALSE),0)</f>
        <v>0</v>
      </c>
      <c r="H1007" s="11"/>
      <c r="I1007" s="11"/>
      <c r="J1007" s="78"/>
      <c r="K1007" s="78"/>
      <c r="L1007" s="146">
        <f t="shared" si="48"/>
        <v>504000</v>
      </c>
      <c r="M1007" s="73"/>
      <c r="N1007" s="73"/>
      <c r="O1007" s="7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4.25" customHeight="1" x14ac:dyDescent="0.35">
      <c r="A1008" s="9">
        <f t="shared" si="47"/>
        <v>1000</v>
      </c>
      <c r="B1008" s="15"/>
      <c r="C1008" s="11">
        <f t="shared" si="46"/>
        <v>1</v>
      </c>
      <c r="D1008" s="11"/>
      <c r="E1008" s="11"/>
      <c r="F1008" s="11"/>
      <c r="G1008" s="89">
        <f>IFERROR(VLOOKUP(F1008,COA!$A$1:$K$26,2,FALSE),0)</f>
        <v>0</v>
      </c>
      <c r="H1008" s="11"/>
      <c r="I1008" s="11"/>
      <c r="J1008" s="78"/>
      <c r="K1008" s="78"/>
      <c r="L1008" s="146">
        <f t="shared" si="48"/>
        <v>504000</v>
      </c>
      <c r="M1008" s="73"/>
      <c r="N1008" s="73"/>
      <c r="O1008" s="7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4.25" customHeight="1" x14ac:dyDescent="0.35">
      <c r="A1009" s="9">
        <f t="shared" si="47"/>
        <v>1001</v>
      </c>
      <c r="B1009" s="15"/>
      <c r="C1009" s="11">
        <f t="shared" si="46"/>
        <v>1</v>
      </c>
      <c r="D1009" s="11"/>
      <c r="E1009" s="11"/>
      <c r="F1009" s="11"/>
      <c r="G1009" s="89">
        <f>IFERROR(VLOOKUP(F1009,COA!$A$1:$K$26,2,FALSE),0)</f>
        <v>0</v>
      </c>
      <c r="H1009" s="11"/>
      <c r="I1009" s="11"/>
      <c r="J1009" s="78"/>
      <c r="K1009" s="78"/>
      <c r="L1009" s="146">
        <f t="shared" si="48"/>
        <v>504000</v>
      </c>
      <c r="M1009" s="73"/>
      <c r="N1009" s="73"/>
      <c r="O1009" s="7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4.25" customHeight="1" x14ac:dyDescent="0.35">
      <c r="A1010" s="9">
        <f t="shared" si="47"/>
        <v>1002</v>
      </c>
      <c r="B1010" s="15"/>
      <c r="C1010" s="11">
        <f t="shared" si="46"/>
        <v>1</v>
      </c>
      <c r="D1010" s="11"/>
      <c r="E1010" s="11"/>
      <c r="F1010" s="11"/>
      <c r="G1010" s="89">
        <f>IFERROR(VLOOKUP(F1010,COA!$A$1:$K$26,2,FALSE),0)</f>
        <v>0</v>
      </c>
      <c r="H1010" s="11"/>
      <c r="I1010" s="11"/>
      <c r="J1010" s="78"/>
      <c r="K1010" s="78"/>
      <c r="L1010" s="146">
        <f t="shared" si="48"/>
        <v>504000</v>
      </c>
      <c r="M1010" s="73"/>
      <c r="N1010" s="73"/>
      <c r="O1010" s="7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14.25" customHeight="1" x14ac:dyDescent="0.35">
      <c r="A1011" s="9">
        <f t="shared" si="47"/>
        <v>1003</v>
      </c>
      <c r="B1011" s="15"/>
      <c r="C1011" s="11">
        <f t="shared" si="46"/>
        <v>1</v>
      </c>
      <c r="D1011" s="11"/>
      <c r="E1011" s="11"/>
      <c r="F1011" s="11"/>
      <c r="G1011" s="89">
        <f>IFERROR(VLOOKUP(F1011,COA!$A$1:$K$26,2,FALSE),0)</f>
        <v>0</v>
      </c>
      <c r="H1011" s="11"/>
      <c r="I1011" s="11"/>
      <c r="J1011" s="78"/>
      <c r="K1011" s="78"/>
      <c r="L1011" s="146">
        <f t="shared" si="48"/>
        <v>504000</v>
      </c>
      <c r="M1011" s="73"/>
      <c r="N1011" s="73"/>
      <c r="O1011" s="7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14.25" customHeight="1" x14ac:dyDescent="0.35">
      <c r="A1012" s="9">
        <f t="shared" si="47"/>
        <v>1004</v>
      </c>
      <c r="B1012" s="15"/>
      <c r="C1012" s="11">
        <f t="shared" si="46"/>
        <v>1</v>
      </c>
      <c r="D1012" s="11"/>
      <c r="E1012" s="11"/>
      <c r="F1012" s="11"/>
      <c r="G1012" s="89">
        <f>IFERROR(VLOOKUP(F1012,COA!$A$1:$K$26,2,FALSE),0)</f>
        <v>0</v>
      </c>
      <c r="H1012" s="11"/>
      <c r="I1012" s="11"/>
      <c r="J1012" s="78"/>
      <c r="K1012" s="78"/>
      <c r="L1012" s="146">
        <f t="shared" si="48"/>
        <v>504000</v>
      </c>
      <c r="M1012" s="73"/>
      <c r="N1012" s="73"/>
      <c r="O1012" s="7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14.25" customHeight="1" x14ac:dyDescent="0.35">
      <c r="A1013" s="9">
        <f t="shared" si="47"/>
        <v>1005</v>
      </c>
      <c r="B1013" s="15"/>
      <c r="C1013" s="11">
        <f t="shared" si="46"/>
        <v>1</v>
      </c>
      <c r="D1013" s="11"/>
      <c r="E1013" s="11"/>
      <c r="F1013" s="11"/>
      <c r="G1013" s="89">
        <f>IFERROR(VLOOKUP(F1013,COA!$A$1:$K$26,2,FALSE),0)</f>
        <v>0</v>
      </c>
      <c r="H1013" s="11"/>
      <c r="I1013" s="11"/>
      <c r="J1013" s="78"/>
      <c r="K1013" s="78"/>
      <c r="L1013" s="146">
        <f t="shared" si="48"/>
        <v>504000</v>
      </c>
      <c r="M1013" s="73"/>
      <c r="N1013" s="73"/>
      <c r="O1013" s="7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14.25" customHeight="1" x14ac:dyDescent="0.35">
      <c r="A1014" s="9">
        <f t="shared" si="47"/>
        <v>1006</v>
      </c>
      <c r="B1014" s="15"/>
      <c r="C1014" s="11">
        <f t="shared" si="46"/>
        <v>1</v>
      </c>
      <c r="D1014" s="11"/>
      <c r="E1014" s="11"/>
      <c r="F1014" s="11"/>
      <c r="G1014" s="89">
        <f>IFERROR(VLOOKUP(F1014,COA!$A$1:$K$26,2,FALSE),0)</f>
        <v>0</v>
      </c>
      <c r="H1014" s="11"/>
      <c r="I1014" s="11"/>
      <c r="J1014" s="78"/>
      <c r="K1014" s="78"/>
      <c r="L1014" s="146">
        <f t="shared" si="48"/>
        <v>504000</v>
      </c>
      <c r="M1014" s="73"/>
      <c r="N1014" s="73"/>
      <c r="O1014" s="7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14.25" customHeight="1" x14ac:dyDescent="0.35">
      <c r="A1015" s="9">
        <f t="shared" si="47"/>
        <v>1007</v>
      </c>
      <c r="B1015" s="15"/>
      <c r="C1015" s="11">
        <f t="shared" si="46"/>
        <v>1</v>
      </c>
      <c r="D1015" s="11"/>
      <c r="E1015" s="11"/>
      <c r="F1015" s="11"/>
      <c r="G1015" s="89">
        <f>IFERROR(VLOOKUP(F1015,COA!$A$1:$K$26,2,FALSE),0)</f>
        <v>0</v>
      </c>
      <c r="H1015" s="11"/>
      <c r="I1015" s="11"/>
      <c r="J1015" s="78"/>
      <c r="K1015" s="78"/>
      <c r="L1015" s="146">
        <f t="shared" si="48"/>
        <v>504000</v>
      </c>
      <c r="M1015" s="73"/>
      <c r="N1015" s="73"/>
      <c r="O1015" s="7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14.25" customHeight="1" x14ac:dyDescent="0.35">
      <c r="A1016" s="9">
        <f t="shared" si="47"/>
        <v>1008</v>
      </c>
      <c r="B1016" s="15"/>
      <c r="C1016" s="11">
        <f t="shared" si="46"/>
        <v>1</v>
      </c>
      <c r="D1016" s="11"/>
      <c r="E1016" s="11"/>
      <c r="F1016" s="11"/>
      <c r="G1016" s="89">
        <f>IFERROR(VLOOKUP(F1016,COA!$A$1:$K$26,2,FALSE),0)</f>
        <v>0</v>
      </c>
      <c r="H1016" s="11"/>
      <c r="I1016" s="11"/>
      <c r="J1016" s="78"/>
      <c r="K1016" s="78"/>
      <c r="L1016" s="146">
        <f t="shared" si="48"/>
        <v>504000</v>
      </c>
      <c r="M1016" s="73"/>
      <c r="N1016" s="73"/>
      <c r="O1016" s="7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14.25" customHeight="1" x14ac:dyDescent="0.35">
      <c r="A1017" s="9">
        <f t="shared" si="47"/>
        <v>1009</v>
      </c>
      <c r="B1017" s="15"/>
      <c r="C1017" s="11">
        <f t="shared" si="46"/>
        <v>1</v>
      </c>
      <c r="D1017" s="11"/>
      <c r="E1017" s="11"/>
      <c r="F1017" s="11"/>
      <c r="G1017" s="89">
        <f>IFERROR(VLOOKUP(F1017,COA!$A$1:$K$26,2,FALSE),0)</f>
        <v>0</v>
      </c>
      <c r="H1017" s="11"/>
      <c r="I1017" s="11"/>
      <c r="J1017" s="78"/>
      <c r="K1017" s="78"/>
      <c r="L1017" s="146">
        <f t="shared" si="48"/>
        <v>504000</v>
      </c>
      <c r="M1017" s="73"/>
      <c r="N1017" s="73"/>
      <c r="O1017" s="7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14.25" customHeight="1" x14ac:dyDescent="0.35">
      <c r="A1018" s="9">
        <f t="shared" si="47"/>
        <v>1010</v>
      </c>
      <c r="B1018" s="15"/>
      <c r="C1018" s="11">
        <f t="shared" si="46"/>
        <v>1</v>
      </c>
      <c r="D1018" s="11"/>
      <c r="E1018" s="11"/>
      <c r="F1018" s="11"/>
      <c r="G1018" s="89">
        <f>IFERROR(VLOOKUP(F1018,COA!$A$1:$K$26,2,FALSE),0)</f>
        <v>0</v>
      </c>
      <c r="H1018" s="11"/>
      <c r="I1018" s="11"/>
      <c r="J1018" s="78"/>
      <c r="K1018" s="78"/>
      <c r="L1018" s="146">
        <f t="shared" si="48"/>
        <v>504000</v>
      </c>
      <c r="M1018" s="73"/>
      <c r="N1018" s="73"/>
      <c r="O1018" s="7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14.25" customHeight="1" x14ac:dyDescent="0.35">
      <c r="A1019" s="9">
        <f t="shared" si="47"/>
        <v>1011</v>
      </c>
      <c r="B1019" s="15"/>
      <c r="C1019" s="11">
        <f t="shared" si="46"/>
        <v>1</v>
      </c>
      <c r="D1019" s="11"/>
      <c r="E1019" s="11"/>
      <c r="F1019" s="11"/>
      <c r="G1019" s="89">
        <f>IFERROR(VLOOKUP(F1019,COA!$A$1:$K$26,2,FALSE),0)</f>
        <v>0</v>
      </c>
      <c r="H1019" s="11"/>
      <c r="I1019" s="11"/>
      <c r="J1019" s="78"/>
      <c r="K1019" s="78"/>
      <c r="L1019" s="146">
        <f t="shared" si="48"/>
        <v>504000</v>
      </c>
      <c r="M1019" s="73"/>
      <c r="N1019" s="73"/>
      <c r="O1019" s="7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14.25" customHeight="1" x14ac:dyDescent="0.35">
      <c r="A1020" s="9">
        <f t="shared" si="47"/>
        <v>1012</v>
      </c>
      <c r="B1020" s="15"/>
      <c r="C1020" s="11">
        <f t="shared" si="46"/>
        <v>1</v>
      </c>
      <c r="D1020" s="11"/>
      <c r="E1020" s="11"/>
      <c r="F1020" s="11"/>
      <c r="G1020" s="89">
        <f>IFERROR(VLOOKUP(F1020,COA!$A$1:$K$26,2,FALSE),0)</f>
        <v>0</v>
      </c>
      <c r="H1020" s="11"/>
      <c r="I1020" s="11"/>
      <c r="J1020" s="78"/>
      <c r="K1020" s="78"/>
      <c r="L1020" s="146">
        <f t="shared" si="48"/>
        <v>504000</v>
      </c>
      <c r="M1020" s="73"/>
      <c r="N1020" s="73"/>
      <c r="O1020" s="7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14.25" customHeight="1" x14ac:dyDescent="0.35">
      <c r="A1021" s="9">
        <f t="shared" si="47"/>
        <v>1013</v>
      </c>
      <c r="B1021" s="15"/>
      <c r="C1021" s="11">
        <f t="shared" si="46"/>
        <v>1</v>
      </c>
      <c r="D1021" s="11"/>
      <c r="E1021" s="11"/>
      <c r="F1021" s="11"/>
      <c r="G1021" s="89">
        <f>IFERROR(VLOOKUP(F1021,COA!$A$1:$K$26,2,FALSE),0)</f>
        <v>0</v>
      </c>
      <c r="H1021" s="11"/>
      <c r="I1021" s="11"/>
      <c r="J1021" s="78"/>
      <c r="K1021" s="78"/>
      <c r="L1021" s="146">
        <f t="shared" si="48"/>
        <v>504000</v>
      </c>
      <c r="M1021" s="73"/>
      <c r="N1021" s="73"/>
      <c r="O1021" s="7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14.25" customHeight="1" x14ac:dyDescent="0.35">
      <c r="A1022" s="9">
        <f t="shared" si="47"/>
        <v>1014</v>
      </c>
      <c r="B1022" s="15"/>
      <c r="C1022" s="11">
        <f t="shared" si="46"/>
        <v>1</v>
      </c>
      <c r="D1022" s="11"/>
      <c r="E1022" s="11"/>
      <c r="F1022" s="11"/>
      <c r="G1022" s="89">
        <f>IFERROR(VLOOKUP(F1022,COA!$A$1:$K$26,2,FALSE),0)</f>
        <v>0</v>
      </c>
      <c r="H1022" s="11"/>
      <c r="I1022" s="11"/>
      <c r="J1022" s="78"/>
      <c r="K1022" s="78"/>
      <c r="L1022" s="146">
        <f t="shared" si="48"/>
        <v>504000</v>
      </c>
      <c r="M1022" s="73"/>
      <c r="N1022" s="73"/>
      <c r="O1022" s="7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14.25" customHeight="1" x14ac:dyDescent="0.35">
      <c r="A1023" s="9">
        <f t="shared" si="47"/>
        <v>1015</v>
      </c>
      <c r="B1023" s="15"/>
      <c r="C1023" s="11">
        <f t="shared" si="46"/>
        <v>1</v>
      </c>
      <c r="D1023" s="11"/>
      <c r="E1023" s="11"/>
      <c r="F1023" s="11"/>
      <c r="G1023" s="89">
        <f>IFERROR(VLOOKUP(F1023,COA!$A$1:$K$26,2,FALSE),0)</f>
        <v>0</v>
      </c>
      <c r="H1023" s="11"/>
      <c r="I1023" s="11"/>
      <c r="J1023" s="78"/>
      <c r="K1023" s="78"/>
      <c r="L1023" s="146">
        <f t="shared" si="48"/>
        <v>504000</v>
      </c>
      <c r="M1023" s="73"/>
      <c r="N1023" s="73"/>
      <c r="O1023" s="7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14.25" customHeight="1" x14ac:dyDescent="0.35">
      <c r="A1024" s="9">
        <f t="shared" si="47"/>
        <v>1016</v>
      </c>
      <c r="B1024" s="15"/>
      <c r="C1024" s="11">
        <f t="shared" si="46"/>
        <v>1</v>
      </c>
      <c r="D1024" s="11"/>
      <c r="E1024" s="11"/>
      <c r="F1024" s="11"/>
      <c r="G1024" s="89">
        <f>IFERROR(VLOOKUP(F1024,COA!$A$1:$K$26,2,FALSE),0)</f>
        <v>0</v>
      </c>
      <c r="H1024" s="11"/>
      <c r="I1024" s="11"/>
      <c r="J1024" s="78"/>
      <c r="K1024" s="78"/>
      <c r="L1024" s="146">
        <f t="shared" si="48"/>
        <v>504000</v>
      </c>
      <c r="M1024" s="73"/>
      <c r="N1024" s="73"/>
      <c r="O1024" s="7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14.25" customHeight="1" x14ac:dyDescent="0.35">
      <c r="A1025" s="9">
        <f t="shared" si="47"/>
        <v>1017</v>
      </c>
      <c r="B1025" s="15"/>
      <c r="C1025" s="11">
        <f t="shared" si="46"/>
        <v>1</v>
      </c>
      <c r="D1025" s="11"/>
      <c r="E1025" s="11"/>
      <c r="F1025" s="11"/>
      <c r="G1025" s="89">
        <f>IFERROR(VLOOKUP(F1025,COA!$A$1:$K$26,2,FALSE),0)</f>
        <v>0</v>
      </c>
      <c r="H1025" s="11"/>
      <c r="I1025" s="11"/>
      <c r="J1025" s="78"/>
      <c r="K1025" s="78"/>
      <c r="L1025" s="146">
        <f t="shared" si="48"/>
        <v>504000</v>
      </c>
      <c r="M1025" s="73"/>
      <c r="N1025" s="73"/>
      <c r="O1025" s="7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14.25" customHeight="1" x14ac:dyDescent="0.35">
      <c r="A1026" s="9">
        <f t="shared" si="47"/>
        <v>1018</v>
      </c>
      <c r="B1026" s="15"/>
      <c r="C1026" s="11">
        <f t="shared" si="46"/>
        <v>1</v>
      </c>
      <c r="D1026" s="11"/>
      <c r="E1026" s="11"/>
      <c r="F1026" s="11"/>
      <c r="G1026" s="89">
        <f>IFERROR(VLOOKUP(F1026,COA!$A$1:$K$26,2,FALSE),0)</f>
        <v>0</v>
      </c>
      <c r="H1026" s="11"/>
      <c r="I1026" s="11"/>
      <c r="J1026" s="78"/>
      <c r="K1026" s="78"/>
      <c r="L1026" s="146">
        <f t="shared" si="48"/>
        <v>504000</v>
      </c>
      <c r="M1026" s="73"/>
      <c r="N1026" s="73"/>
      <c r="O1026" s="7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14.25" customHeight="1" x14ac:dyDescent="0.35">
      <c r="A1027" s="9">
        <f t="shared" si="47"/>
        <v>1019</v>
      </c>
      <c r="B1027" s="15"/>
      <c r="C1027" s="11">
        <f t="shared" si="46"/>
        <v>1</v>
      </c>
      <c r="D1027" s="11"/>
      <c r="E1027" s="11"/>
      <c r="F1027" s="11"/>
      <c r="G1027" s="89">
        <f>IFERROR(VLOOKUP(F1027,COA!$A$1:$K$26,2,FALSE),0)</f>
        <v>0</v>
      </c>
      <c r="H1027" s="11"/>
      <c r="I1027" s="11"/>
      <c r="J1027" s="78"/>
      <c r="K1027" s="78"/>
      <c r="L1027" s="146">
        <f t="shared" si="48"/>
        <v>504000</v>
      </c>
      <c r="M1027" s="73"/>
      <c r="N1027" s="73"/>
      <c r="O1027" s="7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14.25" customHeight="1" x14ac:dyDescent="0.35">
      <c r="A1028" s="9">
        <f t="shared" si="47"/>
        <v>1020</v>
      </c>
      <c r="B1028" s="15"/>
      <c r="C1028" s="11">
        <f t="shared" si="46"/>
        <v>1</v>
      </c>
      <c r="D1028" s="11"/>
      <c r="E1028" s="11"/>
      <c r="F1028" s="11"/>
      <c r="G1028" s="89">
        <f>IFERROR(VLOOKUP(F1028,COA!$A$1:$K$26,2,FALSE),0)</f>
        <v>0</v>
      </c>
      <c r="H1028" s="11"/>
      <c r="I1028" s="11"/>
      <c r="J1028" s="78"/>
      <c r="K1028" s="78"/>
      <c r="L1028" s="146">
        <f t="shared" si="48"/>
        <v>504000</v>
      </c>
      <c r="M1028" s="73"/>
      <c r="N1028" s="73"/>
      <c r="O1028" s="7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14.25" customHeight="1" x14ac:dyDescent="0.35">
      <c r="A1029" s="9">
        <f t="shared" si="47"/>
        <v>1021</v>
      </c>
      <c r="B1029" s="15"/>
      <c r="C1029" s="11">
        <f t="shared" si="46"/>
        <v>1</v>
      </c>
      <c r="D1029" s="11"/>
      <c r="E1029" s="11"/>
      <c r="F1029" s="11"/>
      <c r="G1029" s="89">
        <f>IFERROR(VLOOKUP(F1029,COA!$A$1:$K$26,2,FALSE),0)</f>
        <v>0</v>
      </c>
      <c r="H1029" s="11"/>
      <c r="I1029" s="11"/>
      <c r="J1029" s="78"/>
      <c r="K1029" s="78"/>
      <c r="L1029" s="146">
        <f t="shared" si="48"/>
        <v>504000</v>
      </c>
      <c r="M1029" s="73"/>
      <c r="N1029" s="73"/>
      <c r="O1029" s="7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14.25" customHeight="1" x14ac:dyDescent="0.35">
      <c r="A1030" s="9">
        <f t="shared" si="47"/>
        <v>1022</v>
      </c>
      <c r="B1030" s="15"/>
      <c r="C1030" s="11">
        <f t="shared" si="46"/>
        <v>1</v>
      </c>
      <c r="D1030" s="11"/>
      <c r="E1030" s="11"/>
      <c r="F1030" s="11"/>
      <c r="G1030" s="89">
        <f>IFERROR(VLOOKUP(F1030,COA!$A$1:$K$26,2,FALSE),0)</f>
        <v>0</v>
      </c>
      <c r="H1030" s="11"/>
      <c r="I1030" s="11"/>
      <c r="J1030" s="78"/>
      <c r="K1030" s="78"/>
      <c r="L1030" s="146">
        <f t="shared" si="48"/>
        <v>504000</v>
      </c>
      <c r="M1030" s="73"/>
      <c r="N1030" s="73"/>
      <c r="O1030" s="7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14.25" customHeight="1" x14ac:dyDescent="0.35">
      <c r="A1031" s="9">
        <f t="shared" si="47"/>
        <v>1023</v>
      </c>
      <c r="B1031" s="15"/>
      <c r="C1031" s="11">
        <f t="shared" si="46"/>
        <v>1</v>
      </c>
      <c r="D1031" s="11"/>
      <c r="E1031" s="11"/>
      <c r="F1031" s="11"/>
      <c r="G1031" s="89">
        <f>IFERROR(VLOOKUP(F1031,COA!$A$1:$K$26,2,FALSE),0)</f>
        <v>0</v>
      </c>
      <c r="H1031" s="11"/>
      <c r="I1031" s="11"/>
      <c r="J1031" s="78"/>
      <c r="K1031" s="78"/>
      <c r="L1031" s="146">
        <f t="shared" si="48"/>
        <v>504000</v>
      </c>
      <c r="M1031" s="73"/>
      <c r="N1031" s="73"/>
      <c r="O1031" s="7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14.25" customHeight="1" x14ac:dyDescent="0.35">
      <c r="A1032" s="9">
        <f t="shared" si="47"/>
        <v>1024</v>
      </c>
      <c r="B1032" s="15"/>
      <c r="C1032" s="11">
        <f t="shared" ref="C1032:C1095" si="49">MONTH(B1032)</f>
        <v>1</v>
      </c>
      <c r="D1032" s="11"/>
      <c r="E1032" s="11"/>
      <c r="F1032" s="11"/>
      <c r="G1032" s="89">
        <f>IFERROR(VLOOKUP(F1032,COA!$A$1:$K$26,2,FALSE),0)</f>
        <v>0</v>
      </c>
      <c r="H1032" s="11"/>
      <c r="I1032" s="11"/>
      <c r="J1032" s="78"/>
      <c r="K1032" s="78"/>
      <c r="L1032" s="146">
        <f t="shared" si="48"/>
        <v>504000</v>
      </c>
      <c r="M1032" s="73"/>
      <c r="N1032" s="73"/>
      <c r="O1032" s="7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14.25" customHeight="1" x14ac:dyDescent="0.35">
      <c r="A1033" s="9">
        <f t="shared" si="47"/>
        <v>1025</v>
      </c>
      <c r="B1033" s="15"/>
      <c r="C1033" s="11">
        <f t="shared" si="49"/>
        <v>1</v>
      </c>
      <c r="D1033" s="11"/>
      <c r="E1033" s="11"/>
      <c r="F1033" s="11"/>
      <c r="G1033" s="89">
        <f>IFERROR(VLOOKUP(F1033,COA!$A$1:$K$26,2,FALSE),0)</f>
        <v>0</v>
      </c>
      <c r="H1033" s="11"/>
      <c r="I1033" s="11"/>
      <c r="J1033" s="78"/>
      <c r="K1033" s="78"/>
      <c r="L1033" s="146">
        <f t="shared" si="48"/>
        <v>504000</v>
      </c>
      <c r="M1033" s="73"/>
      <c r="N1033" s="73"/>
      <c r="O1033" s="7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14.25" customHeight="1" x14ac:dyDescent="0.35">
      <c r="A1034" s="9">
        <f t="shared" si="47"/>
        <v>1026</v>
      </c>
      <c r="B1034" s="15"/>
      <c r="C1034" s="11">
        <f t="shared" si="49"/>
        <v>1</v>
      </c>
      <c r="D1034" s="11"/>
      <c r="E1034" s="11"/>
      <c r="F1034" s="11"/>
      <c r="G1034" s="89">
        <f>IFERROR(VLOOKUP(F1034,COA!$A$1:$K$26,2,FALSE),0)</f>
        <v>0</v>
      </c>
      <c r="H1034" s="11"/>
      <c r="I1034" s="11"/>
      <c r="J1034" s="78"/>
      <c r="K1034" s="78"/>
      <c r="L1034" s="146">
        <f t="shared" si="48"/>
        <v>504000</v>
      </c>
      <c r="M1034" s="73"/>
      <c r="N1034" s="73"/>
      <c r="O1034" s="7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14.25" customHeight="1" x14ac:dyDescent="0.35">
      <c r="A1035" s="9">
        <f t="shared" ref="A1035:A1098" si="50">A1034+1</f>
        <v>1027</v>
      </c>
      <c r="B1035" s="15"/>
      <c r="C1035" s="11">
        <f t="shared" si="49"/>
        <v>1</v>
      </c>
      <c r="D1035" s="11"/>
      <c r="E1035" s="11"/>
      <c r="F1035" s="11"/>
      <c r="G1035" s="89">
        <f>IFERROR(VLOOKUP(F1035,COA!$A$1:$K$26,2,FALSE),0)</f>
        <v>0</v>
      </c>
      <c r="H1035" s="11"/>
      <c r="I1035" s="11"/>
      <c r="J1035" s="78"/>
      <c r="K1035" s="78"/>
      <c r="L1035" s="146">
        <f t="shared" ref="L1035:L1098" si="51">L1034+J1035-K1035</f>
        <v>504000</v>
      </c>
      <c r="M1035" s="73"/>
      <c r="N1035" s="73"/>
      <c r="O1035" s="7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14.25" customHeight="1" x14ac:dyDescent="0.35">
      <c r="A1036" s="9">
        <f t="shared" si="50"/>
        <v>1028</v>
      </c>
      <c r="B1036" s="15"/>
      <c r="C1036" s="11">
        <f t="shared" si="49"/>
        <v>1</v>
      </c>
      <c r="D1036" s="11"/>
      <c r="E1036" s="11"/>
      <c r="F1036" s="11"/>
      <c r="G1036" s="89">
        <f>IFERROR(VLOOKUP(F1036,COA!$A$1:$K$26,2,FALSE),0)</f>
        <v>0</v>
      </c>
      <c r="H1036" s="11"/>
      <c r="I1036" s="11"/>
      <c r="J1036" s="78"/>
      <c r="K1036" s="78"/>
      <c r="L1036" s="146">
        <f t="shared" si="51"/>
        <v>504000</v>
      </c>
      <c r="M1036" s="73"/>
      <c r="N1036" s="73"/>
      <c r="O1036" s="7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14.25" customHeight="1" x14ac:dyDescent="0.35">
      <c r="A1037" s="9">
        <f t="shared" si="50"/>
        <v>1029</v>
      </c>
      <c r="B1037" s="15"/>
      <c r="C1037" s="11">
        <f t="shared" si="49"/>
        <v>1</v>
      </c>
      <c r="D1037" s="11"/>
      <c r="E1037" s="11"/>
      <c r="F1037" s="11"/>
      <c r="G1037" s="89">
        <f>IFERROR(VLOOKUP(F1037,COA!$A$1:$K$26,2,FALSE),0)</f>
        <v>0</v>
      </c>
      <c r="H1037" s="11"/>
      <c r="I1037" s="11"/>
      <c r="J1037" s="78"/>
      <c r="K1037" s="78"/>
      <c r="L1037" s="146">
        <f t="shared" si="51"/>
        <v>504000</v>
      </c>
      <c r="M1037" s="73"/>
      <c r="N1037" s="73"/>
      <c r="O1037" s="7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14.25" customHeight="1" x14ac:dyDescent="0.35">
      <c r="A1038" s="9">
        <f t="shared" si="50"/>
        <v>1030</v>
      </c>
      <c r="B1038" s="15"/>
      <c r="C1038" s="11">
        <f t="shared" si="49"/>
        <v>1</v>
      </c>
      <c r="D1038" s="11"/>
      <c r="E1038" s="11"/>
      <c r="F1038" s="11"/>
      <c r="G1038" s="89">
        <f>IFERROR(VLOOKUP(F1038,COA!$A$1:$K$26,2,FALSE),0)</f>
        <v>0</v>
      </c>
      <c r="H1038" s="11"/>
      <c r="I1038" s="11"/>
      <c r="J1038" s="78"/>
      <c r="K1038" s="78"/>
      <c r="L1038" s="146">
        <f t="shared" si="51"/>
        <v>504000</v>
      </c>
      <c r="M1038" s="73"/>
      <c r="N1038" s="73"/>
      <c r="O1038" s="7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14.25" customHeight="1" x14ac:dyDescent="0.35">
      <c r="A1039" s="9">
        <f t="shared" si="50"/>
        <v>1031</v>
      </c>
      <c r="B1039" s="15"/>
      <c r="C1039" s="11">
        <f t="shared" si="49"/>
        <v>1</v>
      </c>
      <c r="D1039" s="11"/>
      <c r="E1039" s="11"/>
      <c r="F1039" s="11"/>
      <c r="G1039" s="89">
        <f>IFERROR(VLOOKUP(F1039,COA!$A$1:$K$26,2,FALSE),0)</f>
        <v>0</v>
      </c>
      <c r="H1039" s="11"/>
      <c r="I1039" s="11"/>
      <c r="J1039" s="78"/>
      <c r="K1039" s="78"/>
      <c r="L1039" s="146">
        <f t="shared" si="51"/>
        <v>504000</v>
      </c>
      <c r="M1039" s="73"/>
      <c r="N1039" s="73"/>
      <c r="O1039" s="7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4.25" customHeight="1" x14ac:dyDescent="0.35">
      <c r="A1040" s="9">
        <f t="shared" si="50"/>
        <v>1032</v>
      </c>
      <c r="B1040" s="15"/>
      <c r="C1040" s="11">
        <f t="shared" si="49"/>
        <v>1</v>
      </c>
      <c r="D1040" s="11"/>
      <c r="E1040" s="11"/>
      <c r="F1040" s="11"/>
      <c r="G1040" s="89">
        <f>IFERROR(VLOOKUP(F1040,COA!$A$1:$K$26,2,FALSE),0)</f>
        <v>0</v>
      </c>
      <c r="H1040" s="11"/>
      <c r="I1040" s="11"/>
      <c r="J1040" s="78"/>
      <c r="K1040" s="78"/>
      <c r="L1040" s="146">
        <f t="shared" si="51"/>
        <v>504000</v>
      </c>
      <c r="M1040" s="73"/>
      <c r="N1040" s="73"/>
      <c r="O1040" s="73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14.25" customHeight="1" x14ac:dyDescent="0.35">
      <c r="A1041" s="9">
        <f t="shared" si="50"/>
        <v>1033</v>
      </c>
      <c r="B1041" s="15"/>
      <c r="C1041" s="11">
        <f t="shared" si="49"/>
        <v>1</v>
      </c>
      <c r="D1041" s="11"/>
      <c r="E1041" s="11"/>
      <c r="F1041" s="11"/>
      <c r="G1041" s="89">
        <f>IFERROR(VLOOKUP(F1041,COA!$A$1:$K$26,2,FALSE),0)</f>
        <v>0</v>
      </c>
      <c r="H1041" s="11"/>
      <c r="I1041" s="11"/>
      <c r="J1041" s="78"/>
      <c r="K1041" s="78"/>
      <c r="L1041" s="146">
        <f t="shared" si="51"/>
        <v>504000</v>
      </c>
      <c r="M1041" s="73"/>
      <c r="N1041" s="73"/>
      <c r="O1041" s="73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4.25" customHeight="1" x14ac:dyDescent="0.35">
      <c r="A1042" s="9">
        <f t="shared" si="50"/>
        <v>1034</v>
      </c>
      <c r="B1042" s="15"/>
      <c r="C1042" s="11">
        <f t="shared" si="49"/>
        <v>1</v>
      </c>
      <c r="D1042" s="11"/>
      <c r="E1042" s="11"/>
      <c r="F1042" s="11"/>
      <c r="G1042" s="89">
        <f>IFERROR(VLOOKUP(F1042,COA!$A$1:$K$26,2,FALSE),0)</f>
        <v>0</v>
      </c>
      <c r="H1042" s="11"/>
      <c r="I1042" s="11"/>
      <c r="J1042" s="78"/>
      <c r="K1042" s="78"/>
      <c r="L1042" s="146">
        <f t="shared" si="51"/>
        <v>504000</v>
      </c>
      <c r="M1042" s="73"/>
      <c r="N1042" s="73"/>
      <c r="O1042" s="73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14.25" customHeight="1" x14ac:dyDescent="0.35">
      <c r="A1043" s="9">
        <f t="shared" si="50"/>
        <v>1035</v>
      </c>
      <c r="B1043" s="15"/>
      <c r="C1043" s="11">
        <f t="shared" si="49"/>
        <v>1</v>
      </c>
      <c r="D1043" s="11"/>
      <c r="E1043" s="11"/>
      <c r="F1043" s="11"/>
      <c r="G1043" s="89">
        <f>IFERROR(VLOOKUP(F1043,COA!$A$1:$K$26,2,FALSE),0)</f>
        <v>0</v>
      </c>
      <c r="H1043" s="11"/>
      <c r="I1043" s="11"/>
      <c r="J1043" s="78"/>
      <c r="K1043" s="78"/>
      <c r="L1043" s="146">
        <f t="shared" si="51"/>
        <v>504000</v>
      </c>
      <c r="M1043" s="73"/>
      <c r="N1043" s="73"/>
      <c r="O1043" s="73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14.25" customHeight="1" x14ac:dyDescent="0.35">
      <c r="A1044" s="9">
        <f t="shared" si="50"/>
        <v>1036</v>
      </c>
      <c r="B1044" s="15"/>
      <c r="C1044" s="11">
        <f t="shared" si="49"/>
        <v>1</v>
      </c>
      <c r="D1044" s="11"/>
      <c r="E1044" s="11"/>
      <c r="F1044" s="11"/>
      <c r="G1044" s="89">
        <f>IFERROR(VLOOKUP(F1044,COA!$A$1:$K$26,2,FALSE),0)</f>
        <v>0</v>
      </c>
      <c r="H1044" s="11"/>
      <c r="I1044" s="11"/>
      <c r="J1044" s="78"/>
      <c r="K1044" s="78"/>
      <c r="L1044" s="146">
        <f t="shared" si="51"/>
        <v>504000</v>
      </c>
      <c r="M1044" s="73"/>
      <c r="N1044" s="73"/>
      <c r="O1044" s="73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14.25" customHeight="1" x14ac:dyDescent="0.35">
      <c r="A1045" s="9">
        <f t="shared" si="50"/>
        <v>1037</v>
      </c>
      <c r="B1045" s="15"/>
      <c r="C1045" s="11">
        <f t="shared" si="49"/>
        <v>1</v>
      </c>
      <c r="D1045" s="11"/>
      <c r="E1045" s="11"/>
      <c r="F1045" s="11"/>
      <c r="G1045" s="89">
        <f>IFERROR(VLOOKUP(F1045,COA!$A$1:$K$26,2,FALSE),0)</f>
        <v>0</v>
      </c>
      <c r="H1045" s="11"/>
      <c r="I1045" s="11"/>
      <c r="J1045" s="78"/>
      <c r="K1045" s="78"/>
      <c r="L1045" s="146">
        <f t="shared" si="51"/>
        <v>504000</v>
      </c>
      <c r="M1045" s="73"/>
      <c r="N1045" s="73"/>
      <c r="O1045" s="73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14.25" customHeight="1" x14ac:dyDescent="0.35">
      <c r="A1046" s="9">
        <f t="shared" si="50"/>
        <v>1038</v>
      </c>
      <c r="B1046" s="15"/>
      <c r="C1046" s="11">
        <f t="shared" si="49"/>
        <v>1</v>
      </c>
      <c r="D1046" s="11"/>
      <c r="E1046" s="11"/>
      <c r="F1046" s="11"/>
      <c r="G1046" s="89">
        <f>IFERROR(VLOOKUP(F1046,COA!$A$1:$K$26,2,FALSE),0)</f>
        <v>0</v>
      </c>
      <c r="H1046" s="11"/>
      <c r="I1046" s="11"/>
      <c r="J1046" s="78"/>
      <c r="K1046" s="78"/>
      <c r="L1046" s="146">
        <f t="shared" si="51"/>
        <v>504000</v>
      </c>
      <c r="M1046" s="73"/>
      <c r="N1046" s="73"/>
      <c r="O1046" s="73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14.25" customHeight="1" x14ac:dyDescent="0.35">
      <c r="A1047" s="9">
        <f t="shared" si="50"/>
        <v>1039</v>
      </c>
      <c r="B1047" s="15"/>
      <c r="C1047" s="11">
        <f t="shared" si="49"/>
        <v>1</v>
      </c>
      <c r="D1047" s="11"/>
      <c r="E1047" s="11"/>
      <c r="F1047" s="11"/>
      <c r="G1047" s="89">
        <f>IFERROR(VLOOKUP(F1047,COA!$A$1:$K$26,2,FALSE),0)</f>
        <v>0</v>
      </c>
      <c r="H1047" s="11"/>
      <c r="I1047" s="11"/>
      <c r="J1047" s="78"/>
      <c r="K1047" s="78"/>
      <c r="L1047" s="146">
        <f t="shared" si="51"/>
        <v>504000</v>
      </c>
      <c r="M1047" s="73"/>
      <c r="N1047" s="73"/>
      <c r="O1047" s="73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14.25" customHeight="1" x14ac:dyDescent="0.35">
      <c r="A1048" s="9">
        <f t="shared" si="50"/>
        <v>1040</v>
      </c>
      <c r="B1048" s="15"/>
      <c r="C1048" s="11">
        <f t="shared" si="49"/>
        <v>1</v>
      </c>
      <c r="D1048" s="11"/>
      <c r="E1048" s="11"/>
      <c r="F1048" s="11"/>
      <c r="G1048" s="89">
        <f>IFERROR(VLOOKUP(F1048,COA!$A$1:$K$26,2,FALSE),0)</f>
        <v>0</v>
      </c>
      <c r="H1048" s="11"/>
      <c r="I1048" s="11"/>
      <c r="J1048" s="78"/>
      <c r="K1048" s="78"/>
      <c r="L1048" s="146">
        <f t="shared" si="51"/>
        <v>504000</v>
      </c>
      <c r="M1048" s="73"/>
      <c r="N1048" s="73"/>
      <c r="O1048" s="73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14.25" customHeight="1" x14ac:dyDescent="0.35">
      <c r="A1049" s="9">
        <f t="shared" si="50"/>
        <v>1041</v>
      </c>
      <c r="B1049" s="15"/>
      <c r="C1049" s="11">
        <f t="shared" si="49"/>
        <v>1</v>
      </c>
      <c r="D1049" s="11"/>
      <c r="E1049" s="11"/>
      <c r="F1049" s="11"/>
      <c r="G1049" s="89">
        <f>IFERROR(VLOOKUP(F1049,COA!$A$1:$K$26,2,FALSE),0)</f>
        <v>0</v>
      </c>
      <c r="H1049" s="11"/>
      <c r="I1049" s="11"/>
      <c r="J1049" s="78"/>
      <c r="K1049" s="78"/>
      <c r="L1049" s="146">
        <f t="shared" si="51"/>
        <v>504000</v>
      </c>
      <c r="M1049" s="73"/>
      <c r="N1049" s="73"/>
      <c r="O1049" s="73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14.25" customHeight="1" x14ac:dyDescent="0.35">
      <c r="A1050" s="9">
        <f t="shared" si="50"/>
        <v>1042</v>
      </c>
      <c r="B1050" s="15"/>
      <c r="C1050" s="11">
        <f t="shared" si="49"/>
        <v>1</v>
      </c>
      <c r="D1050" s="11"/>
      <c r="E1050" s="11"/>
      <c r="F1050" s="11"/>
      <c r="G1050" s="89">
        <f>IFERROR(VLOOKUP(F1050,COA!$A$1:$K$26,2,FALSE),0)</f>
        <v>0</v>
      </c>
      <c r="H1050" s="11"/>
      <c r="I1050" s="11"/>
      <c r="J1050" s="78"/>
      <c r="K1050" s="78"/>
      <c r="L1050" s="146">
        <f t="shared" si="51"/>
        <v>504000</v>
      </c>
      <c r="M1050" s="73"/>
      <c r="N1050" s="73"/>
      <c r="O1050" s="73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14.25" customHeight="1" x14ac:dyDescent="0.35">
      <c r="A1051" s="9">
        <f t="shared" si="50"/>
        <v>1043</v>
      </c>
      <c r="B1051" s="15"/>
      <c r="C1051" s="11">
        <f t="shared" si="49"/>
        <v>1</v>
      </c>
      <c r="D1051" s="11"/>
      <c r="E1051" s="11"/>
      <c r="F1051" s="11"/>
      <c r="G1051" s="89">
        <f>IFERROR(VLOOKUP(F1051,COA!$A$1:$K$26,2,FALSE),0)</f>
        <v>0</v>
      </c>
      <c r="H1051" s="11"/>
      <c r="I1051" s="11"/>
      <c r="J1051" s="78"/>
      <c r="K1051" s="78"/>
      <c r="L1051" s="146">
        <f t="shared" si="51"/>
        <v>504000</v>
      </c>
      <c r="M1051" s="73"/>
      <c r="N1051" s="73"/>
      <c r="O1051" s="73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14.25" customHeight="1" x14ac:dyDescent="0.35">
      <c r="A1052" s="9">
        <f t="shared" si="50"/>
        <v>1044</v>
      </c>
      <c r="B1052" s="15"/>
      <c r="C1052" s="11">
        <f t="shared" si="49"/>
        <v>1</v>
      </c>
      <c r="D1052" s="11"/>
      <c r="E1052" s="11"/>
      <c r="F1052" s="11"/>
      <c r="G1052" s="89">
        <f>IFERROR(VLOOKUP(F1052,COA!$A$1:$K$26,2,FALSE),0)</f>
        <v>0</v>
      </c>
      <c r="H1052" s="11"/>
      <c r="I1052" s="11"/>
      <c r="J1052" s="78"/>
      <c r="K1052" s="78"/>
      <c r="L1052" s="146">
        <f t="shared" si="51"/>
        <v>504000</v>
      </c>
      <c r="M1052" s="73"/>
      <c r="N1052" s="73"/>
      <c r="O1052" s="73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14.25" customHeight="1" x14ac:dyDescent="0.35">
      <c r="A1053" s="9">
        <f t="shared" si="50"/>
        <v>1045</v>
      </c>
      <c r="B1053" s="15"/>
      <c r="C1053" s="11">
        <f t="shared" si="49"/>
        <v>1</v>
      </c>
      <c r="D1053" s="11"/>
      <c r="E1053" s="11"/>
      <c r="F1053" s="11"/>
      <c r="G1053" s="89">
        <f>IFERROR(VLOOKUP(F1053,COA!$A$1:$K$26,2,FALSE),0)</f>
        <v>0</v>
      </c>
      <c r="H1053" s="11"/>
      <c r="I1053" s="11"/>
      <c r="J1053" s="78"/>
      <c r="K1053" s="78"/>
      <c r="L1053" s="146">
        <f t="shared" si="51"/>
        <v>504000</v>
      </c>
      <c r="M1053" s="73"/>
      <c r="N1053" s="73"/>
      <c r="O1053" s="73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14.25" customHeight="1" x14ac:dyDescent="0.35">
      <c r="A1054" s="9">
        <f t="shared" si="50"/>
        <v>1046</v>
      </c>
      <c r="B1054" s="15"/>
      <c r="C1054" s="11">
        <f t="shared" si="49"/>
        <v>1</v>
      </c>
      <c r="D1054" s="11"/>
      <c r="E1054" s="11"/>
      <c r="F1054" s="11"/>
      <c r="G1054" s="89">
        <f>IFERROR(VLOOKUP(F1054,COA!$A$1:$K$26,2,FALSE),0)</f>
        <v>0</v>
      </c>
      <c r="H1054" s="11"/>
      <c r="I1054" s="11"/>
      <c r="J1054" s="78"/>
      <c r="K1054" s="78"/>
      <c r="L1054" s="146">
        <f t="shared" si="51"/>
        <v>504000</v>
      </c>
      <c r="M1054" s="73"/>
      <c r="N1054" s="73"/>
      <c r="O1054" s="73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14.25" customHeight="1" x14ac:dyDescent="0.35">
      <c r="A1055" s="9">
        <f t="shared" si="50"/>
        <v>1047</v>
      </c>
      <c r="B1055" s="15"/>
      <c r="C1055" s="11">
        <f t="shared" si="49"/>
        <v>1</v>
      </c>
      <c r="D1055" s="11"/>
      <c r="E1055" s="11"/>
      <c r="F1055" s="11"/>
      <c r="G1055" s="89">
        <f>IFERROR(VLOOKUP(F1055,COA!$A$1:$K$26,2,FALSE),0)</f>
        <v>0</v>
      </c>
      <c r="H1055" s="11"/>
      <c r="I1055" s="11"/>
      <c r="J1055" s="78"/>
      <c r="K1055" s="78"/>
      <c r="L1055" s="146">
        <f t="shared" si="51"/>
        <v>504000</v>
      </c>
      <c r="M1055" s="73"/>
      <c r="N1055" s="73"/>
      <c r="O1055" s="73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14.25" customHeight="1" x14ac:dyDescent="0.35">
      <c r="A1056" s="9">
        <f t="shared" si="50"/>
        <v>1048</v>
      </c>
      <c r="B1056" s="15"/>
      <c r="C1056" s="11">
        <f t="shared" si="49"/>
        <v>1</v>
      </c>
      <c r="D1056" s="11"/>
      <c r="E1056" s="11"/>
      <c r="F1056" s="11"/>
      <c r="G1056" s="89">
        <f>IFERROR(VLOOKUP(F1056,COA!$A$1:$K$26,2,FALSE),0)</f>
        <v>0</v>
      </c>
      <c r="H1056" s="11"/>
      <c r="I1056" s="11"/>
      <c r="J1056" s="78"/>
      <c r="K1056" s="78"/>
      <c r="L1056" s="146">
        <f t="shared" si="51"/>
        <v>504000</v>
      </c>
      <c r="M1056" s="73"/>
      <c r="N1056" s="73"/>
      <c r="O1056" s="73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14.25" customHeight="1" x14ac:dyDescent="0.35">
      <c r="A1057" s="9">
        <f t="shared" si="50"/>
        <v>1049</v>
      </c>
      <c r="B1057" s="15"/>
      <c r="C1057" s="11">
        <f t="shared" si="49"/>
        <v>1</v>
      </c>
      <c r="D1057" s="11"/>
      <c r="E1057" s="11"/>
      <c r="F1057" s="11"/>
      <c r="G1057" s="89">
        <f>IFERROR(VLOOKUP(F1057,COA!$A$1:$K$26,2,FALSE),0)</f>
        <v>0</v>
      </c>
      <c r="H1057" s="11"/>
      <c r="I1057" s="11"/>
      <c r="J1057" s="78"/>
      <c r="K1057" s="78"/>
      <c r="L1057" s="146">
        <f t="shared" si="51"/>
        <v>504000</v>
      </c>
      <c r="M1057" s="73"/>
      <c r="N1057" s="73"/>
      <c r="O1057" s="73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14.25" customHeight="1" x14ac:dyDescent="0.35">
      <c r="A1058" s="9">
        <f t="shared" si="50"/>
        <v>1050</v>
      </c>
      <c r="B1058" s="15"/>
      <c r="C1058" s="11">
        <f t="shared" si="49"/>
        <v>1</v>
      </c>
      <c r="D1058" s="11"/>
      <c r="E1058" s="11"/>
      <c r="F1058" s="11"/>
      <c r="G1058" s="89">
        <f>IFERROR(VLOOKUP(F1058,COA!$A$1:$K$26,2,FALSE),0)</f>
        <v>0</v>
      </c>
      <c r="H1058" s="11"/>
      <c r="I1058" s="11"/>
      <c r="J1058" s="78"/>
      <c r="K1058" s="78"/>
      <c r="L1058" s="146">
        <f t="shared" si="51"/>
        <v>504000</v>
      </c>
      <c r="M1058" s="73"/>
      <c r="N1058" s="73"/>
      <c r="O1058" s="73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14.25" customHeight="1" x14ac:dyDescent="0.35">
      <c r="A1059" s="9">
        <f t="shared" si="50"/>
        <v>1051</v>
      </c>
      <c r="B1059" s="15"/>
      <c r="C1059" s="11">
        <f t="shared" si="49"/>
        <v>1</v>
      </c>
      <c r="D1059" s="11"/>
      <c r="E1059" s="11"/>
      <c r="F1059" s="11"/>
      <c r="G1059" s="89">
        <f>IFERROR(VLOOKUP(F1059,COA!$A$1:$K$26,2,FALSE),0)</f>
        <v>0</v>
      </c>
      <c r="H1059" s="11"/>
      <c r="I1059" s="11"/>
      <c r="J1059" s="78"/>
      <c r="K1059" s="78"/>
      <c r="L1059" s="146">
        <f t="shared" si="51"/>
        <v>504000</v>
      </c>
      <c r="M1059" s="73"/>
      <c r="N1059" s="73"/>
      <c r="O1059" s="73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14.25" customHeight="1" x14ac:dyDescent="0.35">
      <c r="A1060" s="9">
        <f t="shared" si="50"/>
        <v>1052</v>
      </c>
      <c r="B1060" s="15"/>
      <c r="C1060" s="11">
        <f t="shared" si="49"/>
        <v>1</v>
      </c>
      <c r="D1060" s="11"/>
      <c r="E1060" s="11"/>
      <c r="F1060" s="11"/>
      <c r="G1060" s="89">
        <f>IFERROR(VLOOKUP(F1060,COA!$A$1:$K$26,2,FALSE),0)</f>
        <v>0</v>
      </c>
      <c r="H1060" s="11"/>
      <c r="I1060" s="11"/>
      <c r="J1060" s="78"/>
      <c r="K1060" s="78"/>
      <c r="L1060" s="146">
        <f t="shared" si="51"/>
        <v>504000</v>
      </c>
      <c r="M1060" s="73"/>
      <c r="N1060" s="73"/>
      <c r="O1060" s="73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14.25" customHeight="1" x14ac:dyDescent="0.35">
      <c r="A1061" s="9">
        <f t="shared" si="50"/>
        <v>1053</v>
      </c>
      <c r="B1061" s="15"/>
      <c r="C1061" s="11">
        <f t="shared" si="49"/>
        <v>1</v>
      </c>
      <c r="D1061" s="11"/>
      <c r="E1061" s="11"/>
      <c r="F1061" s="11"/>
      <c r="G1061" s="89">
        <f>IFERROR(VLOOKUP(F1061,COA!$A$1:$K$26,2,FALSE),0)</f>
        <v>0</v>
      </c>
      <c r="H1061" s="11"/>
      <c r="I1061" s="11"/>
      <c r="J1061" s="78"/>
      <c r="K1061" s="78"/>
      <c r="L1061" s="146">
        <f t="shared" si="51"/>
        <v>504000</v>
      </c>
      <c r="M1061" s="73"/>
      <c r="N1061" s="73"/>
      <c r="O1061" s="73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14.25" customHeight="1" x14ac:dyDescent="0.35">
      <c r="A1062" s="9">
        <f t="shared" si="50"/>
        <v>1054</v>
      </c>
      <c r="B1062" s="15"/>
      <c r="C1062" s="11">
        <f t="shared" si="49"/>
        <v>1</v>
      </c>
      <c r="D1062" s="11"/>
      <c r="E1062" s="11"/>
      <c r="F1062" s="11"/>
      <c r="G1062" s="89">
        <f>IFERROR(VLOOKUP(F1062,COA!$A$1:$K$26,2,FALSE),0)</f>
        <v>0</v>
      </c>
      <c r="H1062" s="11"/>
      <c r="I1062" s="11"/>
      <c r="J1062" s="78"/>
      <c r="K1062" s="78"/>
      <c r="L1062" s="146">
        <f t="shared" si="51"/>
        <v>504000</v>
      </c>
      <c r="M1062" s="73"/>
      <c r="N1062" s="73"/>
      <c r="O1062" s="73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14.25" customHeight="1" x14ac:dyDescent="0.35">
      <c r="A1063" s="9">
        <f t="shared" si="50"/>
        <v>1055</v>
      </c>
      <c r="B1063" s="15"/>
      <c r="C1063" s="11">
        <f t="shared" si="49"/>
        <v>1</v>
      </c>
      <c r="D1063" s="11"/>
      <c r="E1063" s="11"/>
      <c r="F1063" s="11"/>
      <c r="G1063" s="89">
        <f>IFERROR(VLOOKUP(F1063,COA!$A$1:$K$26,2,FALSE),0)</f>
        <v>0</v>
      </c>
      <c r="H1063" s="11"/>
      <c r="I1063" s="11"/>
      <c r="J1063" s="78"/>
      <c r="K1063" s="78"/>
      <c r="L1063" s="146">
        <f t="shared" si="51"/>
        <v>504000</v>
      </c>
      <c r="M1063" s="73"/>
      <c r="N1063" s="73"/>
      <c r="O1063" s="73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14.25" customHeight="1" x14ac:dyDescent="0.35">
      <c r="A1064" s="9">
        <f t="shared" si="50"/>
        <v>1056</v>
      </c>
      <c r="B1064" s="15"/>
      <c r="C1064" s="11">
        <f t="shared" si="49"/>
        <v>1</v>
      </c>
      <c r="D1064" s="11"/>
      <c r="E1064" s="11"/>
      <c r="F1064" s="11"/>
      <c r="G1064" s="89">
        <f>IFERROR(VLOOKUP(F1064,COA!$A$1:$K$26,2,FALSE),0)</f>
        <v>0</v>
      </c>
      <c r="H1064" s="11"/>
      <c r="I1064" s="11"/>
      <c r="J1064" s="78"/>
      <c r="K1064" s="78"/>
      <c r="L1064" s="146">
        <f t="shared" si="51"/>
        <v>504000</v>
      </c>
      <c r="M1064" s="73"/>
      <c r="N1064" s="73"/>
      <c r="O1064" s="73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14.25" customHeight="1" x14ac:dyDescent="0.35">
      <c r="A1065" s="9">
        <f t="shared" si="50"/>
        <v>1057</v>
      </c>
      <c r="B1065" s="15"/>
      <c r="C1065" s="11">
        <f t="shared" si="49"/>
        <v>1</v>
      </c>
      <c r="D1065" s="11"/>
      <c r="E1065" s="11"/>
      <c r="F1065" s="11"/>
      <c r="G1065" s="89">
        <f>IFERROR(VLOOKUP(F1065,COA!$A$1:$K$26,2,FALSE),0)</f>
        <v>0</v>
      </c>
      <c r="H1065" s="11"/>
      <c r="I1065" s="11"/>
      <c r="J1065" s="78"/>
      <c r="K1065" s="78"/>
      <c r="L1065" s="146">
        <f t="shared" si="51"/>
        <v>504000</v>
      </c>
      <c r="M1065" s="73"/>
      <c r="N1065" s="73"/>
      <c r="O1065" s="73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14.25" customHeight="1" x14ac:dyDescent="0.35">
      <c r="A1066" s="9">
        <f t="shared" si="50"/>
        <v>1058</v>
      </c>
      <c r="B1066" s="15"/>
      <c r="C1066" s="11">
        <f t="shared" si="49"/>
        <v>1</v>
      </c>
      <c r="D1066" s="11"/>
      <c r="E1066" s="11"/>
      <c r="F1066" s="11"/>
      <c r="G1066" s="89">
        <f>IFERROR(VLOOKUP(F1066,COA!$A$1:$K$26,2,FALSE),0)</f>
        <v>0</v>
      </c>
      <c r="H1066" s="11"/>
      <c r="I1066" s="11"/>
      <c r="J1066" s="78"/>
      <c r="K1066" s="78"/>
      <c r="L1066" s="146">
        <f t="shared" si="51"/>
        <v>504000</v>
      </c>
      <c r="M1066" s="73"/>
      <c r="N1066" s="73"/>
      <c r="O1066" s="73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14.25" customHeight="1" x14ac:dyDescent="0.35">
      <c r="A1067" s="9">
        <f t="shared" si="50"/>
        <v>1059</v>
      </c>
      <c r="B1067" s="15"/>
      <c r="C1067" s="11">
        <f t="shared" si="49"/>
        <v>1</v>
      </c>
      <c r="D1067" s="11"/>
      <c r="E1067" s="11"/>
      <c r="F1067" s="11"/>
      <c r="G1067" s="89">
        <f>IFERROR(VLOOKUP(F1067,COA!$A$1:$K$26,2,FALSE),0)</f>
        <v>0</v>
      </c>
      <c r="H1067" s="11"/>
      <c r="I1067" s="11"/>
      <c r="J1067" s="78"/>
      <c r="K1067" s="78"/>
      <c r="L1067" s="146">
        <f t="shared" si="51"/>
        <v>504000</v>
      </c>
      <c r="M1067" s="73"/>
      <c r="N1067" s="73"/>
      <c r="O1067" s="73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14.25" customHeight="1" x14ac:dyDescent="0.35">
      <c r="A1068" s="9">
        <f t="shared" si="50"/>
        <v>1060</v>
      </c>
      <c r="B1068" s="15"/>
      <c r="C1068" s="11">
        <f t="shared" si="49"/>
        <v>1</v>
      </c>
      <c r="D1068" s="11"/>
      <c r="E1068" s="11"/>
      <c r="F1068" s="11"/>
      <c r="G1068" s="89">
        <f>IFERROR(VLOOKUP(F1068,COA!$A$1:$K$26,2,FALSE),0)</f>
        <v>0</v>
      </c>
      <c r="H1068" s="11"/>
      <c r="I1068" s="11"/>
      <c r="J1068" s="78"/>
      <c r="K1068" s="78"/>
      <c r="L1068" s="146">
        <f t="shared" si="51"/>
        <v>504000</v>
      </c>
      <c r="M1068" s="73"/>
      <c r="N1068" s="73"/>
      <c r="O1068" s="73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14.25" customHeight="1" x14ac:dyDescent="0.35">
      <c r="A1069" s="9">
        <f t="shared" si="50"/>
        <v>1061</v>
      </c>
      <c r="B1069" s="15"/>
      <c r="C1069" s="11">
        <f t="shared" si="49"/>
        <v>1</v>
      </c>
      <c r="D1069" s="11"/>
      <c r="E1069" s="11"/>
      <c r="F1069" s="11"/>
      <c r="G1069" s="89">
        <f>IFERROR(VLOOKUP(F1069,COA!$A$1:$K$26,2,FALSE),0)</f>
        <v>0</v>
      </c>
      <c r="H1069" s="11"/>
      <c r="I1069" s="11"/>
      <c r="J1069" s="78"/>
      <c r="K1069" s="78"/>
      <c r="L1069" s="146">
        <f t="shared" si="51"/>
        <v>504000</v>
      </c>
      <c r="M1069" s="73"/>
      <c r="N1069" s="73"/>
      <c r="O1069" s="73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14.25" customHeight="1" x14ac:dyDescent="0.35">
      <c r="A1070" s="9">
        <f t="shared" si="50"/>
        <v>1062</v>
      </c>
      <c r="B1070" s="15"/>
      <c r="C1070" s="11">
        <f t="shared" si="49"/>
        <v>1</v>
      </c>
      <c r="D1070" s="11"/>
      <c r="E1070" s="11"/>
      <c r="F1070" s="11"/>
      <c r="G1070" s="89">
        <f>IFERROR(VLOOKUP(F1070,COA!$A$1:$K$26,2,FALSE),0)</f>
        <v>0</v>
      </c>
      <c r="H1070" s="11"/>
      <c r="I1070" s="11"/>
      <c r="J1070" s="78"/>
      <c r="K1070" s="78"/>
      <c r="L1070" s="146">
        <f t="shared" si="51"/>
        <v>504000</v>
      </c>
      <c r="M1070" s="73"/>
      <c r="N1070" s="73"/>
      <c r="O1070" s="73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14.25" customHeight="1" x14ac:dyDescent="0.35">
      <c r="A1071" s="9">
        <f t="shared" si="50"/>
        <v>1063</v>
      </c>
      <c r="B1071" s="15"/>
      <c r="C1071" s="11">
        <f t="shared" si="49"/>
        <v>1</v>
      </c>
      <c r="D1071" s="11"/>
      <c r="E1071" s="11"/>
      <c r="F1071" s="11"/>
      <c r="G1071" s="89">
        <f>IFERROR(VLOOKUP(F1071,COA!$A$1:$K$26,2,FALSE),0)</f>
        <v>0</v>
      </c>
      <c r="H1071" s="11"/>
      <c r="I1071" s="11"/>
      <c r="J1071" s="78"/>
      <c r="K1071" s="78"/>
      <c r="L1071" s="146">
        <f t="shared" si="51"/>
        <v>504000</v>
      </c>
      <c r="M1071" s="73"/>
      <c r="N1071" s="73"/>
      <c r="O1071" s="73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14.25" customHeight="1" x14ac:dyDescent="0.35">
      <c r="A1072" s="9">
        <f t="shared" si="50"/>
        <v>1064</v>
      </c>
      <c r="B1072" s="15"/>
      <c r="C1072" s="11">
        <f t="shared" si="49"/>
        <v>1</v>
      </c>
      <c r="D1072" s="11"/>
      <c r="E1072" s="11"/>
      <c r="F1072" s="11"/>
      <c r="G1072" s="89">
        <f>IFERROR(VLOOKUP(F1072,COA!$A$1:$K$26,2,FALSE),0)</f>
        <v>0</v>
      </c>
      <c r="H1072" s="11"/>
      <c r="I1072" s="11"/>
      <c r="J1072" s="78"/>
      <c r="K1072" s="78"/>
      <c r="L1072" s="146">
        <f t="shared" si="51"/>
        <v>504000</v>
      </c>
      <c r="M1072" s="73"/>
      <c r="N1072" s="73"/>
      <c r="O1072" s="73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14.25" customHeight="1" x14ac:dyDescent="0.35">
      <c r="A1073" s="9">
        <f t="shared" si="50"/>
        <v>1065</v>
      </c>
      <c r="B1073" s="15"/>
      <c r="C1073" s="11">
        <f t="shared" si="49"/>
        <v>1</v>
      </c>
      <c r="D1073" s="11"/>
      <c r="E1073" s="11"/>
      <c r="F1073" s="11"/>
      <c r="G1073" s="89">
        <f>IFERROR(VLOOKUP(F1073,COA!$A$1:$K$26,2,FALSE),0)</f>
        <v>0</v>
      </c>
      <c r="H1073" s="11"/>
      <c r="I1073" s="11"/>
      <c r="J1073" s="78"/>
      <c r="K1073" s="78"/>
      <c r="L1073" s="146">
        <f t="shared" si="51"/>
        <v>504000</v>
      </c>
      <c r="M1073" s="73"/>
      <c r="N1073" s="73"/>
      <c r="O1073" s="73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14.25" customHeight="1" x14ac:dyDescent="0.35">
      <c r="A1074" s="9">
        <f t="shared" si="50"/>
        <v>1066</v>
      </c>
      <c r="B1074" s="15"/>
      <c r="C1074" s="11">
        <f t="shared" si="49"/>
        <v>1</v>
      </c>
      <c r="D1074" s="11"/>
      <c r="E1074" s="11"/>
      <c r="F1074" s="11"/>
      <c r="G1074" s="89">
        <f>IFERROR(VLOOKUP(F1074,COA!$A$1:$K$26,2,FALSE),0)</f>
        <v>0</v>
      </c>
      <c r="H1074" s="11"/>
      <c r="I1074" s="11"/>
      <c r="J1074" s="78"/>
      <c r="K1074" s="78"/>
      <c r="L1074" s="146">
        <f t="shared" si="51"/>
        <v>504000</v>
      </c>
      <c r="M1074" s="73"/>
      <c r="N1074" s="73"/>
      <c r="O1074" s="73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14.25" customHeight="1" x14ac:dyDescent="0.35">
      <c r="A1075" s="9">
        <f t="shared" si="50"/>
        <v>1067</v>
      </c>
      <c r="B1075" s="15"/>
      <c r="C1075" s="11">
        <f t="shared" si="49"/>
        <v>1</v>
      </c>
      <c r="D1075" s="11"/>
      <c r="E1075" s="11"/>
      <c r="F1075" s="11"/>
      <c r="G1075" s="89">
        <f>IFERROR(VLOOKUP(F1075,COA!$A$1:$K$26,2,FALSE),0)</f>
        <v>0</v>
      </c>
      <c r="H1075" s="11"/>
      <c r="I1075" s="11"/>
      <c r="J1075" s="78"/>
      <c r="K1075" s="78"/>
      <c r="L1075" s="146">
        <f t="shared" si="51"/>
        <v>504000</v>
      </c>
      <c r="M1075" s="73"/>
      <c r="N1075" s="73"/>
      <c r="O1075" s="73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14.25" customHeight="1" x14ac:dyDescent="0.35">
      <c r="A1076" s="9">
        <f t="shared" si="50"/>
        <v>1068</v>
      </c>
      <c r="B1076" s="15"/>
      <c r="C1076" s="11">
        <f t="shared" si="49"/>
        <v>1</v>
      </c>
      <c r="D1076" s="11"/>
      <c r="E1076" s="11"/>
      <c r="F1076" s="11"/>
      <c r="G1076" s="89">
        <f>IFERROR(VLOOKUP(F1076,COA!$A$1:$K$26,2,FALSE),0)</f>
        <v>0</v>
      </c>
      <c r="H1076" s="11"/>
      <c r="I1076" s="11"/>
      <c r="J1076" s="78"/>
      <c r="K1076" s="78"/>
      <c r="L1076" s="146">
        <f t="shared" si="51"/>
        <v>504000</v>
      </c>
      <c r="M1076" s="73"/>
      <c r="N1076" s="73"/>
      <c r="O1076" s="73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14.25" customHeight="1" x14ac:dyDescent="0.35">
      <c r="A1077" s="9">
        <f t="shared" si="50"/>
        <v>1069</v>
      </c>
      <c r="B1077" s="15"/>
      <c r="C1077" s="11">
        <f t="shared" si="49"/>
        <v>1</v>
      </c>
      <c r="D1077" s="11"/>
      <c r="E1077" s="11"/>
      <c r="F1077" s="11"/>
      <c r="G1077" s="89">
        <f>IFERROR(VLOOKUP(F1077,COA!$A$1:$K$26,2,FALSE),0)</f>
        <v>0</v>
      </c>
      <c r="H1077" s="11"/>
      <c r="I1077" s="11"/>
      <c r="J1077" s="78"/>
      <c r="K1077" s="78"/>
      <c r="L1077" s="146">
        <f t="shared" si="51"/>
        <v>504000</v>
      </c>
      <c r="M1077" s="73"/>
      <c r="N1077" s="73"/>
      <c r="O1077" s="73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14.25" customHeight="1" x14ac:dyDescent="0.35">
      <c r="A1078" s="9">
        <f t="shared" si="50"/>
        <v>1070</v>
      </c>
      <c r="B1078" s="15"/>
      <c r="C1078" s="11">
        <f t="shared" si="49"/>
        <v>1</v>
      </c>
      <c r="D1078" s="11"/>
      <c r="E1078" s="11"/>
      <c r="F1078" s="11"/>
      <c r="G1078" s="89">
        <f>IFERROR(VLOOKUP(F1078,COA!$A$1:$K$26,2,FALSE),0)</f>
        <v>0</v>
      </c>
      <c r="H1078" s="11"/>
      <c r="I1078" s="11"/>
      <c r="J1078" s="78"/>
      <c r="K1078" s="78"/>
      <c r="L1078" s="146">
        <f t="shared" si="51"/>
        <v>504000</v>
      </c>
      <c r="M1078" s="73"/>
      <c r="N1078" s="73"/>
      <c r="O1078" s="73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14.25" customHeight="1" x14ac:dyDescent="0.35">
      <c r="A1079" s="9">
        <f t="shared" si="50"/>
        <v>1071</v>
      </c>
      <c r="B1079" s="15"/>
      <c r="C1079" s="11">
        <f t="shared" si="49"/>
        <v>1</v>
      </c>
      <c r="D1079" s="11"/>
      <c r="E1079" s="11"/>
      <c r="F1079" s="11"/>
      <c r="G1079" s="89">
        <f>IFERROR(VLOOKUP(F1079,COA!$A$1:$K$26,2,FALSE),0)</f>
        <v>0</v>
      </c>
      <c r="H1079" s="11"/>
      <c r="I1079" s="11"/>
      <c r="J1079" s="78"/>
      <c r="K1079" s="78"/>
      <c r="L1079" s="146">
        <f t="shared" si="51"/>
        <v>504000</v>
      </c>
      <c r="M1079" s="73"/>
      <c r="N1079" s="73"/>
      <c r="O1079" s="73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14.25" customHeight="1" x14ac:dyDescent="0.35">
      <c r="A1080" s="9">
        <f t="shared" si="50"/>
        <v>1072</v>
      </c>
      <c r="B1080" s="15"/>
      <c r="C1080" s="11">
        <f t="shared" si="49"/>
        <v>1</v>
      </c>
      <c r="D1080" s="11"/>
      <c r="E1080" s="11"/>
      <c r="F1080" s="11"/>
      <c r="G1080" s="89">
        <f>IFERROR(VLOOKUP(F1080,COA!$A$1:$K$26,2,FALSE),0)</f>
        <v>0</v>
      </c>
      <c r="H1080" s="11"/>
      <c r="I1080" s="11"/>
      <c r="J1080" s="78"/>
      <c r="K1080" s="78"/>
      <c r="L1080" s="146">
        <f t="shared" si="51"/>
        <v>504000</v>
      </c>
      <c r="M1080" s="73"/>
      <c r="N1080" s="73"/>
      <c r="O1080" s="73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14.25" customHeight="1" x14ac:dyDescent="0.35">
      <c r="A1081" s="9">
        <f t="shared" si="50"/>
        <v>1073</v>
      </c>
      <c r="B1081" s="15"/>
      <c r="C1081" s="11">
        <f t="shared" si="49"/>
        <v>1</v>
      </c>
      <c r="D1081" s="11"/>
      <c r="E1081" s="11"/>
      <c r="F1081" s="11"/>
      <c r="G1081" s="89">
        <f>IFERROR(VLOOKUP(F1081,COA!$A$1:$K$26,2,FALSE),0)</f>
        <v>0</v>
      </c>
      <c r="H1081" s="11"/>
      <c r="I1081" s="11"/>
      <c r="J1081" s="78"/>
      <c r="K1081" s="78"/>
      <c r="L1081" s="146">
        <f t="shared" si="51"/>
        <v>504000</v>
      </c>
      <c r="M1081" s="73"/>
      <c r="N1081" s="73"/>
      <c r="O1081" s="73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14.25" customHeight="1" x14ac:dyDescent="0.35">
      <c r="A1082" s="9">
        <f t="shared" si="50"/>
        <v>1074</v>
      </c>
      <c r="B1082" s="15"/>
      <c r="C1082" s="11">
        <f t="shared" si="49"/>
        <v>1</v>
      </c>
      <c r="D1082" s="11"/>
      <c r="E1082" s="11"/>
      <c r="F1082" s="11"/>
      <c r="G1082" s="89">
        <f>IFERROR(VLOOKUP(F1082,COA!$A$1:$K$26,2,FALSE),0)</f>
        <v>0</v>
      </c>
      <c r="H1082" s="11"/>
      <c r="I1082" s="11"/>
      <c r="J1082" s="78"/>
      <c r="K1082" s="78"/>
      <c r="L1082" s="146">
        <f t="shared" si="51"/>
        <v>504000</v>
      </c>
      <c r="M1082" s="73"/>
      <c r="N1082" s="73"/>
      <c r="O1082" s="73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14.25" customHeight="1" x14ac:dyDescent="0.35">
      <c r="A1083" s="9">
        <f t="shared" si="50"/>
        <v>1075</v>
      </c>
      <c r="B1083" s="15"/>
      <c r="C1083" s="11">
        <f t="shared" si="49"/>
        <v>1</v>
      </c>
      <c r="D1083" s="11"/>
      <c r="E1083" s="11"/>
      <c r="F1083" s="11"/>
      <c r="G1083" s="89">
        <f>IFERROR(VLOOKUP(F1083,COA!$A$1:$K$26,2,FALSE),0)</f>
        <v>0</v>
      </c>
      <c r="H1083" s="11"/>
      <c r="I1083" s="11"/>
      <c r="J1083" s="78"/>
      <c r="K1083" s="78"/>
      <c r="L1083" s="146">
        <f t="shared" si="51"/>
        <v>504000</v>
      </c>
      <c r="M1083" s="73"/>
      <c r="N1083" s="73"/>
      <c r="O1083" s="73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14.25" customHeight="1" x14ac:dyDescent="0.35">
      <c r="A1084" s="9">
        <f t="shared" si="50"/>
        <v>1076</v>
      </c>
      <c r="B1084" s="15"/>
      <c r="C1084" s="11">
        <f t="shared" si="49"/>
        <v>1</v>
      </c>
      <c r="D1084" s="11"/>
      <c r="E1084" s="11"/>
      <c r="F1084" s="11"/>
      <c r="G1084" s="89">
        <f>IFERROR(VLOOKUP(F1084,COA!$A$1:$K$26,2,FALSE),0)</f>
        <v>0</v>
      </c>
      <c r="H1084" s="11"/>
      <c r="I1084" s="11"/>
      <c r="J1084" s="78"/>
      <c r="K1084" s="78"/>
      <c r="L1084" s="146">
        <f t="shared" si="51"/>
        <v>504000</v>
      </c>
      <c r="M1084" s="73"/>
      <c r="N1084" s="73"/>
      <c r="O1084" s="73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14.25" customHeight="1" x14ac:dyDescent="0.35">
      <c r="A1085" s="9">
        <f t="shared" si="50"/>
        <v>1077</v>
      </c>
      <c r="B1085" s="15"/>
      <c r="C1085" s="11">
        <f t="shared" si="49"/>
        <v>1</v>
      </c>
      <c r="D1085" s="11"/>
      <c r="E1085" s="11"/>
      <c r="F1085" s="11"/>
      <c r="G1085" s="89">
        <f>IFERROR(VLOOKUP(F1085,COA!$A$1:$K$26,2,FALSE),0)</f>
        <v>0</v>
      </c>
      <c r="H1085" s="11"/>
      <c r="I1085" s="11"/>
      <c r="J1085" s="78"/>
      <c r="K1085" s="78"/>
      <c r="L1085" s="146">
        <f t="shared" si="51"/>
        <v>504000</v>
      </c>
      <c r="M1085" s="73"/>
      <c r="N1085" s="73"/>
      <c r="O1085" s="73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14.25" customHeight="1" x14ac:dyDescent="0.35">
      <c r="A1086" s="9">
        <f t="shared" si="50"/>
        <v>1078</v>
      </c>
      <c r="B1086" s="15"/>
      <c r="C1086" s="11">
        <f t="shared" si="49"/>
        <v>1</v>
      </c>
      <c r="D1086" s="11"/>
      <c r="E1086" s="11"/>
      <c r="F1086" s="11"/>
      <c r="G1086" s="89">
        <f>IFERROR(VLOOKUP(F1086,COA!$A$1:$K$26,2,FALSE),0)</f>
        <v>0</v>
      </c>
      <c r="H1086" s="11"/>
      <c r="I1086" s="11"/>
      <c r="J1086" s="78"/>
      <c r="K1086" s="78"/>
      <c r="L1086" s="146">
        <f t="shared" si="51"/>
        <v>504000</v>
      </c>
      <c r="M1086" s="73"/>
      <c r="N1086" s="73"/>
      <c r="O1086" s="73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14.25" customHeight="1" x14ac:dyDescent="0.35">
      <c r="A1087" s="9">
        <f t="shared" si="50"/>
        <v>1079</v>
      </c>
      <c r="B1087" s="15"/>
      <c r="C1087" s="11">
        <f t="shared" si="49"/>
        <v>1</v>
      </c>
      <c r="D1087" s="11"/>
      <c r="E1087" s="11"/>
      <c r="F1087" s="11"/>
      <c r="G1087" s="89">
        <f>IFERROR(VLOOKUP(F1087,COA!$A$1:$K$26,2,FALSE),0)</f>
        <v>0</v>
      </c>
      <c r="H1087" s="11"/>
      <c r="I1087" s="11"/>
      <c r="J1087" s="78"/>
      <c r="K1087" s="78"/>
      <c r="L1087" s="146">
        <f t="shared" si="51"/>
        <v>504000</v>
      </c>
      <c r="M1087" s="73"/>
      <c r="N1087" s="73"/>
      <c r="O1087" s="73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14.25" customHeight="1" x14ac:dyDescent="0.35">
      <c r="A1088" s="9">
        <f t="shared" si="50"/>
        <v>1080</v>
      </c>
      <c r="B1088" s="15"/>
      <c r="C1088" s="11">
        <f t="shared" si="49"/>
        <v>1</v>
      </c>
      <c r="D1088" s="11"/>
      <c r="E1088" s="11"/>
      <c r="F1088" s="11"/>
      <c r="G1088" s="89">
        <f>IFERROR(VLOOKUP(F1088,COA!$A$1:$K$26,2,FALSE),0)</f>
        <v>0</v>
      </c>
      <c r="H1088" s="11"/>
      <c r="I1088" s="11"/>
      <c r="J1088" s="78"/>
      <c r="K1088" s="78"/>
      <c r="L1088" s="146">
        <f t="shared" si="51"/>
        <v>504000</v>
      </c>
      <c r="M1088" s="73"/>
      <c r="N1088" s="73"/>
      <c r="O1088" s="73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14.25" customHeight="1" x14ac:dyDescent="0.35">
      <c r="A1089" s="9">
        <f t="shared" si="50"/>
        <v>1081</v>
      </c>
      <c r="B1089" s="15"/>
      <c r="C1089" s="11">
        <f t="shared" si="49"/>
        <v>1</v>
      </c>
      <c r="D1089" s="11"/>
      <c r="E1089" s="11"/>
      <c r="F1089" s="11"/>
      <c r="G1089" s="89">
        <f>IFERROR(VLOOKUP(F1089,COA!$A$1:$K$26,2,FALSE),0)</f>
        <v>0</v>
      </c>
      <c r="H1089" s="11"/>
      <c r="I1089" s="11"/>
      <c r="J1089" s="78"/>
      <c r="K1089" s="78"/>
      <c r="L1089" s="146">
        <f t="shared" si="51"/>
        <v>504000</v>
      </c>
      <c r="M1089" s="73"/>
      <c r="N1089" s="73"/>
      <c r="O1089" s="73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14.25" customHeight="1" x14ac:dyDescent="0.35">
      <c r="A1090" s="9">
        <f t="shared" si="50"/>
        <v>1082</v>
      </c>
      <c r="B1090" s="15"/>
      <c r="C1090" s="11">
        <f t="shared" si="49"/>
        <v>1</v>
      </c>
      <c r="D1090" s="11"/>
      <c r="E1090" s="11"/>
      <c r="F1090" s="11"/>
      <c r="G1090" s="89">
        <f>IFERROR(VLOOKUP(F1090,COA!$A$1:$K$26,2,FALSE),0)</f>
        <v>0</v>
      </c>
      <c r="H1090" s="11"/>
      <c r="I1090" s="11"/>
      <c r="J1090" s="78"/>
      <c r="K1090" s="78"/>
      <c r="L1090" s="146">
        <f t="shared" si="51"/>
        <v>504000</v>
      </c>
      <c r="M1090" s="73"/>
      <c r="N1090" s="73"/>
      <c r="O1090" s="73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14.25" customHeight="1" x14ac:dyDescent="0.35">
      <c r="A1091" s="9">
        <f t="shared" si="50"/>
        <v>1083</v>
      </c>
      <c r="B1091" s="15"/>
      <c r="C1091" s="11">
        <f t="shared" si="49"/>
        <v>1</v>
      </c>
      <c r="D1091" s="11"/>
      <c r="E1091" s="11"/>
      <c r="F1091" s="11"/>
      <c r="G1091" s="89">
        <f>IFERROR(VLOOKUP(F1091,COA!$A$1:$K$26,2,FALSE),0)</f>
        <v>0</v>
      </c>
      <c r="H1091" s="11"/>
      <c r="I1091" s="11"/>
      <c r="J1091" s="78"/>
      <c r="K1091" s="78"/>
      <c r="L1091" s="146">
        <f t="shared" si="51"/>
        <v>504000</v>
      </c>
      <c r="M1091" s="73"/>
      <c r="N1091" s="73"/>
      <c r="O1091" s="73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14.25" customHeight="1" x14ac:dyDescent="0.35">
      <c r="A1092" s="9">
        <f t="shared" si="50"/>
        <v>1084</v>
      </c>
      <c r="B1092" s="15"/>
      <c r="C1092" s="11">
        <f t="shared" si="49"/>
        <v>1</v>
      </c>
      <c r="D1092" s="11"/>
      <c r="E1092" s="11"/>
      <c r="F1092" s="11"/>
      <c r="G1092" s="89">
        <f>IFERROR(VLOOKUP(F1092,COA!$A$1:$K$26,2,FALSE),0)</f>
        <v>0</v>
      </c>
      <c r="H1092" s="11"/>
      <c r="I1092" s="11"/>
      <c r="J1092" s="78"/>
      <c r="K1092" s="78"/>
      <c r="L1092" s="146">
        <f t="shared" si="51"/>
        <v>504000</v>
      </c>
      <c r="M1092" s="73"/>
      <c r="N1092" s="73"/>
      <c r="O1092" s="73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14.25" customHeight="1" x14ac:dyDescent="0.35">
      <c r="A1093" s="9">
        <f t="shared" si="50"/>
        <v>1085</v>
      </c>
      <c r="B1093" s="15"/>
      <c r="C1093" s="11">
        <f t="shared" si="49"/>
        <v>1</v>
      </c>
      <c r="D1093" s="11"/>
      <c r="E1093" s="11"/>
      <c r="F1093" s="11"/>
      <c r="G1093" s="89">
        <f>IFERROR(VLOOKUP(F1093,COA!$A$1:$K$26,2,FALSE),0)</f>
        <v>0</v>
      </c>
      <c r="H1093" s="11"/>
      <c r="I1093" s="11"/>
      <c r="J1093" s="78"/>
      <c r="K1093" s="78"/>
      <c r="L1093" s="146">
        <f t="shared" si="51"/>
        <v>504000</v>
      </c>
      <c r="M1093" s="73"/>
      <c r="N1093" s="73"/>
      <c r="O1093" s="73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14.25" customHeight="1" x14ac:dyDescent="0.35">
      <c r="A1094" s="9">
        <f t="shared" si="50"/>
        <v>1086</v>
      </c>
      <c r="B1094" s="15"/>
      <c r="C1094" s="11">
        <f t="shared" si="49"/>
        <v>1</v>
      </c>
      <c r="D1094" s="11"/>
      <c r="E1094" s="11"/>
      <c r="F1094" s="11"/>
      <c r="G1094" s="89">
        <f>IFERROR(VLOOKUP(F1094,COA!$A$1:$K$26,2,FALSE),0)</f>
        <v>0</v>
      </c>
      <c r="H1094" s="11"/>
      <c r="I1094" s="11"/>
      <c r="J1094" s="78"/>
      <c r="K1094" s="78"/>
      <c r="L1094" s="146">
        <f t="shared" si="51"/>
        <v>504000</v>
      </c>
      <c r="M1094" s="73"/>
      <c r="N1094" s="73"/>
      <c r="O1094" s="73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14.25" customHeight="1" x14ac:dyDescent="0.35">
      <c r="A1095" s="9">
        <f t="shared" si="50"/>
        <v>1087</v>
      </c>
      <c r="B1095" s="15"/>
      <c r="C1095" s="11">
        <f t="shared" si="49"/>
        <v>1</v>
      </c>
      <c r="D1095" s="11"/>
      <c r="E1095" s="11"/>
      <c r="F1095" s="11"/>
      <c r="G1095" s="89">
        <f>IFERROR(VLOOKUP(F1095,COA!$A$1:$K$26,2,FALSE),0)</f>
        <v>0</v>
      </c>
      <c r="H1095" s="11"/>
      <c r="I1095" s="11"/>
      <c r="J1095" s="78"/>
      <c r="K1095" s="78"/>
      <c r="L1095" s="146">
        <f t="shared" si="51"/>
        <v>504000</v>
      </c>
      <c r="M1095" s="73"/>
      <c r="N1095" s="73"/>
      <c r="O1095" s="73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14.25" customHeight="1" x14ac:dyDescent="0.35">
      <c r="A1096" s="9">
        <f t="shared" si="50"/>
        <v>1088</v>
      </c>
      <c r="B1096" s="15"/>
      <c r="C1096" s="11">
        <f t="shared" ref="C1096:C1159" si="52">MONTH(B1096)</f>
        <v>1</v>
      </c>
      <c r="D1096" s="11"/>
      <c r="E1096" s="11"/>
      <c r="F1096" s="11"/>
      <c r="G1096" s="89">
        <f>IFERROR(VLOOKUP(F1096,COA!$A$1:$K$26,2,FALSE),0)</f>
        <v>0</v>
      </c>
      <c r="H1096" s="11"/>
      <c r="I1096" s="11"/>
      <c r="J1096" s="78"/>
      <c r="K1096" s="78"/>
      <c r="L1096" s="146">
        <f t="shared" si="51"/>
        <v>504000</v>
      </c>
      <c r="M1096" s="73"/>
      <c r="N1096" s="73"/>
      <c r="O1096" s="73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14.25" customHeight="1" x14ac:dyDescent="0.35">
      <c r="A1097" s="9">
        <f t="shared" si="50"/>
        <v>1089</v>
      </c>
      <c r="B1097" s="15"/>
      <c r="C1097" s="11">
        <f t="shared" si="52"/>
        <v>1</v>
      </c>
      <c r="D1097" s="11"/>
      <c r="E1097" s="11"/>
      <c r="F1097" s="11"/>
      <c r="G1097" s="89">
        <f>IFERROR(VLOOKUP(F1097,COA!$A$1:$K$26,2,FALSE),0)</f>
        <v>0</v>
      </c>
      <c r="H1097" s="11"/>
      <c r="I1097" s="11"/>
      <c r="J1097" s="78"/>
      <c r="K1097" s="78"/>
      <c r="L1097" s="146">
        <f t="shared" si="51"/>
        <v>504000</v>
      </c>
      <c r="M1097" s="73"/>
      <c r="N1097" s="73"/>
      <c r="O1097" s="73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14.25" customHeight="1" x14ac:dyDescent="0.35">
      <c r="A1098" s="9">
        <f t="shared" si="50"/>
        <v>1090</v>
      </c>
      <c r="B1098" s="15"/>
      <c r="C1098" s="11">
        <f t="shared" si="52"/>
        <v>1</v>
      </c>
      <c r="D1098" s="11"/>
      <c r="E1098" s="11"/>
      <c r="F1098" s="11"/>
      <c r="G1098" s="89">
        <f>IFERROR(VLOOKUP(F1098,COA!$A$1:$K$26,2,FALSE),0)</f>
        <v>0</v>
      </c>
      <c r="H1098" s="11"/>
      <c r="I1098" s="11"/>
      <c r="J1098" s="78"/>
      <c r="K1098" s="78"/>
      <c r="L1098" s="146">
        <f t="shared" si="51"/>
        <v>504000</v>
      </c>
      <c r="M1098" s="73"/>
      <c r="N1098" s="73"/>
      <c r="O1098" s="73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14.25" customHeight="1" x14ac:dyDescent="0.35">
      <c r="A1099" s="9">
        <f t="shared" ref="A1099:A1162" si="53">A1098+1</f>
        <v>1091</v>
      </c>
      <c r="B1099" s="15"/>
      <c r="C1099" s="11">
        <f t="shared" si="52"/>
        <v>1</v>
      </c>
      <c r="D1099" s="11"/>
      <c r="E1099" s="11"/>
      <c r="F1099" s="11"/>
      <c r="G1099" s="89">
        <f>IFERROR(VLOOKUP(F1099,COA!$A$1:$K$26,2,FALSE),0)</f>
        <v>0</v>
      </c>
      <c r="H1099" s="11"/>
      <c r="I1099" s="11"/>
      <c r="J1099" s="78"/>
      <c r="K1099" s="78"/>
      <c r="L1099" s="146">
        <f t="shared" ref="L1099:L1162" si="54">L1098+J1099-K1099</f>
        <v>504000</v>
      </c>
      <c r="M1099" s="73"/>
      <c r="N1099" s="73"/>
      <c r="O1099" s="73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14.25" customHeight="1" x14ac:dyDescent="0.35">
      <c r="A1100" s="9">
        <f t="shared" si="53"/>
        <v>1092</v>
      </c>
      <c r="B1100" s="15"/>
      <c r="C1100" s="11">
        <f t="shared" si="52"/>
        <v>1</v>
      </c>
      <c r="D1100" s="11"/>
      <c r="E1100" s="11"/>
      <c r="F1100" s="11"/>
      <c r="G1100" s="89">
        <f>IFERROR(VLOOKUP(F1100,COA!$A$1:$K$26,2,FALSE),0)</f>
        <v>0</v>
      </c>
      <c r="H1100" s="11"/>
      <c r="I1100" s="11"/>
      <c r="J1100" s="78"/>
      <c r="K1100" s="78"/>
      <c r="L1100" s="146">
        <f t="shared" si="54"/>
        <v>504000</v>
      </c>
      <c r="M1100" s="73"/>
      <c r="N1100" s="73"/>
      <c r="O1100" s="73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14.25" customHeight="1" x14ac:dyDescent="0.35">
      <c r="A1101" s="9">
        <f t="shared" si="53"/>
        <v>1093</v>
      </c>
      <c r="B1101" s="15"/>
      <c r="C1101" s="11">
        <f t="shared" si="52"/>
        <v>1</v>
      </c>
      <c r="D1101" s="11"/>
      <c r="E1101" s="11"/>
      <c r="F1101" s="11"/>
      <c r="G1101" s="89">
        <f>IFERROR(VLOOKUP(F1101,COA!$A$1:$K$26,2,FALSE),0)</f>
        <v>0</v>
      </c>
      <c r="H1101" s="11"/>
      <c r="I1101" s="11"/>
      <c r="J1101" s="78"/>
      <c r="K1101" s="78"/>
      <c r="L1101" s="146">
        <f t="shared" si="54"/>
        <v>504000</v>
      </c>
      <c r="M1101" s="73"/>
      <c r="N1101" s="73"/>
      <c r="O1101" s="73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14.25" customHeight="1" x14ac:dyDescent="0.35">
      <c r="A1102" s="9">
        <f t="shared" si="53"/>
        <v>1094</v>
      </c>
      <c r="B1102" s="15"/>
      <c r="C1102" s="11">
        <f t="shared" si="52"/>
        <v>1</v>
      </c>
      <c r="D1102" s="11"/>
      <c r="E1102" s="11"/>
      <c r="F1102" s="11"/>
      <c r="G1102" s="89">
        <f>IFERROR(VLOOKUP(F1102,COA!$A$1:$K$26,2,FALSE),0)</f>
        <v>0</v>
      </c>
      <c r="H1102" s="11"/>
      <c r="I1102" s="11"/>
      <c r="J1102" s="78"/>
      <c r="K1102" s="78"/>
      <c r="L1102" s="146">
        <f t="shared" si="54"/>
        <v>504000</v>
      </c>
      <c r="M1102" s="73"/>
      <c r="N1102" s="73"/>
      <c r="O1102" s="73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14.25" customHeight="1" x14ac:dyDescent="0.35">
      <c r="A1103" s="9">
        <f t="shared" si="53"/>
        <v>1095</v>
      </c>
      <c r="B1103" s="15"/>
      <c r="C1103" s="11">
        <f t="shared" si="52"/>
        <v>1</v>
      </c>
      <c r="D1103" s="11"/>
      <c r="E1103" s="11"/>
      <c r="F1103" s="11"/>
      <c r="G1103" s="89">
        <f>IFERROR(VLOOKUP(F1103,COA!$A$1:$K$26,2,FALSE),0)</f>
        <v>0</v>
      </c>
      <c r="H1103" s="11"/>
      <c r="I1103" s="11"/>
      <c r="J1103" s="78"/>
      <c r="K1103" s="78"/>
      <c r="L1103" s="146">
        <f t="shared" si="54"/>
        <v>504000</v>
      </c>
      <c r="M1103" s="73"/>
      <c r="N1103" s="73"/>
      <c r="O1103" s="73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14.25" customHeight="1" x14ac:dyDescent="0.35">
      <c r="A1104" s="9">
        <f t="shared" si="53"/>
        <v>1096</v>
      </c>
      <c r="B1104" s="15"/>
      <c r="C1104" s="11">
        <f t="shared" si="52"/>
        <v>1</v>
      </c>
      <c r="D1104" s="11"/>
      <c r="E1104" s="11"/>
      <c r="F1104" s="11"/>
      <c r="G1104" s="89">
        <f>IFERROR(VLOOKUP(F1104,COA!$A$1:$K$26,2,FALSE),0)</f>
        <v>0</v>
      </c>
      <c r="H1104" s="11"/>
      <c r="I1104" s="11"/>
      <c r="J1104" s="78"/>
      <c r="K1104" s="78"/>
      <c r="L1104" s="146">
        <f t="shared" si="54"/>
        <v>504000</v>
      </c>
      <c r="M1104" s="73"/>
      <c r="N1104" s="73"/>
      <c r="O1104" s="73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14.25" customHeight="1" x14ac:dyDescent="0.35">
      <c r="A1105" s="9">
        <f t="shared" si="53"/>
        <v>1097</v>
      </c>
      <c r="B1105" s="15"/>
      <c r="C1105" s="11">
        <f t="shared" si="52"/>
        <v>1</v>
      </c>
      <c r="D1105" s="11"/>
      <c r="E1105" s="11"/>
      <c r="F1105" s="11"/>
      <c r="G1105" s="89">
        <f>IFERROR(VLOOKUP(F1105,COA!$A$1:$K$26,2,FALSE),0)</f>
        <v>0</v>
      </c>
      <c r="H1105" s="11"/>
      <c r="I1105" s="11"/>
      <c r="J1105" s="78"/>
      <c r="K1105" s="78"/>
      <c r="L1105" s="146">
        <f t="shared" si="54"/>
        <v>504000</v>
      </c>
      <c r="M1105" s="73"/>
      <c r="N1105" s="73"/>
      <c r="O1105" s="73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14.25" customHeight="1" x14ac:dyDescent="0.35">
      <c r="A1106" s="9">
        <f t="shared" si="53"/>
        <v>1098</v>
      </c>
      <c r="B1106" s="15"/>
      <c r="C1106" s="11">
        <f t="shared" si="52"/>
        <v>1</v>
      </c>
      <c r="D1106" s="11"/>
      <c r="E1106" s="11"/>
      <c r="F1106" s="11"/>
      <c r="G1106" s="89">
        <f>IFERROR(VLOOKUP(F1106,COA!$A$1:$K$26,2,FALSE),0)</f>
        <v>0</v>
      </c>
      <c r="H1106" s="11"/>
      <c r="I1106" s="11"/>
      <c r="J1106" s="78"/>
      <c r="K1106" s="78"/>
      <c r="L1106" s="146">
        <f t="shared" si="54"/>
        <v>504000</v>
      </c>
      <c r="M1106" s="73"/>
      <c r="N1106" s="73"/>
      <c r="O1106" s="73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14.25" customHeight="1" x14ac:dyDescent="0.35">
      <c r="A1107" s="9">
        <f t="shared" si="53"/>
        <v>1099</v>
      </c>
      <c r="B1107" s="15"/>
      <c r="C1107" s="11">
        <f t="shared" si="52"/>
        <v>1</v>
      </c>
      <c r="D1107" s="11"/>
      <c r="E1107" s="11"/>
      <c r="F1107" s="11"/>
      <c r="G1107" s="89">
        <f>IFERROR(VLOOKUP(F1107,COA!$A$1:$K$26,2,FALSE),0)</f>
        <v>0</v>
      </c>
      <c r="H1107" s="11"/>
      <c r="I1107" s="11"/>
      <c r="J1107" s="78"/>
      <c r="K1107" s="78"/>
      <c r="L1107" s="146">
        <f t="shared" si="54"/>
        <v>504000</v>
      </c>
      <c r="M1107" s="73"/>
      <c r="N1107" s="73"/>
      <c r="O1107" s="73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14.25" customHeight="1" x14ac:dyDescent="0.35">
      <c r="A1108" s="9">
        <f t="shared" si="53"/>
        <v>1100</v>
      </c>
      <c r="B1108" s="15"/>
      <c r="C1108" s="11">
        <f t="shared" si="52"/>
        <v>1</v>
      </c>
      <c r="D1108" s="11"/>
      <c r="E1108" s="11"/>
      <c r="F1108" s="11"/>
      <c r="G1108" s="89">
        <f>IFERROR(VLOOKUP(F1108,COA!$A$1:$K$26,2,FALSE),0)</f>
        <v>0</v>
      </c>
      <c r="H1108" s="11"/>
      <c r="I1108" s="11"/>
      <c r="J1108" s="78"/>
      <c r="K1108" s="78"/>
      <c r="L1108" s="146">
        <f t="shared" si="54"/>
        <v>504000</v>
      </c>
      <c r="M1108" s="73"/>
      <c r="N1108" s="73"/>
      <c r="O1108" s="73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14.25" customHeight="1" x14ac:dyDescent="0.35">
      <c r="A1109" s="9">
        <f t="shared" si="53"/>
        <v>1101</v>
      </c>
      <c r="B1109" s="15"/>
      <c r="C1109" s="11">
        <f t="shared" si="52"/>
        <v>1</v>
      </c>
      <c r="D1109" s="11"/>
      <c r="E1109" s="11"/>
      <c r="F1109" s="11"/>
      <c r="G1109" s="89">
        <f>IFERROR(VLOOKUP(F1109,COA!$A$1:$K$26,2,FALSE),0)</f>
        <v>0</v>
      </c>
      <c r="H1109" s="11"/>
      <c r="I1109" s="11"/>
      <c r="J1109" s="78"/>
      <c r="K1109" s="78"/>
      <c r="L1109" s="146">
        <f t="shared" si="54"/>
        <v>504000</v>
      </c>
      <c r="M1109" s="73"/>
      <c r="N1109" s="73"/>
      <c r="O1109" s="73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14.25" customHeight="1" x14ac:dyDescent="0.35">
      <c r="A1110" s="9">
        <f t="shared" si="53"/>
        <v>1102</v>
      </c>
      <c r="B1110" s="15"/>
      <c r="C1110" s="11">
        <f t="shared" si="52"/>
        <v>1</v>
      </c>
      <c r="D1110" s="11"/>
      <c r="E1110" s="11"/>
      <c r="F1110" s="11"/>
      <c r="G1110" s="89">
        <f>IFERROR(VLOOKUP(F1110,COA!$A$1:$K$26,2,FALSE),0)</f>
        <v>0</v>
      </c>
      <c r="H1110" s="11"/>
      <c r="I1110" s="11"/>
      <c r="J1110" s="78"/>
      <c r="K1110" s="78"/>
      <c r="L1110" s="146">
        <f t="shared" si="54"/>
        <v>504000</v>
      </c>
      <c r="M1110" s="73"/>
      <c r="N1110" s="73"/>
      <c r="O1110" s="73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14.25" customHeight="1" x14ac:dyDescent="0.35">
      <c r="A1111" s="9">
        <f t="shared" si="53"/>
        <v>1103</v>
      </c>
      <c r="B1111" s="15"/>
      <c r="C1111" s="11">
        <f t="shared" si="52"/>
        <v>1</v>
      </c>
      <c r="D1111" s="11"/>
      <c r="E1111" s="11"/>
      <c r="F1111" s="11"/>
      <c r="G1111" s="89">
        <f>IFERROR(VLOOKUP(F1111,COA!$A$1:$K$26,2,FALSE),0)</f>
        <v>0</v>
      </c>
      <c r="H1111" s="11"/>
      <c r="I1111" s="11"/>
      <c r="J1111" s="78"/>
      <c r="K1111" s="78"/>
      <c r="L1111" s="146">
        <f t="shared" si="54"/>
        <v>504000</v>
      </c>
      <c r="M1111" s="73"/>
      <c r="N1111" s="73"/>
      <c r="O1111" s="73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14.25" customHeight="1" x14ac:dyDescent="0.35">
      <c r="A1112" s="9">
        <f t="shared" si="53"/>
        <v>1104</v>
      </c>
      <c r="B1112" s="15"/>
      <c r="C1112" s="11">
        <f t="shared" si="52"/>
        <v>1</v>
      </c>
      <c r="D1112" s="11"/>
      <c r="E1112" s="11"/>
      <c r="F1112" s="11"/>
      <c r="G1112" s="89">
        <f>IFERROR(VLOOKUP(F1112,COA!$A$1:$K$26,2,FALSE),0)</f>
        <v>0</v>
      </c>
      <c r="H1112" s="11"/>
      <c r="I1112" s="11"/>
      <c r="J1112" s="78"/>
      <c r="K1112" s="78"/>
      <c r="L1112" s="146">
        <f t="shared" si="54"/>
        <v>504000</v>
      </c>
      <c r="M1112" s="73"/>
      <c r="N1112" s="73"/>
      <c r="O1112" s="73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14.25" customHeight="1" x14ac:dyDescent="0.35">
      <c r="A1113" s="9">
        <f t="shared" si="53"/>
        <v>1105</v>
      </c>
      <c r="B1113" s="15"/>
      <c r="C1113" s="11">
        <f t="shared" si="52"/>
        <v>1</v>
      </c>
      <c r="D1113" s="11"/>
      <c r="E1113" s="11"/>
      <c r="F1113" s="11"/>
      <c r="G1113" s="89">
        <f>IFERROR(VLOOKUP(F1113,COA!$A$1:$K$26,2,FALSE),0)</f>
        <v>0</v>
      </c>
      <c r="H1113" s="11"/>
      <c r="I1113" s="11"/>
      <c r="J1113" s="78"/>
      <c r="K1113" s="78"/>
      <c r="L1113" s="146">
        <f t="shared" si="54"/>
        <v>504000</v>
      </c>
      <c r="M1113" s="73"/>
      <c r="N1113" s="73"/>
      <c r="O1113" s="73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14.25" customHeight="1" x14ac:dyDescent="0.35">
      <c r="A1114" s="9">
        <f t="shared" si="53"/>
        <v>1106</v>
      </c>
      <c r="B1114" s="15"/>
      <c r="C1114" s="11">
        <f t="shared" si="52"/>
        <v>1</v>
      </c>
      <c r="D1114" s="11"/>
      <c r="E1114" s="11"/>
      <c r="F1114" s="11"/>
      <c r="G1114" s="89">
        <f>IFERROR(VLOOKUP(F1114,COA!$A$1:$K$26,2,FALSE),0)</f>
        <v>0</v>
      </c>
      <c r="H1114" s="11"/>
      <c r="I1114" s="11"/>
      <c r="J1114" s="78"/>
      <c r="K1114" s="78"/>
      <c r="L1114" s="146">
        <f t="shared" si="54"/>
        <v>504000</v>
      </c>
      <c r="M1114" s="73"/>
      <c r="N1114" s="73"/>
      <c r="O1114" s="73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14.25" customHeight="1" x14ac:dyDescent="0.35">
      <c r="A1115" s="9">
        <f t="shared" si="53"/>
        <v>1107</v>
      </c>
      <c r="B1115" s="15"/>
      <c r="C1115" s="11">
        <f t="shared" si="52"/>
        <v>1</v>
      </c>
      <c r="D1115" s="11"/>
      <c r="E1115" s="11"/>
      <c r="F1115" s="11"/>
      <c r="G1115" s="89">
        <f>IFERROR(VLOOKUP(F1115,COA!$A$1:$K$26,2,FALSE),0)</f>
        <v>0</v>
      </c>
      <c r="H1115" s="11"/>
      <c r="I1115" s="11"/>
      <c r="J1115" s="78"/>
      <c r="K1115" s="78"/>
      <c r="L1115" s="146">
        <f t="shared" si="54"/>
        <v>504000</v>
      </c>
      <c r="M1115" s="73"/>
      <c r="N1115" s="73"/>
      <c r="O1115" s="73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14.25" customHeight="1" x14ac:dyDescent="0.35">
      <c r="A1116" s="9">
        <f t="shared" si="53"/>
        <v>1108</v>
      </c>
      <c r="B1116" s="15"/>
      <c r="C1116" s="11">
        <f t="shared" si="52"/>
        <v>1</v>
      </c>
      <c r="D1116" s="11"/>
      <c r="E1116" s="11"/>
      <c r="F1116" s="11"/>
      <c r="G1116" s="89">
        <f>IFERROR(VLOOKUP(F1116,COA!$A$1:$K$26,2,FALSE),0)</f>
        <v>0</v>
      </c>
      <c r="H1116" s="11"/>
      <c r="I1116" s="11"/>
      <c r="J1116" s="78"/>
      <c r="K1116" s="78"/>
      <c r="L1116" s="146">
        <f t="shared" si="54"/>
        <v>504000</v>
      </c>
      <c r="M1116" s="73"/>
      <c r="N1116" s="73"/>
      <c r="O1116" s="73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14.25" customHeight="1" x14ac:dyDescent="0.35">
      <c r="A1117" s="9">
        <f t="shared" si="53"/>
        <v>1109</v>
      </c>
      <c r="B1117" s="15"/>
      <c r="C1117" s="11">
        <f t="shared" si="52"/>
        <v>1</v>
      </c>
      <c r="D1117" s="11"/>
      <c r="E1117" s="11"/>
      <c r="F1117" s="11"/>
      <c r="G1117" s="89">
        <f>IFERROR(VLOOKUP(F1117,COA!$A$1:$K$26,2,FALSE),0)</f>
        <v>0</v>
      </c>
      <c r="H1117" s="11"/>
      <c r="I1117" s="11"/>
      <c r="J1117" s="78"/>
      <c r="K1117" s="78"/>
      <c r="L1117" s="146">
        <f t="shared" si="54"/>
        <v>504000</v>
      </c>
      <c r="M1117" s="73"/>
      <c r="N1117" s="73"/>
      <c r="O1117" s="73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14.25" customHeight="1" x14ac:dyDescent="0.35">
      <c r="A1118" s="9">
        <f t="shared" si="53"/>
        <v>1110</v>
      </c>
      <c r="B1118" s="15"/>
      <c r="C1118" s="11">
        <f t="shared" si="52"/>
        <v>1</v>
      </c>
      <c r="D1118" s="11"/>
      <c r="E1118" s="11"/>
      <c r="F1118" s="11"/>
      <c r="G1118" s="89">
        <f>IFERROR(VLOOKUP(F1118,COA!$A$1:$K$26,2,FALSE),0)</f>
        <v>0</v>
      </c>
      <c r="H1118" s="11"/>
      <c r="I1118" s="11"/>
      <c r="J1118" s="78"/>
      <c r="K1118" s="78"/>
      <c r="L1118" s="146">
        <f t="shared" si="54"/>
        <v>504000</v>
      </c>
      <c r="M1118" s="73"/>
      <c r="N1118" s="73"/>
      <c r="O1118" s="73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14.25" customHeight="1" x14ac:dyDescent="0.35">
      <c r="A1119" s="9">
        <f t="shared" si="53"/>
        <v>1111</v>
      </c>
      <c r="B1119" s="15"/>
      <c r="C1119" s="11">
        <f t="shared" si="52"/>
        <v>1</v>
      </c>
      <c r="D1119" s="11"/>
      <c r="E1119" s="11"/>
      <c r="F1119" s="11"/>
      <c r="G1119" s="89">
        <f>IFERROR(VLOOKUP(F1119,COA!$A$1:$K$26,2,FALSE),0)</f>
        <v>0</v>
      </c>
      <c r="H1119" s="11"/>
      <c r="I1119" s="11"/>
      <c r="J1119" s="78"/>
      <c r="K1119" s="78"/>
      <c r="L1119" s="146">
        <f t="shared" si="54"/>
        <v>504000</v>
      </c>
      <c r="M1119" s="73"/>
      <c r="N1119" s="73"/>
      <c r="O1119" s="73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14.25" customHeight="1" x14ac:dyDescent="0.35">
      <c r="A1120" s="9">
        <f t="shared" si="53"/>
        <v>1112</v>
      </c>
      <c r="B1120" s="15"/>
      <c r="C1120" s="11">
        <f t="shared" si="52"/>
        <v>1</v>
      </c>
      <c r="D1120" s="11"/>
      <c r="E1120" s="11"/>
      <c r="F1120" s="11"/>
      <c r="G1120" s="89">
        <f>IFERROR(VLOOKUP(F1120,COA!$A$1:$K$26,2,FALSE),0)</f>
        <v>0</v>
      </c>
      <c r="H1120" s="11"/>
      <c r="I1120" s="11"/>
      <c r="J1120" s="78"/>
      <c r="K1120" s="78"/>
      <c r="L1120" s="146">
        <f t="shared" si="54"/>
        <v>504000</v>
      </c>
      <c r="M1120" s="73"/>
      <c r="N1120" s="73"/>
      <c r="O1120" s="73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14.25" customHeight="1" x14ac:dyDescent="0.35">
      <c r="A1121" s="9">
        <f t="shared" si="53"/>
        <v>1113</v>
      </c>
      <c r="B1121" s="15"/>
      <c r="C1121" s="11">
        <f t="shared" si="52"/>
        <v>1</v>
      </c>
      <c r="D1121" s="11"/>
      <c r="E1121" s="11"/>
      <c r="F1121" s="11"/>
      <c r="G1121" s="89">
        <f>IFERROR(VLOOKUP(F1121,COA!$A$1:$K$26,2,FALSE),0)</f>
        <v>0</v>
      </c>
      <c r="H1121" s="11"/>
      <c r="I1121" s="11"/>
      <c r="J1121" s="78"/>
      <c r="K1121" s="78"/>
      <c r="L1121" s="146">
        <f t="shared" si="54"/>
        <v>504000</v>
      </c>
      <c r="M1121" s="73"/>
      <c r="N1121" s="73"/>
      <c r="O1121" s="73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14.25" customHeight="1" x14ac:dyDescent="0.35">
      <c r="A1122" s="9">
        <f t="shared" si="53"/>
        <v>1114</v>
      </c>
      <c r="B1122" s="15"/>
      <c r="C1122" s="11">
        <f t="shared" si="52"/>
        <v>1</v>
      </c>
      <c r="D1122" s="11"/>
      <c r="E1122" s="11"/>
      <c r="F1122" s="11"/>
      <c r="G1122" s="89">
        <f>IFERROR(VLOOKUP(F1122,COA!$A$1:$K$26,2,FALSE),0)</f>
        <v>0</v>
      </c>
      <c r="H1122" s="11"/>
      <c r="I1122" s="11"/>
      <c r="J1122" s="78"/>
      <c r="K1122" s="78"/>
      <c r="L1122" s="146">
        <f t="shared" si="54"/>
        <v>504000</v>
      </c>
      <c r="M1122" s="73"/>
      <c r="N1122" s="73"/>
      <c r="O1122" s="73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14.25" customHeight="1" x14ac:dyDescent="0.35">
      <c r="A1123" s="9">
        <f t="shared" si="53"/>
        <v>1115</v>
      </c>
      <c r="B1123" s="15"/>
      <c r="C1123" s="11">
        <f t="shared" si="52"/>
        <v>1</v>
      </c>
      <c r="D1123" s="11"/>
      <c r="E1123" s="11"/>
      <c r="F1123" s="11"/>
      <c r="G1123" s="89">
        <f>IFERROR(VLOOKUP(F1123,COA!$A$1:$K$26,2,FALSE),0)</f>
        <v>0</v>
      </c>
      <c r="H1123" s="11"/>
      <c r="I1123" s="11"/>
      <c r="J1123" s="78"/>
      <c r="K1123" s="78"/>
      <c r="L1123" s="146">
        <f t="shared" si="54"/>
        <v>504000</v>
      </c>
      <c r="M1123" s="73"/>
      <c r="N1123" s="73"/>
      <c r="O1123" s="73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14.25" customHeight="1" x14ac:dyDescent="0.35">
      <c r="A1124" s="9">
        <f t="shared" si="53"/>
        <v>1116</v>
      </c>
      <c r="B1124" s="15"/>
      <c r="C1124" s="11">
        <f t="shared" si="52"/>
        <v>1</v>
      </c>
      <c r="D1124" s="11"/>
      <c r="E1124" s="11"/>
      <c r="F1124" s="11"/>
      <c r="G1124" s="89">
        <f>IFERROR(VLOOKUP(F1124,COA!$A$1:$K$26,2,FALSE),0)</f>
        <v>0</v>
      </c>
      <c r="H1124" s="11"/>
      <c r="I1124" s="11"/>
      <c r="J1124" s="78"/>
      <c r="K1124" s="78"/>
      <c r="L1124" s="146">
        <f t="shared" si="54"/>
        <v>504000</v>
      </c>
      <c r="M1124" s="73"/>
      <c r="N1124" s="73"/>
      <c r="O1124" s="73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14.25" customHeight="1" x14ac:dyDescent="0.35">
      <c r="A1125" s="9">
        <f t="shared" si="53"/>
        <v>1117</v>
      </c>
      <c r="B1125" s="15"/>
      <c r="C1125" s="11">
        <f t="shared" si="52"/>
        <v>1</v>
      </c>
      <c r="D1125" s="11"/>
      <c r="E1125" s="11"/>
      <c r="F1125" s="11"/>
      <c r="G1125" s="89">
        <f>IFERROR(VLOOKUP(F1125,COA!$A$1:$K$26,2,FALSE),0)</f>
        <v>0</v>
      </c>
      <c r="H1125" s="11"/>
      <c r="I1125" s="11"/>
      <c r="J1125" s="78"/>
      <c r="K1125" s="78"/>
      <c r="L1125" s="146">
        <f t="shared" si="54"/>
        <v>504000</v>
      </c>
      <c r="M1125" s="73"/>
      <c r="N1125" s="73"/>
      <c r="O1125" s="73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14.25" customHeight="1" x14ac:dyDescent="0.35">
      <c r="A1126" s="9">
        <f t="shared" si="53"/>
        <v>1118</v>
      </c>
      <c r="B1126" s="15"/>
      <c r="C1126" s="11">
        <f t="shared" si="52"/>
        <v>1</v>
      </c>
      <c r="D1126" s="11"/>
      <c r="E1126" s="11"/>
      <c r="F1126" s="11"/>
      <c r="G1126" s="89">
        <f>IFERROR(VLOOKUP(F1126,COA!$A$1:$K$26,2,FALSE),0)</f>
        <v>0</v>
      </c>
      <c r="H1126" s="11"/>
      <c r="I1126" s="11"/>
      <c r="J1126" s="78"/>
      <c r="K1126" s="78"/>
      <c r="L1126" s="146">
        <f t="shared" si="54"/>
        <v>504000</v>
      </c>
      <c r="M1126" s="73"/>
      <c r="N1126" s="73"/>
      <c r="O1126" s="73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14.25" customHeight="1" x14ac:dyDescent="0.35">
      <c r="A1127" s="9">
        <f t="shared" si="53"/>
        <v>1119</v>
      </c>
      <c r="B1127" s="15"/>
      <c r="C1127" s="11">
        <f t="shared" si="52"/>
        <v>1</v>
      </c>
      <c r="D1127" s="11"/>
      <c r="E1127" s="11"/>
      <c r="F1127" s="11"/>
      <c r="G1127" s="89">
        <f>IFERROR(VLOOKUP(F1127,COA!$A$1:$K$26,2,FALSE),0)</f>
        <v>0</v>
      </c>
      <c r="H1127" s="11"/>
      <c r="I1127" s="11"/>
      <c r="J1127" s="78"/>
      <c r="K1127" s="78"/>
      <c r="L1127" s="146">
        <f t="shared" si="54"/>
        <v>504000</v>
      </c>
      <c r="M1127" s="73"/>
      <c r="N1127" s="73"/>
      <c r="O1127" s="73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14.25" customHeight="1" x14ac:dyDescent="0.35">
      <c r="A1128" s="9">
        <f t="shared" si="53"/>
        <v>1120</v>
      </c>
      <c r="B1128" s="15"/>
      <c r="C1128" s="11">
        <f t="shared" si="52"/>
        <v>1</v>
      </c>
      <c r="D1128" s="11"/>
      <c r="E1128" s="11"/>
      <c r="F1128" s="11"/>
      <c r="G1128" s="89">
        <f>IFERROR(VLOOKUP(F1128,COA!$A$1:$K$26,2,FALSE),0)</f>
        <v>0</v>
      </c>
      <c r="H1128" s="11"/>
      <c r="I1128" s="11"/>
      <c r="J1128" s="78"/>
      <c r="K1128" s="78"/>
      <c r="L1128" s="146">
        <f t="shared" si="54"/>
        <v>504000</v>
      </c>
      <c r="M1128" s="73"/>
      <c r="N1128" s="73"/>
      <c r="O1128" s="73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14.25" customHeight="1" x14ac:dyDescent="0.35">
      <c r="A1129" s="9">
        <f t="shared" si="53"/>
        <v>1121</v>
      </c>
      <c r="B1129" s="15"/>
      <c r="C1129" s="11">
        <f t="shared" si="52"/>
        <v>1</v>
      </c>
      <c r="D1129" s="11"/>
      <c r="E1129" s="11"/>
      <c r="F1129" s="11"/>
      <c r="G1129" s="89">
        <f>IFERROR(VLOOKUP(F1129,COA!$A$1:$K$26,2,FALSE),0)</f>
        <v>0</v>
      </c>
      <c r="H1129" s="11"/>
      <c r="I1129" s="11"/>
      <c r="J1129" s="78"/>
      <c r="K1129" s="78"/>
      <c r="L1129" s="146">
        <f t="shared" si="54"/>
        <v>504000</v>
      </c>
      <c r="M1129" s="73"/>
      <c r="N1129" s="73"/>
      <c r="O1129" s="73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14.25" customHeight="1" x14ac:dyDescent="0.35">
      <c r="A1130" s="9">
        <f t="shared" si="53"/>
        <v>1122</v>
      </c>
      <c r="B1130" s="15"/>
      <c r="C1130" s="11">
        <f t="shared" si="52"/>
        <v>1</v>
      </c>
      <c r="D1130" s="11"/>
      <c r="E1130" s="11"/>
      <c r="F1130" s="11"/>
      <c r="G1130" s="89">
        <f>IFERROR(VLOOKUP(F1130,COA!$A$1:$K$26,2,FALSE),0)</f>
        <v>0</v>
      </c>
      <c r="H1130" s="11"/>
      <c r="I1130" s="11"/>
      <c r="J1130" s="78"/>
      <c r="K1130" s="78"/>
      <c r="L1130" s="146">
        <f t="shared" si="54"/>
        <v>504000</v>
      </c>
      <c r="M1130" s="73"/>
      <c r="N1130" s="73"/>
      <c r="O1130" s="73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14.25" customHeight="1" x14ac:dyDescent="0.35">
      <c r="A1131" s="9">
        <f t="shared" si="53"/>
        <v>1123</v>
      </c>
      <c r="B1131" s="15"/>
      <c r="C1131" s="11">
        <f t="shared" si="52"/>
        <v>1</v>
      </c>
      <c r="D1131" s="11"/>
      <c r="E1131" s="11"/>
      <c r="F1131" s="11"/>
      <c r="G1131" s="89">
        <f>IFERROR(VLOOKUP(F1131,COA!$A$1:$K$26,2,FALSE),0)</f>
        <v>0</v>
      </c>
      <c r="H1131" s="11"/>
      <c r="I1131" s="11"/>
      <c r="J1131" s="78"/>
      <c r="K1131" s="78"/>
      <c r="L1131" s="146">
        <f t="shared" si="54"/>
        <v>504000</v>
      </c>
      <c r="M1131" s="73"/>
      <c r="N1131" s="73"/>
      <c r="O1131" s="73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14.25" customHeight="1" x14ac:dyDescent="0.35">
      <c r="A1132" s="9">
        <f t="shared" si="53"/>
        <v>1124</v>
      </c>
      <c r="B1132" s="15"/>
      <c r="C1132" s="11">
        <f t="shared" si="52"/>
        <v>1</v>
      </c>
      <c r="D1132" s="11"/>
      <c r="E1132" s="11"/>
      <c r="F1132" s="11"/>
      <c r="G1132" s="89">
        <f>IFERROR(VLOOKUP(F1132,COA!$A$1:$K$26,2,FALSE),0)</f>
        <v>0</v>
      </c>
      <c r="H1132" s="11"/>
      <c r="I1132" s="11"/>
      <c r="J1132" s="78"/>
      <c r="K1132" s="78"/>
      <c r="L1132" s="146">
        <f t="shared" si="54"/>
        <v>504000</v>
      </c>
      <c r="M1132" s="73"/>
      <c r="N1132" s="73"/>
      <c r="O1132" s="73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14.25" customHeight="1" x14ac:dyDescent="0.35">
      <c r="A1133" s="9">
        <f t="shared" si="53"/>
        <v>1125</v>
      </c>
      <c r="B1133" s="15"/>
      <c r="C1133" s="11">
        <f t="shared" si="52"/>
        <v>1</v>
      </c>
      <c r="D1133" s="11"/>
      <c r="E1133" s="11"/>
      <c r="F1133" s="11"/>
      <c r="G1133" s="89">
        <f>IFERROR(VLOOKUP(F1133,COA!$A$1:$K$26,2,FALSE),0)</f>
        <v>0</v>
      </c>
      <c r="H1133" s="11"/>
      <c r="I1133" s="11"/>
      <c r="J1133" s="78"/>
      <c r="K1133" s="78"/>
      <c r="L1133" s="146">
        <f t="shared" si="54"/>
        <v>504000</v>
      </c>
      <c r="M1133" s="73"/>
      <c r="N1133" s="73"/>
      <c r="O1133" s="73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14.25" customHeight="1" x14ac:dyDescent="0.35">
      <c r="A1134" s="9">
        <f t="shared" si="53"/>
        <v>1126</v>
      </c>
      <c r="B1134" s="15"/>
      <c r="C1134" s="11">
        <f t="shared" si="52"/>
        <v>1</v>
      </c>
      <c r="D1134" s="11"/>
      <c r="E1134" s="11"/>
      <c r="F1134" s="11"/>
      <c r="G1134" s="89">
        <f>IFERROR(VLOOKUP(F1134,COA!$A$1:$K$26,2,FALSE),0)</f>
        <v>0</v>
      </c>
      <c r="H1134" s="11"/>
      <c r="I1134" s="11"/>
      <c r="J1134" s="78"/>
      <c r="K1134" s="78"/>
      <c r="L1134" s="146">
        <f t="shared" si="54"/>
        <v>504000</v>
      </c>
      <c r="M1134" s="73"/>
      <c r="N1134" s="73"/>
      <c r="O1134" s="73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14.25" customHeight="1" x14ac:dyDescent="0.35">
      <c r="A1135" s="9">
        <f t="shared" si="53"/>
        <v>1127</v>
      </c>
      <c r="B1135" s="15"/>
      <c r="C1135" s="11">
        <f t="shared" si="52"/>
        <v>1</v>
      </c>
      <c r="D1135" s="11"/>
      <c r="E1135" s="11"/>
      <c r="F1135" s="11"/>
      <c r="G1135" s="89">
        <f>IFERROR(VLOOKUP(F1135,COA!$A$1:$K$26,2,FALSE),0)</f>
        <v>0</v>
      </c>
      <c r="H1135" s="11"/>
      <c r="I1135" s="11"/>
      <c r="J1135" s="78"/>
      <c r="K1135" s="78"/>
      <c r="L1135" s="146">
        <f t="shared" si="54"/>
        <v>504000</v>
      </c>
      <c r="M1135" s="73"/>
      <c r="N1135" s="73"/>
      <c r="O1135" s="73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14.25" customHeight="1" x14ac:dyDescent="0.35">
      <c r="A1136" s="9">
        <f t="shared" si="53"/>
        <v>1128</v>
      </c>
      <c r="B1136" s="15"/>
      <c r="C1136" s="11">
        <f t="shared" si="52"/>
        <v>1</v>
      </c>
      <c r="D1136" s="11"/>
      <c r="E1136" s="11"/>
      <c r="F1136" s="11"/>
      <c r="G1136" s="89">
        <f>IFERROR(VLOOKUP(F1136,COA!$A$1:$K$26,2,FALSE),0)</f>
        <v>0</v>
      </c>
      <c r="H1136" s="11"/>
      <c r="I1136" s="11"/>
      <c r="J1136" s="78"/>
      <c r="K1136" s="78"/>
      <c r="L1136" s="146">
        <f t="shared" si="54"/>
        <v>504000</v>
      </c>
      <c r="M1136" s="73"/>
      <c r="N1136" s="73"/>
      <c r="O1136" s="73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14.25" customHeight="1" x14ac:dyDescent="0.35">
      <c r="A1137" s="9">
        <f t="shared" si="53"/>
        <v>1129</v>
      </c>
      <c r="B1137" s="15"/>
      <c r="C1137" s="11">
        <f t="shared" si="52"/>
        <v>1</v>
      </c>
      <c r="D1137" s="11"/>
      <c r="E1137" s="11"/>
      <c r="F1137" s="11"/>
      <c r="G1137" s="89">
        <f>IFERROR(VLOOKUP(F1137,COA!$A$1:$K$26,2,FALSE),0)</f>
        <v>0</v>
      </c>
      <c r="H1137" s="11"/>
      <c r="I1137" s="11"/>
      <c r="J1137" s="78"/>
      <c r="K1137" s="78"/>
      <c r="L1137" s="146">
        <f t="shared" si="54"/>
        <v>504000</v>
      </c>
      <c r="M1137" s="73"/>
      <c r="N1137" s="73"/>
      <c r="O1137" s="73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14.25" customHeight="1" x14ac:dyDescent="0.35">
      <c r="A1138" s="9">
        <f t="shared" si="53"/>
        <v>1130</v>
      </c>
      <c r="B1138" s="15"/>
      <c r="C1138" s="11">
        <f t="shared" si="52"/>
        <v>1</v>
      </c>
      <c r="D1138" s="11"/>
      <c r="E1138" s="11"/>
      <c r="F1138" s="11"/>
      <c r="G1138" s="89">
        <f>IFERROR(VLOOKUP(F1138,COA!$A$1:$K$26,2,FALSE),0)</f>
        <v>0</v>
      </c>
      <c r="H1138" s="11"/>
      <c r="I1138" s="11"/>
      <c r="J1138" s="78"/>
      <c r="K1138" s="78"/>
      <c r="L1138" s="146">
        <f t="shared" si="54"/>
        <v>504000</v>
      </c>
      <c r="M1138" s="73"/>
      <c r="N1138" s="73"/>
      <c r="O1138" s="73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14.25" customHeight="1" x14ac:dyDescent="0.35">
      <c r="A1139" s="9">
        <f t="shared" si="53"/>
        <v>1131</v>
      </c>
      <c r="B1139" s="15"/>
      <c r="C1139" s="11">
        <f t="shared" si="52"/>
        <v>1</v>
      </c>
      <c r="D1139" s="11"/>
      <c r="E1139" s="11"/>
      <c r="F1139" s="11"/>
      <c r="G1139" s="89">
        <f>IFERROR(VLOOKUP(F1139,COA!$A$1:$K$26,2,FALSE),0)</f>
        <v>0</v>
      </c>
      <c r="H1139" s="11"/>
      <c r="I1139" s="11"/>
      <c r="J1139" s="78"/>
      <c r="K1139" s="78"/>
      <c r="L1139" s="146">
        <f t="shared" si="54"/>
        <v>504000</v>
      </c>
      <c r="M1139" s="73"/>
      <c r="N1139" s="73"/>
      <c r="O1139" s="73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14.25" customHeight="1" x14ac:dyDescent="0.35">
      <c r="A1140" s="9">
        <f t="shared" si="53"/>
        <v>1132</v>
      </c>
      <c r="B1140" s="15"/>
      <c r="C1140" s="11">
        <f t="shared" si="52"/>
        <v>1</v>
      </c>
      <c r="D1140" s="11"/>
      <c r="E1140" s="11"/>
      <c r="F1140" s="11"/>
      <c r="G1140" s="89">
        <f>IFERROR(VLOOKUP(F1140,COA!$A$1:$K$26,2,FALSE),0)</f>
        <v>0</v>
      </c>
      <c r="H1140" s="11"/>
      <c r="I1140" s="11"/>
      <c r="J1140" s="78"/>
      <c r="K1140" s="78"/>
      <c r="L1140" s="146">
        <f t="shared" si="54"/>
        <v>504000</v>
      </c>
      <c r="M1140" s="73"/>
      <c r="N1140" s="73"/>
      <c r="O1140" s="73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14.25" customHeight="1" x14ac:dyDescent="0.35">
      <c r="A1141" s="9">
        <f t="shared" si="53"/>
        <v>1133</v>
      </c>
      <c r="B1141" s="15"/>
      <c r="C1141" s="11">
        <f t="shared" si="52"/>
        <v>1</v>
      </c>
      <c r="D1141" s="11"/>
      <c r="E1141" s="11"/>
      <c r="F1141" s="11"/>
      <c r="G1141" s="89">
        <f>IFERROR(VLOOKUP(F1141,COA!$A$1:$K$26,2,FALSE),0)</f>
        <v>0</v>
      </c>
      <c r="H1141" s="11"/>
      <c r="I1141" s="11"/>
      <c r="J1141" s="78"/>
      <c r="K1141" s="78"/>
      <c r="L1141" s="146">
        <f t="shared" si="54"/>
        <v>504000</v>
      </c>
      <c r="M1141" s="73"/>
      <c r="N1141" s="73"/>
      <c r="O1141" s="73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14.25" customHeight="1" x14ac:dyDescent="0.35">
      <c r="A1142" s="9">
        <f t="shared" si="53"/>
        <v>1134</v>
      </c>
      <c r="B1142" s="15"/>
      <c r="C1142" s="11">
        <f t="shared" si="52"/>
        <v>1</v>
      </c>
      <c r="D1142" s="11"/>
      <c r="E1142" s="11"/>
      <c r="F1142" s="11"/>
      <c r="G1142" s="89">
        <f>IFERROR(VLOOKUP(F1142,COA!$A$1:$K$26,2,FALSE),0)</f>
        <v>0</v>
      </c>
      <c r="H1142" s="11"/>
      <c r="I1142" s="11"/>
      <c r="J1142" s="78"/>
      <c r="K1142" s="78"/>
      <c r="L1142" s="146">
        <f t="shared" si="54"/>
        <v>504000</v>
      </c>
      <c r="M1142" s="73"/>
      <c r="N1142" s="73"/>
      <c r="O1142" s="73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14.25" customHeight="1" x14ac:dyDescent="0.35">
      <c r="A1143" s="9">
        <f t="shared" si="53"/>
        <v>1135</v>
      </c>
      <c r="B1143" s="15"/>
      <c r="C1143" s="11">
        <f t="shared" si="52"/>
        <v>1</v>
      </c>
      <c r="D1143" s="11"/>
      <c r="E1143" s="11"/>
      <c r="F1143" s="11"/>
      <c r="G1143" s="89">
        <f>IFERROR(VLOOKUP(F1143,COA!$A$1:$K$26,2,FALSE),0)</f>
        <v>0</v>
      </c>
      <c r="H1143" s="11"/>
      <c r="I1143" s="11"/>
      <c r="J1143" s="78"/>
      <c r="K1143" s="78"/>
      <c r="L1143" s="146">
        <f t="shared" si="54"/>
        <v>504000</v>
      </c>
      <c r="M1143" s="73"/>
      <c r="N1143" s="73"/>
      <c r="O1143" s="73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14.25" customHeight="1" x14ac:dyDescent="0.35">
      <c r="A1144" s="9">
        <f t="shared" si="53"/>
        <v>1136</v>
      </c>
      <c r="B1144" s="15"/>
      <c r="C1144" s="11">
        <f t="shared" si="52"/>
        <v>1</v>
      </c>
      <c r="D1144" s="11"/>
      <c r="E1144" s="11"/>
      <c r="F1144" s="11"/>
      <c r="G1144" s="89">
        <f>IFERROR(VLOOKUP(F1144,COA!$A$1:$K$26,2,FALSE),0)</f>
        <v>0</v>
      </c>
      <c r="H1144" s="11"/>
      <c r="I1144" s="11"/>
      <c r="J1144" s="78"/>
      <c r="K1144" s="78"/>
      <c r="L1144" s="146">
        <f t="shared" si="54"/>
        <v>504000</v>
      </c>
      <c r="M1144" s="73"/>
      <c r="N1144" s="73"/>
      <c r="O1144" s="73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14.25" customHeight="1" x14ac:dyDescent="0.35">
      <c r="A1145" s="9">
        <f t="shared" si="53"/>
        <v>1137</v>
      </c>
      <c r="B1145" s="15"/>
      <c r="C1145" s="11">
        <f t="shared" si="52"/>
        <v>1</v>
      </c>
      <c r="D1145" s="11"/>
      <c r="E1145" s="11"/>
      <c r="F1145" s="11"/>
      <c r="G1145" s="89">
        <f>IFERROR(VLOOKUP(F1145,COA!$A$1:$K$26,2,FALSE),0)</f>
        <v>0</v>
      </c>
      <c r="H1145" s="11"/>
      <c r="I1145" s="11"/>
      <c r="J1145" s="78"/>
      <c r="K1145" s="78"/>
      <c r="L1145" s="146">
        <f t="shared" si="54"/>
        <v>504000</v>
      </c>
      <c r="M1145" s="73"/>
      <c r="N1145" s="73"/>
      <c r="O1145" s="73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14.25" customHeight="1" x14ac:dyDescent="0.35">
      <c r="A1146" s="9">
        <f t="shared" si="53"/>
        <v>1138</v>
      </c>
      <c r="B1146" s="15"/>
      <c r="C1146" s="11">
        <f t="shared" si="52"/>
        <v>1</v>
      </c>
      <c r="D1146" s="11"/>
      <c r="E1146" s="11"/>
      <c r="F1146" s="11"/>
      <c r="G1146" s="89">
        <f>IFERROR(VLOOKUP(F1146,COA!$A$1:$K$26,2,FALSE),0)</f>
        <v>0</v>
      </c>
      <c r="H1146" s="11"/>
      <c r="I1146" s="11"/>
      <c r="J1146" s="78"/>
      <c r="K1146" s="78"/>
      <c r="L1146" s="146">
        <f t="shared" si="54"/>
        <v>504000</v>
      </c>
      <c r="M1146" s="73"/>
      <c r="N1146" s="73"/>
      <c r="O1146" s="73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14.25" customHeight="1" x14ac:dyDescent="0.35">
      <c r="A1147" s="9">
        <f t="shared" si="53"/>
        <v>1139</v>
      </c>
      <c r="B1147" s="15"/>
      <c r="C1147" s="11">
        <f t="shared" si="52"/>
        <v>1</v>
      </c>
      <c r="D1147" s="11"/>
      <c r="E1147" s="11"/>
      <c r="F1147" s="11"/>
      <c r="G1147" s="89">
        <f>IFERROR(VLOOKUP(F1147,COA!$A$1:$K$26,2,FALSE),0)</f>
        <v>0</v>
      </c>
      <c r="H1147" s="11"/>
      <c r="I1147" s="11"/>
      <c r="J1147" s="78"/>
      <c r="K1147" s="78"/>
      <c r="L1147" s="146">
        <f t="shared" si="54"/>
        <v>504000</v>
      </c>
      <c r="M1147" s="73"/>
      <c r="N1147" s="73"/>
      <c r="O1147" s="73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14.25" customHeight="1" x14ac:dyDescent="0.35">
      <c r="A1148" s="9">
        <f t="shared" si="53"/>
        <v>1140</v>
      </c>
      <c r="B1148" s="15"/>
      <c r="C1148" s="11">
        <f t="shared" si="52"/>
        <v>1</v>
      </c>
      <c r="D1148" s="11"/>
      <c r="E1148" s="11"/>
      <c r="F1148" s="11"/>
      <c r="G1148" s="89">
        <f>IFERROR(VLOOKUP(F1148,COA!$A$1:$K$26,2,FALSE),0)</f>
        <v>0</v>
      </c>
      <c r="H1148" s="11"/>
      <c r="I1148" s="11"/>
      <c r="J1148" s="78"/>
      <c r="K1148" s="78"/>
      <c r="L1148" s="146">
        <f t="shared" si="54"/>
        <v>504000</v>
      </c>
      <c r="M1148" s="73"/>
      <c r="N1148" s="73"/>
      <c r="O1148" s="73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14.25" customHeight="1" x14ac:dyDescent="0.35">
      <c r="A1149" s="9">
        <f t="shared" si="53"/>
        <v>1141</v>
      </c>
      <c r="B1149" s="15"/>
      <c r="C1149" s="11">
        <f t="shared" si="52"/>
        <v>1</v>
      </c>
      <c r="D1149" s="11"/>
      <c r="E1149" s="11"/>
      <c r="F1149" s="11"/>
      <c r="G1149" s="89">
        <f>IFERROR(VLOOKUP(F1149,COA!$A$1:$K$26,2,FALSE),0)</f>
        <v>0</v>
      </c>
      <c r="H1149" s="11"/>
      <c r="I1149" s="11"/>
      <c r="J1149" s="78"/>
      <c r="K1149" s="78"/>
      <c r="L1149" s="146">
        <f t="shared" si="54"/>
        <v>504000</v>
      </c>
      <c r="M1149" s="73"/>
      <c r="N1149" s="73"/>
      <c r="O1149" s="73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14.25" customHeight="1" x14ac:dyDescent="0.35">
      <c r="A1150" s="9">
        <f t="shared" si="53"/>
        <v>1142</v>
      </c>
      <c r="B1150" s="15"/>
      <c r="C1150" s="11">
        <f t="shared" si="52"/>
        <v>1</v>
      </c>
      <c r="D1150" s="11"/>
      <c r="E1150" s="11"/>
      <c r="F1150" s="11"/>
      <c r="G1150" s="89">
        <f>IFERROR(VLOOKUP(F1150,COA!$A$1:$K$26,2,FALSE),0)</f>
        <v>0</v>
      </c>
      <c r="H1150" s="11"/>
      <c r="I1150" s="11"/>
      <c r="J1150" s="78"/>
      <c r="K1150" s="78"/>
      <c r="L1150" s="146">
        <f t="shared" si="54"/>
        <v>504000</v>
      </c>
      <c r="M1150" s="73"/>
      <c r="N1150" s="73"/>
      <c r="O1150" s="73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14.25" customHeight="1" x14ac:dyDescent="0.35">
      <c r="A1151" s="9">
        <f t="shared" si="53"/>
        <v>1143</v>
      </c>
      <c r="B1151" s="15"/>
      <c r="C1151" s="11">
        <f t="shared" si="52"/>
        <v>1</v>
      </c>
      <c r="D1151" s="11"/>
      <c r="E1151" s="11"/>
      <c r="F1151" s="11"/>
      <c r="G1151" s="89">
        <f>IFERROR(VLOOKUP(F1151,COA!$A$1:$K$26,2,FALSE),0)</f>
        <v>0</v>
      </c>
      <c r="H1151" s="11"/>
      <c r="I1151" s="11"/>
      <c r="J1151" s="78"/>
      <c r="K1151" s="78"/>
      <c r="L1151" s="146">
        <f t="shared" si="54"/>
        <v>504000</v>
      </c>
      <c r="M1151" s="73"/>
      <c r="N1151" s="73"/>
      <c r="O1151" s="73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14.25" customHeight="1" x14ac:dyDescent="0.35">
      <c r="A1152" s="9">
        <f t="shared" si="53"/>
        <v>1144</v>
      </c>
      <c r="B1152" s="15"/>
      <c r="C1152" s="11">
        <f t="shared" si="52"/>
        <v>1</v>
      </c>
      <c r="D1152" s="11"/>
      <c r="E1152" s="11"/>
      <c r="F1152" s="11"/>
      <c r="G1152" s="89">
        <f>IFERROR(VLOOKUP(F1152,COA!$A$1:$K$26,2,FALSE),0)</f>
        <v>0</v>
      </c>
      <c r="H1152" s="11"/>
      <c r="I1152" s="11"/>
      <c r="J1152" s="78"/>
      <c r="K1152" s="78"/>
      <c r="L1152" s="146">
        <f t="shared" si="54"/>
        <v>504000</v>
      </c>
      <c r="M1152" s="73"/>
      <c r="N1152" s="73"/>
      <c r="O1152" s="73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14.25" customHeight="1" x14ac:dyDescent="0.35">
      <c r="A1153" s="9">
        <f t="shared" si="53"/>
        <v>1145</v>
      </c>
      <c r="B1153" s="15"/>
      <c r="C1153" s="11">
        <f t="shared" si="52"/>
        <v>1</v>
      </c>
      <c r="D1153" s="11"/>
      <c r="E1153" s="11"/>
      <c r="F1153" s="11"/>
      <c r="G1153" s="89">
        <f>IFERROR(VLOOKUP(F1153,COA!$A$1:$K$26,2,FALSE),0)</f>
        <v>0</v>
      </c>
      <c r="H1153" s="11"/>
      <c r="I1153" s="11"/>
      <c r="J1153" s="78"/>
      <c r="K1153" s="78"/>
      <c r="L1153" s="146">
        <f t="shared" si="54"/>
        <v>504000</v>
      </c>
      <c r="M1153" s="73"/>
      <c r="N1153" s="73"/>
      <c r="O1153" s="73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14.25" customHeight="1" x14ac:dyDescent="0.35">
      <c r="A1154" s="9">
        <f t="shared" si="53"/>
        <v>1146</v>
      </c>
      <c r="B1154" s="15"/>
      <c r="C1154" s="11">
        <f t="shared" si="52"/>
        <v>1</v>
      </c>
      <c r="D1154" s="11"/>
      <c r="E1154" s="11"/>
      <c r="F1154" s="11"/>
      <c r="G1154" s="89">
        <f>IFERROR(VLOOKUP(F1154,COA!$A$1:$K$26,2,FALSE),0)</f>
        <v>0</v>
      </c>
      <c r="H1154" s="11"/>
      <c r="I1154" s="11"/>
      <c r="J1154" s="78"/>
      <c r="K1154" s="78"/>
      <c r="L1154" s="146">
        <f t="shared" si="54"/>
        <v>504000</v>
      </c>
      <c r="M1154" s="73"/>
      <c r="N1154" s="73"/>
      <c r="O1154" s="73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14.25" customHeight="1" x14ac:dyDescent="0.35">
      <c r="A1155" s="9">
        <f t="shared" si="53"/>
        <v>1147</v>
      </c>
      <c r="B1155" s="15"/>
      <c r="C1155" s="11">
        <f t="shared" si="52"/>
        <v>1</v>
      </c>
      <c r="D1155" s="11"/>
      <c r="E1155" s="11"/>
      <c r="F1155" s="11"/>
      <c r="G1155" s="89">
        <f>IFERROR(VLOOKUP(F1155,COA!$A$1:$K$26,2,FALSE),0)</f>
        <v>0</v>
      </c>
      <c r="H1155" s="11"/>
      <c r="I1155" s="11"/>
      <c r="J1155" s="78"/>
      <c r="K1155" s="78"/>
      <c r="L1155" s="146">
        <f t="shared" si="54"/>
        <v>504000</v>
      </c>
      <c r="M1155" s="73"/>
      <c r="N1155" s="73"/>
      <c r="O1155" s="73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14.25" customHeight="1" x14ac:dyDescent="0.35">
      <c r="A1156" s="9">
        <f t="shared" si="53"/>
        <v>1148</v>
      </c>
      <c r="B1156" s="15"/>
      <c r="C1156" s="11">
        <f t="shared" si="52"/>
        <v>1</v>
      </c>
      <c r="D1156" s="11"/>
      <c r="E1156" s="11"/>
      <c r="F1156" s="11"/>
      <c r="G1156" s="89">
        <f>IFERROR(VLOOKUP(F1156,COA!$A$1:$K$26,2,FALSE),0)</f>
        <v>0</v>
      </c>
      <c r="H1156" s="11"/>
      <c r="I1156" s="11"/>
      <c r="J1156" s="78"/>
      <c r="K1156" s="78"/>
      <c r="L1156" s="146">
        <f t="shared" si="54"/>
        <v>504000</v>
      </c>
      <c r="M1156" s="73"/>
      <c r="N1156" s="73"/>
      <c r="O1156" s="73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14.25" customHeight="1" x14ac:dyDescent="0.35">
      <c r="A1157" s="9">
        <f t="shared" si="53"/>
        <v>1149</v>
      </c>
      <c r="B1157" s="15"/>
      <c r="C1157" s="11">
        <f t="shared" si="52"/>
        <v>1</v>
      </c>
      <c r="D1157" s="11"/>
      <c r="E1157" s="11"/>
      <c r="F1157" s="11"/>
      <c r="G1157" s="89">
        <f>IFERROR(VLOOKUP(F1157,COA!$A$1:$K$26,2,FALSE),0)</f>
        <v>0</v>
      </c>
      <c r="H1157" s="11"/>
      <c r="I1157" s="11"/>
      <c r="J1157" s="78"/>
      <c r="K1157" s="78"/>
      <c r="L1157" s="146">
        <f t="shared" si="54"/>
        <v>504000</v>
      </c>
      <c r="M1157" s="73"/>
      <c r="N1157" s="73"/>
      <c r="O1157" s="73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14.25" customHeight="1" x14ac:dyDescent="0.35">
      <c r="A1158" s="9">
        <f t="shared" si="53"/>
        <v>1150</v>
      </c>
      <c r="B1158" s="15"/>
      <c r="C1158" s="11">
        <f t="shared" si="52"/>
        <v>1</v>
      </c>
      <c r="D1158" s="11"/>
      <c r="E1158" s="11"/>
      <c r="F1158" s="11"/>
      <c r="G1158" s="89">
        <f>IFERROR(VLOOKUP(F1158,COA!$A$1:$K$26,2,FALSE),0)</f>
        <v>0</v>
      </c>
      <c r="H1158" s="11"/>
      <c r="I1158" s="11"/>
      <c r="J1158" s="78"/>
      <c r="K1158" s="78"/>
      <c r="L1158" s="146">
        <f t="shared" si="54"/>
        <v>504000</v>
      </c>
      <c r="M1158" s="73"/>
      <c r="N1158" s="73"/>
      <c r="O1158" s="73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14.25" customHeight="1" x14ac:dyDescent="0.35">
      <c r="A1159" s="9">
        <f t="shared" si="53"/>
        <v>1151</v>
      </c>
      <c r="B1159" s="15"/>
      <c r="C1159" s="11">
        <f t="shared" si="52"/>
        <v>1</v>
      </c>
      <c r="D1159" s="11"/>
      <c r="E1159" s="11"/>
      <c r="F1159" s="11"/>
      <c r="G1159" s="89">
        <f>IFERROR(VLOOKUP(F1159,COA!$A$1:$K$26,2,FALSE),0)</f>
        <v>0</v>
      </c>
      <c r="H1159" s="11"/>
      <c r="I1159" s="11"/>
      <c r="J1159" s="78"/>
      <c r="K1159" s="78"/>
      <c r="L1159" s="146">
        <f t="shared" si="54"/>
        <v>504000</v>
      </c>
      <c r="M1159" s="73"/>
      <c r="N1159" s="73"/>
      <c r="O1159" s="73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14.25" customHeight="1" x14ac:dyDescent="0.35">
      <c r="A1160" s="9">
        <f t="shared" si="53"/>
        <v>1152</v>
      </c>
      <c r="B1160" s="15"/>
      <c r="C1160" s="11">
        <f t="shared" ref="C1160:C1223" si="55">MONTH(B1160)</f>
        <v>1</v>
      </c>
      <c r="D1160" s="11"/>
      <c r="E1160" s="11"/>
      <c r="F1160" s="11"/>
      <c r="G1160" s="89">
        <f>IFERROR(VLOOKUP(F1160,COA!$A$1:$K$26,2,FALSE),0)</f>
        <v>0</v>
      </c>
      <c r="H1160" s="11"/>
      <c r="I1160" s="11"/>
      <c r="J1160" s="78"/>
      <c r="K1160" s="78"/>
      <c r="L1160" s="146">
        <f t="shared" si="54"/>
        <v>504000</v>
      </c>
      <c r="M1160" s="73"/>
      <c r="N1160" s="73"/>
      <c r="O1160" s="73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14.25" customHeight="1" x14ac:dyDescent="0.35">
      <c r="A1161" s="9">
        <f t="shared" si="53"/>
        <v>1153</v>
      </c>
      <c r="B1161" s="15"/>
      <c r="C1161" s="11">
        <f t="shared" si="55"/>
        <v>1</v>
      </c>
      <c r="D1161" s="11"/>
      <c r="E1161" s="11"/>
      <c r="F1161" s="11"/>
      <c r="G1161" s="89">
        <f>IFERROR(VLOOKUP(F1161,COA!$A$1:$K$26,2,FALSE),0)</f>
        <v>0</v>
      </c>
      <c r="H1161" s="11"/>
      <c r="I1161" s="11"/>
      <c r="J1161" s="78"/>
      <c r="K1161" s="78"/>
      <c r="L1161" s="146">
        <f t="shared" si="54"/>
        <v>504000</v>
      </c>
      <c r="M1161" s="73"/>
      <c r="N1161" s="73"/>
      <c r="O1161" s="73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14.25" customHeight="1" x14ac:dyDescent="0.35">
      <c r="A1162" s="9">
        <f t="shared" si="53"/>
        <v>1154</v>
      </c>
      <c r="B1162" s="15"/>
      <c r="C1162" s="11">
        <f t="shared" si="55"/>
        <v>1</v>
      </c>
      <c r="D1162" s="11"/>
      <c r="E1162" s="11"/>
      <c r="F1162" s="11"/>
      <c r="G1162" s="89">
        <f>IFERROR(VLOOKUP(F1162,COA!$A$1:$K$26,2,FALSE),0)</f>
        <v>0</v>
      </c>
      <c r="H1162" s="11"/>
      <c r="I1162" s="11"/>
      <c r="J1162" s="78"/>
      <c r="K1162" s="78"/>
      <c r="L1162" s="146">
        <f t="shared" si="54"/>
        <v>504000</v>
      </c>
      <c r="M1162" s="73"/>
      <c r="N1162" s="73"/>
      <c r="O1162" s="73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14.25" customHeight="1" x14ac:dyDescent="0.35">
      <c r="A1163" s="9">
        <f t="shared" ref="A1163:A1226" si="56">A1162+1</f>
        <v>1155</v>
      </c>
      <c r="B1163" s="15"/>
      <c r="C1163" s="11">
        <f t="shared" si="55"/>
        <v>1</v>
      </c>
      <c r="D1163" s="11"/>
      <c r="E1163" s="11"/>
      <c r="F1163" s="11"/>
      <c r="G1163" s="89">
        <f>IFERROR(VLOOKUP(F1163,COA!$A$1:$K$26,2,FALSE),0)</f>
        <v>0</v>
      </c>
      <c r="H1163" s="11"/>
      <c r="I1163" s="11"/>
      <c r="J1163" s="78"/>
      <c r="K1163" s="78"/>
      <c r="L1163" s="146">
        <f t="shared" ref="L1163:L1226" si="57">L1162+J1163-K1163</f>
        <v>504000</v>
      </c>
      <c r="M1163" s="73"/>
      <c r="N1163" s="73"/>
      <c r="O1163" s="73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14.25" customHeight="1" x14ac:dyDescent="0.35">
      <c r="A1164" s="9">
        <f t="shared" si="56"/>
        <v>1156</v>
      </c>
      <c r="B1164" s="15"/>
      <c r="C1164" s="11">
        <f t="shared" si="55"/>
        <v>1</v>
      </c>
      <c r="D1164" s="11"/>
      <c r="E1164" s="11"/>
      <c r="F1164" s="11"/>
      <c r="G1164" s="89">
        <f>IFERROR(VLOOKUP(F1164,COA!$A$1:$K$26,2,FALSE),0)</f>
        <v>0</v>
      </c>
      <c r="H1164" s="11"/>
      <c r="I1164" s="11"/>
      <c r="J1164" s="78"/>
      <c r="K1164" s="78"/>
      <c r="L1164" s="146">
        <f t="shared" si="57"/>
        <v>504000</v>
      </c>
      <c r="M1164" s="73"/>
      <c r="N1164" s="73"/>
      <c r="O1164" s="73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14.25" customHeight="1" x14ac:dyDescent="0.35">
      <c r="A1165" s="9">
        <f t="shared" si="56"/>
        <v>1157</v>
      </c>
      <c r="B1165" s="15"/>
      <c r="C1165" s="11">
        <f t="shared" si="55"/>
        <v>1</v>
      </c>
      <c r="D1165" s="11"/>
      <c r="E1165" s="11"/>
      <c r="F1165" s="11"/>
      <c r="G1165" s="89">
        <f>IFERROR(VLOOKUP(F1165,COA!$A$1:$K$26,2,FALSE),0)</f>
        <v>0</v>
      </c>
      <c r="H1165" s="11"/>
      <c r="I1165" s="11"/>
      <c r="J1165" s="78"/>
      <c r="K1165" s="78"/>
      <c r="L1165" s="146">
        <f t="shared" si="57"/>
        <v>504000</v>
      </c>
      <c r="M1165" s="73"/>
      <c r="N1165" s="73"/>
      <c r="O1165" s="73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14.25" customHeight="1" x14ac:dyDescent="0.35">
      <c r="A1166" s="9">
        <f t="shared" si="56"/>
        <v>1158</v>
      </c>
      <c r="B1166" s="15"/>
      <c r="C1166" s="11">
        <f t="shared" si="55"/>
        <v>1</v>
      </c>
      <c r="D1166" s="11"/>
      <c r="E1166" s="11"/>
      <c r="F1166" s="11"/>
      <c r="G1166" s="89">
        <f>IFERROR(VLOOKUP(F1166,COA!$A$1:$K$26,2,FALSE),0)</f>
        <v>0</v>
      </c>
      <c r="H1166" s="11"/>
      <c r="I1166" s="11"/>
      <c r="J1166" s="78"/>
      <c r="K1166" s="78"/>
      <c r="L1166" s="146">
        <f t="shared" si="57"/>
        <v>504000</v>
      </c>
      <c r="M1166" s="73"/>
      <c r="N1166" s="73"/>
      <c r="O1166" s="73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14.25" customHeight="1" x14ac:dyDescent="0.35">
      <c r="A1167" s="9">
        <f t="shared" si="56"/>
        <v>1159</v>
      </c>
      <c r="B1167" s="15"/>
      <c r="C1167" s="11">
        <f t="shared" si="55"/>
        <v>1</v>
      </c>
      <c r="D1167" s="11"/>
      <c r="E1167" s="11"/>
      <c r="F1167" s="11"/>
      <c r="G1167" s="89">
        <f>IFERROR(VLOOKUP(F1167,COA!$A$1:$K$26,2,FALSE),0)</f>
        <v>0</v>
      </c>
      <c r="H1167" s="11"/>
      <c r="I1167" s="11"/>
      <c r="J1167" s="78"/>
      <c r="K1167" s="78"/>
      <c r="L1167" s="146">
        <f t="shared" si="57"/>
        <v>504000</v>
      </c>
      <c r="M1167" s="73"/>
      <c r="N1167" s="73"/>
      <c r="O1167" s="73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14.25" customHeight="1" x14ac:dyDescent="0.35">
      <c r="A1168" s="9">
        <f t="shared" si="56"/>
        <v>1160</v>
      </c>
      <c r="B1168" s="15"/>
      <c r="C1168" s="11">
        <f t="shared" si="55"/>
        <v>1</v>
      </c>
      <c r="D1168" s="11"/>
      <c r="E1168" s="11"/>
      <c r="F1168" s="11"/>
      <c r="G1168" s="89">
        <f>IFERROR(VLOOKUP(F1168,COA!$A$1:$K$26,2,FALSE),0)</f>
        <v>0</v>
      </c>
      <c r="H1168" s="11"/>
      <c r="I1168" s="11"/>
      <c r="J1168" s="78"/>
      <c r="K1168" s="78"/>
      <c r="L1168" s="146">
        <f t="shared" si="57"/>
        <v>504000</v>
      </c>
      <c r="M1168" s="73"/>
      <c r="N1168" s="73"/>
      <c r="O1168" s="73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14.25" customHeight="1" x14ac:dyDescent="0.35">
      <c r="A1169" s="9">
        <f t="shared" si="56"/>
        <v>1161</v>
      </c>
      <c r="B1169" s="15"/>
      <c r="C1169" s="11">
        <f t="shared" si="55"/>
        <v>1</v>
      </c>
      <c r="D1169" s="11"/>
      <c r="E1169" s="11"/>
      <c r="F1169" s="11"/>
      <c r="G1169" s="89">
        <f>IFERROR(VLOOKUP(F1169,COA!$A$1:$K$26,2,FALSE),0)</f>
        <v>0</v>
      </c>
      <c r="H1169" s="11"/>
      <c r="I1169" s="11"/>
      <c r="J1169" s="78"/>
      <c r="K1169" s="78"/>
      <c r="L1169" s="146">
        <f t="shared" si="57"/>
        <v>504000</v>
      </c>
      <c r="M1169" s="73"/>
      <c r="N1169" s="73"/>
      <c r="O1169" s="73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14.25" customHeight="1" x14ac:dyDescent="0.35">
      <c r="A1170" s="9">
        <f t="shared" si="56"/>
        <v>1162</v>
      </c>
      <c r="B1170" s="15"/>
      <c r="C1170" s="11">
        <f t="shared" si="55"/>
        <v>1</v>
      </c>
      <c r="D1170" s="11"/>
      <c r="E1170" s="11"/>
      <c r="F1170" s="11"/>
      <c r="G1170" s="89">
        <f>IFERROR(VLOOKUP(F1170,COA!$A$1:$K$26,2,FALSE),0)</f>
        <v>0</v>
      </c>
      <c r="H1170" s="11"/>
      <c r="I1170" s="11"/>
      <c r="J1170" s="78"/>
      <c r="K1170" s="78"/>
      <c r="L1170" s="146">
        <f t="shared" si="57"/>
        <v>504000</v>
      </c>
      <c r="M1170" s="73"/>
      <c r="N1170" s="73"/>
      <c r="O1170" s="73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14.25" customHeight="1" x14ac:dyDescent="0.35">
      <c r="A1171" s="9">
        <f t="shared" si="56"/>
        <v>1163</v>
      </c>
      <c r="B1171" s="15"/>
      <c r="C1171" s="11">
        <f t="shared" si="55"/>
        <v>1</v>
      </c>
      <c r="D1171" s="11"/>
      <c r="E1171" s="11"/>
      <c r="F1171" s="11"/>
      <c r="G1171" s="89">
        <f>IFERROR(VLOOKUP(F1171,COA!$A$1:$K$26,2,FALSE),0)</f>
        <v>0</v>
      </c>
      <c r="H1171" s="11"/>
      <c r="I1171" s="11"/>
      <c r="J1171" s="78"/>
      <c r="K1171" s="78"/>
      <c r="L1171" s="146">
        <f t="shared" si="57"/>
        <v>504000</v>
      </c>
      <c r="M1171" s="73"/>
      <c r="N1171" s="73"/>
      <c r="O1171" s="73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14.25" customHeight="1" x14ac:dyDescent="0.35">
      <c r="A1172" s="9">
        <f t="shared" si="56"/>
        <v>1164</v>
      </c>
      <c r="B1172" s="15"/>
      <c r="C1172" s="11">
        <f t="shared" si="55"/>
        <v>1</v>
      </c>
      <c r="D1172" s="11"/>
      <c r="E1172" s="11"/>
      <c r="F1172" s="11"/>
      <c r="G1172" s="89">
        <f>IFERROR(VLOOKUP(F1172,COA!$A$1:$K$26,2,FALSE),0)</f>
        <v>0</v>
      </c>
      <c r="H1172" s="11"/>
      <c r="I1172" s="11"/>
      <c r="J1172" s="78"/>
      <c r="K1172" s="78"/>
      <c r="L1172" s="146">
        <f t="shared" si="57"/>
        <v>504000</v>
      </c>
      <c r="M1172" s="73"/>
      <c r="N1172" s="73"/>
      <c r="O1172" s="73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14.25" customHeight="1" x14ac:dyDescent="0.35">
      <c r="A1173" s="9">
        <f t="shared" si="56"/>
        <v>1165</v>
      </c>
      <c r="B1173" s="15"/>
      <c r="C1173" s="11">
        <f t="shared" si="55"/>
        <v>1</v>
      </c>
      <c r="D1173" s="11"/>
      <c r="E1173" s="11"/>
      <c r="F1173" s="11"/>
      <c r="G1173" s="89">
        <f>IFERROR(VLOOKUP(F1173,COA!$A$1:$K$26,2,FALSE),0)</f>
        <v>0</v>
      </c>
      <c r="H1173" s="11"/>
      <c r="I1173" s="11"/>
      <c r="J1173" s="78"/>
      <c r="K1173" s="78"/>
      <c r="L1173" s="146">
        <f t="shared" si="57"/>
        <v>504000</v>
      </c>
      <c r="M1173" s="73"/>
      <c r="N1173" s="73"/>
      <c r="O1173" s="73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14.25" customHeight="1" x14ac:dyDescent="0.35">
      <c r="A1174" s="9">
        <f t="shared" si="56"/>
        <v>1166</v>
      </c>
      <c r="B1174" s="15"/>
      <c r="C1174" s="11">
        <f t="shared" si="55"/>
        <v>1</v>
      </c>
      <c r="D1174" s="11"/>
      <c r="E1174" s="11"/>
      <c r="F1174" s="11"/>
      <c r="G1174" s="89">
        <f>IFERROR(VLOOKUP(F1174,COA!$A$1:$K$26,2,FALSE),0)</f>
        <v>0</v>
      </c>
      <c r="H1174" s="11"/>
      <c r="I1174" s="11"/>
      <c r="J1174" s="78"/>
      <c r="K1174" s="78"/>
      <c r="L1174" s="146">
        <f t="shared" si="57"/>
        <v>504000</v>
      </c>
      <c r="M1174" s="73"/>
      <c r="N1174" s="73"/>
      <c r="O1174" s="73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14.25" customHeight="1" x14ac:dyDescent="0.35">
      <c r="A1175" s="9">
        <f t="shared" si="56"/>
        <v>1167</v>
      </c>
      <c r="B1175" s="15"/>
      <c r="C1175" s="11">
        <f t="shared" si="55"/>
        <v>1</v>
      </c>
      <c r="D1175" s="11"/>
      <c r="E1175" s="11"/>
      <c r="F1175" s="11"/>
      <c r="G1175" s="89">
        <f>IFERROR(VLOOKUP(F1175,COA!$A$1:$K$26,2,FALSE),0)</f>
        <v>0</v>
      </c>
      <c r="H1175" s="11"/>
      <c r="I1175" s="11"/>
      <c r="J1175" s="78"/>
      <c r="K1175" s="78"/>
      <c r="L1175" s="146">
        <f t="shared" si="57"/>
        <v>504000</v>
      </c>
      <c r="M1175" s="73"/>
      <c r="N1175" s="73"/>
      <c r="O1175" s="73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14.25" customHeight="1" x14ac:dyDescent="0.35">
      <c r="A1176" s="9">
        <f t="shared" si="56"/>
        <v>1168</v>
      </c>
      <c r="B1176" s="15"/>
      <c r="C1176" s="11">
        <f t="shared" si="55"/>
        <v>1</v>
      </c>
      <c r="D1176" s="11"/>
      <c r="E1176" s="11"/>
      <c r="F1176" s="11"/>
      <c r="G1176" s="89">
        <f>IFERROR(VLOOKUP(F1176,COA!$A$1:$K$26,2,FALSE),0)</f>
        <v>0</v>
      </c>
      <c r="H1176" s="11"/>
      <c r="I1176" s="11"/>
      <c r="J1176" s="78"/>
      <c r="K1176" s="78"/>
      <c r="L1176" s="146">
        <f t="shared" si="57"/>
        <v>504000</v>
      </c>
      <c r="M1176" s="73"/>
      <c r="N1176" s="73"/>
      <c r="O1176" s="73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14.25" customHeight="1" x14ac:dyDescent="0.35">
      <c r="A1177" s="9">
        <f t="shared" si="56"/>
        <v>1169</v>
      </c>
      <c r="B1177" s="15"/>
      <c r="C1177" s="11">
        <f t="shared" si="55"/>
        <v>1</v>
      </c>
      <c r="D1177" s="11"/>
      <c r="E1177" s="11"/>
      <c r="F1177" s="11"/>
      <c r="G1177" s="89">
        <f>IFERROR(VLOOKUP(F1177,COA!$A$1:$K$26,2,FALSE),0)</f>
        <v>0</v>
      </c>
      <c r="H1177" s="11"/>
      <c r="I1177" s="11"/>
      <c r="J1177" s="78"/>
      <c r="K1177" s="78"/>
      <c r="L1177" s="146">
        <f t="shared" si="57"/>
        <v>504000</v>
      </c>
      <c r="M1177" s="73"/>
      <c r="N1177" s="73"/>
      <c r="O1177" s="73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14.25" customHeight="1" x14ac:dyDescent="0.35">
      <c r="A1178" s="9">
        <f t="shared" si="56"/>
        <v>1170</v>
      </c>
      <c r="B1178" s="15"/>
      <c r="C1178" s="11">
        <f t="shared" si="55"/>
        <v>1</v>
      </c>
      <c r="D1178" s="11"/>
      <c r="E1178" s="11"/>
      <c r="F1178" s="11"/>
      <c r="G1178" s="89">
        <f>IFERROR(VLOOKUP(F1178,COA!$A$1:$K$26,2,FALSE),0)</f>
        <v>0</v>
      </c>
      <c r="H1178" s="11"/>
      <c r="I1178" s="11"/>
      <c r="J1178" s="78"/>
      <c r="K1178" s="78"/>
      <c r="L1178" s="146">
        <f t="shared" si="57"/>
        <v>504000</v>
      </c>
      <c r="M1178" s="73"/>
      <c r="N1178" s="73"/>
      <c r="O1178" s="73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14.25" customHeight="1" x14ac:dyDescent="0.35">
      <c r="A1179" s="9">
        <f t="shared" si="56"/>
        <v>1171</v>
      </c>
      <c r="B1179" s="15"/>
      <c r="C1179" s="11">
        <f t="shared" si="55"/>
        <v>1</v>
      </c>
      <c r="D1179" s="11"/>
      <c r="E1179" s="11"/>
      <c r="F1179" s="11"/>
      <c r="G1179" s="89">
        <f>IFERROR(VLOOKUP(F1179,COA!$A$1:$K$26,2,FALSE),0)</f>
        <v>0</v>
      </c>
      <c r="H1179" s="11"/>
      <c r="I1179" s="11"/>
      <c r="J1179" s="78"/>
      <c r="K1179" s="78"/>
      <c r="L1179" s="146">
        <f t="shared" si="57"/>
        <v>504000</v>
      </c>
      <c r="M1179" s="73"/>
      <c r="N1179" s="73"/>
      <c r="O1179" s="73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14.25" customHeight="1" x14ac:dyDescent="0.35">
      <c r="A1180" s="9">
        <f t="shared" si="56"/>
        <v>1172</v>
      </c>
      <c r="B1180" s="15"/>
      <c r="C1180" s="11">
        <f t="shared" si="55"/>
        <v>1</v>
      </c>
      <c r="D1180" s="11"/>
      <c r="E1180" s="11"/>
      <c r="F1180" s="11"/>
      <c r="G1180" s="89">
        <f>IFERROR(VLOOKUP(F1180,COA!$A$1:$K$26,2,FALSE),0)</f>
        <v>0</v>
      </c>
      <c r="H1180" s="11"/>
      <c r="I1180" s="11"/>
      <c r="J1180" s="78"/>
      <c r="K1180" s="78"/>
      <c r="L1180" s="146">
        <f t="shared" si="57"/>
        <v>504000</v>
      </c>
      <c r="M1180" s="73"/>
      <c r="N1180" s="73"/>
      <c r="O1180" s="73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14.25" customHeight="1" x14ac:dyDescent="0.35">
      <c r="A1181" s="9">
        <f t="shared" si="56"/>
        <v>1173</v>
      </c>
      <c r="B1181" s="15"/>
      <c r="C1181" s="11">
        <f t="shared" si="55"/>
        <v>1</v>
      </c>
      <c r="D1181" s="11"/>
      <c r="E1181" s="11"/>
      <c r="F1181" s="11"/>
      <c r="G1181" s="89">
        <f>IFERROR(VLOOKUP(F1181,COA!$A$1:$K$26,2,FALSE),0)</f>
        <v>0</v>
      </c>
      <c r="H1181" s="11"/>
      <c r="I1181" s="11"/>
      <c r="J1181" s="78"/>
      <c r="K1181" s="78"/>
      <c r="L1181" s="146">
        <f t="shared" si="57"/>
        <v>504000</v>
      </c>
      <c r="M1181" s="73"/>
      <c r="N1181" s="73"/>
      <c r="O1181" s="73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14.25" customHeight="1" x14ac:dyDescent="0.35">
      <c r="A1182" s="9">
        <f t="shared" si="56"/>
        <v>1174</v>
      </c>
      <c r="B1182" s="15"/>
      <c r="C1182" s="11">
        <f t="shared" si="55"/>
        <v>1</v>
      </c>
      <c r="D1182" s="11"/>
      <c r="E1182" s="11"/>
      <c r="F1182" s="11"/>
      <c r="G1182" s="89">
        <f>IFERROR(VLOOKUP(F1182,COA!$A$1:$K$26,2,FALSE),0)</f>
        <v>0</v>
      </c>
      <c r="H1182" s="11"/>
      <c r="I1182" s="11"/>
      <c r="J1182" s="78"/>
      <c r="K1182" s="78"/>
      <c r="L1182" s="146">
        <f t="shared" si="57"/>
        <v>504000</v>
      </c>
      <c r="M1182" s="73"/>
      <c r="N1182" s="73"/>
      <c r="O1182" s="73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14.25" customHeight="1" x14ac:dyDescent="0.35">
      <c r="A1183" s="9">
        <f t="shared" si="56"/>
        <v>1175</v>
      </c>
      <c r="B1183" s="15"/>
      <c r="C1183" s="11">
        <f t="shared" si="55"/>
        <v>1</v>
      </c>
      <c r="D1183" s="11"/>
      <c r="E1183" s="11"/>
      <c r="F1183" s="11"/>
      <c r="G1183" s="89">
        <f>IFERROR(VLOOKUP(F1183,COA!$A$1:$K$26,2,FALSE),0)</f>
        <v>0</v>
      </c>
      <c r="H1183" s="11"/>
      <c r="I1183" s="11"/>
      <c r="J1183" s="78"/>
      <c r="K1183" s="78"/>
      <c r="L1183" s="146">
        <f t="shared" si="57"/>
        <v>504000</v>
      </c>
      <c r="M1183" s="73"/>
      <c r="N1183" s="73"/>
      <c r="O1183" s="73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14.25" customHeight="1" x14ac:dyDescent="0.35">
      <c r="A1184" s="9">
        <f t="shared" si="56"/>
        <v>1176</v>
      </c>
      <c r="B1184" s="15"/>
      <c r="C1184" s="11">
        <f t="shared" si="55"/>
        <v>1</v>
      </c>
      <c r="D1184" s="11"/>
      <c r="E1184" s="11"/>
      <c r="F1184" s="11"/>
      <c r="G1184" s="89">
        <f>IFERROR(VLOOKUP(F1184,COA!$A$1:$K$26,2,FALSE),0)</f>
        <v>0</v>
      </c>
      <c r="H1184" s="11"/>
      <c r="I1184" s="11"/>
      <c r="J1184" s="78"/>
      <c r="K1184" s="78"/>
      <c r="L1184" s="146">
        <f t="shared" si="57"/>
        <v>504000</v>
      </c>
      <c r="M1184" s="73"/>
      <c r="N1184" s="73"/>
      <c r="O1184" s="73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14.25" customHeight="1" x14ac:dyDescent="0.35">
      <c r="A1185" s="9">
        <f t="shared" si="56"/>
        <v>1177</v>
      </c>
      <c r="B1185" s="15"/>
      <c r="C1185" s="11">
        <f t="shared" si="55"/>
        <v>1</v>
      </c>
      <c r="D1185" s="11"/>
      <c r="E1185" s="11"/>
      <c r="F1185" s="11"/>
      <c r="G1185" s="89">
        <f>IFERROR(VLOOKUP(F1185,COA!$A$1:$K$26,2,FALSE),0)</f>
        <v>0</v>
      </c>
      <c r="H1185" s="11"/>
      <c r="I1185" s="11"/>
      <c r="J1185" s="78"/>
      <c r="K1185" s="78"/>
      <c r="L1185" s="146">
        <f t="shared" si="57"/>
        <v>504000</v>
      </c>
      <c r="M1185" s="73"/>
      <c r="N1185" s="73"/>
      <c r="O1185" s="73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14.25" customHeight="1" x14ac:dyDescent="0.35">
      <c r="A1186" s="9">
        <f t="shared" si="56"/>
        <v>1178</v>
      </c>
      <c r="B1186" s="15"/>
      <c r="C1186" s="11">
        <f t="shared" si="55"/>
        <v>1</v>
      </c>
      <c r="D1186" s="11"/>
      <c r="E1186" s="11"/>
      <c r="F1186" s="11"/>
      <c r="G1186" s="89">
        <f>IFERROR(VLOOKUP(F1186,COA!$A$1:$K$26,2,FALSE),0)</f>
        <v>0</v>
      </c>
      <c r="H1186" s="11"/>
      <c r="I1186" s="11"/>
      <c r="J1186" s="78"/>
      <c r="K1186" s="78"/>
      <c r="L1186" s="146">
        <f t="shared" si="57"/>
        <v>504000</v>
      </c>
      <c r="M1186" s="73"/>
      <c r="N1186" s="73"/>
      <c r="O1186" s="73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14.25" customHeight="1" x14ac:dyDescent="0.35">
      <c r="A1187" s="9">
        <f t="shared" si="56"/>
        <v>1179</v>
      </c>
      <c r="B1187" s="15"/>
      <c r="C1187" s="11">
        <f t="shared" si="55"/>
        <v>1</v>
      </c>
      <c r="D1187" s="11"/>
      <c r="E1187" s="11"/>
      <c r="F1187" s="11"/>
      <c r="G1187" s="89">
        <f>IFERROR(VLOOKUP(F1187,COA!$A$1:$K$26,2,FALSE),0)</f>
        <v>0</v>
      </c>
      <c r="H1187" s="11"/>
      <c r="I1187" s="11"/>
      <c r="J1187" s="78"/>
      <c r="K1187" s="78"/>
      <c r="L1187" s="146">
        <f t="shared" si="57"/>
        <v>504000</v>
      </c>
      <c r="M1187" s="73"/>
      <c r="N1187" s="73"/>
      <c r="O1187" s="73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14.25" customHeight="1" x14ac:dyDescent="0.35">
      <c r="A1188" s="9">
        <f t="shared" si="56"/>
        <v>1180</v>
      </c>
      <c r="B1188" s="15"/>
      <c r="C1188" s="11">
        <f t="shared" si="55"/>
        <v>1</v>
      </c>
      <c r="D1188" s="11"/>
      <c r="E1188" s="11"/>
      <c r="F1188" s="11"/>
      <c r="G1188" s="89">
        <f>IFERROR(VLOOKUP(F1188,COA!$A$1:$K$26,2,FALSE),0)</f>
        <v>0</v>
      </c>
      <c r="H1188" s="11"/>
      <c r="I1188" s="11"/>
      <c r="J1188" s="78"/>
      <c r="K1188" s="78"/>
      <c r="L1188" s="146">
        <f t="shared" si="57"/>
        <v>504000</v>
      </c>
      <c r="M1188" s="73"/>
      <c r="N1188" s="73"/>
      <c r="O1188" s="73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14.25" customHeight="1" x14ac:dyDescent="0.35">
      <c r="A1189" s="9">
        <f t="shared" si="56"/>
        <v>1181</v>
      </c>
      <c r="B1189" s="15"/>
      <c r="C1189" s="11">
        <f t="shared" si="55"/>
        <v>1</v>
      </c>
      <c r="D1189" s="11"/>
      <c r="E1189" s="11"/>
      <c r="F1189" s="11"/>
      <c r="G1189" s="89">
        <f>IFERROR(VLOOKUP(F1189,COA!$A$1:$K$26,2,FALSE),0)</f>
        <v>0</v>
      </c>
      <c r="H1189" s="11"/>
      <c r="I1189" s="11"/>
      <c r="J1189" s="78"/>
      <c r="K1189" s="78"/>
      <c r="L1189" s="146">
        <f t="shared" si="57"/>
        <v>504000</v>
      </c>
      <c r="M1189" s="73"/>
      <c r="N1189" s="73"/>
      <c r="O1189" s="73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14.25" customHeight="1" x14ac:dyDescent="0.35">
      <c r="A1190" s="9">
        <f t="shared" si="56"/>
        <v>1182</v>
      </c>
      <c r="B1190" s="15"/>
      <c r="C1190" s="11">
        <f t="shared" si="55"/>
        <v>1</v>
      </c>
      <c r="D1190" s="11"/>
      <c r="E1190" s="11"/>
      <c r="F1190" s="11"/>
      <c r="G1190" s="89">
        <f>IFERROR(VLOOKUP(F1190,COA!$A$1:$K$26,2,FALSE),0)</f>
        <v>0</v>
      </c>
      <c r="H1190" s="11"/>
      <c r="I1190" s="11"/>
      <c r="J1190" s="78"/>
      <c r="K1190" s="78"/>
      <c r="L1190" s="146">
        <f t="shared" si="57"/>
        <v>504000</v>
      </c>
      <c r="M1190" s="73"/>
      <c r="N1190" s="73"/>
      <c r="O1190" s="73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14.25" customHeight="1" x14ac:dyDescent="0.35">
      <c r="A1191" s="9">
        <f t="shared" si="56"/>
        <v>1183</v>
      </c>
      <c r="B1191" s="15"/>
      <c r="C1191" s="11">
        <f t="shared" si="55"/>
        <v>1</v>
      </c>
      <c r="D1191" s="11"/>
      <c r="E1191" s="11"/>
      <c r="F1191" s="11"/>
      <c r="G1191" s="89">
        <f>IFERROR(VLOOKUP(F1191,COA!$A$1:$K$26,2,FALSE),0)</f>
        <v>0</v>
      </c>
      <c r="H1191" s="11"/>
      <c r="I1191" s="11"/>
      <c r="J1191" s="78"/>
      <c r="K1191" s="78"/>
      <c r="L1191" s="146">
        <f t="shared" si="57"/>
        <v>504000</v>
      </c>
      <c r="M1191" s="73"/>
      <c r="N1191" s="73"/>
      <c r="O1191" s="73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14.25" customHeight="1" x14ac:dyDescent="0.35">
      <c r="A1192" s="9">
        <f t="shared" si="56"/>
        <v>1184</v>
      </c>
      <c r="B1192" s="15"/>
      <c r="C1192" s="11">
        <f t="shared" si="55"/>
        <v>1</v>
      </c>
      <c r="D1192" s="11"/>
      <c r="E1192" s="11"/>
      <c r="F1192" s="11"/>
      <c r="G1192" s="89">
        <f>IFERROR(VLOOKUP(F1192,COA!$A$1:$K$26,2,FALSE),0)</f>
        <v>0</v>
      </c>
      <c r="H1192" s="11"/>
      <c r="I1192" s="11"/>
      <c r="J1192" s="78"/>
      <c r="K1192" s="78"/>
      <c r="L1192" s="146">
        <f t="shared" si="57"/>
        <v>504000</v>
      </c>
      <c r="M1192" s="73"/>
      <c r="N1192" s="73"/>
      <c r="O1192" s="73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14.25" customHeight="1" x14ac:dyDescent="0.35">
      <c r="A1193" s="9">
        <f t="shared" si="56"/>
        <v>1185</v>
      </c>
      <c r="B1193" s="15"/>
      <c r="C1193" s="11">
        <f t="shared" si="55"/>
        <v>1</v>
      </c>
      <c r="D1193" s="11"/>
      <c r="E1193" s="11"/>
      <c r="F1193" s="11"/>
      <c r="G1193" s="89">
        <f>IFERROR(VLOOKUP(F1193,COA!$A$1:$K$26,2,FALSE),0)</f>
        <v>0</v>
      </c>
      <c r="H1193" s="11"/>
      <c r="I1193" s="11"/>
      <c r="J1193" s="78"/>
      <c r="K1193" s="78"/>
      <c r="L1193" s="146">
        <f t="shared" si="57"/>
        <v>504000</v>
      </c>
      <c r="M1193" s="73"/>
      <c r="N1193" s="73"/>
      <c r="O1193" s="73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14.25" customHeight="1" x14ac:dyDescent="0.35">
      <c r="A1194" s="9">
        <f t="shared" si="56"/>
        <v>1186</v>
      </c>
      <c r="B1194" s="15"/>
      <c r="C1194" s="11">
        <f t="shared" si="55"/>
        <v>1</v>
      </c>
      <c r="D1194" s="11"/>
      <c r="E1194" s="11"/>
      <c r="F1194" s="11"/>
      <c r="G1194" s="89">
        <f>IFERROR(VLOOKUP(F1194,COA!$A$1:$K$26,2,FALSE),0)</f>
        <v>0</v>
      </c>
      <c r="H1194" s="11"/>
      <c r="I1194" s="11"/>
      <c r="J1194" s="78"/>
      <c r="K1194" s="78"/>
      <c r="L1194" s="146">
        <f t="shared" si="57"/>
        <v>504000</v>
      </c>
      <c r="M1194" s="73"/>
      <c r="N1194" s="73"/>
      <c r="O1194" s="73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14.25" customHeight="1" x14ac:dyDescent="0.35">
      <c r="A1195" s="9">
        <f t="shared" si="56"/>
        <v>1187</v>
      </c>
      <c r="B1195" s="15"/>
      <c r="C1195" s="11">
        <f t="shared" si="55"/>
        <v>1</v>
      </c>
      <c r="D1195" s="11"/>
      <c r="E1195" s="11"/>
      <c r="F1195" s="11"/>
      <c r="G1195" s="89">
        <f>IFERROR(VLOOKUP(F1195,COA!$A$1:$K$26,2,FALSE),0)</f>
        <v>0</v>
      </c>
      <c r="H1195" s="11"/>
      <c r="I1195" s="11"/>
      <c r="J1195" s="78"/>
      <c r="K1195" s="78"/>
      <c r="L1195" s="146">
        <f t="shared" si="57"/>
        <v>504000</v>
      </c>
      <c r="M1195" s="73"/>
      <c r="N1195" s="73"/>
      <c r="O1195" s="73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14.25" customHeight="1" x14ac:dyDescent="0.35">
      <c r="A1196" s="9">
        <f t="shared" si="56"/>
        <v>1188</v>
      </c>
      <c r="B1196" s="15"/>
      <c r="C1196" s="11">
        <f t="shared" si="55"/>
        <v>1</v>
      </c>
      <c r="D1196" s="11"/>
      <c r="E1196" s="11"/>
      <c r="F1196" s="11"/>
      <c r="G1196" s="89">
        <f>IFERROR(VLOOKUP(F1196,COA!$A$1:$K$26,2,FALSE),0)</f>
        <v>0</v>
      </c>
      <c r="H1196" s="11"/>
      <c r="I1196" s="11"/>
      <c r="J1196" s="78"/>
      <c r="K1196" s="78"/>
      <c r="L1196" s="146">
        <f t="shared" si="57"/>
        <v>504000</v>
      </c>
      <c r="M1196" s="73"/>
      <c r="N1196" s="73"/>
      <c r="O1196" s="73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14.25" customHeight="1" x14ac:dyDescent="0.35">
      <c r="A1197" s="9">
        <f t="shared" si="56"/>
        <v>1189</v>
      </c>
      <c r="B1197" s="15"/>
      <c r="C1197" s="11">
        <f t="shared" si="55"/>
        <v>1</v>
      </c>
      <c r="D1197" s="11"/>
      <c r="E1197" s="11"/>
      <c r="F1197" s="11"/>
      <c r="G1197" s="89">
        <f>IFERROR(VLOOKUP(F1197,COA!$A$1:$K$26,2,FALSE),0)</f>
        <v>0</v>
      </c>
      <c r="H1197" s="11"/>
      <c r="I1197" s="11"/>
      <c r="J1197" s="78"/>
      <c r="K1197" s="78"/>
      <c r="L1197" s="146">
        <f t="shared" si="57"/>
        <v>504000</v>
      </c>
      <c r="M1197" s="73"/>
      <c r="N1197" s="73"/>
      <c r="O1197" s="73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14.25" customHeight="1" x14ac:dyDescent="0.35">
      <c r="A1198" s="9">
        <f t="shared" si="56"/>
        <v>1190</v>
      </c>
      <c r="B1198" s="15"/>
      <c r="C1198" s="11">
        <f t="shared" si="55"/>
        <v>1</v>
      </c>
      <c r="D1198" s="11"/>
      <c r="E1198" s="11"/>
      <c r="F1198" s="11"/>
      <c r="G1198" s="89">
        <f>IFERROR(VLOOKUP(F1198,COA!$A$1:$K$26,2,FALSE),0)</f>
        <v>0</v>
      </c>
      <c r="H1198" s="11"/>
      <c r="I1198" s="11"/>
      <c r="J1198" s="78"/>
      <c r="K1198" s="78"/>
      <c r="L1198" s="146">
        <f t="shared" si="57"/>
        <v>504000</v>
      </c>
      <c r="M1198" s="73"/>
      <c r="N1198" s="73"/>
      <c r="O1198" s="73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14.25" customHeight="1" x14ac:dyDescent="0.35">
      <c r="A1199" s="9">
        <f t="shared" si="56"/>
        <v>1191</v>
      </c>
      <c r="B1199" s="15"/>
      <c r="C1199" s="11">
        <f t="shared" si="55"/>
        <v>1</v>
      </c>
      <c r="D1199" s="11"/>
      <c r="E1199" s="11"/>
      <c r="F1199" s="11"/>
      <c r="G1199" s="89">
        <f>IFERROR(VLOOKUP(F1199,COA!$A$1:$K$26,2,FALSE),0)</f>
        <v>0</v>
      </c>
      <c r="H1199" s="11"/>
      <c r="I1199" s="11"/>
      <c r="J1199" s="78"/>
      <c r="K1199" s="78"/>
      <c r="L1199" s="146">
        <f t="shared" si="57"/>
        <v>504000</v>
      </c>
      <c r="M1199" s="73"/>
      <c r="N1199" s="73"/>
      <c r="O1199" s="73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14.25" customHeight="1" x14ac:dyDescent="0.35">
      <c r="A1200" s="9">
        <f t="shared" si="56"/>
        <v>1192</v>
      </c>
      <c r="B1200" s="15"/>
      <c r="C1200" s="11">
        <f t="shared" si="55"/>
        <v>1</v>
      </c>
      <c r="D1200" s="11"/>
      <c r="E1200" s="11"/>
      <c r="F1200" s="11"/>
      <c r="G1200" s="89">
        <f>IFERROR(VLOOKUP(F1200,COA!$A$1:$K$26,2,FALSE),0)</f>
        <v>0</v>
      </c>
      <c r="H1200" s="11"/>
      <c r="I1200" s="11"/>
      <c r="J1200" s="78"/>
      <c r="K1200" s="78"/>
      <c r="L1200" s="146">
        <f t="shared" si="57"/>
        <v>504000</v>
      </c>
      <c r="M1200" s="73"/>
      <c r="N1200" s="73"/>
      <c r="O1200" s="73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14.25" customHeight="1" x14ac:dyDescent="0.35">
      <c r="A1201" s="9">
        <f t="shared" si="56"/>
        <v>1193</v>
      </c>
      <c r="B1201" s="15"/>
      <c r="C1201" s="11">
        <f t="shared" si="55"/>
        <v>1</v>
      </c>
      <c r="D1201" s="11"/>
      <c r="E1201" s="11"/>
      <c r="F1201" s="11"/>
      <c r="G1201" s="89">
        <f>IFERROR(VLOOKUP(F1201,COA!$A$1:$K$26,2,FALSE),0)</f>
        <v>0</v>
      </c>
      <c r="H1201" s="11"/>
      <c r="I1201" s="11"/>
      <c r="J1201" s="78"/>
      <c r="K1201" s="78"/>
      <c r="L1201" s="146">
        <f t="shared" si="57"/>
        <v>504000</v>
      </c>
      <c r="M1201" s="73"/>
      <c r="N1201" s="73"/>
      <c r="O1201" s="73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14.25" customHeight="1" x14ac:dyDescent="0.35">
      <c r="A1202" s="9">
        <f t="shared" si="56"/>
        <v>1194</v>
      </c>
      <c r="B1202" s="15"/>
      <c r="C1202" s="11">
        <f t="shared" si="55"/>
        <v>1</v>
      </c>
      <c r="D1202" s="11"/>
      <c r="E1202" s="11"/>
      <c r="F1202" s="11"/>
      <c r="G1202" s="89">
        <f>IFERROR(VLOOKUP(F1202,COA!$A$1:$K$26,2,FALSE),0)</f>
        <v>0</v>
      </c>
      <c r="H1202" s="11"/>
      <c r="I1202" s="11"/>
      <c r="J1202" s="78"/>
      <c r="K1202" s="78"/>
      <c r="L1202" s="146">
        <f t="shared" si="57"/>
        <v>504000</v>
      </c>
      <c r="M1202" s="73"/>
      <c r="N1202" s="73"/>
      <c r="O1202" s="73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14.25" customHeight="1" x14ac:dyDescent="0.35">
      <c r="A1203" s="9">
        <f t="shared" si="56"/>
        <v>1195</v>
      </c>
      <c r="B1203" s="15"/>
      <c r="C1203" s="11">
        <f t="shared" si="55"/>
        <v>1</v>
      </c>
      <c r="D1203" s="11"/>
      <c r="E1203" s="11"/>
      <c r="F1203" s="11"/>
      <c r="G1203" s="89">
        <f>IFERROR(VLOOKUP(F1203,COA!$A$1:$K$26,2,FALSE),0)</f>
        <v>0</v>
      </c>
      <c r="H1203" s="11"/>
      <c r="I1203" s="11"/>
      <c r="J1203" s="78"/>
      <c r="K1203" s="78"/>
      <c r="L1203" s="146">
        <f t="shared" si="57"/>
        <v>504000</v>
      </c>
      <c r="M1203" s="73"/>
      <c r="N1203" s="73"/>
      <c r="O1203" s="73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14.25" customHeight="1" x14ac:dyDescent="0.35">
      <c r="A1204" s="9">
        <f t="shared" si="56"/>
        <v>1196</v>
      </c>
      <c r="B1204" s="15"/>
      <c r="C1204" s="11">
        <f t="shared" si="55"/>
        <v>1</v>
      </c>
      <c r="D1204" s="11"/>
      <c r="E1204" s="11"/>
      <c r="F1204" s="11"/>
      <c r="G1204" s="89">
        <f>IFERROR(VLOOKUP(F1204,COA!$A$1:$K$26,2,FALSE),0)</f>
        <v>0</v>
      </c>
      <c r="H1204" s="11"/>
      <c r="I1204" s="11"/>
      <c r="J1204" s="78"/>
      <c r="K1204" s="78"/>
      <c r="L1204" s="146">
        <f t="shared" si="57"/>
        <v>504000</v>
      </c>
      <c r="M1204" s="73"/>
      <c r="N1204" s="73"/>
      <c r="O1204" s="73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14.25" customHeight="1" x14ac:dyDescent="0.35">
      <c r="A1205" s="9">
        <f t="shared" si="56"/>
        <v>1197</v>
      </c>
      <c r="B1205" s="15"/>
      <c r="C1205" s="11">
        <f t="shared" si="55"/>
        <v>1</v>
      </c>
      <c r="D1205" s="11"/>
      <c r="E1205" s="11"/>
      <c r="F1205" s="11"/>
      <c r="G1205" s="89">
        <f>IFERROR(VLOOKUP(F1205,COA!$A$1:$K$26,2,FALSE),0)</f>
        <v>0</v>
      </c>
      <c r="H1205" s="11"/>
      <c r="I1205" s="11"/>
      <c r="J1205" s="78"/>
      <c r="K1205" s="78"/>
      <c r="L1205" s="146">
        <f t="shared" si="57"/>
        <v>504000</v>
      </c>
      <c r="M1205" s="73"/>
      <c r="N1205" s="73"/>
      <c r="O1205" s="73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14.25" customHeight="1" x14ac:dyDescent="0.35">
      <c r="A1206" s="9">
        <f t="shared" si="56"/>
        <v>1198</v>
      </c>
      <c r="B1206" s="15"/>
      <c r="C1206" s="11">
        <f t="shared" si="55"/>
        <v>1</v>
      </c>
      <c r="D1206" s="11"/>
      <c r="E1206" s="11"/>
      <c r="F1206" s="11"/>
      <c r="G1206" s="89">
        <f>IFERROR(VLOOKUP(F1206,COA!$A$1:$K$26,2,FALSE),0)</f>
        <v>0</v>
      </c>
      <c r="H1206" s="11"/>
      <c r="I1206" s="11"/>
      <c r="J1206" s="78"/>
      <c r="K1206" s="78"/>
      <c r="L1206" s="146">
        <f t="shared" si="57"/>
        <v>504000</v>
      </c>
      <c r="M1206" s="73"/>
      <c r="N1206" s="73"/>
      <c r="O1206" s="73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14.25" customHeight="1" x14ac:dyDescent="0.35">
      <c r="A1207" s="9">
        <f t="shared" si="56"/>
        <v>1199</v>
      </c>
      <c r="B1207" s="15"/>
      <c r="C1207" s="11">
        <f t="shared" si="55"/>
        <v>1</v>
      </c>
      <c r="D1207" s="11"/>
      <c r="E1207" s="11"/>
      <c r="F1207" s="11"/>
      <c r="G1207" s="89">
        <f>IFERROR(VLOOKUP(F1207,COA!$A$1:$K$26,2,FALSE),0)</f>
        <v>0</v>
      </c>
      <c r="H1207" s="11"/>
      <c r="I1207" s="11"/>
      <c r="J1207" s="78"/>
      <c r="K1207" s="78"/>
      <c r="L1207" s="146">
        <f t="shared" si="57"/>
        <v>504000</v>
      </c>
      <c r="M1207" s="73"/>
      <c r="N1207" s="73"/>
      <c r="O1207" s="73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14.25" customHeight="1" x14ac:dyDescent="0.35">
      <c r="A1208" s="9">
        <f t="shared" si="56"/>
        <v>1200</v>
      </c>
      <c r="B1208" s="15"/>
      <c r="C1208" s="11">
        <f t="shared" si="55"/>
        <v>1</v>
      </c>
      <c r="D1208" s="11"/>
      <c r="E1208" s="11"/>
      <c r="F1208" s="11"/>
      <c r="G1208" s="89">
        <f>IFERROR(VLOOKUP(F1208,COA!$A$1:$K$26,2,FALSE),0)</f>
        <v>0</v>
      </c>
      <c r="H1208" s="11"/>
      <c r="I1208" s="11"/>
      <c r="J1208" s="78"/>
      <c r="K1208" s="78"/>
      <c r="L1208" s="146">
        <f t="shared" si="57"/>
        <v>504000</v>
      </c>
      <c r="M1208" s="73"/>
      <c r="N1208" s="73"/>
      <c r="O1208" s="73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14.25" customHeight="1" x14ac:dyDescent="0.35">
      <c r="A1209" s="9">
        <f t="shared" si="56"/>
        <v>1201</v>
      </c>
      <c r="B1209" s="15"/>
      <c r="C1209" s="11">
        <f t="shared" si="55"/>
        <v>1</v>
      </c>
      <c r="D1209" s="11"/>
      <c r="E1209" s="11"/>
      <c r="F1209" s="11"/>
      <c r="G1209" s="89">
        <f>IFERROR(VLOOKUP(F1209,COA!$A$1:$K$26,2,FALSE),0)</f>
        <v>0</v>
      </c>
      <c r="H1209" s="11"/>
      <c r="I1209" s="11"/>
      <c r="J1209" s="78"/>
      <c r="K1209" s="78"/>
      <c r="L1209" s="146">
        <f t="shared" si="57"/>
        <v>504000</v>
      </c>
      <c r="M1209" s="73"/>
      <c r="N1209" s="73"/>
      <c r="O1209" s="73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14.25" customHeight="1" x14ac:dyDescent="0.35">
      <c r="A1210" s="9">
        <f t="shared" si="56"/>
        <v>1202</v>
      </c>
      <c r="B1210" s="15"/>
      <c r="C1210" s="11">
        <f t="shared" si="55"/>
        <v>1</v>
      </c>
      <c r="D1210" s="11"/>
      <c r="E1210" s="11"/>
      <c r="F1210" s="11"/>
      <c r="G1210" s="89">
        <f>IFERROR(VLOOKUP(F1210,COA!$A$1:$K$26,2,FALSE),0)</f>
        <v>0</v>
      </c>
      <c r="H1210" s="11"/>
      <c r="I1210" s="11"/>
      <c r="J1210" s="78"/>
      <c r="K1210" s="78"/>
      <c r="L1210" s="146">
        <f t="shared" si="57"/>
        <v>504000</v>
      </c>
      <c r="M1210" s="73"/>
      <c r="N1210" s="73"/>
      <c r="O1210" s="73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14.25" customHeight="1" x14ac:dyDescent="0.35">
      <c r="A1211" s="9">
        <f t="shared" si="56"/>
        <v>1203</v>
      </c>
      <c r="B1211" s="15"/>
      <c r="C1211" s="11">
        <f t="shared" si="55"/>
        <v>1</v>
      </c>
      <c r="D1211" s="11"/>
      <c r="E1211" s="11"/>
      <c r="F1211" s="11"/>
      <c r="G1211" s="89">
        <f>IFERROR(VLOOKUP(F1211,COA!$A$1:$K$26,2,FALSE),0)</f>
        <v>0</v>
      </c>
      <c r="H1211" s="11"/>
      <c r="I1211" s="11"/>
      <c r="J1211" s="78"/>
      <c r="K1211" s="78"/>
      <c r="L1211" s="146">
        <f t="shared" si="57"/>
        <v>504000</v>
      </c>
      <c r="M1211" s="73"/>
      <c r="N1211" s="73"/>
      <c r="O1211" s="73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14.25" customHeight="1" x14ac:dyDescent="0.35">
      <c r="A1212" s="9">
        <f t="shared" si="56"/>
        <v>1204</v>
      </c>
      <c r="B1212" s="15"/>
      <c r="C1212" s="11">
        <f t="shared" si="55"/>
        <v>1</v>
      </c>
      <c r="D1212" s="11"/>
      <c r="E1212" s="11"/>
      <c r="F1212" s="11"/>
      <c r="G1212" s="89">
        <f>IFERROR(VLOOKUP(F1212,COA!$A$1:$K$26,2,FALSE),0)</f>
        <v>0</v>
      </c>
      <c r="H1212" s="11"/>
      <c r="I1212" s="11"/>
      <c r="J1212" s="78"/>
      <c r="K1212" s="78"/>
      <c r="L1212" s="146">
        <f t="shared" si="57"/>
        <v>504000</v>
      </c>
      <c r="M1212" s="73"/>
      <c r="N1212" s="73"/>
      <c r="O1212" s="73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14.25" customHeight="1" x14ac:dyDescent="0.35">
      <c r="A1213" s="9">
        <f t="shared" si="56"/>
        <v>1205</v>
      </c>
      <c r="B1213" s="15"/>
      <c r="C1213" s="11">
        <f t="shared" si="55"/>
        <v>1</v>
      </c>
      <c r="D1213" s="11"/>
      <c r="E1213" s="11"/>
      <c r="F1213" s="11"/>
      <c r="G1213" s="89">
        <f>IFERROR(VLOOKUP(F1213,COA!$A$1:$K$26,2,FALSE),0)</f>
        <v>0</v>
      </c>
      <c r="H1213" s="11"/>
      <c r="I1213" s="11"/>
      <c r="J1213" s="78"/>
      <c r="K1213" s="78"/>
      <c r="L1213" s="146">
        <f t="shared" si="57"/>
        <v>504000</v>
      </c>
      <c r="M1213" s="73"/>
      <c r="N1213" s="73"/>
      <c r="O1213" s="73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14.25" customHeight="1" x14ac:dyDescent="0.35">
      <c r="A1214" s="9">
        <f t="shared" si="56"/>
        <v>1206</v>
      </c>
      <c r="B1214" s="15"/>
      <c r="C1214" s="11">
        <f t="shared" si="55"/>
        <v>1</v>
      </c>
      <c r="D1214" s="11"/>
      <c r="E1214" s="11"/>
      <c r="F1214" s="11"/>
      <c r="G1214" s="89">
        <f>IFERROR(VLOOKUP(F1214,COA!$A$1:$K$26,2,FALSE),0)</f>
        <v>0</v>
      </c>
      <c r="H1214" s="11"/>
      <c r="I1214" s="11"/>
      <c r="J1214" s="78"/>
      <c r="K1214" s="78"/>
      <c r="L1214" s="146">
        <f t="shared" si="57"/>
        <v>504000</v>
      </c>
      <c r="M1214" s="73"/>
      <c r="N1214" s="73"/>
      <c r="O1214" s="73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14.25" customHeight="1" x14ac:dyDescent="0.35">
      <c r="A1215" s="9">
        <f t="shared" si="56"/>
        <v>1207</v>
      </c>
      <c r="B1215" s="15"/>
      <c r="C1215" s="11">
        <f t="shared" si="55"/>
        <v>1</v>
      </c>
      <c r="D1215" s="11"/>
      <c r="E1215" s="11"/>
      <c r="F1215" s="11"/>
      <c r="G1215" s="89">
        <f>IFERROR(VLOOKUP(F1215,COA!$A$1:$K$26,2,FALSE),0)</f>
        <v>0</v>
      </c>
      <c r="H1215" s="11"/>
      <c r="I1215" s="11"/>
      <c r="J1215" s="78"/>
      <c r="K1215" s="78"/>
      <c r="L1215" s="146">
        <f t="shared" si="57"/>
        <v>504000</v>
      </c>
      <c r="M1215" s="73"/>
      <c r="N1215" s="73"/>
      <c r="O1215" s="73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14.25" customHeight="1" x14ac:dyDescent="0.35">
      <c r="A1216" s="9">
        <f t="shared" si="56"/>
        <v>1208</v>
      </c>
      <c r="B1216" s="15"/>
      <c r="C1216" s="11">
        <f t="shared" si="55"/>
        <v>1</v>
      </c>
      <c r="D1216" s="11"/>
      <c r="E1216" s="11"/>
      <c r="F1216" s="11"/>
      <c r="G1216" s="89">
        <f>IFERROR(VLOOKUP(F1216,COA!$A$1:$K$26,2,FALSE),0)</f>
        <v>0</v>
      </c>
      <c r="H1216" s="11"/>
      <c r="I1216" s="11"/>
      <c r="J1216" s="78"/>
      <c r="K1216" s="78"/>
      <c r="L1216" s="146">
        <f t="shared" si="57"/>
        <v>504000</v>
      </c>
      <c r="M1216" s="73"/>
      <c r="N1216" s="73"/>
      <c r="O1216" s="73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14.25" customHeight="1" x14ac:dyDescent="0.35">
      <c r="A1217" s="9">
        <f t="shared" si="56"/>
        <v>1209</v>
      </c>
      <c r="B1217" s="15"/>
      <c r="C1217" s="11">
        <f t="shared" si="55"/>
        <v>1</v>
      </c>
      <c r="D1217" s="11"/>
      <c r="E1217" s="11"/>
      <c r="F1217" s="11"/>
      <c r="G1217" s="89">
        <f>IFERROR(VLOOKUP(F1217,COA!$A$1:$K$26,2,FALSE),0)</f>
        <v>0</v>
      </c>
      <c r="H1217" s="11"/>
      <c r="I1217" s="11"/>
      <c r="J1217" s="78"/>
      <c r="K1217" s="78"/>
      <c r="L1217" s="146">
        <f t="shared" si="57"/>
        <v>504000</v>
      </c>
      <c r="M1217" s="73"/>
      <c r="N1217" s="73"/>
      <c r="O1217" s="73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14.25" customHeight="1" x14ac:dyDescent="0.35">
      <c r="A1218" s="9">
        <f t="shared" si="56"/>
        <v>1210</v>
      </c>
      <c r="B1218" s="15"/>
      <c r="C1218" s="11">
        <f t="shared" si="55"/>
        <v>1</v>
      </c>
      <c r="D1218" s="11"/>
      <c r="E1218" s="11"/>
      <c r="F1218" s="11"/>
      <c r="G1218" s="89">
        <f>IFERROR(VLOOKUP(F1218,COA!$A$1:$K$26,2,FALSE),0)</f>
        <v>0</v>
      </c>
      <c r="H1218" s="11"/>
      <c r="I1218" s="11"/>
      <c r="J1218" s="78"/>
      <c r="K1218" s="78"/>
      <c r="L1218" s="146">
        <f t="shared" si="57"/>
        <v>504000</v>
      </c>
      <c r="M1218" s="73"/>
      <c r="N1218" s="73"/>
      <c r="O1218" s="73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14.25" customHeight="1" x14ac:dyDescent="0.35">
      <c r="A1219" s="9">
        <f t="shared" si="56"/>
        <v>1211</v>
      </c>
      <c r="B1219" s="15"/>
      <c r="C1219" s="11">
        <f t="shared" si="55"/>
        <v>1</v>
      </c>
      <c r="D1219" s="11"/>
      <c r="E1219" s="11"/>
      <c r="F1219" s="11"/>
      <c r="G1219" s="89">
        <f>IFERROR(VLOOKUP(F1219,COA!$A$1:$K$26,2,FALSE),0)</f>
        <v>0</v>
      </c>
      <c r="H1219" s="11"/>
      <c r="I1219" s="11"/>
      <c r="J1219" s="78"/>
      <c r="K1219" s="78"/>
      <c r="L1219" s="146">
        <f t="shared" si="57"/>
        <v>504000</v>
      </c>
      <c r="M1219" s="73"/>
      <c r="N1219" s="73"/>
      <c r="O1219" s="73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14.25" customHeight="1" x14ac:dyDescent="0.35">
      <c r="A1220" s="9">
        <f t="shared" si="56"/>
        <v>1212</v>
      </c>
      <c r="B1220" s="15"/>
      <c r="C1220" s="11">
        <f t="shared" si="55"/>
        <v>1</v>
      </c>
      <c r="D1220" s="11"/>
      <c r="E1220" s="11"/>
      <c r="F1220" s="11"/>
      <c r="G1220" s="89">
        <f>IFERROR(VLOOKUP(F1220,COA!$A$1:$K$26,2,FALSE),0)</f>
        <v>0</v>
      </c>
      <c r="H1220" s="11"/>
      <c r="I1220" s="11"/>
      <c r="J1220" s="78"/>
      <c r="K1220" s="78"/>
      <c r="L1220" s="146">
        <f t="shared" si="57"/>
        <v>504000</v>
      </c>
      <c r="M1220" s="73"/>
      <c r="N1220" s="73"/>
      <c r="O1220" s="73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14.25" customHeight="1" x14ac:dyDescent="0.35">
      <c r="A1221" s="9">
        <f t="shared" si="56"/>
        <v>1213</v>
      </c>
      <c r="B1221" s="15"/>
      <c r="C1221" s="11">
        <f t="shared" si="55"/>
        <v>1</v>
      </c>
      <c r="D1221" s="11"/>
      <c r="E1221" s="11"/>
      <c r="F1221" s="11"/>
      <c r="G1221" s="89">
        <f>IFERROR(VLOOKUP(F1221,COA!$A$1:$K$26,2,FALSE),0)</f>
        <v>0</v>
      </c>
      <c r="H1221" s="11"/>
      <c r="I1221" s="11"/>
      <c r="J1221" s="78"/>
      <c r="K1221" s="78"/>
      <c r="L1221" s="146">
        <f t="shared" si="57"/>
        <v>504000</v>
      </c>
      <c r="M1221" s="73"/>
      <c r="N1221" s="73"/>
      <c r="O1221" s="73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14.25" customHeight="1" x14ac:dyDescent="0.35">
      <c r="A1222" s="9">
        <f t="shared" si="56"/>
        <v>1214</v>
      </c>
      <c r="B1222" s="15"/>
      <c r="C1222" s="11">
        <f t="shared" si="55"/>
        <v>1</v>
      </c>
      <c r="D1222" s="11"/>
      <c r="E1222" s="11"/>
      <c r="F1222" s="11"/>
      <c r="G1222" s="89">
        <f>IFERROR(VLOOKUP(F1222,COA!$A$1:$K$26,2,FALSE),0)</f>
        <v>0</v>
      </c>
      <c r="H1222" s="11"/>
      <c r="I1222" s="11"/>
      <c r="J1222" s="78"/>
      <c r="K1222" s="78"/>
      <c r="L1222" s="146">
        <f t="shared" si="57"/>
        <v>504000</v>
      </c>
      <c r="M1222" s="73"/>
      <c r="N1222" s="73"/>
      <c r="O1222" s="73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14.25" customHeight="1" x14ac:dyDescent="0.35">
      <c r="A1223" s="9">
        <f t="shared" si="56"/>
        <v>1215</v>
      </c>
      <c r="B1223" s="15"/>
      <c r="C1223" s="11">
        <f t="shared" si="55"/>
        <v>1</v>
      </c>
      <c r="D1223" s="11"/>
      <c r="E1223" s="11"/>
      <c r="F1223" s="11"/>
      <c r="G1223" s="89">
        <f>IFERROR(VLOOKUP(F1223,COA!$A$1:$K$26,2,FALSE),0)</f>
        <v>0</v>
      </c>
      <c r="H1223" s="11"/>
      <c r="I1223" s="11"/>
      <c r="J1223" s="78"/>
      <c r="K1223" s="78"/>
      <c r="L1223" s="146">
        <f t="shared" si="57"/>
        <v>504000</v>
      </c>
      <c r="M1223" s="73"/>
      <c r="N1223" s="73"/>
      <c r="O1223" s="73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14.25" customHeight="1" x14ac:dyDescent="0.35">
      <c r="A1224" s="9">
        <f t="shared" si="56"/>
        <v>1216</v>
      </c>
      <c r="B1224" s="15"/>
      <c r="C1224" s="11">
        <f t="shared" ref="C1224:C1287" si="58">MONTH(B1224)</f>
        <v>1</v>
      </c>
      <c r="D1224" s="11"/>
      <c r="E1224" s="11"/>
      <c r="F1224" s="11"/>
      <c r="G1224" s="89">
        <f>IFERROR(VLOOKUP(F1224,COA!$A$1:$K$26,2,FALSE),0)</f>
        <v>0</v>
      </c>
      <c r="H1224" s="11"/>
      <c r="I1224" s="11"/>
      <c r="J1224" s="78"/>
      <c r="K1224" s="78"/>
      <c r="L1224" s="146">
        <f t="shared" si="57"/>
        <v>504000</v>
      </c>
      <c r="M1224" s="73"/>
      <c r="N1224" s="73"/>
      <c r="O1224" s="73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14.25" customHeight="1" x14ac:dyDescent="0.35">
      <c r="A1225" s="9">
        <f t="shared" si="56"/>
        <v>1217</v>
      </c>
      <c r="B1225" s="15"/>
      <c r="C1225" s="11">
        <f t="shared" si="58"/>
        <v>1</v>
      </c>
      <c r="D1225" s="11"/>
      <c r="E1225" s="11"/>
      <c r="F1225" s="11"/>
      <c r="G1225" s="89">
        <f>IFERROR(VLOOKUP(F1225,COA!$A$1:$K$26,2,FALSE),0)</f>
        <v>0</v>
      </c>
      <c r="H1225" s="11"/>
      <c r="I1225" s="11"/>
      <c r="J1225" s="78"/>
      <c r="K1225" s="78"/>
      <c r="L1225" s="146">
        <f t="shared" si="57"/>
        <v>504000</v>
      </c>
      <c r="M1225" s="73"/>
      <c r="N1225" s="73"/>
      <c r="O1225" s="73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14.25" customHeight="1" x14ac:dyDescent="0.35">
      <c r="A1226" s="9">
        <f t="shared" si="56"/>
        <v>1218</v>
      </c>
      <c r="B1226" s="15"/>
      <c r="C1226" s="11">
        <f t="shared" si="58"/>
        <v>1</v>
      </c>
      <c r="D1226" s="11"/>
      <c r="E1226" s="11"/>
      <c r="F1226" s="11"/>
      <c r="G1226" s="89">
        <f>IFERROR(VLOOKUP(F1226,COA!$A$1:$K$26,2,FALSE),0)</f>
        <v>0</v>
      </c>
      <c r="H1226" s="11"/>
      <c r="I1226" s="11"/>
      <c r="J1226" s="78"/>
      <c r="K1226" s="78"/>
      <c r="L1226" s="146">
        <f t="shared" si="57"/>
        <v>504000</v>
      </c>
      <c r="M1226" s="73"/>
      <c r="N1226" s="73"/>
      <c r="O1226" s="73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14.25" customHeight="1" x14ac:dyDescent="0.35">
      <c r="A1227" s="9">
        <f t="shared" ref="A1227:A1290" si="59">A1226+1</f>
        <v>1219</v>
      </c>
      <c r="B1227" s="15"/>
      <c r="C1227" s="11">
        <f t="shared" si="58"/>
        <v>1</v>
      </c>
      <c r="D1227" s="11"/>
      <c r="E1227" s="11"/>
      <c r="F1227" s="11"/>
      <c r="G1227" s="89">
        <f>IFERROR(VLOOKUP(F1227,COA!$A$1:$K$26,2,FALSE),0)</f>
        <v>0</v>
      </c>
      <c r="H1227" s="11"/>
      <c r="I1227" s="11"/>
      <c r="J1227" s="78"/>
      <c r="K1227" s="78"/>
      <c r="L1227" s="146">
        <f t="shared" ref="L1227:L1290" si="60">L1226+J1227-K1227</f>
        <v>504000</v>
      </c>
      <c r="M1227" s="73"/>
      <c r="N1227" s="73"/>
      <c r="O1227" s="73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14.25" customHeight="1" x14ac:dyDescent="0.35">
      <c r="A1228" s="9">
        <f t="shared" si="59"/>
        <v>1220</v>
      </c>
      <c r="B1228" s="15"/>
      <c r="C1228" s="11">
        <f t="shared" si="58"/>
        <v>1</v>
      </c>
      <c r="D1228" s="11"/>
      <c r="E1228" s="11"/>
      <c r="F1228" s="11"/>
      <c r="G1228" s="89">
        <f>IFERROR(VLOOKUP(F1228,COA!$A$1:$K$26,2,FALSE),0)</f>
        <v>0</v>
      </c>
      <c r="H1228" s="11"/>
      <c r="I1228" s="11"/>
      <c r="J1228" s="78"/>
      <c r="K1228" s="78"/>
      <c r="L1228" s="146">
        <f t="shared" si="60"/>
        <v>504000</v>
      </c>
      <c r="M1228" s="73"/>
      <c r="N1228" s="73"/>
      <c r="O1228" s="73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14.25" customHeight="1" x14ac:dyDescent="0.35">
      <c r="A1229" s="9">
        <f t="shared" si="59"/>
        <v>1221</v>
      </c>
      <c r="B1229" s="15"/>
      <c r="C1229" s="11">
        <f t="shared" si="58"/>
        <v>1</v>
      </c>
      <c r="D1229" s="11"/>
      <c r="E1229" s="11"/>
      <c r="F1229" s="11"/>
      <c r="G1229" s="89">
        <f>IFERROR(VLOOKUP(F1229,COA!$A$1:$K$26,2,FALSE),0)</f>
        <v>0</v>
      </c>
      <c r="H1229" s="11"/>
      <c r="I1229" s="11"/>
      <c r="J1229" s="78"/>
      <c r="K1229" s="78"/>
      <c r="L1229" s="146">
        <f t="shared" si="60"/>
        <v>504000</v>
      </c>
      <c r="M1229" s="73"/>
      <c r="N1229" s="73"/>
      <c r="O1229" s="73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14.25" customHeight="1" x14ac:dyDescent="0.35">
      <c r="A1230" s="9">
        <f t="shared" si="59"/>
        <v>1222</v>
      </c>
      <c r="B1230" s="15"/>
      <c r="C1230" s="11">
        <f t="shared" si="58"/>
        <v>1</v>
      </c>
      <c r="D1230" s="11"/>
      <c r="E1230" s="11"/>
      <c r="F1230" s="11"/>
      <c r="G1230" s="89">
        <f>IFERROR(VLOOKUP(F1230,COA!$A$1:$K$26,2,FALSE),0)</f>
        <v>0</v>
      </c>
      <c r="H1230" s="11"/>
      <c r="I1230" s="11"/>
      <c r="J1230" s="78"/>
      <c r="K1230" s="78"/>
      <c r="L1230" s="146">
        <f t="shared" si="60"/>
        <v>504000</v>
      </c>
      <c r="M1230" s="73"/>
      <c r="N1230" s="73"/>
      <c r="O1230" s="73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14.25" customHeight="1" x14ac:dyDescent="0.35">
      <c r="A1231" s="9">
        <f t="shared" si="59"/>
        <v>1223</v>
      </c>
      <c r="B1231" s="15"/>
      <c r="C1231" s="11">
        <f t="shared" si="58"/>
        <v>1</v>
      </c>
      <c r="D1231" s="11"/>
      <c r="E1231" s="11"/>
      <c r="F1231" s="11"/>
      <c r="G1231" s="89">
        <f>IFERROR(VLOOKUP(F1231,COA!$A$1:$K$26,2,FALSE),0)</f>
        <v>0</v>
      </c>
      <c r="H1231" s="11"/>
      <c r="I1231" s="11"/>
      <c r="J1231" s="78"/>
      <c r="K1231" s="78"/>
      <c r="L1231" s="146">
        <f t="shared" si="60"/>
        <v>504000</v>
      </c>
      <c r="M1231" s="73"/>
      <c r="N1231" s="73"/>
      <c r="O1231" s="73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14.25" customHeight="1" x14ac:dyDescent="0.35">
      <c r="A1232" s="9">
        <f t="shared" si="59"/>
        <v>1224</v>
      </c>
      <c r="B1232" s="15"/>
      <c r="C1232" s="11">
        <f t="shared" si="58"/>
        <v>1</v>
      </c>
      <c r="D1232" s="11"/>
      <c r="E1232" s="11"/>
      <c r="F1232" s="11"/>
      <c r="G1232" s="89">
        <f>IFERROR(VLOOKUP(F1232,COA!$A$1:$K$26,2,FALSE),0)</f>
        <v>0</v>
      </c>
      <c r="H1232" s="11"/>
      <c r="I1232" s="11"/>
      <c r="J1232" s="78"/>
      <c r="K1232" s="78"/>
      <c r="L1232" s="146">
        <f t="shared" si="60"/>
        <v>504000</v>
      </c>
      <c r="M1232" s="73"/>
      <c r="N1232" s="73"/>
      <c r="O1232" s="73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14.25" customHeight="1" x14ac:dyDescent="0.35">
      <c r="A1233" s="9">
        <f t="shared" si="59"/>
        <v>1225</v>
      </c>
      <c r="B1233" s="15"/>
      <c r="C1233" s="11">
        <f t="shared" si="58"/>
        <v>1</v>
      </c>
      <c r="D1233" s="11"/>
      <c r="E1233" s="11"/>
      <c r="F1233" s="11"/>
      <c r="G1233" s="89">
        <f>IFERROR(VLOOKUP(F1233,COA!$A$1:$K$26,2,FALSE),0)</f>
        <v>0</v>
      </c>
      <c r="H1233" s="11"/>
      <c r="I1233" s="11"/>
      <c r="J1233" s="78"/>
      <c r="K1233" s="78"/>
      <c r="L1233" s="146">
        <f t="shared" si="60"/>
        <v>504000</v>
      </c>
      <c r="M1233" s="73"/>
      <c r="N1233" s="73"/>
      <c r="O1233" s="73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14.25" customHeight="1" x14ac:dyDescent="0.35">
      <c r="A1234" s="9">
        <f t="shared" si="59"/>
        <v>1226</v>
      </c>
      <c r="B1234" s="15"/>
      <c r="C1234" s="11">
        <f t="shared" si="58"/>
        <v>1</v>
      </c>
      <c r="D1234" s="11"/>
      <c r="E1234" s="11"/>
      <c r="F1234" s="11"/>
      <c r="G1234" s="89">
        <f>IFERROR(VLOOKUP(F1234,COA!$A$1:$K$26,2,FALSE),0)</f>
        <v>0</v>
      </c>
      <c r="H1234" s="11"/>
      <c r="I1234" s="11"/>
      <c r="J1234" s="78"/>
      <c r="K1234" s="78"/>
      <c r="L1234" s="146">
        <f t="shared" si="60"/>
        <v>504000</v>
      </c>
      <c r="M1234" s="73"/>
      <c r="N1234" s="73"/>
      <c r="O1234" s="73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14.25" customHeight="1" x14ac:dyDescent="0.35">
      <c r="A1235" s="9">
        <f t="shared" si="59"/>
        <v>1227</v>
      </c>
      <c r="B1235" s="15"/>
      <c r="C1235" s="11">
        <f t="shared" si="58"/>
        <v>1</v>
      </c>
      <c r="D1235" s="11"/>
      <c r="E1235" s="11"/>
      <c r="F1235" s="11"/>
      <c r="G1235" s="89">
        <f>IFERROR(VLOOKUP(F1235,COA!$A$1:$K$26,2,FALSE),0)</f>
        <v>0</v>
      </c>
      <c r="H1235" s="11"/>
      <c r="I1235" s="11"/>
      <c r="J1235" s="78"/>
      <c r="K1235" s="78"/>
      <c r="L1235" s="146">
        <f t="shared" si="60"/>
        <v>504000</v>
      </c>
      <c r="M1235" s="73"/>
      <c r="N1235" s="73"/>
      <c r="O1235" s="73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14.25" customHeight="1" x14ac:dyDescent="0.35">
      <c r="A1236" s="9">
        <f t="shared" si="59"/>
        <v>1228</v>
      </c>
      <c r="B1236" s="15"/>
      <c r="C1236" s="11">
        <f t="shared" si="58"/>
        <v>1</v>
      </c>
      <c r="D1236" s="11"/>
      <c r="E1236" s="11"/>
      <c r="F1236" s="11"/>
      <c r="G1236" s="89">
        <f>IFERROR(VLOOKUP(F1236,COA!$A$1:$K$26,2,FALSE),0)</f>
        <v>0</v>
      </c>
      <c r="H1236" s="11"/>
      <c r="I1236" s="11"/>
      <c r="J1236" s="78"/>
      <c r="K1236" s="78"/>
      <c r="L1236" s="146">
        <f t="shared" si="60"/>
        <v>504000</v>
      </c>
      <c r="M1236" s="73"/>
      <c r="N1236" s="73"/>
      <c r="O1236" s="73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14.25" customHeight="1" x14ac:dyDescent="0.35">
      <c r="A1237" s="9">
        <f t="shared" si="59"/>
        <v>1229</v>
      </c>
      <c r="B1237" s="15"/>
      <c r="C1237" s="11">
        <f t="shared" si="58"/>
        <v>1</v>
      </c>
      <c r="D1237" s="11"/>
      <c r="E1237" s="11"/>
      <c r="F1237" s="11"/>
      <c r="G1237" s="89">
        <f>IFERROR(VLOOKUP(F1237,COA!$A$1:$K$26,2,FALSE),0)</f>
        <v>0</v>
      </c>
      <c r="H1237" s="11"/>
      <c r="I1237" s="11"/>
      <c r="J1237" s="78"/>
      <c r="K1237" s="78"/>
      <c r="L1237" s="146">
        <f t="shared" si="60"/>
        <v>504000</v>
      </c>
      <c r="M1237" s="73"/>
      <c r="N1237" s="73"/>
      <c r="O1237" s="73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14.25" customHeight="1" x14ac:dyDescent="0.35">
      <c r="A1238" s="9">
        <f t="shared" si="59"/>
        <v>1230</v>
      </c>
      <c r="B1238" s="15"/>
      <c r="C1238" s="11">
        <f t="shared" si="58"/>
        <v>1</v>
      </c>
      <c r="D1238" s="11"/>
      <c r="E1238" s="11"/>
      <c r="F1238" s="11"/>
      <c r="G1238" s="89">
        <f>IFERROR(VLOOKUP(F1238,COA!$A$1:$K$26,2,FALSE),0)</f>
        <v>0</v>
      </c>
      <c r="H1238" s="11"/>
      <c r="I1238" s="11"/>
      <c r="J1238" s="78"/>
      <c r="K1238" s="78"/>
      <c r="L1238" s="146">
        <f t="shared" si="60"/>
        <v>504000</v>
      </c>
      <c r="M1238" s="73"/>
      <c r="N1238" s="73"/>
      <c r="O1238" s="73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14.25" customHeight="1" x14ac:dyDescent="0.35">
      <c r="A1239" s="9">
        <f t="shared" si="59"/>
        <v>1231</v>
      </c>
      <c r="B1239" s="15"/>
      <c r="C1239" s="11">
        <f t="shared" si="58"/>
        <v>1</v>
      </c>
      <c r="D1239" s="11"/>
      <c r="E1239" s="11"/>
      <c r="F1239" s="11"/>
      <c r="G1239" s="89">
        <f>IFERROR(VLOOKUP(F1239,COA!$A$1:$K$26,2,FALSE),0)</f>
        <v>0</v>
      </c>
      <c r="H1239" s="11"/>
      <c r="I1239" s="11"/>
      <c r="J1239" s="78"/>
      <c r="K1239" s="78"/>
      <c r="L1239" s="146">
        <f t="shared" si="60"/>
        <v>504000</v>
      </c>
      <c r="M1239" s="73"/>
      <c r="N1239" s="73"/>
      <c r="O1239" s="73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14.25" customHeight="1" x14ac:dyDescent="0.35">
      <c r="A1240" s="9">
        <f t="shared" si="59"/>
        <v>1232</v>
      </c>
      <c r="B1240" s="15"/>
      <c r="C1240" s="11">
        <f t="shared" si="58"/>
        <v>1</v>
      </c>
      <c r="D1240" s="11"/>
      <c r="E1240" s="11"/>
      <c r="F1240" s="11"/>
      <c r="G1240" s="89">
        <f>IFERROR(VLOOKUP(F1240,COA!$A$1:$K$26,2,FALSE),0)</f>
        <v>0</v>
      </c>
      <c r="H1240" s="11"/>
      <c r="I1240" s="11"/>
      <c r="J1240" s="78"/>
      <c r="K1240" s="78"/>
      <c r="L1240" s="146">
        <f t="shared" si="60"/>
        <v>504000</v>
      </c>
      <c r="M1240" s="73"/>
      <c r="N1240" s="73"/>
      <c r="O1240" s="73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14.25" customHeight="1" x14ac:dyDescent="0.35">
      <c r="A1241" s="9">
        <f t="shared" si="59"/>
        <v>1233</v>
      </c>
      <c r="B1241" s="15"/>
      <c r="C1241" s="11">
        <f t="shared" si="58"/>
        <v>1</v>
      </c>
      <c r="D1241" s="11"/>
      <c r="E1241" s="11"/>
      <c r="F1241" s="11"/>
      <c r="G1241" s="89">
        <f>IFERROR(VLOOKUP(F1241,COA!$A$1:$K$26,2,FALSE),0)</f>
        <v>0</v>
      </c>
      <c r="H1241" s="11"/>
      <c r="I1241" s="11"/>
      <c r="J1241" s="78"/>
      <c r="K1241" s="78"/>
      <c r="L1241" s="146">
        <f t="shared" si="60"/>
        <v>504000</v>
      </c>
      <c r="M1241" s="73"/>
      <c r="N1241" s="73"/>
      <c r="O1241" s="73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14.25" customHeight="1" x14ac:dyDescent="0.35">
      <c r="A1242" s="9">
        <f t="shared" si="59"/>
        <v>1234</v>
      </c>
      <c r="B1242" s="15"/>
      <c r="C1242" s="11">
        <f t="shared" si="58"/>
        <v>1</v>
      </c>
      <c r="D1242" s="11"/>
      <c r="E1242" s="11"/>
      <c r="F1242" s="11"/>
      <c r="G1242" s="89">
        <f>IFERROR(VLOOKUP(F1242,COA!$A$1:$K$26,2,FALSE),0)</f>
        <v>0</v>
      </c>
      <c r="H1242" s="11"/>
      <c r="I1242" s="11"/>
      <c r="J1242" s="78"/>
      <c r="K1242" s="78"/>
      <c r="L1242" s="146">
        <f t="shared" si="60"/>
        <v>504000</v>
      </c>
      <c r="M1242" s="73"/>
      <c r="N1242" s="73"/>
      <c r="O1242" s="73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14.25" customHeight="1" x14ac:dyDescent="0.35">
      <c r="A1243" s="9">
        <f t="shared" si="59"/>
        <v>1235</v>
      </c>
      <c r="B1243" s="15"/>
      <c r="C1243" s="11">
        <f t="shared" si="58"/>
        <v>1</v>
      </c>
      <c r="D1243" s="11"/>
      <c r="E1243" s="11"/>
      <c r="F1243" s="11"/>
      <c r="G1243" s="89">
        <f>IFERROR(VLOOKUP(F1243,COA!$A$1:$K$26,2,FALSE),0)</f>
        <v>0</v>
      </c>
      <c r="H1243" s="11"/>
      <c r="I1243" s="11"/>
      <c r="J1243" s="78"/>
      <c r="K1243" s="78"/>
      <c r="L1243" s="146">
        <f t="shared" si="60"/>
        <v>504000</v>
      </c>
      <c r="M1243" s="73"/>
      <c r="N1243" s="73"/>
      <c r="O1243" s="73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14.25" customHeight="1" x14ac:dyDescent="0.35">
      <c r="A1244" s="9">
        <f t="shared" si="59"/>
        <v>1236</v>
      </c>
      <c r="B1244" s="15"/>
      <c r="C1244" s="11">
        <f t="shared" si="58"/>
        <v>1</v>
      </c>
      <c r="D1244" s="11"/>
      <c r="E1244" s="11"/>
      <c r="F1244" s="11"/>
      <c r="G1244" s="89">
        <f>IFERROR(VLOOKUP(F1244,COA!$A$1:$K$26,2,FALSE),0)</f>
        <v>0</v>
      </c>
      <c r="H1244" s="11"/>
      <c r="I1244" s="11"/>
      <c r="J1244" s="78"/>
      <c r="K1244" s="78"/>
      <c r="L1244" s="146">
        <f t="shared" si="60"/>
        <v>504000</v>
      </c>
      <c r="M1244" s="73"/>
      <c r="N1244" s="73"/>
      <c r="O1244" s="73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14.25" customHeight="1" x14ac:dyDescent="0.35">
      <c r="A1245" s="9">
        <f t="shared" si="59"/>
        <v>1237</v>
      </c>
      <c r="B1245" s="15"/>
      <c r="C1245" s="11">
        <f t="shared" si="58"/>
        <v>1</v>
      </c>
      <c r="D1245" s="11"/>
      <c r="E1245" s="11"/>
      <c r="F1245" s="11"/>
      <c r="G1245" s="89">
        <f>IFERROR(VLOOKUP(F1245,COA!$A$1:$K$26,2,FALSE),0)</f>
        <v>0</v>
      </c>
      <c r="H1245" s="11"/>
      <c r="I1245" s="11"/>
      <c r="J1245" s="78"/>
      <c r="K1245" s="78"/>
      <c r="L1245" s="146">
        <f t="shared" si="60"/>
        <v>504000</v>
      </c>
      <c r="M1245" s="73"/>
      <c r="N1245" s="73"/>
      <c r="O1245" s="73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14.25" customHeight="1" x14ac:dyDescent="0.35">
      <c r="A1246" s="9">
        <f t="shared" si="59"/>
        <v>1238</v>
      </c>
      <c r="B1246" s="15"/>
      <c r="C1246" s="11">
        <f t="shared" si="58"/>
        <v>1</v>
      </c>
      <c r="D1246" s="11"/>
      <c r="E1246" s="11"/>
      <c r="F1246" s="11"/>
      <c r="G1246" s="89">
        <f>IFERROR(VLOOKUP(F1246,COA!$A$1:$K$26,2,FALSE),0)</f>
        <v>0</v>
      </c>
      <c r="H1246" s="11"/>
      <c r="I1246" s="11"/>
      <c r="J1246" s="78"/>
      <c r="K1246" s="78"/>
      <c r="L1246" s="146">
        <f t="shared" si="60"/>
        <v>504000</v>
      </c>
      <c r="M1246" s="73"/>
      <c r="N1246" s="73"/>
      <c r="O1246" s="73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14.25" customHeight="1" x14ac:dyDescent="0.35">
      <c r="A1247" s="9">
        <f t="shared" si="59"/>
        <v>1239</v>
      </c>
      <c r="B1247" s="15"/>
      <c r="C1247" s="11">
        <f t="shared" si="58"/>
        <v>1</v>
      </c>
      <c r="D1247" s="11"/>
      <c r="E1247" s="11"/>
      <c r="F1247" s="11"/>
      <c r="G1247" s="89">
        <f>IFERROR(VLOOKUP(F1247,COA!$A$1:$K$26,2,FALSE),0)</f>
        <v>0</v>
      </c>
      <c r="H1247" s="11"/>
      <c r="I1247" s="11"/>
      <c r="J1247" s="78"/>
      <c r="K1247" s="78"/>
      <c r="L1247" s="146">
        <f t="shared" si="60"/>
        <v>504000</v>
      </c>
      <c r="M1247" s="73"/>
      <c r="N1247" s="73"/>
      <c r="O1247" s="73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14.25" customHeight="1" x14ac:dyDescent="0.35">
      <c r="A1248" s="9">
        <f t="shared" si="59"/>
        <v>1240</v>
      </c>
      <c r="B1248" s="15"/>
      <c r="C1248" s="11">
        <f t="shared" si="58"/>
        <v>1</v>
      </c>
      <c r="D1248" s="11"/>
      <c r="E1248" s="11"/>
      <c r="F1248" s="11"/>
      <c r="G1248" s="89">
        <f>IFERROR(VLOOKUP(F1248,COA!$A$1:$K$26,2,FALSE),0)</f>
        <v>0</v>
      </c>
      <c r="H1248" s="11"/>
      <c r="I1248" s="11"/>
      <c r="J1248" s="78"/>
      <c r="K1248" s="78"/>
      <c r="L1248" s="146">
        <f t="shared" si="60"/>
        <v>504000</v>
      </c>
      <c r="M1248" s="73"/>
      <c r="N1248" s="73"/>
      <c r="O1248" s="73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14.25" customHeight="1" x14ac:dyDescent="0.35">
      <c r="A1249" s="9">
        <f t="shared" si="59"/>
        <v>1241</v>
      </c>
      <c r="B1249" s="15"/>
      <c r="C1249" s="11">
        <f t="shared" si="58"/>
        <v>1</v>
      </c>
      <c r="D1249" s="11"/>
      <c r="E1249" s="11"/>
      <c r="F1249" s="11"/>
      <c r="G1249" s="89">
        <f>IFERROR(VLOOKUP(F1249,COA!$A$1:$K$26,2,FALSE),0)</f>
        <v>0</v>
      </c>
      <c r="H1249" s="11"/>
      <c r="I1249" s="11"/>
      <c r="J1249" s="78"/>
      <c r="K1249" s="78"/>
      <c r="L1249" s="146">
        <f t="shared" si="60"/>
        <v>504000</v>
      </c>
      <c r="M1249" s="73"/>
      <c r="N1249" s="73"/>
      <c r="O1249" s="73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14.25" customHeight="1" x14ac:dyDescent="0.35">
      <c r="A1250" s="9">
        <f t="shared" si="59"/>
        <v>1242</v>
      </c>
      <c r="B1250" s="15"/>
      <c r="C1250" s="11">
        <f t="shared" si="58"/>
        <v>1</v>
      </c>
      <c r="D1250" s="11"/>
      <c r="E1250" s="11"/>
      <c r="F1250" s="11"/>
      <c r="G1250" s="89">
        <f>IFERROR(VLOOKUP(F1250,COA!$A$1:$K$26,2,FALSE),0)</f>
        <v>0</v>
      </c>
      <c r="H1250" s="11"/>
      <c r="I1250" s="11"/>
      <c r="J1250" s="78"/>
      <c r="K1250" s="78"/>
      <c r="L1250" s="146">
        <f t="shared" si="60"/>
        <v>504000</v>
      </c>
      <c r="M1250" s="73"/>
      <c r="N1250" s="73"/>
      <c r="O1250" s="73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14.25" customHeight="1" x14ac:dyDescent="0.35">
      <c r="A1251" s="9">
        <f t="shared" si="59"/>
        <v>1243</v>
      </c>
      <c r="B1251" s="15"/>
      <c r="C1251" s="11">
        <f t="shared" si="58"/>
        <v>1</v>
      </c>
      <c r="D1251" s="11"/>
      <c r="E1251" s="11"/>
      <c r="F1251" s="11"/>
      <c r="G1251" s="89">
        <f>IFERROR(VLOOKUP(F1251,COA!$A$1:$K$26,2,FALSE),0)</f>
        <v>0</v>
      </c>
      <c r="H1251" s="11"/>
      <c r="I1251" s="11"/>
      <c r="J1251" s="78"/>
      <c r="K1251" s="78"/>
      <c r="L1251" s="146">
        <f t="shared" si="60"/>
        <v>504000</v>
      </c>
      <c r="M1251" s="73"/>
      <c r="N1251" s="73"/>
      <c r="O1251" s="73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14.25" customHeight="1" x14ac:dyDescent="0.35">
      <c r="A1252" s="9">
        <f t="shared" si="59"/>
        <v>1244</v>
      </c>
      <c r="B1252" s="15"/>
      <c r="C1252" s="11">
        <f t="shared" si="58"/>
        <v>1</v>
      </c>
      <c r="D1252" s="11"/>
      <c r="E1252" s="11"/>
      <c r="F1252" s="11"/>
      <c r="G1252" s="89">
        <f>IFERROR(VLOOKUP(F1252,COA!$A$1:$K$26,2,FALSE),0)</f>
        <v>0</v>
      </c>
      <c r="H1252" s="11"/>
      <c r="I1252" s="11"/>
      <c r="J1252" s="78"/>
      <c r="K1252" s="78"/>
      <c r="L1252" s="146">
        <f t="shared" si="60"/>
        <v>504000</v>
      </c>
      <c r="M1252" s="73"/>
      <c r="N1252" s="73"/>
      <c r="O1252" s="73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14.25" customHeight="1" x14ac:dyDescent="0.35">
      <c r="A1253" s="9">
        <f t="shared" si="59"/>
        <v>1245</v>
      </c>
      <c r="B1253" s="15"/>
      <c r="C1253" s="11">
        <f t="shared" si="58"/>
        <v>1</v>
      </c>
      <c r="D1253" s="11"/>
      <c r="E1253" s="11"/>
      <c r="F1253" s="11"/>
      <c r="G1253" s="89">
        <f>IFERROR(VLOOKUP(F1253,COA!$A$1:$K$26,2,FALSE),0)</f>
        <v>0</v>
      </c>
      <c r="H1253" s="11"/>
      <c r="I1253" s="11"/>
      <c r="J1253" s="78"/>
      <c r="K1253" s="78"/>
      <c r="L1253" s="146">
        <f t="shared" si="60"/>
        <v>504000</v>
      </c>
      <c r="M1253" s="73"/>
      <c r="N1253" s="73"/>
      <c r="O1253" s="73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14.25" customHeight="1" x14ac:dyDescent="0.35">
      <c r="A1254" s="9">
        <f t="shared" si="59"/>
        <v>1246</v>
      </c>
      <c r="B1254" s="15"/>
      <c r="C1254" s="11">
        <f t="shared" si="58"/>
        <v>1</v>
      </c>
      <c r="D1254" s="11"/>
      <c r="E1254" s="11"/>
      <c r="F1254" s="11"/>
      <c r="G1254" s="89">
        <f>IFERROR(VLOOKUP(F1254,COA!$A$1:$K$26,2,FALSE),0)</f>
        <v>0</v>
      </c>
      <c r="H1254" s="11"/>
      <c r="I1254" s="11"/>
      <c r="J1254" s="78"/>
      <c r="K1254" s="78"/>
      <c r="L1254" s="146">
        <f t="shared" si="60"/>
        <v>504000</v>
      </c>
      <c r="M1254" s="73"/>
      <c r="N1254" s="73"/>
      <c r="O1254" s="73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14.25" customHeight="1" x14ac:dyDescent="0.35">
      <c r="A1255" s="9">
        <f t="shared" si="59"/>
        <v>1247</v>
      </c>
      <c r="B1255" s="15"/>
      <c r="C1255" s="11">
        <f t="shared" si="58"/>
        <v>1</v>
      </c>
      <c r="D1255" s="11"/>
      <c r="E1255" s="11"/>
      <c r="F1255" s="11"/>
      <c r="G1255" s="89">
        <f>IFERROR(VLOOKUP(F1255,COA!$A$1:$K$26,2,FALSE),0)</f>
        <v>0</v>
      </c>
      <c r="H1255" s="11"/>
      <c r="I1255" s="11"/>
      <c r="J1255" s="78"/>
      <c r="K1255" s="78"/>
      <c r="L1255" s="146">
        <f t="shared" si="60"/>
        <v>504000</v>
      </c>
      <c r="M1255" s="73"/>
      <c r="N1255" s="73"/>
      <c r="O1255" s="73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14.25" customHeight="1" x14ac:dyDescent="0.35">
      <c r="A1256" s="9">
        <f t="shared" si="59"/>
        <v>1248</v>
      </c>
      <c r="B1256" s="15"/>
      <c r="C1256" s="11">
        <f t="shared" si="58"/>
        <v>1</v>
      </c>
      <c r="D1256" s="11"/>
      <c r="E1256" s="11"/>
      <c r="F1256" s="11"/>
      <c r="G1256" s="89">
        <f>IFERROR(VLOOKUP(F1256,COA!$A$1:$K$26,2,FALSE),0)</f>
        <v>0</v>
      </c>
      <c r="H1256" s="11"/>
      <c r="I1256" s="11"/>
      <c r="J1256" s="78"/>
      <c r="K1256" s="78"/>
      <c r="L1256" s="146">
        <f t="shared" si="60"/>
        <v>504000</v>
      </c>
      <c r="M1256" s="73"/>
      <c r="N1256" s="73"/>
      <c r="O1256" s="73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14.25" customHeight="1" x14ac:dyDescent="0.35">
      <c r="A1257" s="9">
        <f t="shared" si="59"/>
        <v>1249</v>
      </c>
      <c r="B1257" s="15"/>
      <c r="C1257" s="11">
        <f t="shared" si="58"/>
        <v>1</v>
      </c>
      <c r="D1257" s="11"/>
      <c r="E1257" s="11"/>
      <c r="F1257" s="11"/>
      <c r="G1257" s="89">
        <f>IFERROR(VLOOKUP(F1257,COA!$A$1:$K$26,2,FALSE),0)</f>
        <v>0</v>
      </c>
      <c r="H1257" s="11"/>
      <c r="I1257" s="11"/>
      <c r="J1257" s="78"/>
      <c r="K1257" s="78"/>
      <c r="L1257" s="146">
        <f t="shared" si="60"/>
        <v>504000</v>
      </c>
      <c r="M1257" s="73"/>
      <c r="N1257" s="73"/>
      <c r="O1257" s="73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14.25" customHeight="1" x14ac:dyDescent="0.35">
      <c r="A1258" s="9">
        <f t="shared" si="59"/>
        <v>1250</v>
      </c>
      <c r="B1258" s="15"/>
      <c r="C1258" s="11">
        <f t="shared" si="58"/>
        <v>1</v>
      </c>
      <c r="D1258" s="11"/>
      <c r="E1258" s="11"/>
      <c r="F1258" s="11"/>
      <c r="G1258" s="89">
        <f>IFERROR(VLOOKUP(F1258,COA!$A$1:$K$26,2,FALSE),0)</f>
        <v>0</v>
      </c>
      <c r="H1258" s="11"/>
      <c r="I1258" s="11"/>
      <c r="J1258" s="78"/>
      <c r="K1258" s="78"/>
      <c r="L1258" s="146">
        <f t="shared" si="60"/>
        <v>504000</v>
      </c>
      <c r="M1258" s="73"/>
      <c r="N1258" s="73"/>
      <c r="O1258" s="73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14.25" customHeight="1" x14ac:dyDescent="0.35">
      <c r="A1259" s="9">
        <f t="shared" si="59"/>
        <v>1251</v>
      </c>
      <c r="B1259" s="15"/>
      <c r="C1259" s="11">
        <f t="shared" si="58"/>
        <v>1</v>
      </c>
      <c r="D1259" s="11"/>
      <c r="E1259" s="11"/>
      <c r="F1259" s="11"/>
      <c r="G1259" s="89">
        <f>IFERROR(VLOOKUP(F1259,COA!$A$1:$K$26,2,FALSE),0)</f>
        <v>0</v>
      </c>
      <c r="H1259" s="11"/>
      <c r="I1259" s="11"/>
      <c r="J1259" s="78"/>
      <c r="K1259" s="78"/>
      <c r="L1259" s="146">
        <f t="shared" si="60"/>
        <v>504000</v>
      </c>
      <c r="M1259" s="73"/>
      <c r="N1259" s="73"/>
      <c r="O1259" s="73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14.25" customHeight="1" x14ac:dyDescent="0.35">
      <c r="A1260" s="9">
        <f t="shared" si="59"/>
        <v>1252</v>
      </c>
      <c r="B1260" s="15"/>
      <c r="C1260" s="11">
        <f t="shared" si="58"/>
        <v>1</v>
      </c>
      <c r="D1260" s="11"/>
      <c r="E1260" s="11"/>
      <c r="F1260" s="11"/>
      <c r="G1260" s="89">
        <f>IFERROR(VLOOKUP(F1260,COA!$A$1:$K$26,2,FALSE),0)</f>
        <v>0</v>
      </c>
      <c r="H1260" s="11"/>
      <c r="I1260" s="11"/>
      <c r="J1260" s="78"/>
      <c r="K1260" s="78"/>
      <c r="L1260" s="146">
        <f t="shared" si="60"/>
        <v>504000</v>
      </c>
      <c r="M1260" s="73"/>
      <c r="N1260" s="73"/>
      <c r="O1260" s="73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14.25" customHeight="1" x14ac:dyDescent="0.35">
      <c r="A1261" s="9">
        <f t="shared" si="59"/>
        <v>1253</v>
      </c>
      <c r="B1261" s="15"/>
      <c r="C1261" s="11">
        <f t="shared" si="58"/>
        <v>1</v>
      </c>
      <c r="D1261" s="11"/>
      <c r="E1261" s="11"/>
      <c r="F1261" s="11"/>
      <c r="G1261" s="89">
        <f>IFERROR(VLOOKUP(F1261,COA!$A$1:$K$26,2,FALSE),0)</f>
        <v>0</v>
      </c>
      <c r="H1261" s="11"/>
      <c r="I1261" s="11"/>
      <c r="J1261" s="78"/>
      <c r="K1261" s="78"/>
      <c r="L1261" s="146">
        <f t="shared" si="60"/>
        <v>504000</v>
      </c>
      <c r="M1261" s="73"/>
      <c r="N1261" s="73"/>
      <c r="O1261" s="73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14.25" customHeight="1" x14ac:dyDescent="0.35">
      <c r="A1262" s="9">
        <f t="shared" si="59"/>
        <v>1254</v>
      </c>
      <c r="B1262" s="15"/>
      <c r="C1262" s="11">
        <f t="shared" si="58"/>
        <v>1</v>
      </c>
      <c r="D1262" s="11"/>
      <c r="E1262" s="11"/>
      <c r="F1262" s="11"/>
      <c r="G1262" s="89">
        <f>IFERROR(VLOOKUP(F1262,COA!$A$1:$K$26,2,FALSE),0)</f>
        <v>0</v>
      </c>
      <c r="H1262" s="11"/>
      <c r="I1262" s="11"/>
      <c r="J1262" s="78"/>
      <c r="K1262" s="78"/>
      <c r="L1262" s="146">
        <f t="shared" si="60"/>
        <v>504000</v>
      </c>
      <c r="M1262" s="73"/>
      <c r="N1262" s="73"/>
      <c r="O1262" s="73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14.25" customHeight="1" x14ac:dyDescent="0.35">
      <c r="A1263" s="9">
        <f t="shared" si="59"/>
        <v>1255</v>
      </c>
      <c r="B1263" s="15"/>
      <c r="C1263" s="11">
        <f t="shared" si="58"/>
        <v>1</v>
      </c>
      <c r="D1263" s="11"/>
      <c r="E1263" s="11"/>
      <c r="F1263" s="11"/>
      <c r="G1263" s="89">
        <f>IFERROR(VLOOKUP(F1263,COA!$A$1:$K$26,2,FALSE),0)</f>
        <v>0</v>
      </c>
      <c r="H1263" s="11"/>
      <c r="I1263" s="11"/>
      <c r="J1263" s="78"/>
      <c r="K1263" s="78"/>
      <c r="L1263" s="146">
        <f t="shared" si="60"/>
        <v>504000</v>
      </c>
      <c r="M1263" s="73"/>
      <c r="N1263" s="73"/>
      <c r="O1263" s="73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14.25" customHeight="1" x14ac:dyDescent="0.35">
      <c r="A1264" s="9">
        <f t="shared" si="59"/>
        <v>1256</v>
      </c>
      <c r="B1264" s="15"/>
      <c r="C1264" s="11">
        <f t="shared" si="58"/>
        <v>1</v>
      </c>
      <c r="D1264" s="11"/>
      <c r="E1264" s="11"/>
      <c r="F1264" s="11"/>
      <c r="G1264" s="89">
        <f>IFERROR(VLOOKUP(F1264,COA!$A$1:$K$26,2,FALSE),0)</f>
        <v>0</v>
      </c>
      <c r="H1264" s="11"/>
      <c r="I1264" s="11"/>
      <c r="J1264" s="78"/>
      <c r="K1264" s="78"/>
      <c r="L1264" s="146">
        <f t="shared" si="60"/>
        <v>504000</v>
      </c>
      <c r="M1264" s="73"/>
      <c r="N1264" s="73"/>
      <c r="O1264" s="73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14.25" customHeight="1" x14ac:dyDescent="0.35">
      <c r="A1265" s="9">
        <f t="shared" si="59"/>
        <v>1257</v>
      </c>
      <c r="B1265" s="15"/>
      <c r="C1265" s="11">
        <f t="shared" si="58"/>
        <v>1</v>
      </c>
      <c r="D1265" s="11"/>
      <c r="E1265" s="11"/>
      <c r="F1265" s="11"/>
      <c r="G1265" s="89">
        <f>IFERROR(VLOOKUP(F1265,COA!$A$1:$K$26,2,FALSE),0)</f>
        <v>0</v>
      </c>
      <c r="H1265" s="11"/>
      <c r="I1265" s="11"/>
      <c r="J1265" s="78"/>
      <c r="K1265" s="78"/>
      <c r="L1265" s="146">
        <f t="shared" si="60"/>
        <v>504000</v>
      </c>
      <c r="M1265" s="73"/>
      <c r="N1265" s="73"/>
      <c r="O1265" s="73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14.25" customHeight="1" x14ac:dyDescent="0.35">
      <c r="A1266" s="9">
        <f t="shared" si="59"/>
        <v>1258</v>
      </c>
      <c r="B1266" s="15"/>
      <c r="C1266" s="11">
        <f t="shared" si="58"/>
        <v>1</v>
      </c>
      <c r="D1266" s="11"/>
      <c r="E1266" s="11"/>
      <c r="F1266" s="11"/>
      <c r="G1266" s="89">
        <f>IFERROR(VLOOKUP(F1266,COA!$A$1:$K$26,2,FALSE),0)</f>
        <v>0</v>
      </c>
      <c r="H1266" s="11"/>
      <c r="I1266" s="11"/>
      <c r="J1266" s="78"/>
      <c r="K1266" s="78"/>
      <c r="L1266" s="146">
        <f t="shared" si="60"/>
        <v>504000</v>
      </c>
      <c r="M1266" s="73"/>
      <c r="N1266" s="73"/>
      <c r="O1266" s="73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14.25" customHeight="1" x14ac:dyDescent="0.35">
      <c r="A1267" s="9">
        <f t="shared" si="59"/>
        <v>1259</v>
      </c>
      <c r="B1267" s="15"/>
      <c r="C1267" s="11">
        <f t="shared" si="58"/>
        <v>1</v>
      </c>
      <c r="D1267" s="11"/>
      <c r="E1267" s="11"/>
      <c r="F1267" s="11"/>
      <c r="G1267" s="89">
        <f>IFERROR(VLOOKUP(F1267,COA!$A$1:$K$26,2,FALSE),0)</f>
        <v>0</v>
      </c>
      <c r="H1267" s="11"/>
      <c r="I1267" s="11"/>
      <c r="J1267" s="78"/>
      <c r="K1267" s="78"/>
      <c r="L1267" s="146">
        <f t="shared" si="60"/>
        <v>504000</v>
      </c>
      <c r="M1267" s="73"/>
      <c r="N1267" s="73"/>
      <c r="O1267" s="73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14.25" customHeight="1" x14ac:dyDescent="0.35">
      <c r="A1268" s="9">
        <f t="shared" si="59"/>
        <v>1260</v>
      </c>
      <c r="B1268" s="15"/>
      <c r="C1268" s="11">
        <f t="shared" si="58"/>
        <v>1</v>
      </c>
      <c r="D1268" s="11"/>
      <c r="E1268" s="11"/>
      <c r="F1268" s="11"/>
      <c r="G1268" s="89">
        <f>IFERROR(VLOOKUP(F1268,COA!$A$1:$K$26,2,FALSE),0)</f>
        <v>0</v>
      </c>
      <c r="H1268" s="11"/>
      <c r="I1268" s="11"/>
      <c r="J1268" s="78"/>
      <c r="K1268" s="78"/>
      <c r="L1268" s="146">
        <f t="shared" si="60"/>
        <v>504000</v>
      </c>
      <c r="M1268" s="73"/>
      <c r="N1268" s="73"/>
      <c r="O1268" s="73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14.25" customHeight="1" x14ac:dyDescent="0.35">
      <c r="A1269" s="9">
        <f t="shared" si="59"/>
        <v>1261</v>
      </c>
      <c r="B1269" s="15"/>
      <c r="C1269" s="11">
        <f t="shared" si="58"/>
        <v>1</v>
      </c>
      <c r="D1269" s="11"/>
      <c r="E1269" s="11"/>
      <c r="F1269" s="11"/>
      <c r="G1269" s="89">
        <f>IFERROR(VLOOKUP(F1269,COA!$A$1:$K$26,2,FALSE),0)</f>
        <v>0</v>
      </c>
      <c r="H1269" s="11"/>
      <c r="I1269" s="11"/>
      <c r="J1269" s="78"/>
      <c r="K1269" s="78"/>
      <c r="L1269" s="146">
        <f t="shared" si="60"/>
        <v>504000</v>
      </c>
      <c r="M1269" s="73"/>
      <c r="N1269" s="73"/>
      <c r="O1269" s="73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14.25" customHeight="1" x14ac:dyDescent="0.35">
      <c r="A1270" s="9">
        <f t="shared" si="59"/>
        <v>1262</v>
      </c>
      <c r="B1270" s="15"/>
      <c r="C1270" s="11">
        <f t="shared" si="58"/>
        <v>1</v>
      </c>
      <c r="D1270" s="11"/>
      <c r="E1270" s="11"/>
      <c r="F1270" s="11"/>
      <c r="G1270" s="89">
        <f>IFERROR(VLOOKUP(F1270,COA!$A$1:$K$26,2,FALSE),0)</f>
        <v>0</v>
      </c>
      <c r="H1270" s="11"/>
      <c r="I1270" s="11"/>
      <c r="J1270" s="78"/>
      <c r="K1270" s="78"/>
      <c r="L1270" s="146">
        <f t="shared" si="60"/>
        <v>504000</v>
      </c>
      <c r="M1270" s="73"/>
      <c r="N1270" s="73"/>
      <c r="O1270" s="73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14.25" customHeight="1" x14ac:dyDescent="0.35">
      <c r="A1271" s="9">
        <f t="shared" si="59"/>
        <v>1263</v>
      </c>
      <c r="B1271" s="15"/>
      <c r="C1271" s="11">
        <f t="shared" si="58"/>
        <v>1</v>
      </c>
      <c r="D1271" s="11"/>
      <c r="E1271" s="11"/>
      <c r="F1271" s="11"/>
      <c r="G1271" s="89">
        <f>IFERROR(VLOOKUP(F1271,COA!$A$1:$K$26,2,FALSE),0)</f>
        <v>0</v>
      </c>
      <c r="H1271" s="11"/>
      <c r="I1271" s="11"/>
      <c r="J1271" s="78"/>
      <c r="K1271" s="78"/>
      <c r="L1271" s="146">
        <f t="shared" si="60"/>
        <v>504000</v>
      </c>
      <c r="M1271" s="73"/>
      <c r="N1271" s="73"/>
      <c r="O1271" s="73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14.25" customHeight="1" x14ac:dyDescent="0.35">
      <c r="A1272" s="9">
        <f t="shared" si="59"/>
        <v>1264</v>
      </c>
      <c r="B1272" s="15"/>
      <c r="C1272" s="11">
        <f t="shared" si="58"/>
        <v>1</v>
      </c>
      <c r="D1272" s="11"/>
      <c r="E1272" s="11"/>
      <c r="F1272" s="11"/>
      <c r="G1272" s="89">
        <f>IFERROR(VLOOKUP(F1272,COA!$A$1:$K$26,2,FALSE),0)</f>
        <v>0</v>
      </c>
      <c r="H1272" s="11"/>
      <c r="I1272" s="11"/>
      <c r="J1272" s="78"/>
      <c r="K1272" s="78"/>
      <c r="L1272" s="146">
        <f t="shared" si="60"/>
        <v>504000</v>
      </c>
      <c r="M1272" s="73"/>
      <c r="N1272" s="73"/>
      <c r="O1272" s="73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14.25" customHeight="1" x14ac:dyDescent="0.35">
      <c r="A1273" s="9">
        <f t="shared" si="59"/>
        <v>1265</v>
      </c>
      <c r="B1273" s="15"/>
      <c r="C1273" s="11">
        <f t="shared" si="58"/>
        <v>1</v>
      </c>
      <c r="D1273" s="11"/>
      <c r="E1273" s="11"/>
      <c r="F1273" s="11"/>
      <c r="G1273" s="89">
        <f>IFERROR(VLOOKUP(F1273,COA!$A$1:$K$26,2,FALSE),0)</f>
        <v>0</v>
      </c>
      <c r="H1273" s="11"/>
      <c r="I1273" s="11"/>
      <c r="J1273" s="78"/>
      <c r="K1273" s="78"/>
      <c r="L1273" s="146">
        <f t="shared" si="60"/>
        <v>504000</v>
      </c>
      <c r="M1273" s="73"/>
      <c r="N1273" s="73"/>
      <c r="O1273" s="73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14.25" customHeight="1" x14ac:dyDescent="0.35">
      <c r="A1274" s="9">
        <f t="shared" si="59"/>
        <v>1266</v>
      </c>
      <c r="B1274" s="15"/>
      <c r="C1274" s="11">
        <f t="shared" si="58"/>
        <v>1</v>
      </c>
      <c r="D1274" s="11"/>
      <c r="E1274" s="11"/>
      <c r="F1274" s="11"/>
      <c r="G1274" s="89">
        <f>IFERROR(VLOOKUP(F1274,COA!$A$1:$K$26,2,FALSE),0)</f>
        <v>0</v>
      </c>
      <c r="H1274" s="11"/>
      <c r="I1274" s="11"/>
      <c r="J1274" s="78"/>
      <c r="K1274" s="78"/>
      <c r="L1274" s="146">
        <f t="shared" si="60"/>
        <v>504000</v>
      </c>
      <c r="M1274" s="73"/>
      <c r="N1274" s="73"/>
      <c r="O1274" s="73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14.25" customHeight="1" x14ac:dyDescent="0.35">
      <c r="A1275" s="9">
        <f t="shared" si="59"/>
        <v>1267</v>
      </c>
      <c r="B1275" s="15"/>
      <c r="C1275" s="11">
        <f t="shared" si="58"/>
        <v>1</v>
      </c>
      <c r="D1275" s="11"/>
      <c r="E1275" s="11"/>
      <c r="F1275" s="11"/>
      <c r="G1275" s="89">
        <f>IFERROR(VLOOKUP(F1275,COA!$A$1:$K$26,2,FALSE),0)</f>
        <v>0</v>
      </c>
      <c r="H1275" s="11"/>
      <c r="I1275" s="11"/>
      <c r="J1275" s="78"/>
      <c r="K1275" s="78"/>
      <c r="L1275" s="146">
        <f t="shared" si="60"/>
        <v>504000</v>
      </c>
      <c r="M1275" s="73"/>
      <c r="N1275" s="73"/>
      <c r="O1275" s="73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14.25" customHeight="1" x14ac:dyDescent="0.35">
      <c r="A1276" s="9">
        <f t="shared" si="59"/>
        <v>1268</v>
      </c>
      <c r="B1276" s="15"/>
      <c r="C1276" s="11">
        <f t="shared" si="58"/>
        <v>1</v>
      </c>
      <c r="D1276" s="11"/>
      <c r="E1276" s="11"/>
      <c r="F1276" s="11"/>
      <c r="G1276" s="89">
        <f>IFERROR(VLOOKUP(F1276,COA!$A$1:$K$26,2,FALSE),0)</f>
        <v>0</v>
      </c>
      <c r="H1276" s="11"/>
      <c r="I1276" s="11"/>
      <c r="J1276" s="78"/>
      <c r="K1276" s="78"/>
      <c r="L1276" s="146">
        <f t="shared" si="60"/>
        <v>504000</v>
      </c>
      <c r="M1276" s="73"/>
      <c r="N1276" s="73"/>
      <c r="O1276" s="73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14.25" customHeight="1" x14ac:dyDescent="0.35">
      <c r="A1277" s="9">
        <f t="shared" si="59"/>
        <v>1269</v>
      </c>
      <c r="B1277" s="15"/>
      <c r="C1277" s="11">
        <f t="shared" si="58"/>
        <v>1</v>
      </c>
      <c r="D1277" s="11"/>
      <c r="E1277" s="11"/>
      <c r="F1277" s="11"/>
      <c r="G1277" s="89">
        <f>IFERROR(VLOOKUP(F1277,COA!$A$1:$K$26,2,FALSE),0)</f>
        <v>0</v>
      </c>
      <c r="H1277" s="11"/>
      <c r="I1277" s="11"/>
      <c r="J1277" s="78"/>
      <c r="K1277" s="78"/>
      <c r="L1277" s="146">
        <f t="shared" si="60"/>
        <v>504000</v>
      </c>
      <c r="M1277" s="73"/>
      <c r="N1277" s="73"/>
      <c r="O1277" s="73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14.25" customHeight="1" x14ac:dyDescent="0.35">
      <c r="A1278" s="9">
        <f t="shared" si="59"/>
        <v>1270</v>
      </c>
      <c r="B1278" s="15"/>
      <c r="C1278" s="11">
        <f t="shared" si="58"/>
        <v>1</v>
      </c>
      <c r="D1278" s="11"/>
      <c r="E1278" s="11"/>
      <c r="F1278" s="11"/>
      <c r="G1278" s="89">
        <f>IFERROR(VLOOKUP(F1278,COA!$A$1:$K$26,2,FALSE),0)</f>
        <v>0</v>
      </c>
      <c r="H1278" s="11"/>
      <c r="I1278" s="11"/>
      <c r="J1278" s="78"/>
      <c r="K1278" s="78"/>
      <c r="L1278" s="146">
        <f t="shared" si="60"/>
        <v>504000</v>
      </c>
      <c r="M1278" s="73"/>
      <c r="N1278" s="73"/>
      <c r="O1278" s="73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14.25" customHeight="1" x14ac:dyDescent="0.35">
      <c r="A1279" s="9">
        <f t="shared" si="59"/>
        <v>1271</v>
      </c>
      <c r="B1279" s="15"/>
      <c r="C1279" s="11">
        <f t="shared" si="58"/>
        <v>1</v>
      </c>
      <c r="D1279" s="11"/>
      <c r="E1279" s="11"/>
      <c r="F1279" s="11"/>
      <c r="G1279" s="89">
        <f>IFERROR(VLOOKUP(F1279,COA!$A$1:$K$26,2,FALSE),0)</f>
        <v>0</v>
      </c>
      <c r="H1279" s="11"/>
      <c r="I1279" s="11"/>
      <c r="J1279" s="78"/>
      <c r="K1279" s="78"/>
      <c r="L1279" s="146">
        <f t="shared" si="60"/>
        <v>504000</v>
      </c>
      <c r="M1279" s="73"/>
      <c r="N1279" s="73"/>
      <c r="O1279" s="73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14.25" customHeight="1" x14ac:dyDescent="0.35">
      <c r="A1280" s="9">
        <f t="shared" si="59"/>
        <v>1272</v>
      </c>
      <c r="B1280" s="15"/>
      <c r="C1280" s="11">
        <f t="shared" si="58"/>
        <v>1</v>
      </c>
      <c r="D1280" s="11"/>
      <c r="E1280" s="11"/>
      <c r="F1280" s="11"/>
      <c r="G1280" s="89">
        <f>IFERROR(VLOOKUP(F1280,COA!$A$1:$K$26,2,FALSE),0)</f>
        <v>0</v>
      </c>
      <c r="H1280" s="11"/>
      <c r="I1280" s="11"/>
      <c r="J1280" s="78"/>
      <c r="K1280" s="78"/>
      <c r="L1280" s="146">
        <f t="shared" si="60"/>
        <v>504000</v>
      </c>
      <c r="M1280" s="73"/>
      <c r="N1280" s="73"/>
      <c r="O1280" s="73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14.25" customHeight="1" x14ac:dyDescent="0.35">
      <c r="A1281" s="9">
        <f t="shared" si="59"/>
        <v>1273</v>
      </c>
      <c r="B1281" s="15"/>
      <c r="C1281" s="11">
        <f t="shared" si="58"/>
        <v>1</v>
      </c>
      <c r="D1281" s="11"/>
      <c r="E1281" s="11"/>
      <c r="F1281" s="11"/>
      <c r="G1281" s="89">
        <f>IFERROR(VLOOKUP(F1281,COA!$A$1:$K$26,2,FALSE),0)</f>
        <v>0</v>
      </c>
      <c r="H1281" s="11"/>
      <c r="I1281" s="11"/>
      <c r="J1281" s="78"/>
      <c r="K1281" s="78"/>
      <c r="L1281" s="146">
        <f t="shared" si="60"/>
        <v>504000</v>
      </c>
      <c r="M1281" s="73"/>
      <c r="N1281" s="73"/>
      <c r="O1281" s="73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14.25" customHeight="1" x14ac:dyDescent="0.35">
      <c r="A1282" s="9">
        <f t="shared" si="59"/>
        <v>1274</v>
      </c>
      <c r="B1282" s="15"/>
      <c r="C1282" s="11">
        <f t="shared" si="58"/>
        <v>1</v>
      </c>
      <c r="D1282" s="11"/>
      <c r="E1282" s="11"/>
      <c r="F1282" s="11"/>
      <c r="G1282" s="89">
        <f>IFERROR(VLOOKUP(F1282,COA!$A$1:$K$26,2,FALSE),0)</f>
        <v>0</v>
      </c>
      <c r="H1282" s="11"/>
      <c r="I1282" s="11"/>
      <c r="J1282" s="78"/>
      <c r="K1282" s="78"/>
      <c r="L1282" s="146">
        <f t="shared" si="60"/>
        <v>504000</v>
      </c>
      <c r="M1282" s="73"/>
      <c r="N1282" s="73"/>
      <c r="O1282" s="73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14.25" customHeight="1" x14ac:dyDescent="0.35">
      <c r="A1283" s="9">
        <f t="shared" si="59"/>
        <v>1275</v>
      </c>
      <c r="B1283" s="15"/>
      <c r="C1283" s="11">
        <f t="shared" si="58"/>
        <v>1</v>
      </c>
      <c r="D1283" s="11"/>
      <c r="E1283" s="11"/>
      <c r="F1283" s="11"/>
      <c r="G1283" s="89">
        <f>IFERROR(VLOOKUP(F1283,COA!$A$1:$K$26,2,FALSE),0)</f>
        <v>0</v>
      </c>
      <c r="H1283" s="11"/>
      <c r="I1283" s="11"/>
      <c r="J1283" s="78"/>
      <c r="K1283" s="78"/>
      <c r="L1283" s="146">
        <f t="shared" si="60"/>
        <v>504000</v>
      </c>
      <c r="M1283" s="73"/>
      <c r="N1283" s="73"/>
      <c r="O1283" s="73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14.25" customHeight="1" x14ac:dyDescent="0.35">
      <c r="A1284" s="9">
        <f t="shared" si="59"/>
        <v>1276</v>
      </c>
      <c r="B1284" s="15"/>
      <c r="C1284" s="11">
        <f t="shared" si="58"/>
        <v>1</v>
      </c>
      <c r="D1284" s="11"/>
      <c r="E1284" s="11"/>
      <c r="F1284" s="11"/>
      <c r="G1284" s="89">
        <f>IFERROR(VLOOKUP(F1284,COA!$A$1:$K$26,2,FALSE),0)</f>
        <v>0</v>
      </c>
      <c r="H1284" s="11"/>
      <c r="I1284" s="11"/>
      <c r="J1284" s="78"/>
      <c r="K1284" s="78"/>
      <c r="L1284" s="146">
        <f t="shared" si="60"/>
        <v>504000</v>
      </c>
      <c r="M1284" s="73"/>
      <c r="N1284" s="73"/>
      <c r="O1284" s="73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14.25" customHeight="1" x14ac:dyDescent="0.35">
      <c r="A1285" s="9">
        <f t="shared" si="59"/>
        <v>1277</v>
      </c>
      <c r="B1285" s="15"/>
      <c r="C1285" s="11">
        <f t="shared" si="58"/>
        <v>1</v>
      </c>
      <c r="D1285" s="11"/>
      <c r="E1285" s="11"/>
      <c r="F1285" s="11"/>
      <c r="G1285" s="89">
        <f>IFERROR(VLOOKUP(F1285,COA!$A$1:$K$26,2,FALSE),0)</f>
        <v>0</v>
      </c>
      <c r="H1285" s="11"/>
      <c r="I1285" s="11"/>
      <c r="J1285" s="78"/>
      <c r="K1285" s="78"/>
      <c r="L1285" s="146">
        <f t="shared" si="60"/>
        <v>504000</v>
      </c>
      <c r="M1285" s="73"/>
      <c r="N1285" s="73"/>
      <c r="O1285" s="73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14.25" customHeight="1" x14ac:dyDescent="0.35">
      <c r="A1286" s="9">
        <f t="shared" si="59"/>
        <v>1278</v>
      </c>
      <c r="B1286" s="15"/>
      <c r="C1286" s="11">
        <f t="shared" si="58"/>
        <v>1</v>
      </c>
      <c r="D1286" s="11"/>
      <c r="E1286" s="11"/>
      <c r="F1286" s="11"/>
      <c r="G1286" s="89">
        <f>IFERROR(VLOOKUP(F1286,COA!$A$1:$K$26,2,FALSE),0)</f>
        <v>0</v>
      </c>
      <c r="H1286" s="11"/>
      <c r="I1286" s="11"/>
      <c r="J1286" s="78"/>
      <c r="K1286" s="78"/>
      <c r="L1286" s="146">
        <f t="shared" si="60"/>
        <v>504000</v>
      </c>
      <c r="M1286" s="73"/>
      <c r="N1286" s="73"/>
      <c r="O1286" s="73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14.25" customHeight="1" x14ac:dyDescent="0.35">
      <c r="A1287" s="9">
        <f t="shared" si="59"/>
        <v>1279</v>
      </c>
      <c r="B1287" s="15"/>
      <c r="C1287" s="11">
        <f t="shared" si="58"/>
        <v>1</v>
      </c>
      <c r="D1287" s="11"/>
      <c r="E1287" s="11"/>
      <c r="F1287" s="11"/>
      <c r="G1287" s="89">
        <f>IFERROR(VLOOKUP(F1287,COA!$A$1:$K$26,2,FALSE),0)</f>
        <v>0</v>
      </c>
      <c r="H1287" s="11"/>
      <c r="I1287" s="11"/>
      <c r="J1287" s="78"/>
      <c r="K1287" s="78"/>
      <c r="L1287" s="146">
        <f t="shared" si="60"/>
        <v>504000</v>
      </c>
      <c r="M1287" s="73"/>
      <c r="N1287" s="73"/>
      <c r="O1287" s="73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14.25" customHeight="1" x14ac:dyDescent="0.35">
      <c r="A1288" s="9">
        <f t="shared" si="59"/>
        <v>1280</v>
      </c>
      <c r="B1288" s="15"/>
      <c r="C1288" s="11">
        <f t="shared" ref="C1288:C1351" si="61">MONTH(B1288)</f>
        <v>1</v>
      </c>
      <c r="D1288" s="11"/>
      <c r="E1288" s="11"/>
      <c r="F1288" s="11"/>
      <c r="G1288" s="89">
        <f>IFERROR(VLOOKUP(F1288,COA!$A$1:$K$26,2,FALSE),0)</f>
        <v>0</v>
      </c>
      <c r="H1288" s="11"/>
      <c r="I1288" s="11"/>
      <c r="J1288" s="78"/>
      <c r="K1288" s="78"/>
      <c r="L1288" s="146">
        <f t="shared" si="60"/>
        <v>504000</v>
      </c>
      <c r="M1288" s="73"/>
      <c r="N1288" s="73"/>
      <c r="O1288" s="73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14.25" customHeight="1" x14ac:dyDescent="0.35">
      <c r="A1289" s="9">
        <f t="shared" si="59"/>
        <v>1281</v>
      </c>
      <c r="B1289" s="15"/>
      <c r="C1289" s="11">
        <f t="shared" si="61"/>
        <v>1</v>
      </c>
      <c r="D1289" s="11"/>
      <c r="E1289" s="11"/>
      <c r="F1289" s="11"/>
      <c r="G1289" s="89">
        <f>IFERROR(VLOOKUP(F1289,COA!$A$1:$K$26,2,FALSE),0)</f>
        <v>0</v>
      </c>
      <c r="H1289" s="11"/>
      <c r="I1289" s="11"/>
      <c r="J1289" s="78"/>
      <c r="K1289" s="78"/>
      <c r="L1289" s="146">
        <f t="shared" si="60"/>
        <v>504000</v>
      </c>
      <c r="M1289" s="73"/>
      <c r="N1289" s="73"/>
      <c r="O1289" s="73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14.25" customHeight="1" x14ac:dyDescent="0.35">
      <c r="A1290" s="9">
        <f t="shared" si="59"/>
        <v>1282</v>
      </c>
      <c r="B1290" s="15"/>
      <c r="C1290" s="11">
        <f t="shared" si="61"/>
        <v>1</v>
      </c>
      <c r="D1290" s="11"/>
      <c r="E1290" s="11"/>
      <c r="F1290" s="11"/>
      <c r="G1290" s="89">
        <f>IFERROR(VLOOKUP(F1290,COA!$A$1:$K$26,2,FALSE),0)</f>
        <v>0</v>
      </c>
      <c r="H1290" s="11"/>
      <c r="I1290" s="11"/>
      <c r="J1290" s="78"/>
      <c r="K1290" s="78"/>
      <c r="L1290" s="146">
        <f t="shared" si="60"/>
        <v>504000</v>
      </c>
      <c r="M1290" s="73"/>
      <c r="N1290" s="73"/>
      <c r="O1290" s="73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14.25" customHeight="1" x14ac:dyDescent="0.35">
      <c r="A1291" s="9">
        <f t="shared" ref="A1291:A1354" si="62">A1290+1</f>
        <v>1283</v>
      </c>
      <c r="B1291" s="15"/>
      <c r="C1291" s="11">
        <f t="shared" si="61"/>
        <v>1</v>
      </c>
      <c r="D1291" s="11"/>
      <c r="E1291" s="11"/>
      <c r="F1291" s="11"/>
      <c r="G1291" s="89">
        <f>IFERROR(VLOOKUP(F1291,COA!$A$1:$K$26,2,FALSE),0)</f>
        <v>0</v>
      </c>
      <c r="H1291" s="11"/>
      <c r="I1291" s="11"/>
      <c r="J1291" s="78"/>
      <c r="K1291" s="78"/>
      <c r="L1291" s="146">
        <f t="shared" ref="L1291:L1354" si="63">L1290+J1291-K1291</f>
        <v>504000</v>
      </c>
      <c r="M1291" s="73"/>
      <c r="N1291" s="73"/>
      <c r="O1291" s="73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14.25" customHeight="1" x14ac:dyDescent="0.35">
      <c r="A1292" s="9">
        <f t="shared" si="62"/>
        <v>1284</v>
      </c>
      <c r="B1292" s="15"/>
      <c r="C1292" s="11">
        <f t="shared" si="61"/>
        <v>1</v>
      </c>
      <c r="D1292" s="11"/>
      <c r="E1292" s="11"/>
      <c r="F1292" s="11"/>
      <c r="G1292" s="89">
        <f>IFERROR(VLOOKUP(F1292,COA!$A$1:$K$26,2,FALSE),0)</f>
        <v>0</v>
      </c>
      <c r="H1292" s="11"/>
      <c r="I1292" s="11"/>
      <c r="J1292" s="78"/>
      <c r="K1292" s="78"/>
      <c r="L1292" s="146">
        <f t="shared" si="63"/>
        <v>504000</v>
      </c>
      <c r="M1292" s="73"/>
      <c r="N1292" s="73"/>
      <c r="O1292" s="73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14.25" customHeight="1" x14ac:dyDescent="0.35">
      <c r="A1293" s="9">
        <f t="shared" si="62"/>
        <v>1285</v>
      </c>
      <c r="B1293" s="15"/>
      <c r="C1293" s="11">
        <f t="shared" si="61"/>
        <v>1</v>
      </c>
      <c r="D1293" s="11"/>
      <c r="E1293" s="11"/>
      <c r="F1293" s="11"/>
      <c r="G1293" s="89">
        <f>IFERROR(VLOOKUP(F1293,COA!$A$1:$K$26,2,FALSE),0)</f>
        <v>0</v>
      </c>
      <c r="H1293" s="11"/>
      <c r="I1293" s="11"/>
      <c r="J1293" s="78"/>
      <c r="K1293" s="78"/>
      <c r="L1293" s="146">
        <f t="shared" si="63"/>
        <v>504000</v>
      </c>
      <c r="M1293" s="73"/>
      <c r="N1293" s="73"/>
      <c r="O1293" s="73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14.25" customHeight="1" x14ac:dyDescent="0.35">
      <c r="A1294" s="9">
        <f t="shared" si="62"/>
        <v>1286</v>
      </c>
      <c r="B1294" s="15"/>
      <c r="C1294" s="11">
        <f t="shared" si="61"/>
        <v>1</v>
      </c>
      <c r="D1294" s="11"/>
      <c r="E1294" s="11"/>
      <c r="F1294" s="11"/>
      <c r="G1294" s="89">
        <f>IFERROR(VLOOKUP(F1294,COA!$A$1:$K$26,2,FALSE),0)</f>
        <v>0</v>
      </c>
      <c r="H1294" s="11"/>
      <c r="I1294" s="11"/>
      <c r="J1294" s="78"/>
      <c r="K1294" s="78"/>
      <c r="L1294" s="146">
        <f t="shared" si="63"/>
        <v>504000</v>
      </c>
      <c r="M1294" s="73"/>
      <c r="N1294" s="73"/>
      <c r="O1294" s="73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14.25" customHeight="1" x14ac:dyDescent="0.35">
      <c r="A1295" s="9">
        <f t="shared" si="62"/>
        <v>1287</v>
      </c>
      <c r="B1295" s="15"/>
      <c r="C1295" s="11">
        <f t="shared" si="61"/>
        <v>1</v>
      </c>
      <c r="D1295" s="11"/>
      <c r="E1295" s="11"/>
      <c r="F1295" s="11"/>
      <c r="G1295" s="89">
        <f>IFERROR(VLOOKUP(F1295,COA!$A$1:$K$26,2,FALSE),0)</f>
        <v>0</v>
      </c>
      <c r="H1295" s="11"/>
      <c r="I1295" s="11"/>
      <c r="J1295" s="78"/>
      <c r="K1295" s="78"/>
      <c r="L1295" s="146">
        <f t="shared" si="63"/>
        <v>504000</v>
      </c>
      <c r="M1295" s="73"/>
      <c r="N1295" s="73"/>
      <c r="O1295" s="73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14.25" customHeight="1" x14ac:dyDescent="0.35">
      <c r="A1296" s="9">
        <f t="shared" si="62"/>
        <v>1288</v>
      </c>
      <c r="B1296" s="15"/>
      <c r="C1296" s="11">
        <f t="shared" si="61"/>
        <v>1</v>
      </c>
      <c r="D1296" s="11"/>
      <c r="E1296" s="11"/>
      <c r="F1296" s="11"/>
      <c r="G1296" s="89">
        <f>IFERROR(VLOOKUP(F1296,COA!$A$1:$K$26,2,FALSE),0)</f>
        <v>0</v>
      </c>
      <c r="H1296" s="11"/>
      <c r="I1296" s="11"/>
      <c r="J1296" s="78"/>
      <c r="K1296" s="78"/>
      <c r="L1296" s="146">
        <f t="shared" si="63"/>
        <v>504000</v>
      </c>
      <c r="M1296" s="73"/>
      <c r="N1296" s="73"/>
      <c r="O1296" s="73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14.25" customHeight="1" x14ac:dyDescent="0.35">
      <c r="A1297" s="9">
        <f t="shared" si="62"/>
        <v>1289</v>
      </c>
      <c r="B1297" s="15"/>
      <c r="C1297" s="11">
        <f t="shared" si="61"/>
        <v>1</v>
      </c>
      <c r="D1297" s="11"/>
      <c r="E1297" s="11"/>
      <c r="F1297" s="11"/>
      <c r="G1297" s="89">
        <f>IFERROR(VLOOKUP(F1297,COA!$A$1:$K$26,2,FALSE),0)</f>
        <v>0</v>
      </c>
      <c r="H1297" s="11"/>
      <c r="I1297" s="11"/>
      <c r="J1297" s="78"/>
      <c r="K1297" s="78"/>
      <c r="L1297" s="146">
        <f t="shared" si="63"/>
        <v>504000</v>
      </c>
      <c r="M1297" s="73"/>
      <c r="N1297" s="73"/>
      <c r="O1297" s="73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14.25" customHeight="1" x14ac:dyDescent="0.35">
      <c r="A1298" s="9">
        <f t="shared" si="62"/>
        <v>1290</v>
      </c>
      <c r="B1298" s="15"/>
      <c r="C1298" s="11">
        <f t="shared" si="61"/>
        <v>1</v>
      </c>
      <c r="D1298" s="11"/>
      <c r="E1298" s="11"/>
      <c r="F1298" s="11"/>
      <c r="G1298" s="89">
        <f>IFERROR(VLOOKUP(F1298,COA!$A$1:$K$26,2,FALSE),0)</f>
        <v>0</v>
      </c>
      <c r="H1298" s="11"/>
      <c r="I1298" s="11"/>
      <c r="J1298" s="78"/>
      <c r="K1298" s="78"/>
      <c r="L1298" s="146">
        <f t="shared" si="63"/>
        <v>504000</v>
      </c>
      <c r="M1298" s="73"/>
      <c r="N1298" s="73"/>
      <c r="O1298" s="73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14.25" customHeight="1" x14ac:dyDescent="0.35">
      <c r="A1299" s="9">
        <f t="shared" si="62"/>
        <v>1291</v>
      </c>
      <c r="B1299" s="15"/>
      <c r="C1299" s="11">
        <f t="shared" si="61"/>
        <v>1</v>
      </c>
      <c r="D1299" s="11"/>
      <c r="E1299" s="11"/>
      <c r="F1299" s="11"/>
      <c r="G1299" s="89">
        <f>IFERROR(VLOOKUP(F1299,COA!$A$1:$K$26,2,FALSE),0)</f>
        <v>0</v>
      </c>
      <c r="H1299" s="11"/>
      <c r="I1299" s="11"/>
      <c r="J1299" s="78"/>
      <c r="K1299" s="78"/>
      <c r="L1299" s="146">
        <f t="shared" si="63"/>
        <v>504000</v>
      </c>
      <c r="M1299" s="73"/>
      <c r="N1299" s="73"/>
      <c r="O1299" s="73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14.25" customHeight="1" x14ac:dyDescent="0.35">
      <c r="A1300" s="9">
        <f t="shared" si="62"/>
        <v>1292</v>
      </c>
      <c r="B1300" s="15"/>
      <c r="C1300" s="11">
        <f t="shared" si="61"/>
        <v>1</v>
      </c>
      <c r="D1300" s="11"/>
      <c r="E1300" s="11"/>
      <c r="F1300" s="11"/>
      <c r="G1300" s="89">
        <f>IFERROR(VLOOKUP(F1300,COA!$A$1:$K$26,2,FALSE),0)</f>
        <v>0</v>
      </c>
      <c r="H1300" s="11"/>
      <c r="I1300" s="11"/>
      <c r="J1300" s="78"/>
      <c r="K1300" s="78"/>
      <c r="L1300" s="146">
        <f t="shared" si="63"/>
        <v>504000</v>
      </c>
      <c r="M1300" s="73"/>
      <c r="N1300" s="73"/>
      <c r="O1300" s="73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14.25" customHeight="1" x14ac:dyDescent="0.35">
      <c r="A1301" s="9">
        <f t="shared" si="62"/>
        <v>1293</v>
      </c>
      <c r="B1301" s="15"/>
      <c r="C1301" s="11">
        <f t="shared" si="61"/>
        <v>1</v>
      </c>
      <c r="D1301" s="11"/>
      <c r="E1301" s="11"/>
      <c r="F1301" s="11"/>
      <c r="G1301" s="89">
        <f>IFERROR(VLOOKUP(F1301,COA!$A$1:$K$26,2,FALSE),0)</f>
        <v>0</v>
      </c>
      <c r="H1301" s="11"/>
      <c r="I1301" s="11"/>
      <c r="J1301" s="78"/>
      <c r="K1301" s="78"/>
      <c r="L1301" s="146">
        <f t="shared" si="63"/>
        <v>504000</v>
      </c>
      <c r="M1301" s="73"/>
      <c r="N1301" s="73"/>
      <c r="O1301" s="73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14.25" customHeight="1" x14ac:dyDescent="0.35">
      <c r="A1302" s="9">
        <f t="shared" si="62"/>
        <v>1294</v>
      </c>
      <c r="B1302" s="15"/>
      <c r="C1302" s="11">
        <f t="shared" si="61"/>
        <v>1</v>
      </c>
      <c r="D1302" s="11"/>
      <c r="E1302" s="11"/>
      <c r="F1302" s="11"/>
      <c r="G1302" s="89">
        <f>IFERROR(VLOOKUP(F1302,COA!$A$1:$K$26,2,FALSE),0)</f>
        <v>0</v>
      </c>
      <c r="H1302" s="11"/>
      <c r="I1302" s="11"/>
      <c r="J1302" s="78"/>
      <c r="K1302" s="78"/>
      <c r="L1302" s="146">
        <f t="shared" si="63"/>
        <v>504000</v>
      </c>
      <c r="M1302" s="73"/>
      <c r="N1302" s="73"/>
      <c r="O1302" s="73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14.25" customHeight="1" x14ac:dyDescent="0.35">
      <c r="A1303" s="9">
        <f t="shared" si="62"/>
        <v>1295</v>
      </c>
      <c r="B1303" s="15"/>
      <c r="C1303" s="11">
        <f t="shared" si="61"/>
        <v>1</v>
      </c>
      <c r="D1303" s="11"/>
      <c r="E1303" s="11"/>
      <c r="F1303" s="11"/>
      <c r="G1303" s="89">
        <f>IFERROR(VLOOKUP(F1303,COA!$A$1:$K$26,2,FALSE),0)</f>
        <v>0</v>
      </c>
      <c r="H1303" s="11"/>
      <c r="I1303" s="11"/>
      <c r="J1303" s="78"/>
      <c r="K1303" s="78"/>
      <c r="L1303" s="146">
        <f t="shared" si="63"/>
        <v>504000</v>
      </c>
      <c r="M1303" s="73"/>
      <c r="N1303" s="73"/>
      <c r="O1303" s="73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14.25" customHeight="1" x14ac:dyDescent="0.35">
      <c r="A1304" s="9">
        <f t="shared" si="62"/>
        <v>1296</v>
      </c>
      <c r="B1304" s="15"/>
      <c r="C1304" s="11">
        <f t="shared" si="61"/>
        <v>1</v>
      </c>
      <c r="D1304" s="11"/>
      <c r="E1304" s="11"/>
      <c r="F1304" s="11"/>
      <c r="G1304" s="89">
        <f>IFERROR(VLOOKUP(F1304,COA!$A$1:$K$26,2,FALSE),0)</f>
        <v>0</v>
      </c>
      <c r="H1304" s="11"/>
      <c r="I1304" s="11"/>
      <c r="J1304" s="78"/>
      <c r="K1304" s="78"/>
      <c r="L1304" s="146">
        <f t="shared" si="63"/>
        <v>504000</v>
      </c>
      <c r="M1304" s="73"/>
      <c r="N1304" s="73"/>
      <c r="O1304" s="73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14.25" customHeight="1" x14ac:dyDescent="0.35">
      <c r="A1305" s="9">
        <f t="shared" si="62"/>
        <v>1297</v>
      </c>
      <c r="B1305" s="15"/>
      <c r="C1305" s="11">
        <f t="shared" si="61"/>
        <v>1</v>
      </c>
      <c r="D1305" s="11"/>
      <c r="E1305" s="11"/>
      <c r="F1305" s="11"/>
      <c r="G1305" s="89">
        <f>IFERROR(VLOOKUP(F1305,COA!$A$1:$K$26,2,FALSE),0)</f>
        <v>0</v>
      </c>
      <c r="H1305" s="11"/>
      <c r="I1305" s="11"/>
      <c r="J1305" s="78"/>
      <c r="K1305" s="78"/>
      <c r="L1305" s="146">
        <f t="shared" si="63"/>
        <v>504000</v>
      </c>
      <c r="M1305" s="73"/>
      <c r="N1305" s="73"/>
      <c r="O1305" s="73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14.25" customHeight="1" x14ac:dyDescent="0.35">
      <c r="A1306" s="9">
        <f t="shared" si="62"/>
        <v>1298</v>
      </c>
      <c r="B1306" s="15"/>
      <c r="C1306" s="11">
        <f t="shared" si="61"/>
        <v>1</v>
      </c>
      <c r="D1306" s="11"/>
      <c r="E1306" s="11"/>
      <c r="F1306" s="11"/>
      <c r="G1306" s="89">
        <f>IFERROR(VLOOKUP(F1306,COA!$A$1:$K$26,2,FALSE),0)</f>
        <v>0</v>
      </c>
      <c r="H1306" s="11"/>
      <c r="I1306" s="11"/>
      <c r="J1306" s="78"/>
      <c r="K1306" s="78"/>
      <c r="L1306" s="146">
        <f t="shared" si="63"/>
        <v>504000</v>
      </c>
      <c r="M1306" s="73"/>
      <c r="N1306" s="73"/>
      <c r="O1306" s="73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14.25" customHeight="1" x14ac:dyDescent="0.35">
      <c r="A1307" s="9">
        <f t="shared" si="62"/>
        <v>1299</v>
      </c>
      <c r="B1307" s="15"/>
      <c r="C1307" s="11">
        <f t="shared" si="61"/>
        <v>1</v>
      </c>
      <c r="D1307" s="11"/>
      <c r="E1307" s="11"/>
      <c r="F1307" s="11"/>
      <c r="G1307" s="89">
        <f>IFERROR(VLOOKUP(F1307,COA!$A$1:$K$26,2,FALSE),0)</f>
        <v>0</v>
      </c>
      <c r="H1307" s="11"/>
      <c r="I1307" s="11"/>
      <c r="J1307" s="78"/>
      <c r="K1307" s="78"/>
      <c r="L1307" s="146">
        <f t="shared" si="63"/>
        <v>504000</v>
      </c>
      <c r="M1307" s="73"/>
      <c r="N1307" s="73"/>
      <c r="O1307" s="73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14.25" customHeight="1" x14ac:dyDescent="0.35">
      <c r="A1308" s="9">
        <f t="shared" si="62"/>
        <v>1300</v>
      </c>
      <c r="B1308" s="15"/>
      <c r="C1308" s="11">
        <f t="shared" si="61"/>
        <v>1</v>
      </c>
      <c r="D1308" s="11"/>
      <c r="E1308" s="11"/>
      <c r="F1308" s="11"/>
      <c r="G1308" s="89">
        <f>IFERROR(VLOOKUP(F1308,COA!$A$1:$K$26,2,FALSE),0)</f>
        <v>0</v>
      </c>
      <c r="H1308" s="11"/>
      <c r="I1308" s="11"/>
      <c r="J1308" s="78"/>
      <c r="K1308" s="78"/>
      <c r="L1308" s="146">
        <f t="shared" si="63"/>
        <v>504000</v>
      </c>
      <c r="M1308" s="73"/>
      <c r="N1308" s="73"/>
      <c r="O1308" s="73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14.25" customHeight="1" x14ac:dyDescent="0.35">
      <c r="A1309" s="9">
        <f t="shared" si="62"/>
        <v>1301</v>
      </c>
      <c r="B1309" s="15"/>
      <c r="C1309" s="11">
        <f t="shared" si="61"/>
        <v>1</v>
      </c>
      <c r="D1309" s="11"/>
      <c r="E1309" s="11"/>
      <c r="F1309" s="11"/>
      <c r="G1309" s="89">
        <f>IFERROR(VLOOKUP(F1309,COA!$A$1:$K$26,2,FALSE),0)</f>
        <v>0</v>
      </c>
      <c r="H1309" s="11"/>
      <c r="I1309" s="11"/>
      <c r="J1309" s="78"/>
      <c r="K1309" s="78"/>
      <c r="L1309" s="146">
        <f t="shared" si="63"/>
        <v>504000</v>
      </c>
      <c r="M1309" s="73"/>
      <c r="N1309" s="73"/>
      <c r="O1309" s="73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14.25" customHeight="1" x14ac:dyDescent="0.35">
      <c r="A1310" s="9">
        <f t="shared" si="62"/>
        <v>1302</v>
      </c>
      <c r="B1310" s="15"/>
      <c r="C1310" s="11">
        <f t="shared" si="61"/>
        <v>1</v>
      </c>
      <c r="D1310" s="11"/>
      <c r="E1310" s="11"/>
      <c r="F1310" s="11"/>
      <c r="G1310" s="89">
        <f>IFERROR(VLOOKUP(F1310,COA!$A$1:$K$26,2,FALSE),0)</f>
        <v>0</v>
      </c>
      <c r="H1310" s="11"/>
      <c r="I1310" s="11"/>
      <c r="J1310" s="78"/>
      <c r="K1310" s="78"/>
      <c r="L1310" s="146">
        <f t="shared" si="63"/>
        <v>504000</v>
      </c>
      <c r="M1310" s="73"/>
      <c r="N1310" s="73"/>
      <c r="O1310" s="73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14.25" customHeight="1" x14ac:dyDescent="0.35">
      <c r="A1311" s="9">
        <f t="shared" si="62"/>
        <v>1303</v>
      </c>
      <c r="B1311" s="15"/>
      <c r="C1311" s="11">
        <f t="shared" si="61"/>
        <v>1</v>
      </c>
      <c r="D1311" s="11"/>
      <c r="E1311" s="11"/>
      <c r="F1311" s="11"/>
      <c r="G1311" s="89">
        <f>IFERROR(VLOOKUP(F1311,COA!$A$1:$K$26,2,FALSE),0)</f>
        <v>0</v>
      </c>
      <c r="H1311" s="11"/>
      <c r="I1311" s="11"/>
      <c r="J1311" s="78"/>
      <c r="K1311" s="78"/>
      <c r="L1311" s="146">
        <f t="shared" si="63"/>
        <v>504000</v>
      </c>
      <c r="M1311" s="73"/>
      <c r="N1311" s="73"/>
      <c r="O1311" s="73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14.25" customHeight="1" x14ac:dyDescent="0.35">
      <c r="A1312" s="9">
        <f t="shared" si="62"/>
        <v>1304</v>
      </c>
      <c r="B1312" s="15"/>
      <c r="C1312" s="11">
        <f t="shared" si="61"/>
        <v>1</v>
      </c>
      <c r="D1312" s="11"/>
      <c r="E1312" s="11"/>
      <c r="F1312" s="11"/>
      <c r="G1312" s="89">
        <f>IFERROR(VLOOKUP(F1312,COA!$A$1:$K$26,2,FALSE),0)</f>
        <v>0</v>
      </c>
      <c r="H1312" s="11"/>
      <c r="I1312" s="11"/>
      <c r="J1312" s="78"/>
      <c r="K1312" s="78"/>
      <c r="L1312" s="146">
        <f t="shared" si="63"/>
        <v>504000</v>
      </c>
      <c r="M1312" s="73"/>
      <c r="N1312" s="73"/>
      <c r="O1312" s="73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14.25" customHeight="1" x14ac:dyDescent="0.35">
      <c r="A1313" s="9">
        <f t="shared" si="62"/>
        <v>1305</v>
      </c>
      <c r="B1313" s="15"/>
      <c r="C1313" s="11">
        <f t="shared" si="61"/>
        <v>1</v>
      </c>
      <c r="D1313" s="11"/>
      <c r="E1313" s="11"/>
      <c r="F1313" s="11"/>
      <c r="G1313" s="89">
        <f>IFERROR(VLOOKUP(F1313,COA!$A$1:$K$26,2,FALSE),0)</f>
        <v>0</v>
      </c>
      <c r="H1313" s="11"/>
      <c r="I1313" s="11"/>
      <c r="J1313" s="78"/>
      <c r="K1313" s="78"/>
      <c r="L1313" s="146">
        <f t="shared" si="63"/>
        <v>504000</v>
      </c>
      <c r="M1313" s="73"/>
      <c r="N1313" s="73"/>
      <c r="O1313" s="73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14.25" customHeight="1" x14ac:dyDescent="0.35">
      <c r="A1314" s="9">
        <f t="shared" si="62"/>
        <v>1306</v>
      </c>
      <c r="B1314" s="15"/>
      <c r="C1314" s="11">
        <f t="shared" si="61"/>
        <v>1</v>
      </c>
      <c r="D1314" s="11"/>
      <c r="E1314" s="11"/>
      <c r="F1314" s="11"/>
      <c r="G1314" s="89">
        <f>IFERROR(VLOOKUP(F1314,COA!$A$1:$K$26,2,FALSE),0)</f>
        <v>0</v>
      </c>
      <c r="H1314" s="11"/>
      <c r="I1314" s="11"/>
      <c r="J1314" s="78"/>
      <c r="K1314" s="78"/>
      <c r="L1314" s="146">
        <f t="shared" si="63"/>
        <v>504000</v>
      </c>
      <c r="M1314" s="73"/>
      <c r="N1314" s="73"/>
      <c r="O1314" s="73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14.25" customHeight="1" x14ac:dyDescent="0.35">
      <c r="A1315" s="9">
        <f t="shared" si="62"/>
        <v>1307</v>
      </c>
      <c r="B1315" s="15"/>
      <c r="C1315" s="11">
        <f t="shared" si="61"/>
        <v>1</v>
      </c>
      <c r="D1315" s="11"/>
      <c r="E1315" s="11"/>
      <c r="F1315" s="11"/>
      <c r="G1315" s="89">
        <f>IFERROR(VLOOKUP(F1315,COA!$A$1:$K$26,2,FALSE),0)</f>
        <v>0</v>
      </c>
      <c r="H1315" s="11"/>
      <c r="I1315" s="11"/>
      <c r="J1315" s="78"/>
      <c r="K1315" s="78"/>
      <c r="L1315" s="146">
        <f t="shared" si="63"/>
        <v>504000</v>
      </c>
      <c r="M1315" s="73"/>
      <c r="N1315" s="73"/>
      <c r="O1315" s="73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14.25" customHeight="1" x14ac:dyDescent="0.35">
      <c r="A1316" s="9">
        <f t="shared" si="62"/>
        <v>1308</v>
      </c>
      <c r="B1316" s="15"/>
      <c r="C1316" s="11">
        <f t="shared" si="61"/>
        <v>1</v>
      </c>
      <c r="D1316" s="11"/>
      <c r="E1316" s="11"/>
      <c r="F1316" s="11"/>
      <c r="G1316" s="89">
        <f>IFERROR(VLOOKUP(F1316,COA!$A$1:$K$26,2,FALSE),0)</f>
        <v>0</v>
      </c>
      <c r="H1316" s="11"/>
      <c r="I1316" s="11"/>
      <c r="J1316" s="78"/>
      <c r="K1316" s="78"/>
      <c r="L1316" s="146">
        <f t="shared" si="63"/>
        <v>504000</v>
      </c>
      <c r="M1316" s="73"/>
      <c r="N1316" s="73"/>
      <c r="O1316" s="73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14.25" customHeight="1" x14ac:dyDescent="0.35">
      <c r="A1317" s="9">
        <f t="shared" si="62"/>
        <v>1309</v>
      </c>
      <c r="B1317" s="15"/>
      <c r="C1317" s="11">
        <f t="shared" si="61"/>
        <v>1</v>
      </c>
      <c r="D1317" s="11"/>
      <c r="E1317" s="11"/>
      <c r="F1317" s="11"/>
      <c r="G1317" s="89">
        <f>IFERROR(VLOOKUP(F1317,COA!$A$1:$K$26,2,FALSE),0)</f>
        <v>0</v>
      </c>
      <c r="H1317" s="11"/>
      <c r="I1317" s="11"/>
      <c r="J1317" s="78"/>
      <c r="K1317" s="78"/>
      <c r="L1317" s="146">
        <f t="shared" si="63"/>
        <v>504000</v>
      </c>
      <c r="M1317" s="73"/>
      <c r="N1317" s="73"/>
      <c r="O1317" s="73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14.25" customHeight="1" x14ac:dyDescent="0.35">
      <c r="A1318" s="9">
        <f t="shared" si="62"/>
        <v>1310</v>
      </c>
      <c r="B1318" s="15"/>
      <c r="C1318" s="11">
        <f t="shared" si="61"/>
        <v>1</v>
      </c>
      <c r="D1318" s="11"/>
      <c r="E1318" s="11"/>
      <c r="F1318" s="11"/>
      <c r="G1318" s="89">
        <f>IFERROR(VLOOKUP(F1318,COA!$A$1:$K$26,2,FALSE),0)</f>
        <v>0</v>
      </c>
      <c r="H1318" s="11"/>
      <c r="I1318" s="11"/>
      <c r="J1318" s="78"/>
      <c r="K1318" s="78"/>
      <c r="L1318" s="146">
        <f t="shared" si="63"/>
        <v>504000</v>
      </c>
      <c r="M1318" s="73"/>
      <c r="N1318" s="73"/>
      <c r="O1318" s="73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14.25" customHeight="1" x14ac:dyDescent="0.35">
      <c r="A1319" s="9">
        <f t="shared" si="62"/>
        <v>1311</v>
      </c>
      <c r="B1319" s="15"/>
      <c r="C1319" s="11">
        <f t="shared" si="61"/>
        <v>1</v>
      </c>
      <c r="D1319" s="11"/>
      <c r="E1319" s="11"/>
      <c r="F1319" s="11"/>
      <c r="G1319" s="89">
        <f>IFERROR(VLOOKUP(F1319,COA!$A$1:$K$26,2,FALSE),0)</f>
        <v>0</v>
      </c>
      <c r="H1319" s="11"/>
      <c r="I1319" s="11"/>
      <c r="J1319" s="78"/>
      <c r="K1319" s="78"/>
      <c r="L1319" s="146">
        <f t="shared" si="63"/>
        <v>504000</v>
      </c>
      <c r="M1319" s="73"/>
      <c r="N1319" s="73"/>
      <c r="O1319" s="73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14.25" customHeight="1" x14ac:dyDescent="0.35">
      <c r="A1320" s="9">
        <f t="shared" si="62"/>
        <v>1312</v>
      </c>
      <c r="B1320" s="15"/>
      <c r="C1320" s="11">
        <f t="shared" si="61"/>
        <v>1</v>
      </c>
      <c r="D1320" s="11"/>
      <c r="E1320" s="11"/>
      <c r="F1320" s="11"/>
      <c r="G1320" s="89">
        <f>IFERROR(VLOOKUP(F1320,COA!$A$1:$K$26,2,FALSE),0)</f>
        <v>0</v>
      </c>
      <c r="H1320" s="11"/>
      <c r="I1320" s="11"/>
      <c r="J1320" s="78"/>
      <c r="K1320" s="78"/>
      <c r="L1320" s="146">
        <f t="shared" si="63"/>
        <v>504000</v>
      </c>
      <c r="M1320" s="73"/>
      <c r="N1320" s="73"/>
      <c r="O1320" s="73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14.25" customHeight="1" x14ac:dyDescent="0.35">
      <c r="A1321" s="9">
        <f t="shared" si="62"/>
        <v>1313</v>
      </c>
      <c r="B1321" s="15"/>
      <c r="C1321" s="11">
        <f t="shared" si="61"/>
        <v>1</v>
      </c>
      <c r="D1321" s="11"/>
      <c r="E1321" s="11"/>
      <c r="F1321" s="11"/>
      <c r="G1321" s="89">
        <f>IFERROR(VLOOKUP(F1321,COA!$A$1:$K$26,2,FALSE),0)</f>
        <v>0</v>
      </c>
      <c r="H1321" s="11"/>
      <c r="I1321" s="11"/>
      <c r="J1321" s="78"/>
      <c r="K1321" s="78"/>
      <c r="L1321" s="146">
        <f t="shared" si="63"/>
        <v>504000</v>
      </c>
      <c r="M1321" s="73"/>
      <c r="N1321" s="73"/>
      <c r="O1321" s="73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14.25" customHeight="1" x14ac:dyDescent="0.35">
      <c r="A1322" s="9">
        <f t="shared" si="62"/>
        <v>1314</v>
      </c>
      <c r="B1322" s="15"/>
      <c r="C1322" s="11">
        <f t="shared" si="61"/>
        <v>1</v>
      </c>
      <c r="D1322" s="11"/>
      <c r="E1322" s="11"/>
      <c r="F1322" s="11"/>
      <c r="G1322" s="89">
        <f>IFERROR(VLOOKUP(F1322,COA!$A$1:$K$26,2,FALSE),0)</f>
        <v>0</v>
      </c>
      <c r="H1322" s="11"/>
      <c r="I1322" s="11"/>
      <c r="J1322" s="78"/>
      <c r="K1322" s="78"/>
      <c r="L1322" s="146">
        <f t="shared" si="63"/>
        <v>504000</v>
      </c>
      <c r="M1322" s="73"/>
      <c r="N1322" s="73"/>
      <c r="O1322" s="73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14.25" customHeight="1" x14ac:dyDescent="0.35">
      <c r="A1323" s="9">
        <f t="shared" si="62"/>
        <v>1315</v>
      </c>
      <c r="B1323" s="15"/>
      <c r="C1323" s="11">
        <f t="shared" si="61"/>
        <v>1</v>
      </c>
      <c r="D1323" s="11"/>
      <c r="E1323" s="11"/>
      <c r="F1323" s="11"/>
      <c r="G1323" s="89">
        <f>IFERROR(VLOOKUP(F1323,COA!$A$1:$K$26,2,FALSE),0)</f>
        <v>0</v>
      </c>
      <c r="H1323" s="11"/>
      <c r="I1323" s="11"/>
      <c r="J1323" s="78"/>
      <c r="K1323" s="78"/>
      <c r="L1323" s="146">
        <f t="shared" si="63"/>
        <v>504000</v>
      </c>
      <c r="M1323" s="73"/>
      <c r="N1323" s="73"/>
      <c r="O1323" s="73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14.25" customHeight="1" x14ac:dyDescent="0.35">
      <c r="A1324" s="9">
        <f t="shared" si="62"/>
        <v>1316</v>
      </c>
      <c r="B1324" s="15"/>
      <c r="C1324" s="11">
        <f t="shared" si="61"/>
        <v>1</v>
      </c>
      <c r="D1324" s="11"/>
      <c r="E1324" s="11"/>
      <c r="F1324" s="11"/>
      <c r="G1324" s="89">
        <f>IFERROR(VLOOKUP(F1324,COA!$A$1:$K$26,2,FALSE),0)</f>
        <v>0</v>
      </c>
      <c r="H1324" s="11"/>
      <c r="I1324" s="11"/>
      <c r="J1324" s="78"/>
      <c r="K1324" s="78"/>
      <c r="L1324" s="146">
        <f t="shared" si="63"/>
        <v>504000</v>
      </c>
      <c r="M1324" s="73"/>
      <c r="N1324" s="73"/>
      <c r="O1324" s="73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14.25" customHeight="1" x14ac:dyDescent="0.35">
      <c r="A1325" s="9">
        <f t="shared" si="62"/>
        <v>1317</v>
      </c>
      <c r="B1325" s="15"/>
      <c r="C1325" s="11">
        <f t="shared" si="61"/>
        <v>1</v>
      </c>
      <c r="D1325" s="11"/>
      <c r="E1325" s="11"/>
      <c r="F1325" s="11"/>
      <c r="G1325" s="89">
        <f>IFERROR(VLOOKUP(F1325,COA!$A$1:$K$26,2,FALSE),0)</f>
        <v>0</v>
      </c>
      <c r="H1325" s="11"/>
      <c r="I1325" s="11"/>
      <c r="J1325" s="78"/>
      <c r="K1325" s="78"/>
      <c r="L1325" s="146">
        <f t="shared" si="63"/>
        <v>504000</v>
      </c>
      <c r="M1325" s="73"/>
      <c r="N1325" s="73"/>
      <c r="O1325" s="73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14.25" customHeight="1" x14ac:dyDescent="0.35">
      <c r="A1326" s="9">
        <f t="shared" si="62"/>
        <v>1318</v>
      </c>
      <c r="B1326" s="15"/>
      <c r="C1326" s="11">
        <f t="shared" si="61"/>
        <v>1</v>
      </c>
      <c r="D1326" s="11"/>
      <c r="E1326" s="11"/>
      <c r="F1326" s="11"/>
      <c r="G1326" s="89">
        <f>IFERROR(VLOOKUP(F1326,COA!$A$1:$K$26,2,FALSE),0)</f>
        <v>0</v>
      </c>
      <c r="H1326" s="11"/>
      <c r="I1326" s="11"/>
      <c r="J1326" s="78"/>
      <c r="K1326" s="78"/>
      <c r="L1326" s="146">
        <f t="shared" si="63"/>
        <v>504000</v>
      </c>
      <c r="M1326" s="73"/>
      <c r="N1326" s="73"/>
      <c r="O1326" s="73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14.25" customHeight="1" x14ac:dyDescent="0.35">
      <c r="A1327" s="9">
        <f t="shared" si="62"/>
        <v>1319</v>
      </c>
      <c r="B1327" s="15"/>
      <c r="C1327" s="11">
        <f t="shared" si="61"/>
        <v>1</v>
      </c>
      <c r="D1327" s="11"/>
      <c r="E1327" s="11"/>
      <c r="F1327" s="11"/>
      <c r="G1327" s="89">
        <f>IFERROR(VLOOKUP(F1327,COA!$A$1:$K$26,2,FALSE),0)</f>
        <v>0</v>
      </c>
      <c r="H1327" s="11"/>
      <c r="I1327" s="11"/>
      <c r="J1327" s="78"/>
      <c r="K1327" s="78"/>
      <c r="L1327" s="146">
        <f t="shared" si="63"/>
        <v>504000</v>
      </c>
      <c r="M1327" s="73"/>
      <c r="N1327" s="73"/>
      <c r="O1327" s="73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14.25" customHeight="1" x14ac:dyDescent="0.35">
      <c r="A1328" s="9">
        <f t="shared" si="62"/>
        <v>1320</v>
      </c>
      <c r="B1328" s="15"/>
      <c r="C1328" s="11">
        <f t="shared" si="61"/>
        <v>1</v>
      </c>
      <c r="D1328" s="11"/>
      <c r="E1328" s="11"/>
      <c r="F1328" s="11"/>
      <c r="G1328" s="89">
        <f>IFERROR(VLOOKUP(F1328,COA!$A$1:$K$26,2,FALSE),0)</f>
        <v>0</v>
      </c>
      <c r="H1328" s="11"/>
      <c r="I1328" s="11"/>
      <c r="J1328" s="78"/>
      <c r="K1328" s="78"/>
      <c r="L1328" s="146">
        <f t="shared" si="63"/>
        <v>504000</v>
      </c>
      <c r="M1328" s="73"/>
      <c r="N1328" s="73"/>
      <c r="O1328" s="73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14.25" customHeight="1" x14ac:dyDescent="0.35">
      <c r="A1329" s="9">
        <f t="shared" si="62"/>
        <v>1321</v>
      </c>
      <c r="B1329" s="15"/>
      <c r="C1329" s="11">
        <f t="shared" si="61"/>
        <v>1</v>
      </c>
      <c r="D1329" s="11"/>
      <c r="E1329" s="11"/>
      <c r="F1329" s="11"/>
      <c r="G1329" s="89">
        <f>IFERROR(VLOOKUP(F1329,COA!$A$1:$K$26,2,FALSE),0)</f>
        <v>0</v>
      </c>
      <c r="H1329" s="11"/>
      <c r="I1329" s="11"/>
      <c r="J1329" s="78"/>
      <c r="K1329" s="78"/>
      <c r="L1329" s="146">
        <f t="shared" si="63"/>
        <v>504000</v>
      </c>
      <c r="M1329" s="73"/>
      <c r="N1329" s="73"/>
      <c r="O1329" s="73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14.25" customHeight="1" x14ac:dyDescent="0.35">
      <c r="A1330" s="9">
        <f t="shared" si="62"/>
        <v>1322</v>
      </c>
      <c r="B1330" s="15"/>
      <c r="C1330" s="11">
        <f t="shared" si="61"/>
        <v>1</v>
      </c>
      <c r="D1330" s="11"/>
      <c r="E1330" s="11"/>
      <c r="F1330" s="11"/>
      <c r="G1330" s="89">
        <f>IFERROR(VLOOKUP(F1330,COA!$A$1:$K$26,2,FALSE),0)</f>
        <v>0</v>
      </c>
      <c r="H1330" s="11"/>
      <c r="I1330" s="11"/>
      <c r="J1330" s="78"/>
      <c r="K1330" s="78"/>
      <c r="L1330" s="146">
        <f t="shared" si="63"/>
        <v>504000</v>
      </c>
      <c r="M1330" s="73"/>
      <c r="N1330" s="73"/>
      <c r="O1330" s="73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14.25" customHeight="1" x14ac:dyDescent="0.35">
      <c r="A1331" s="9">
        <f t="shared" si="62"/>
        <v>1323</v>
      </c>
      <c r="B1331" s="15"/>
      <c r="C1331" s="11">
        <f t="shared" si="61"/>
        <v>1</v>
      </c>
      <c r="D1331" s="11"/>
      <c r="E1331" s="11"/>
      <c r="F1331" s="11"/>
      <c r="G1331" s="89">
        <f>IFERROR(VLOOKUP(F1331,COA!$A$1:$K$26,2,FALSE),0)</f>
        <v>0</v>
      </c>
      <c r="H1331" s="11"/>
      <c r="I1331" s="11"/>
      <c r="J1331" s="78"/>
      <c r="K1331" s="78"/>
      <c r="L1331" s="146">
        <f t="shared" si="63"/>
        <v>504000</v>
      </c>
      <c r="M1331" s="73"/>
      <c r="N1331" s="73"/>
      <c r="O1331" s="73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14.25" customHeight="1" x14ac:dyDescent="0.35">
      <c r="A1332" s="9">
        <f t="shared" si="62"/>
        <v>1324</v>
      </c>
      <c r="B1332" s="15"/>
      <c r="C1332" s="11">
        <f t="shared" si="61"/>
        <v>1</v>
      </c>
      <c r="D1332" s="11"/>
      <c r="E1332" s="11"/>
      <c r="F1332" s="11"/>
      <c r="G1332" s="89">
        <f>IFERROR(VLOOKUP(F1332,COA!$A$1:$K$26,2,FALSE),0)</f>
        <v>0</v>
      </c>
      <c r="H1332" s="11"/>
      <c r="I1332" s="11"/>
      <c r="J1332" s="78"/>
      <c r="K1332" s="78"/>
      <c r="L1332" s="146">
        <f t="shared" si="63"/>
        <v>504000</v>
      </c>
      <c r="M1332" s="73"/>
      <c r="N1332" s="73"/>
      <c r="O1332" s="73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14.25" customHeight="1" x14ac:dyDescent="0.35">
      <c r="A1333" s="9">
        <f t="shared" si="62"/>
        <v>1325</v>
      </c>
      <c r="B1333" s="15"/>
      <c r="C1333" s="11">
        <f t="shared" si="61"/>
        <v>1</v>
      </c>
      <c r="D1333" s="11"/>
      <c r="E1333" s="11"/>
      <c r="F1333" s="11"/>
      <c r="G1333" s="89">
        <f>IFERROR(VLOOKUP(F1333,COA!$A$1:$K$26,2,FALSE),0)</f>
        <v>0</v>
      </c>
      <c r="H1333" s="11"/>
      <c r="I1333" s="11"/>
      <c r="J1333" s="78"/>
      <c r="K1333" s="78"/>
      <c r="L1333" s="146">
        <f t="shared" si="63"/>
        <v>504000</v>
      </c>
      <c r="M1333" s="73"/>
      <c r="N1333" s="73"/>
      <c r="O1333" s="73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14.25" customHeight="1" x14ac:dyDescent="0.35">
      <c r="A1334" s="9">
        <f t="shared" si="62"/>
        <v>1326</v>
      </c>
      <c r="B1334" s="15"/>
      <c r="C1334" s="11">
        <f t="shared" si="61"/>
        <v>1</v>
      </c>
      <c r="D1334" s="11"/>
      <c r="E1334" s="11"/>
      <c r="F1334" s="11"/>
      <c r="G1334" s="89">
        <f>IFERROR(VLOOKUP(F1334,COA!$A$1:$K$26,2,FALSE),0)</f>
        <v>0</v>
      </c>
      <c r="H1334" s="11"/>
      <c r="I1334" s="11"/>
      <c r="J1334" s="78"/>
      <c r="K1334" s="78"/>
      <c r="L1334" s="146">
        <f t="shared" si="63"/>
        <v>504000</v>
      </c>
      <c r="M1334" s="73"/>
      <c r="N1334" s="73"/>
      <c r="O1334" s="73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14.25" customHeight="1" x14ac:dyDescent="0.35">
      <c r="A1335" s="9">
        <f t="shared" si="62"/>
        <v>1327</v>
      </c>
      <c r="B1335" s="15"/>
      <c r="C1335" s="11">
        <f t="shared" si="61"/>
        <v>1</v>
      </c>
      <c r="D1335" s="11"/>
      <c r="E1335" s="11"/>
      <c r="F1335" s="11"/>
      <c r="G1335" s="89">
        <f>IFERROR(VLOOKUP(F1335,COA!$A$1:$K$26,2,FALSE),0)</f>
        <v>0</v>
      </c>
      <c r="H1335" s="11"/>
      <c r="I1335" s="11"/>
      <c r="J1335" s="78"/>
      <c r="K1335" s="78"/>
      <c r="L1335" s="146">
        <f t="shared" si="63"/>
        <v>504000</v>
      </c>
      <c r="M1335" s="73"/>
      <c r="N1335" s="73"/>
      <c r="O1335" s="73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14.25" customHeight="1" x14ac:dyDescent="0.35">
      <c r="A1336" s="9">
        <f t="shared" si="62"/>
        <v>1328</v>
      </c>
      <c r="B1336" s="15"/>
      <c r="C1336" s="11">
        <f t="shared" si="61"/>
        <v>1</v>
      </c>
      <c r="D1336" s="11"/>
      <c r="E1336" s="11"/>
      <c r="F1336" s="11"/>
      <c r="G1336" s="89">
        <f>IFERROR(VLOOKUP(F1336,COA!$A$1:$K$26,2,FALSE),0)</f>
        <v>0</v>
      </c>
      <c r="H1336" s="11"/>
      <c r="I1336" s="11"/>
      <c r="J1336" s="78"/>
      <c r="K1336" s="78"/>
      <c r="L1336" s="146">
        <f t="shared" si="63"/>
        <v>504000</v>
      </c>
      <c r="M1336" s="73"/>
      <c r="N1336" s="73"/>
      <c r="O1336" s="73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14.25" customHeight="1" x14ac:dyDescent="0.35">
      <c r="A1337" s="9">
        <f t="shared" si="62"/>
        <v>1329</v>
      </c>
      <c r="B1337" s="22"/>
      <c r="C1337" s="11">
        <f t="shared" si="61"/>
        <v>1</v>
      </c>
      <c r="D1337" s="11"/>
      <c r="E1337" s="11"/>
      <c r="F1337" s="11"/>
      <c r="G1337" s="89">
        <f>IFERROR(VLOOKUP(F1337,COA!$A$1:$K$26,2,FALSE),0)</f>
        <v>0</v>
      </c>
      <c r="H1337" s="11"/>
      <c r="I1337" s="11"/>
      <c r="J1337" s="78"/>
      <c r="K1337" s="78"/>
      <c r="L1337" s="146">
        <f t="shared" si="63"/>
        <v>504000</v>
      </c>
      <c r="M1337" s="73"/>
      <c r="N1337" s="73"/>
      <c r="O1337" s="73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14.25" customHeight="1" x14ac:dyDescent="0.35">
      <c r="A1338" s="9">
        <f t="shared" si="62"/>
        <v>1330</v>
      </c>
      <c r="B1338" s="22"/>
      <c r="C1338" s="11">
        <f t="shared" si="61"/>
        <v>1</v>
      </c>
      <c r="D1338" s="11"/>
      <c r="E1338" s="11"/>
      <c r="F1338" s="11"/>
      <c r="G1338" s="89">
        <f>IFERROR(VLOOKUP(F1338,COA!$A$1:$K$26,2,FALSE),0)</f>
        <v>0</v>
      </c>
      <c r="H1338" s="11"/>
      <c r="I1338" s="11"/>
      <c r="J1338" s="78"/>
      <c r="K1338" s="78"/>
      <c r="L1338" s="146">
        <f t="shared" si="63"/>
        <v>504000</v>
      </c>
      <c r="M1338" s="73"/>
      <c r="N1338" s="73"/>
      <c r="O1338" s="73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14.25" customHeight="1" x14ac:dyDescent="0.35">
      <c r="A1339" s="9">
        <f t="shared" si="62"/>
        <v>1331</v>
      </c>
      <c r="B1339" s="22"/>
      <c r="C1339" s="11">
        <f t="shared" si="61"/>
        <v>1</v>
      </c>
      <c r="D1339" s="11"/>
      <c r="E1339" s="11"/>
      <c r="F1339" s="11"/>
      <c r="G1339" s="89">
        <f>IFERROR(VLOOKUP(F1339,COA!$A$1:$K$26,2,FALSE),0)</f>
        <v>0</v>
      </c>
      <c r="H1339" s="11"/>
      <c r="I1339" s="11"/>
      <c r="J1339" s="78"/>
      <c r="K1339" s="78"/>
      <c r="L1339" s="146">
        <f t="shared" si="63"/>
        <v>504000</v>
      </c>
      <c r="M1339" s="73"/>
      <c r="N1339" s="73"/>
      <c r="O1339" s="73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14.25" customHeight="1" x14ac:dyDescent="0.35">
      <c r="A1340" s="9">
        <f t="shared" si="62"/>
        <v>1332</v>
      </c>
      <c r="B1340" s="22"/>
      <c r="C1340" s="11">
        <f t="shared" si="61"/>
        <v>1</v>
      </c>
      <c r="D1340" s="11"/>
      <c r="E1340" s="11"/>
      <c r="F1340" s="11"/>
      <c r="G1340" s="89">
        <f>IFERROR(VLOOKUP(F1340,COA!$A$1:$K$26,2,FALSE),0)</f>
        <v>0</v>
      </c>
      <c r="H1340" s="11"/>
      <c r="I1340" s="11"/>
      <c r="J1340" s="78"/>
      <c r="K1340" s="78"/>
      <c r="L1340" s="146">
        <f t="shared" si="63"/>
        <v>504000</v>
      </c>
      <c r="M1340" s="73"/>
      <c r="N1340" s="73"/>
      <c r="O1340" s="73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14.25" customHeight="1" x14ac:dyDescent="0.35">
      <c r="A1341" s="9">
        <f t="shared" si="62"/>
        <v>1333</v>
      </c>
      <c r="B1341" s="22"/>
      <c r="C1341" s="11">
        <f t="shared" si="61"/>
        <v>1</v>
      </c>
      <c r="D1341" s="11"/>
      <c r="E1341" s="11"/>
      <c r="F1341" s="11"/>
      <c r="G1341" s="89">
        <f>IFERROR(VLOOKUP(F1341,COA!$A$1:$K$26,2,FALSE),0)</f>
        <v>0</v>
      </c>
      <c r="H1341" s="11"/>
      <c r="I1341" s="11"/>
      <c r="J1341" s="78"/>
      <c r="K1341" s="78"/>
      <c r="L1341" s="146">
        <f t="shared" si="63"/>
        <v>504000</v>
      </c>
      <c r="M1341" s="73"/>
      <c r="N1341" s="73"/>
      <c r="O1341" s="73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14.25" customHeight="1" x14ac:dyDescent="0.35">
      <c r="A1342" s="9">
        <f t="shared" si="62"/>
        <v>1334</v>
      </c>
      <c r="B1342" s="22"/>
      <c r="C1342" s="11">
        <f t="shared" si="61"/>
        <v>1</v>
      </c>
      <c r="D1342" s="11"/>
      <c r="E1342" s="11"/>
      <c r="F1342" s="11"/>
      <c r="G1342" s="89">
        <f>IFERROR(VLOOKUP(F1342,COA!$A$1:$K$26,2,FALSE),0)</f>
        <v>0</v>
      </c>
      <c r="H1342" s="11"/>
      <c r="I1342" s="11"/>
      <c r="J1342" s="78"/>
      <c r="K1342" s="78"/>
      <c r="L1342" s="146">
        <f t="shared" si="63"/>
        <v>504000</v>
      </c>
      <c r="M1342" s="73"/>
      <c r="N1342" s="73"/>
      <c r="O1342" s="73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14.25" customHeight="1" x14ac:dyDescent="0.35">
      <c r="A1343" s="9">
        <f t="shared" si="62"/>
        <v>1335</v>
      </c>
      <c r="B1343" s="15"/>
      <c r="C1343" s="11">
        <f t="shared" si="61"/>
        <v>1</v>
      </c>
      <c r="D1343" s="11"/>
      <c r="E1343" s="11"/>
      <c r="F1343" s="11"/>
      <c r="G1343" s="89">
        <f>IFERROR(VLOOKUP(F1343,COA!$A$1:$K$26,2,FALSE),0)</f>
        <v>0</v>
      </c>
      <c r="H1343" s="11"/>
      <c r="I1343" s="11"/>
      <c r="J1343" s="78"/>
      <c r="K1343" s="78"/>
      <c r="L1343" s="146">
        <f t="shared" si="63"/>
        <v>504000</v>
      </c>
      <c r="M1343" s="73"/>
      <c r="N1343" s="73"/>
      <c r="O1343" s="73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14.25" customHeight="1" x14ac:dyDescent="0.35">
      <c r="A1344" s="9">
        <f t="shared" si="62"/>
        <v>1336</v>
      </c>
      <c r="B1344" s="15"/>
      <c r="C1344" s="11">
        <f t="shared" si="61"/>
        <v>1</v>
      </c>
      <c r="D1344" s="11"/>
      <c r="E1344" s="11"/>
      <c r="F1344" s="11"/>
      <c r="G1344" s="89">
        <f>IFERROR(VLOOKUP(F1344,COA!$A$1:$K$26,2,FALSE),0)</f>
        <v>0</v>
      </c>
      <c r="H1344" s="11"/>
      <c r="I1344" s="11"/>
      <c r="J1344" s="78"/>
      <c r="K1344" s="78"/>
      <c r="L1344" s="146">
        <f t="shared" si="63"/>
        <v>504000</v>
      </c>
      <c r="M1344" s="73"/>
      <c r="N1344" s="73"/>
      <c r="O1344" s="73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14.25" customHeight="1" x14ac:dyDescent="0.35">
      <c r="A1345" s="9">
        <f t="shared" si="62"/>
        <v>1337</v>
      </c>
      <c r="B1345" s="15"/>
      <c r="C1345" s="11">
        <f t="shared" si="61"/>
        <v>1</v>
      </c>
      <c r="D1345" s="11"/>
      <c r="E1345" s="11"/>
      <c r="F1345" s="11"/>
      <c r="G1345" s="89">
        <f>IFERROR(VLOOKUP(F1345,COA!$A$1:$K$26,2,FALSE),0)</f>
        <v>0</v>
      </c>
      <c r="H1345" s="11"/>
      <c r="I1345" s="11"/>
      <c r="J1345" s="78"/>
      <c r="K1345" s="78"/>
      <c r="L1345" s="146">
        <f t="shared" si="63"/>
        <v>504000</v>
      </c>
      <c r="M1345" s="73"/>
      <c r="N1345" s="73"/>
      <c r="O1345" s="73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14.25" customHeight="1" x14ac:dyDescent="0.35">
      <c r="A1346" s="9">
        <f t="shared" si="62"/>
        <v>1338</v>
      </c>
      <c r="B1346" s="15"/>
      <c r="C1346" s="11">
        <f t="shared" si="61"/>
        <v>1</v>
      </c>
      <c r="D1346" s="11"/>
      <c r="E1346" s="11"/>
      <c r="F1346" s="11"/>
      <c r="G1346" s="89">
        <f>IFERROR(VLOOKUP(F1346,COA!$A$1:$K$26,2,FALSE),0)</f>
        <v>0</v>
      </c>
      <c r="H1346" s="11"/>
      <c r="I1346" s="11"/>
      <c r="J1346" s="78"/>
      <c r="K1346" s="78"/>
      <c r="L1346" s="146">
        <f t="shared" si="63"/>
        <v>504000</v>
      </c>
      <c r="M1346" s="73"/>
      <c r="N1346" s="73"/>
      <c r="O1346" s="73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14.25" customHeight="1" x14ac:dyDescent="0.35">
      <c r="A1347" s="9">
        <f t="shared" si="62"/>
        <v>1339</v>
      </c>
      <c r="B1347" s="15"/>
      <c r="C1347" s="11">
        <f t="shared" si="61"/>
        <v>1</v>
      </c>
      <c r="D1347" s="11"/>
      <c r="E1347" s="11"/>
      <c r="F1347" s="11"/>
      <c r="G1347" s="89">
        <f>IFERROR(VLOOKUP(F1347,COA!$A$1:$K$26,2,FALSE),0)</f>
        <v>0</v>
      </c>
      <c r="H1347" s="11"/>
      <c r="I1347" s="11"/>
      <c r="J1347" s="78"/>
      <c r="K1347" s="78"/>
      <c r="L1347" s="146">
        <f t="shared" si="63"/>
        <v>504000</v>
      </c>
      <c r="M1347" s="73"/>
      <c r="N1347" s="73"/>
      <c r="O1347" s="73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14.25" customHeight="1" x14ac:dyDescent="0.35">
      <c r="A1348" s="9">
        <f t="shared" si="62"/>
        <v>1340</v>
      </c>
      <c r="B1348" s="15"/>
      <c r="C1348" s="11">
        <f t="shared" si="61"/>
        <v>1</v>
      </c>
      <c r="D1348" s="11"/>
      <c r="E1348" s="11"/>
      <c r="F1348" s="11"/>
      <c r="G1348" s="89">
        <f>IFERROR(VLOOKUP(F1348,COA!$A$1:$K$26,2,FALSE),0)</f>
        <v>0</v>
      </c>
      <c r="H1348" s="11"/>
      <c r="I1348" s="11"/>
      <c r="J1348" s="78"/>
      <c r="K1348" s="78"/>
      <c r="L1348" s="146">
        <f t="shared" si="63"/>
        <v>504000</v>
      </c>
      <c r="M1348" s="73"/>
      <c r="N1348" s="73"/>
      <c r="O1348" s="73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14.25" customHeight="1" x14ac:dyDescent="0.35">
      <c r="A1349" s="9">
        <f t="shared" si="62"/>
        <v>1341</v>
      </c>
      <c r="B1349" s="15"/>
      <c r="C1349" s="11">
        <f t="shared" si="61"/>
        <v>1</v>
      </c>
      <c r="D1349" s="11"/>
      <c r="E1349" s="11"/>
      <c r="F1349" s="11"/>
      <c r="G1349" s="89">
        <f>IFERROR(VLOOKUP(F1349,COA!$A$1:$K$26,2,FALSE),0)</f>
        <v>0</v>
      </c>
      <c r="H1349" s="11"/>
      <c r="I1349" s="11"/>
      <c r="J1349" s="78"/>
      <c r="K1349" s="78"/>
      <c r="L1349" s="146">
        <f t="shared" si="63"/>
        <v>504000</v>
      </c>
      <c r="M1349" s="73"/>
      <c r="N1349" s="73"/>
      <c r="O1349" s="73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14.25" customHeight="1" x14ac:dyDescent="0.35">
      <c r="A1350" s="9">
        <f t="shared" si="62"/>
        <v>1342</v>
      </c>
      <c r="B1350" s="15"/>
      <c r="C1350" s="11">
        <f t="shared" si="61"/>
        <v>1</v>
      </c>
      <c r="D1350" s="11"/>
      <c r="E1350" s="11"/>
      <c r="F1350" s="11"/>
      <c r="G1350" s="89">
        <f>IFERROR(VLOOKUP(F1350,COA!$A$1:$K$26,2,FALSE),0)</f>
        <v>0</v>
      </c>
      <c r="H1350" s="11"/>
      <c r="I1350" s="11"/>
      <c r="J1350" s="78"/>
      <c r="K1350" s="78"/>
      <c r="L1350" s="146">
        <f t="shared" si="63"/>
        <v>504000</v>
      </c>
      <c r="M1350" s="73"/>
      <c r="N1350" s="73"/>
      <c r="O1350" s="73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14.25" customHeight="1" x14ac:dyDescent="0.35">
      <c r="A1351" s="9">
        <f t="shared" si="62"/>
        <v>1343</v>
      </c>
      <c r="B1351" s="15"/>
      <c r="C1351" s="11">
        <f t="shared" si="61"/>
        <v>1</v>
      </c>
      <c r="D1351" s="11"/>
      <c r="E1351" s="11"/>
      <c r="F1351" s="11"/>
      <c r="G1351" s="89">
        <f>IFERROR(VLOOKUP(F1351,COA!$A$1:$K$26,2,FALSE),0)</f>
        <v>0</v>
      </c>
      <c r="H1351" s="11"/>
      <c r="I1351" s="11"/>
      <c r="J1351" s="78"/>
      <c r="K1351" s="78"/>
      <c r="L1351" s="146">
        <f t="shared" si="63"/>
        <v>504000</v>
      </c>
      <c r="M1351" s="73"/>
      <c r="N1351" s="73"/>
      <c r="O1351" s="73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14.25" customHeight="1" x14ac:dyDescent="0.35">
      <c r="A1352" s="9">
        <f t="shared" si="62"/>
        <v>1344</v>
      </c>
      <c r="B1352" s="15"/>
      <c r="C1352" s="11">
        <f t="shared" ref="C1352:C1415" si="64">MONTH(B1352)</f>
        <v>1</v>
      </c>
      <c r="D1352" s="11"/>
      <c r="E1352" s="11"/>
      <c r="F1352" s="11"/>
      <c r="G1352" s="89">
        <f>IFERROR(VLOOKUP(F1352,COA!$A$1:$K$26,2,FALSE),0)</f>
        <v>0</v>
      </c>
      <c r="H1352" s="11"/>
      <c r="I1352" s="11"/>
      <c r="J1352" s="78"/>
      <c r="K1352" s="78"/>
      <c r="L1352" s="146">
        <f t="shared" si="63"/>
        <v>504000</v>
      </c>
      <c r="M1352" s="73"/>
      <c r="N1352" s="73"/>
      <c r="O1352" s="73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14.25" customHeight="1" x14ac:dyDescent="0.35">
      <c r="A1353" s="9">
        <f t="shared" si="62"/>
        <v>1345</v>
      </c>
      <c r="B1353" s="15"/>
      <c r="C1353" s="11">
        <f t="shared" si="64"/>
        <v>1</v>
      </c>
      <c r="D1353" s="11"/>
      <c r="E1353" s="11"/>
      <c r="F1353" s="11"/>
      <c r="G1353" s="89">
        <f>IFERROR(VLOOKUP(F1353,COA!$A$1:$K$26,2,FALSE),0)</f>
        <v>0</v>
      </c>
      <c r="H1353" s="11"/>
      <c r="I1353" s="11"/>
      <c r="J1353" s="78"/>
      <c r="K1353" s="78"/>
      <c r="L1353" s="146">
        <f t="shared" si="63"/>
        <v>504000</v>
      </c>
      <c r="M1353" s="73"/>
      <c r="N1353" s="73"/>
      <c r="O1353" s="73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14.25" customHeight="1" x14ac:dyDescent="0.35">
      <c r="A1354" s="9">
        <f t="shared" si="62"/>
        <v>1346</v>
      </c>
      <c r="B1354" s="15"/>
      <c r="C1354" s="11">
        <f t="shared" si="64"/>
        <v>1</v>
      </c>
      <c r="D1354" s="11"/>
      <c r="E1354" s="11"/>
      <c r="F1354" s="11"/>
      <c r="G1354" s="89">
        <f>IFERROR(VLOOKUP(F1354,COA!$A$1:$K$26,2,FALSE),0)</f>
        <v>0</v>
      </c>
      <c r="H1354" s="11"/>
      <c r="I1354" s="11"/>
      <c r="J1354" s="78"/>
      <c r="K1354" s="78"/>
      <c r="L1354" s="146">
        <f t="shared" si="63"/>
        <v>504000</v>
      </c>
      <c r="M1354" s="73"/>
      <c r="N1354" s="73"/>
      <c r="O1354" s="73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14.25" customHeight="1" x14ac:dyDescent="0.35">
      <c r="A1355" s="9">
        <f t="shared" ref="A1355:A1418" si="65">A1354+1</f>
        <v>1347</v>
      </c>
      <c r="B1355" s="15"/>
      <c r="C1355" s="11">
        <f t="shared" si="64"/>
        <v>1</v>
      </c>
      <c r="D1355" s="11"/>
      <c r="E1355" s="11"/>
      <c r="F1355" s="11"/>
      <c r="G1355" s="89">
        <f>IFERROR(VLOOKUP(F1355,COA!$A$1:$K$26,2,FALSE),0)</f>
        <v>0</v>
      </c>
      <c r="H1355" s="11"/>
      <c r="I1355" s="11"/>
      <c r="J1355" s="78"/>
      <c r="K1355" s="78"/>
      <c r="L1355" s="146">
        <f t="shared" ref="L1355:L1418" si="66">L1354+J1355-K1355</f>
        <v>504000</v>
      </c>
      <c r="M1355" s="73"/>
      <c r="N1355" s="73"/>
      <c r="O1355" s="73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14.25" customHeight="1" x14ac:dyDescent="0.35">
      <c r="A1356" s="9">
        <f t="shared" si="65"/>
        <v>1348</v>
      </c>
      <c r="B1356" s="15"/>
      <c r="C1356" s="11">
        <f t="shared" si="64"/>
        <v>1</v>
      </c>
      <c r="D1356" s="11"/>
      <c r="E1356" s="11"/>
      <c r="F1356" s="11"/>
      <c r="G1356" s="89">
        <f>IFERROR(VLOOKUP(F1356,COA!$A$1:$K$26,2,FALSE),0)</f>
        <v>0</v>
      </c>
      <c r="H1356" s="11"/>
      <c r="I1356" s="11"/>
      <c r="J1356" s="78"/>
      <c r="K1356" s="78"/>
      <c r="L1356" s="146">
        <f t="shared" si="66"/>
        <v>504000</v>
      </c>
      <c r="M1356" s="73"/>
      <c r="N1356" s="73"/>
      <c r="O1356" s="73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14.25" customHeight="1" x14ac:dyDescent="0.35">
      <c r="A1357" s="9">
        <f t="shared" si="65"/>
        <v>1349</v>
      </c>
      <c r="B1357" s="15"/>
      <c r="C1357" s="11">
        <f t="shared" si="64"/>
        <v>1</v>
      </c>
      <c r="D1357" s="11"/>
      <c r="E1357" s="11"/>
      <c r="F1357" s="11"/>
      <c r="G1357" s="89">
        <f>IFERROR(VLOOKUP(F1357,COA!$A$1:$K$26,2,FALSE),0)</f>
        <v>0</v>
      </c>
      <c r="H1357" s="11"/>
      <c r="I1357" s="11"/>
      <c r="J1357" s="78"/>
      <c r="K1357" s="78"/>
      <c r="L1357" s="146">
        <f t="shared" si="66"/>
        <v>504000</v>
      </c>
      <c r="M1357" s="73"/>
      <c r="N1357" s="73"/>
      <c r="O1357" s="73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14.25" customHeight="1" x14ac:dyDescent="0.35">
      <c r="A1358" s="9">
        <f t="shared" si="65"/>
        <v>1350</v>
      </c>
      <c r="B1358" s="15"/>
      <c r="C1358" s="11">
        <f t="shared" si="64"/>
        <v>1</v>
      </c>
      <c r="D1358" s="11"/>
      <c r="E1358" s="11"/>
      <c r="F1358" s="11"/>
      <c r="G1358" s="89">
        <f>IFERROR(VLOOKUP(F1358,COA!$A$1:$K$26,2,FALSE),0)</f>
        <v>0</v>
      </c>
      <c r="H1358" s="11"/>
      <c r="I1358" s="11"/>
      <c r="J1358" s="78"/>
      <c r="K1358" s="78"/>
      <c r="L1358" s="146">
        <f t="shared" si="66"/>
        <v>504000</v>
      </c>
      <c r="M1358" s="73"/>
      <c r="N1358" s="73"/>
      <c r="O1358" s="73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14.25" customHeight="1" x14ac:dyDescent="0.35">
      <c r="A1359" s="9">
        <f t="shared" si="65"/>
        <v>1351</v>
      </c>
      <c r="B1359" s="15"/>
      <c r="C1359" s="11">
        <f t="shared" si="64"/>
        <v>1</v>
      </c>
      <c r="D1359" s="11"/>
      <c r="E1359" s="11"/>
      <c r="F1359" s="11"/>
      <c r="G1359" s="89">
        <f>IFERROR(VLOOKUP(F1359,COA!$A$1:$K$26,2,FALSE),0)</f>
        <v>0</v>
      </c>
      <c r="H1359" s="11"/>
      <c r="I1359" s="11"/>
      <c r="J1359" s="78"/>
      <c r="K1359" s="78"/>
      <c r="L1359" s="146">
        <f t="shared" si="66"/>
        <v>504000</v>
      </c>
      <c r="M1359" s="73"/>
      <c r="N1359" s="73"/>
      <c r="O1359" s="73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14.25" customHeight="1" x14ac:dyDescent="0.35">
      <c r="A1360" s="9">
        <f t="shared" si="65"/>
        <v>1352</v>
      </c>
      <c r="B1360" s="15"/>
      <c r="C1360" s="11">
        <f t="shared" si="64"/>
        <v>1</v>
      </c>
      <c r="D1360" s="11"/>
      <c r="E1360" s="11"/>
      <c r="F1360" s="11"/>
      <c r="G1360" s="89">
        <f>IFERROR(VLOOKUP(F1360,COA!$A$1:$K$26,2,FALSE),0)</f>
        <v>0</v>
      </c>
      <c r="H1360" s="11"/>
      <c r="I1360" s="11"/>
      <c r="J1360" s="78"/>
      <c r="K1360" s="78"/>
      <c r="L1360" s="146">
        <f t="shared" si="66"/>
        <v>504000</v>
      </c>
      <c r="M1360" s="73"/>
      <c r="N1360" s="73"/>
      <c r="O1360" s="73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14.25" customHeight="1" x14ac:dyDescent="0.35">
      <c r="A1361" s="9">
        <f t="shared" si="65"/>
        <v>1353</v>
      </c>
      <c r="B1361" s="15"/>
      <c r="C1361" s="11">
        <f t="shared" si="64"/>
        <v>1</v>
      </c>
      <c r="D1361" s="11"/>
      <c r="E1361" s="11"/>
      <c r="F1361" s="11"/>
      <c r="G1361" s="89">
        <f>IFERROR(VLOOKUP(F1361,COA!$A$1:$K$26,2,FALSE),0)</f>
        <v>0</v>
      </c>
      <c r="H1361" s="11"/>
      <c r="I1361" s="11"/>
      <c r="J1361" s="78"/>
      <c r="K1361" s="78"/>
      <c r="L1361" s="146">
        <f t="shared" si="66"/>
        <v>504000</v>
      </c>
      <c r="M1361" s="73"/>
      <c r="N1361" s="73"/>
      <c r="O1361" s="73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14.25" customHeight="1" x14ac:dyDescent="0.35">
      <c r="A1362" s="9">
        <f t="shared" si="65"/>
        <v>1354</v>
      </c>
      <c r="B1362" s="15"/>
      <c r="C1362" s="11">
        <f t="shared" si="64"/>
        <v>1</v>
      </c>
      <c r="D1362" s="11"/>
      <c r="E1362" s="11"/>
      <c r="F1362" s="11"/>
      <c r="G1362" s="89">
        <f>IFERROR(VLOOKUP(F1362,COA!$A$1:$K$26,2,FALSE),0)</f>
        <v>0</v>
      </c>
      <c r="H1362" s="11"/>
      <c r="I1362" s="11"/>
      <c r="J1362" s="78"/>
      <c r="K1362" s="78"/>
      <c r="L1362" s="146">
        <f t="shared" si="66"/>
        <v>504000</v>
      </c>
      <c r="M1362" s="73"/>
      <c r="N1362" s="73"/>
      <c r="O1362" s="73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14.25" customHeight="1" x14ac:dyDescent="0.35">
      <c r="A1363" s="9">
        <f t="shared" si="65"/>
        <v>1355</v>
      </c>
      <c r="B1363" s="15"/>
      <c r="C1363" s="11">
        <f t="shared" si="64"/>
        <v>1</v>
      </c>
      <c r="D1363" s="11"/>
      <c r="E1363" s="11"/>
      <c r="F1363" s="11"/>
      <c r="G1363" s="89">
        <f>IFERROR(VLOOKUP(F1363,COA!$A$1:$K$26,2,FALSE),0)</f>
        <v>0</v>
      </c>
      <c r="H1363" s="11"/>
      <c r="I1363" s="11"/>
      <c r="J1363" s="78"/>
      <c r="K1363" s="78"/>
      <c r="L1363" s="146">
        <f t="shared" si="66"/>
        <v>504000</v>
      </c>
      <c r="M1363" s="73"/>
      <c r="N1363" s="73"/>
      <c r="O1363" s="73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14.25" customHeight="1" x14ac:dyDescent="0.35">
      <c r="A1364" s="9">
        <f t="shared" si="65"/>
        <v>1356</v>
      </c>
      <c r="B1364" s="15"/>
      <c r="C1364" s="11">
        <f t="shared" si="64"/>
        <v>1</v>
      </c>
      <c r="D1364" s="11"/>
      <c r="E1364" s="11"/>
      <c r="F1364" s="11"/>
      <c r="G1364" s="89">
        <f>IFERROR(VLOOKUP(F1364,COA!$A$1:$K$26,2,FALSE),0)</f>
        <v>0</v>
      </c>
      <c r="H1364" s="11"/>
      <c r="I1364" s="11"/>
      <c r="J1364" s="78"/>
      <c r="K1364" s="78"/>
      <c r="L1364" s="146">
        <f t="shared" si="66"/>
        <v>504000</v>
      </c>
      <c r="M1364" s="73"/>
      <c r="N1364" s="73"/>
      <c r="O1364" s="73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14.25" customHeight="1" x14ac:dyDescent="0.35">
      <c r="A1365" s="9">
        <f t="shared" si="65"/>
        <v>1357</v>
      </c>
      <c r="B1365" s="15"/>
      <c r="C1365" s="11">
        <f t="shared" si="64"/>
        <v>1</v>
      </c>
      <c r="D1365" s="11"/>
      <c r="E1365" s="11"/>
      <c r="F1365" s="11"/>
      <c r="G1365" s="89">
        <f>IFERROR(VLOOKUP(F1365,COA!$A$1:$K$26,2,FALSE),0)</f>
        <v>0</v>
      </c>
      <c r="H1365" s="11"/>
      <c r="I1365" s="11"/>
      <c r="J1365" s="78"/>
      <c r="K1365" s="78"/>
      <c r="L1365" s="146">
        <f t="shared" si="66"/>
        <v>504000</v>
      </c>
      <c r="M1365" s="73"/>
      <c r="N1365" s="73"/>
      <c r="O1365" s="73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14.25" customHeight="1" x14ac:dyDescent="0.35">
      <c r="A1366" s="9">
        <f t="shared" si="65"/>
        <v>1358</v>
      </c>
      <c r="B1366" s="15"/>
      <c r="C1366" s="11">
        <f t="shared" si="64"/>
        <v>1</v>
      </c>
      <c r="D1366" s="11"/>
      <c r="E1366" s="11"/>
      <c r="F1366" s="11"/>
      <c r="G1366" s="89">
        <f>IFERROR(VLOOKUP(F1366,COA!$A$1:$K$26,2,FALSE),0)</f>
        <v>0</v>
      </c>
      <c r="H1366" s="11"/>
      <c r="I1366" s="11"/>
      <c r="J1366" s="78"/>
      <c r="K1366" s="78"/>
      <c r="L1366" s="146">
        <f t="shared" si="66"/>
        <v>504000</v>
      </c>
      <c r="M1366" s="73"/>
      <c r="N1366" s="73"/>
      <c r="O1366" s="73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14.25" customHeight="1" x14ac:dyDescent="0.35">
      <c r="A1367" s="9">
        <f t="shared" si="65"/>
        <v>1359</v>
      </c>
      <c r="B1367" s="15"/>
      <c r="C1367" s="11">
        <f t="shared" si="64"/>
        <v>1</v>
      </c>
      <c r="D1367" s="11"/>
      <c r="E1367" s="11"/>
      <c r="F1367" s="11"/>
      <c r="G1367" s="89">
        <f>IFERROR(VLOOKUP(F1367,COA!$A$1:$K$26,2,FALSE),0)</f>
        <v>0</v>
      </c>
      <c r="H1367" s="11"/>
      <c r="I1367" s="11"/>
      <c r="J1367" s="78"/>
      <c r="K1367" s="78"/>
      <c r="L1367" s="146">
        <f t="shared" si="66"/>
        <v>504000</v>
      </c>
      <c r="M1367" s="73"/>
      <c r="N1367" s="73"/>
      <c r="O1367" s="73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14.25" customHeight="1" x14ac:dyDescent="0.35">
      <c r="A1368" s="9">
        <f t="shared" si="65"/>
        <v>1360</v>
      </c>
      <c r="B1368" s="15"/>
      <c r="C1368" s="11">
        <f t="shared" si="64"/>
        <v>1</v>
      </c>
      <c r="D1368" s="11"/>
      <c r="E1368" s="11"/>
      <c r="F1368" s="11"/>
      <c r="G1368" s="89">
        <f>IFERROR(VLOOKUP(F1368,COA!$A$1:$K$26,2,FALSE),0)</f>
        <v>0</v>
      </c>
      <c r="H1368" s="11"/>
      <c r="I1368" s="11"/>
      <c r="J1368" s="78"/>
      <c r="K1368" s="78"/>
      <c r="L1368" s="146">
        <f t="shared" si="66"/>
        <v>504000</v>
      </c>
      <c r="M1368" s="73"/>
      <c r="N1368" s="73"/>
      <c r="O1368" s="73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14.25" customHeight="1" x14ac:dyDescent="0.35">
      <c r="A1369" s="9">
        <f t="shared" si="65"/>
        <v>1361</v>
      </c>
      <c r="B1369" s="15"/>
      <c r="C1369" s="11">
        <f t="shared" si="64"/>
        <v>1</v>
      </c>
      <c r="D1369" s="11"/>
      <c r="E1369" s="11"/>
      <c r="F1369" s="11"/>
      <c r="G1369" s="89">
        <f>IFERROR(VLOOKUP(F1369,COA!$A$1:$K$26,2,FALSE),0)</f>
        <v>0</v>
      </c>
      <c r="H1369" s="11"/>
      <c r="I1369" s="11"/>
      <c r="J1369" s="78"/>
      <c r="K1369" s="78"/>
      <c r="L1369" s="146">
        <f t="shared" si="66"/>
        <v>504000</v>
      </c>
      <c r="M1369" s="73"/>
      <c r="N1369" s="73"/>
      <c r="O1369" s="73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14.25" customHeight="1" x14ac:dyDescent="0.35">
      <c r="A1370" s="9">
        <f t="shared" si="65"/>
        <v>1362</v>
      </c>
      <c r="B1370" s="15"/>
      <c r="C1370" s="11">
        <f t="shared" si="64"/>
        <v>1</v>
      </c>
      <c r="D1370" s="11"/>
      <c r="E1370" s="11"/>
      <c r="F1370" s="11"/>
      <c r="G1370" s="89">
        <f>IFERROR(VLOOKUP(F1370,COA!$A$1:$K$26,2,FALSE),0)</f>
        <v>0</v>
      </c>
      <c r="H1370" s="11"/>
      <c r="I1370" s="11"/>
      <c r="J1370" s="78"/>
      <c r="K1370" s="78"/>
      <c r="L1370" s="146">
        <f t="shared" si="66"/>
        <v>504000</v>
      </c>
      <c r="M1370" s="73"/>
      <c r="N1370" s="73"/>
      <c r="O1370" s="73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14.25" customHeight="1" x14ac:dyDescent="0.35">
      <c r="A1371" s="9">
        <f t="shared" si="65"/>
        <v>1363</v>
      </c>
      <c r="B1371" s="15"/>
      <c r="C1371" s="11">
        <f t="shared" si="64"/>
        <v>1</v>
      </c>
      <c r="D1371" s="11"/>
      <c r="E1371" s="11"/>
      <c r="F1371" s="11"/>
      <c r="G1371" s="89">
        <f>IFERROR(VLOOKUP(F1371,COA!$A$1:$K$26,2,FALSE),0)</f>
        <v>0</v>
      </c>
      <c r="H1371" s="11"/>
      <c r="I1371" s="11"/>
      <c r="J1371" s="78"/>
      <c r="K1371" s="78"/>
      <c r="L1371" s="146">
        <f t="shared" si="66"/>
        <v>504000</v>
      </c>
      <c r="M1371" s="73"/>
      <c r="N1371" s="73"/>
      <c r="O1371" s="73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14.25" customHeight="1" x14ac:dyDescent="0.35">
      <c r="A1372" s="9">
        <f t="shared" si="65"/>
        <v>1364</v>
      </c>
      <c r="B1372" s="15"/>
      <c r="C1372" s="11">
        <f t="shared" si="64"/>
        <v>1</v>
      </c>
      <c r="D1372" s="11"/>
      <c r="E1372" s="11"/>
      <c r="F1372" s="11"/>
      <c r="G1372" s="89">
        <f>IFERROR(VLOOKUP(F1372,COA!$A$1:$K$26,2,FALSE),0)</f>
        <v>0</v>
      </c>
      <c r="H1372" s="11"/>
      <c r="I1372" s="11"/>
      <c r="J1372" s="78"/>
      <c r="K1372" s="78"/>
      <c r="L1372" s="146">
        <f t="shared" si="66"/>
        <v>504000</v>
      </c>
      <c r="M1372" s="73"/>
      <c r="N1372" s="73"/>
      <c r="O1372" s="73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14.25" customHeight="1" x14ac:dyDescent="0.35">
      <c r="A1373" s="9">
        <f t="shared" si="65"/>
        <v>1365</v>
      </c>
      <c r="B1373" s="15"/>
      <c r="C1373" s="11">
        <f t="shared" si="64"/>
        <v>1</v>
      </c>
      <c r="D1373" s="11"/>
      <c r="E1373" s="11"/>
      <c r="F1373" s="11"/>
      <c r="G1373" s="89">
        <f>IFERROR(VLOOKUP(F1373,COA!$A$1:$K$26,2,FALSE),0)</f>
        <v>0</v>
      </c>
      <c r="H1373" s="11"/>
      <c r="I1373" s="11"/>
      <c r="J1373" s="78"/>
      <c r="K1373" s="78"/>
      <c r="L1373" s="146">
        <f t="shared" si="66"/>
        <v>504000</v>
      </c>
      <c r="M1373" s="73"/>
      <c r="N1373" s="73"/>
      <c r="O1373" s="73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14.25" customHeight="1" x14ac:dyDescent="0.35">
      <c r="A1374" s="9">
        <f t="shared" si="65"/>
        <v>1366</v>
      </c>
      <c r="B1374" s="15"/>
      <c r="C1374" s="11">
        <f t="shared" si="64"/>
        <v>1</v>
      </c>
      <c r="D1374" s="11"/>
      <c r="E1374" s="11"/>
      <c r="F1374" s="11"/>
      <c r="G1374" s="89">
        <f>IFERROR(VLOOKUP(F1374,COA!$A$1:$K$26,2,FALSE),0)</f>
        <v>0</v>
      </c>
      <c r="H1374" s="11"/>
      <c r="I1374" s="11"/>
      <c r="J1374" s="78"/>
      <c r="K1374" s="78"/>
      <c r="L1374" s="146">
        <f t="shared" si="66"/>
        <v>504000</v>
      </c>
      <c r="M1374" s="73"/>
      <c r="N1374" s="73"/>
      <c r="O1374" s="73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14.25" customHeight="1" x14ac:dyDescent="0.35">
      <c r="A1375" s="9">
        <f t="shared" si="65"/>
        <v>1367</v>
      </c>
      <c r="B1375" s="15"/>
      <c r="C1375" s="11">
        <f t="shared" si="64"/>
        <v>1</v>
      </c>
      <c r="D1375" s="11"/>
      <c r="E1375" s="11"/>
      <c r="F1375" s="11"/>
      <c r="G1375" s="89">
        <f>IFERROR(VLOOKUP(F1375,COA!$A$1:$K$26,2,FALSE),0)</f>
        <v>0</v>
      </c>
      <c r="H1375" s="11"/>
      <c r="I1375" s="11"/>
      <c r="J1375" s="78"/>
      <c r="K1375" s="78"/>
      <c r="L1375" s="146">
        <f t="shared" si="66"/>
        <v>504000</v>
      </c>
      <c r="M1375" s="73"/>
      <c r="N1375" s="73"/>
      <c r="O1375" s="73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14.25" customHeight="1" x14ac:dyDescent="0.35">
      <c r="A1376" s="9">
        <f t="shared" si="65"/>
        <v>1368</v>
      </c>
      <c r="B1376" s="15"/>
      <c r="C1376" s="11">
        <f t="shared" si="64"/>
        <v>1</v>
      </c>
      <c r="D1376" s="11"/>
      <c r="E1376" s="11"/>
      <c r="F1376" s="11"/>
      <c r="G1376" s="89">
        <f>IFERROR(VLOOKUP(F1376,COA!$A$1:$K$26,2,FALSE),0)</f>
        <v>0</v>
      </c>
      <c r="H1376" s="11"/>
      <c r="I1376" s="11"/>
      <c r="J1376" s="78"/>
      <c r="K1376" s="78"/>
      <c r="L1376" s="146">
        <f t="shared" si="66"/>
        <v>504000</v>
      </c>
      <c r="M1376" s="73"/>
      <c r="N1376" s="73"/>
      <c r="O1376" s="73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14.25" customHeight="1" x14ac:dyDescent="0.35">
      <c r="A1377" s="9">
        <f t="shared" si="65"/>
        <v>1369</v>
      </c>
      <c r="B1377" s="15"/>
      <c r="C1377" s="11">
        <f t="shared" si="64"/>
        <v>1</v>
      </c>
      <c r="D1377" s="11"/>
      <c r="E1377" s="11"/>
      <c r="F1377" s="11"/>
      <c r="G1377" s="89">
        <f>IFERROR(VLOOKUP(F1377,COA!$A$1:$K$26,2,FALSE),0)</f>
        <v>0</v>
      </c>
      <c r="H1377" s="11"/>
      <c r="I1377" s="11"/>
      <c r="J1377" s="78"/>
      <c r="K1377" s="78"/>
      <c r="L1377" s="146">
        <f t="shared" si="66"/>
        <v>504000</v>
      </c>
      <c r="M1377" s="73"/>
      <c r="N1377" s="73"/>
      <c r="O1377" s="73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14.25" customHeight="1" x14ac:dyDescent="0.35">
      <c r="A1378" s="9">
        <f t="shared" si="65"/>
        <v>1370</v>
      </c>
      <c r="B1378" s="15"/>
      <c r="C1378" s="11">
        <f t="shared" si="64"/>
        <v>1</v>
      </c>
      <c r="D1378" s="11"/>
      <c r="E1378" s="11"/>
      <c r="F1378" s="11"/>
      <c r="G1378" s="89">
        <f>IFERROR(VLOOKUP(F1378,COA!$A$1:$K$26,2,FALSE),0)</f>
        <v>0</v>
      </c>
      <c r="H1378" s="11"/>
      <c r="I1378" s="11"/>
      <c r="J1378" s="78"/>
      <c r="K1378" s="78"/>
      <c r="L1378" s="146">
        <f t="shared" si="66"/>
        <v>504000</v>
      </c>
      <c r="M1378" s="73"/>
      <c r="N1378" s="73"/>
      <c r="O1378" s="73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14.25" customHeight="1" x14ac:dyDescent="0.35">
      <c r="A1379" s="9">
        <f t="shared" si="65"/>
        <v>1371</v>
      </c>
      <c r="B1379" s="15"/>
      <c r="C1379" s="11">
        <f t="shared" si="64"/>
        <v>1</v>
      </c>
      <c r="D1379" s="11"/>
      <c r="E1379" s="11"/>
      <c r="F1379" s="11"/>
      <c r="G1379" s="89">
        <f>IFERROR(VLOOKUP(F1379,COA!$A$1:$K$26,2,FALSE),0)</f>
        <v>0</v>
      </c>
      <c r="H1379" s="11"/>
      <c r="I1379" s="11"/>
      <c r="J1379" s="78"/>
      <c r="K1379" s="78"/>
      <c r="L1379" s="146">
        <f t="shared" si="66"/>
        <v>504000</v>
      </c>
      <c r="M1379" s="73"/>
      <c r="N1379" s="73"/>
      <c r="O1379" s="73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14.25" customHeight="1" x14ac:dyDescent="0.35">
      <c r="A1380" s="9">
        <f t="shared" si="65"/>
        <v>1372</v>
      </c>
      <c r="B1380" s="15"/>
      <c r="C1380" s="11">
        <f t="shared" si="64"/>
        <v>1</v>
      </c>
      <c r="D1380" s="11"/>
      <c r="E1380" s="11"/>
      <c r="F1380" s="11"/>
      <c r="G1380" s="89">
        <f>IFERROR(VLOOKUP(F1380,COA!$A$1:$K$26,2,FALSE),0)</f>
        <v>0</v>
      </c>
      <c r="H1380" s="11"/>
      <c r="I1380" s="11"/>
      <c r="J1380" s="78"/>
      <c r="K1380" s="78"/>
      <c r="L1380" s="146">
        <f t="shared" si="66"/>
        <v>504000</v>
      </c>
      <c r="M1380" s="73"/>
      <c r="N1380" s="73"/>
      <c r="O1380" s="73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14.25" customHeight="1" x14ac:dyDescent="0.35">
      <c r="A1381" s="9">
        <f t="shared" si="65"/>
        <v>1373</v>
      </c>
      <c r="B1381" s="15"/>
      <c r="C1381" s="11">
        <f t="shared" si="64"/>
        <v>1</v>
      </c>
      <c r="D1381" s="11"/>
      <c r="E1381" s="11"/>
      <c r="F1381" s="11"/>
      <c r="G1381" s="89">
        <f>IFERROR(VLOOKUP(F1381,COA!$A$1:$K$26,2,FALSE),0)</f>
        <v>0</v>
      </c>
      <c r="H1381" s="11"/>
      <c r="I1381" s="11"/>
      <c r="J1381" s="78"/>
      <c r="K1381" s="78"/>
      <c r="L1381" s="146">
        <f t="shared" si="66"/>
        <v>504000</v>
      </c>
      <c r="M1381" s="73"/>
      <c r="N1381" s="73"/>
      <c r="O1381" s="73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14.25" customHeight="1" x14ac:dyDescent="0.35">
      <c r="A1382" s="9">
        <f t="shared" si="65"/>
        <v>1374</v>
      </c>
      <c r="B1382" s="15"/>
      <c r="C1382" s="11">
        <f t="shared" si="64"/>
        <v>1</v>
      </c>
      <c r="D1382" s="11"/>
      <c r="E1382" s="11"/>
      <c r="F1382" s="11"/>
      <c r="G1382" s="89">
        <f>IFERROR(VLOOKUP(F1382,COA!$A$1:$K$26,2,FALSE),0)</f>
        <v>0</v>
      </c>
      <c r="H1382" s="11"/>
      <c r="I1382" s="11"/>
      <c r="J1382" s="78"/>
      <c r="K1382" s="78"/>
      <c r="L1382" s="146">
        <f t="shared" si="66"/>
        <v>504000</v>
      </c>
      <c r="M1382" s="73"/>
      <c r="N1382" s="73"/>
      <c r="O1382" s="73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14.25" customHeight="1" x14ac:dyDescent="0.35">
      <c r="A1383" s="9">
        <f t="shared" si="65"/>
        <v>1375</v>
      </c>
      <c r="B1383" s="15"/>
      <c r="C1383" s="11">
        <f t="shared" si="64"/>
        <v>1</v>
      </c>
      <c r="D1383" s="11"/>
      <c r="E1383" s="11"/>
      <c r="F1383" s="11"/>
      <c r="G1383" s="89">
        <f>IFERROR(VLOOKUP(F1383,COA!$A$1:$K$26,2,FALSE),0)</f>
        <v>0</v>
      </c>
      <c r="H1383" s="11"/>
      <c r="I1383" s="11"/>
      <c r="J1383" s="78"/>
      <c r="K1383" s="78"/>
      <c r="L1383" s="146">
        <f t="shared" si="66"/>
        <v>504000</v>
      </c>
      <c r="M1383" s="73"/>
      <c r="N1383" s="73"/>
      <c r="O1383" s="73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14.25" customHeight="1" x14ac:dyDescent="0.35">
      <c r="A1384" s="9">
        <f t="shared" si="65"/>
        <v>1376</v>
      </c>
      <c r="B1384" s="15"/>
      <c r="C1384" s="11">
        <f t="shared" si="64"/>
        <v>1</v>
      </c>
      <c r="D1384" s="11"/>
      <c r="E1384" s="11"/>
      <c r="F1384" s="11"/>
      <c r="G1384" s="89">
        <f>IFERROR(VLOOKUP(F1384,COA!$A$1:$K$26,2,FALSE),0)</f>
        <v>0</v>
      </c>
      <c r="H1384" s="11"/>
      <c r="I1384" s="11"/>
      <c r="J1384" s="78"/>
      <c r="K1384" s="78"/>
      <c r="L1384" s="146">
        <f t="shared" si="66"/>
        <v>504000</v>
      </c>
      <c r="M1384" s="73"/>
      <c r="N1384" s="73"/>
      <c r="O1384" s="73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14.25" customHeight="1" x14ac:dyDescent="0.35">
      <c r="A1385" s="9">
        <f t="shared" si="65"/>
        <v>1377</v>
      </c>
      <c r="B1385" s="15"/>
      <c r="C1385" s="11">
        <f t="shared" si="64"/>
        <v>1</v>
      </c>
      <c r="D1385" s="11"/>
      <c r="E1385" s="11"/>
      <c r="F1385" s="11"/>
      <c r="G1385" s="89">
        <f>IFERROR(VLOOKUP(F1385,COA!$A$1:$K$26,2,FALSE),0)</f>
        <v>0</v>
      </c>
      <c r="H1385" s="11"/>
      <c r="I1385" s="11"/>
      <c r="J1385" s="78"/>
      <c r="K1385" s="78"/>
      <c r="L1385" s="146">
        <f t="shared" si="66"/>
        <v>504000</v>
      </c>
      <c r="M1385" s="73"/>
      <c r="N1385" s="73"/>
      <c r="O1385" s="73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14.25" customHeight="1" x14ac:dyDescent="0.35">
      <c r="A1386" s="9">
        <f t="shared" si="65"/>
        <v>1378</v>
      </c>
      <c r="B1386" s="15"/>
      <c r="C1386" s="11">
        <f t="shared" si="64"/>
        <v>1</v>
      </c>
      <c r="D1386" s="11"/>
      <c r="E1386" s="11"/>
      <c r="F1386" s="11"/>
      <c r="G1386" s="89">
        <f>IFERROR(VLOOKUP(F1386,COA!$A$1:$K$26,2,FALSE),0)</f>
        <v>0</v>
      </c>
      <c r="H1386" s="11"/>
      <c r="I1386" s="11"/>
      <c r="J1386" s="78"/>
      <c r="K1386" s="78"/>
      <c r="L1386" s="146">
        <f t="shared" si="66"/>
        <v>504000</v>
      </c>
      <c r="M1386" s="73"/>
      <c r="N1386" s="73"/>
      <c r="O1386" s="73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14.25" customHeight="1" x14ac:dyDescent="0.35">
      <c r="A1387" s="9">
        <f t="shared" si="65"/>
        <v>1379</v>
      </c>
      <c r="B1387" s="15"/>
      <c r="C1387" s="11">
        <f t="shared" si="64"/>
        <v>1</v>
      </c>
      <c r="D1387" s="11"/>
      <c r="E1387" s="11"/>
      <c r="F1387" s="11"/>
      <c r="G1387" s="89">
        <f>IFERROR(VLOOKUP(F1387,COA!$A$1:$K$26,2,FALSE),0)</f>
        <v>0</v>
      </c>
      <c r="H1387" s="11"/>
      <c r="I1387" s="11"/>
      <c r="J1387" s="78"/>
      <c r="K1387" s="78"/>
      <c r="L1387" s="146">
        <f t="shared" si="66"/>
        <v>504000</v>
      </c>
      <c r="M1387" s="73"/>
      <c r="N1387" s="73"/>
      <c r="O1387" s="73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14.25" customHeight="1" x14ac:dyDescent="0.35">
      <c r="A1388" s="9">
        <f t="shared" si="65"/>
        <v>1380</v>
      </c>
      <c r="B1388" s="15"/>
      <c r="C1388" s="11">
        <f t="shared" si="64"/>
        <v>1</v>
      </c>
      <c r="D1388" s="11"/>
      <c r="E1388" s="11"/>
      <c r="F1388" s="11"/>
      <c r="G1388" s="89">
        <f>IFERROR(VLOOKUP(F1388,COA!$A$1:$K$26,2,FALSE),0)</f>
        <v>0</v>
      </c>
      <c r="H1388" s="11"/>
      <c r="I1388" s="11"/>
      <c r="J1388" s="78"/>
      <c r="K1388" s="78"/>
      <c r="L1388" s="146">
        <f t="shared" si="66"/>
        <v>504000</v>
      </c>
      <c r="M1388" s="73"/>
      <c r="N1388" s="73"/>
      <c r="O1388" s="73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14.25" customHeight="1" x14ac:dyDescent="0.35">
      <c r="A1389" s="9">
        <f t="shared" si="65"/>
        <v>1381</v>
      </c>
      <c r="B1389" s="15"/>
      <c r="C1389" s="11">
        <f t="shared" si="64"/>
        <v>1</v>
      </c>
      <c r="D1389" s="11"/>
      <c r="E1389" s="11"/>
      <c r="F1389" s="11"/>
      <c r="G1389" s="89">
        <f>IFERROR(VLOOKUP(F1389,COA!$A$1:$K$26,2,FALSE),0)</f>
        <v>0</v>
      </c>
      <c r="H1389" s="11"/>
      <c r="I1389" s="11"/>
      <c r="J1389" s="78"/>
      <c r="K1389" s="78"/>
      <c r="L1389" s="146">
        <f t="shared" si="66"/>
        <v>504000</v>
      </c>
      <c r="M1389" s="73"/>
      <c r="N1389" s="73"/>
      <c r="O1389" s="73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14.25" customHeight="1" x14ac:dyDescent="0.35">
      <c r="A1390" s="9">
        <f t="shared" si="65"/>
        <v>1382</v>
      </c>
      <c r="B1390" s="15"/>
      <c r="C1390" s="11">
        <f t="shared" si="64"/>
        <v>1</v>
      </c>
      <c r="D1390" s="11"/>
      <c r="E1390" s="11"/>
      <c r="F1390" s="11"/>
      <c r="G1390" s="89">
        <f>IFERROR(VLOOKUP(F1390,COA!$A$1:$K$26,2,FALSE),0)</f>
        <v>0</v>
      </c>
      <c r="H1390" s="11"/>
      <c r="I1390" s="11"/>
      <c r="J1390" s="78"/>
      <c r="K1390" s="78"/>
      <c r="L1390" s="146">
        <f t="shared" si="66"/>
        <v>504000</v>
      </c>
      <c r="M1390" s="73"/>
      <c r="N1390" s="73"/>
      <c r="O1390" s="73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14.25" customHeight="1" x14ac:dyDescent="0.35">
      <c r="A1391" s="9">
        <f t="shared" si="65"/>
        <v>1383</v>
      </c>
      <c r="B1391" s="15"/>
      <c r="C1391" s="11">
        <f t="shared" si="64"/>
        <v>1</v>
      </c>
      <c r="D1391" s="11"/>
      <c r="E1391" s="11"/>
      <c r="F1391" s="11"/>
      <c r="G1391" s="89">
        <f>IFERROR(VLOOKUP(F1391,COA!$A$1:$K$26,2,FALSE),0)</f>
        <v>0</v>
      </c>
      <c r="H1391" s="11"/>
      <c r="I1391" s="11"/>
      <c r="J1391" s="78"/>
      <c r="K1391" s="78"/>
      <c r="L1391" s="146">
        <f t="shared" si="66"/>
        <v>504000</v>
      </c>
      <c r="M1391" s="73"/>
      <c r="N1391" s="73"/>
      <c r="O1391" s="73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14.25" customHeight="1" x14ac:dyDescent="0.35">
      <c r="A1392" s="9">
        <f t="shared" si="65"/>
        <v>1384</v>
      </c>
      <c r="B1392" s="15"/>
      <c r="C1392" s="11">
        <f t="shared" si="64"/>
        <v>1</v>
      </c>
      <c r="D1392" s="11"/>
      <c r="E1392" s="11"/>
      <c r="F1392" s="11"/>
      <c r="G1392" s="89">
        <f>IFERROR(VLOOKUP(F1392,COA!$A$1:$K$26,2,FALSE),0)</f>
        <v>0</v>
      </c>
      <c r="H1392" s="11"/>
      <c r="I1392" s="11"/>
      <c r="J1392" s="78"/>
      <c r="K1392" s="78"/>
      <c r="L1392" s="146">
        <f t="shared" si="66"/>
        <v>504000</v>
      </c>
      <c r="M1392" s="73"/>
      <c r="N1392" s="73"/>
      <c r="O1392" s="73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14.25" customHeight="1" x14ac:dyDescent="0.35">
      <c r="A1393" s="9">
        <f t="shared" si="65"/>
        <v>1385</v>
      </c>
      <c r="B1393" s="15"/>
      <c r="C1393" s="11">
        <f t="shared" si="64"/>
        <v>1</v>
      </c>
      <c r="D1393" s="11"/>
      <c r="E1393" s="11"/>
      <c r="F1393" s="11"/>
      <c r="G1393" s="89">
        <f>IFERROR(VLOOKUP(F1393,COA!$A$1:$K$26,2,FALSE),0)</f>
        <v>0</v>
      </c>
      <c r="H1393" s="11"/>
      <c r="I1393" s="11"/>
      <c r="J1393" s="78"/>
      <c r="K1393" s="78"/>
      <c r="L1393" s="146">
        <f t="shared" si="66"/>
        <v>504000</v>
      </c>
      <c r="M1393" s="73"/>
      <c r="N1393" s="73"/>
      <c r="O1393" s="73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14.25" customHeight="1" x14ac:dyDescent="0.35">
      <c r="A1394" s="9">
        <f t="shared" si="65"/>
        <v>1386</v>
      </c>
      <c r="B1394" s="15"/>
      <c r="C1394" s="11">
        <f t="shared" si="64"/>
        <v>1</v>
      </c>
      <c r="D1394" s="11"/>
      <c r="E1394" s="11"/>
      <c r="F1394" s="11"/>
      <c r="G1394" s="89">
        <f>IFERROR(VLOOKUP(F1394,COA!$A$1:$K$26,2,FALSE),0)</f>
        <v>0</v>
      </c>
      <c r="H1394" s="11"/>
      <c r="I1394" s="11"/>
      <c r="J1394" s="78"/>
      <c r="K1394" s="78"/>
      <c r="L1394" s="146">
        <f t="shared" si="66"/>
        <v>504000</v>
      </c>
      <c r="M1394" s="73"/>
      <c r="N1394" s="73"/>
      <c r="O1394" s="73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14.25" customHeight="1" x14ac:dyDescent="0.35">
      <c r="A1395" s="9">
        <f t="shared" si="65"/>
        <v>1387</v>
      </c>
      <c r="B1395" s="15"/>
      <c r="C1395" s="11">
        <f t="shared" si="64"/>
        <v>1</v>
      </c>
      <c r="D1395" s="11"/>
      <c r="E1395" s="11"/>
      <c r="F1395" s="11"/>
      <c r="G1395" s="89">
        <f>IFERROR(VLOOKUP(F1395,COA!$A$1:$K$26,2,FALSE),0)</f>
        <v>0</v>
      </c>
      <c r="H1395" s="11"/>
      <c r="I1395" s="11"/>
      <c r="J1395" s="78"/>
      <c r="K1395" s="78"/>
      <c r="L1395" s="146">
        <f t="shared" si="66"/>
        <v>504000</v>
      </c>
      <c r="M1395" s="73"/>
      <c r="N1395" s="73"/>
      <c r="O1395" s="73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14.25" customHeight="1" x14ac:dyDescent="0.35">
      <c r="A1396" s="9">
        <f t="shared" si="65"/>
        <v>1388</v>
      </c>
      <c r="B1396" s="15"/>
      <c r="C1396" s="11">
        <f t="shared" si="64"/>
        <v>1</v>
      </c>
      <c r="D1396" s="11"/>
      <c r="E1396" s="11"/>
      <c r="F1396" s="11"/>
      <c r="G1396" s="89">
        <f>IFERROR(VLOOKUP(F1396,COA!$A$1:$K$26,2,FALSE),0)</f>
        <v>0</v>
      </c>
      <c r="H1396" s="11"/>
      <c r="I1396" s="11"/>
      <c r="J1396" s="78"/>
      <c r="K1396" s="78"/>
      <c r="L1396" s="146">
        <f t="shared" si="66"/>
        <v>504000</v>
      </c>
      <c r="M1396" s="73"/>
      <c r="N1396" s="73"/>
      <c r="O1396" s="73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14.25" customHeight="1" x14ac:dyDescent="0.35">
      <c r="A1397" s="9">
        <f t="shared" si="65"/>
        <v>1389</v>
      </c>
      <c r="B1397" s="15"/>
      <c r="C1397" s="11">
        <f t="shared" si="64"/>
        <v>1</v>
      </c>
      <c r="D1397" s="11"/>
      <c r="E1397" s="11"/>
      <c r="F1397" s="11"/>
      <c r="G1397" s="89">
        <f>IFERROR(VLOOKUP(F1397,COA!$A$1:$K$26,2,FALSE),0)</f>
        <v>0</v>
      </c>
      <c r="H1397" s="11"/>
      <c r="I1397" s="11"/>
      <c r="J1397" s="78"/>
      <c r="K1397" s="78"/>
      <c r="L1397" s="146">
        <f t="shared" si="66"/>
        <v>504000</v>
      </c>
      <c r="M1397" s="73"/>
      <c r="N1397" s="73"/>
      <c r="O1397" s="73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14.25" customHeight="1" x14ac:dyDescent="0.35">
      <c r="A1398" s="9">
        <f t="shared" si="65"/>
        <v>1390</v>
      </c>
      <c r="B1398" s="15"/>
      <c r="C1398" s="11">
        <f t="shared" si="64"/>
        <v>1</v>
      </c>
      <c r="D1398" s="11"/>
      <c r="E1398" s="11"/>
      <c r="F1398" s="11"/>
      <c r="G1398" s="89">
        <f>IFERROR(VLOOKUP(F1398,COA!$A$1:$K$26,2,FALSE),0)</f>
        <v>0</v>
      </c>
      <c r="H1398" s="11"/>
      <c r="I1398" s="11"/>
      <c r="J1398" s="78"/>
      <c r="K1398" s="78"/>
      <c r="L1398" s="146">
        <f t="shared" si="66"/>
        <v>504000</v>
      </c>
      <c r="M1398" s="73"/>
      <c r="N1398" s="73"/>
      <c r="O1398" s="73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14.25" customHeight="1" x14ac:dyDescent="0.35">
      <c r="A1399" s="9">
        <f t="shared" si="65"/>
        <v>1391</v>
      </c>
      <c r="B1399" s="15"/>
      <c r="C1399" s="11">
        <f t="shared" si="64"/>
        <v>1</v>
      </c>
      <c r="D1399" s="11"/>
      <c r="E1399" s="11"/>
      <c r="F1399" s="11"/>
      <c r="G1399" s="89">
        <f>IFERROR(VLOOKUP(F1399,COA!$A$1:$K$26,2,FALSE),0)</f>
        <v>0</v>
      </c>
      <c r="H1399" s="11"/>
      <c r="I1399" s="11"/>
      <c r="J1399" s="78"/>
      <c r="K1399" s="78"/>
      <c r="L1399" s="146">
        <f t="shared" si="66"/>
        <v>504000</v>
      </c>
      <c r="M1399" s="73"/>
      <c r="N1399" s="73"/>
      <c r="O1399" s="73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14.25" customHeight="1" x14ac:dyDescent="0.35">
      <c r="A1400" s="9">
        <f t="shared" si="65"/>
        <v>1392</v>
      </c>
      <c r="B1400" s="15"/>
      <c r="C1400" s="11">
        <f t="shared" si="64"/>
        <v>1</v>
      </c>
      <c r="D1400" s="11"/>
      <c r="E1400" s="11"/>
      <c r="F1400" s="11"/>
      <c r="G1400" s="89">
        <f>IFERROR(VLOOKUP(F1400,COA!$A$1:$K$26,2,FALSE),0)</f>
        <v>0</v>
      </c>
      <c r="H1400" s="11"/>
      <c r="I1400" s="11"/>
      <c r="J1400" s="78"/>
      <c r="K1400" s="78"/>
      <c r="L1400" s="146">
        <f t="shared" si="66"/>
        <v>504000</v>
      </c>
      <c r="M1400" s="73"/>
      <c r="N1400" s="73"/>
      <c r="O1400" s="73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14.25" customHeight="1" x14ac:dyDescent="0.35">
      <c r="A1401" s="9">
        <f t="shared" si="65"/>
        <v>1393</v>
      </c>
      <c r="B1401" s="15"/>
      <c r="C1401" s="11">
        <f t="shared" si="64"/>
        <v>1</v>
      </c>
      <c r="D1401" s="11"/>
      <c r="E1401" s="11"/>
      <c r="F1401" s="11"/>
      <c r="G1401" s="89">
        <f>IFERROR(VLOOKUP(F1401,COA!$A$1:$K$26,2,FALSE),0)</f>
        <v>0</v>
      </c>
      <c r="H1401" s="11"/>
      <c r="I1401" s="11"/>
      <c r="J1401" s="78"/>
      <c r="K1401" s="78"/>
      <c r="L1401" s="146">
        <f t="shared" si="66"/>
        <v>504000</v>
      </c>
      <c r="M1401" s="73"/>
      <c r="N1401" s="73"/>
      <c r="O1401" s="73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14.25" customHeight="1" x14ac:dyDescent="0.35">
      <c r="A1402" s="9">
        <f t="shared" si="65"/>
        <v>1394</v>
      </c>
      <c r="B1402" s="15"/>
      <c r="C1402" s="11">
        <f t="shared" si="64"/>
        <v>1</v>
      </c>
      <c r="D1402" s="11"/>
      <c r="E1402" s="11"/>
      <c r="F1402" s="11"/>
      <c r="G1402" s="89">
        <f>IFERROR(VLOOKUP(F1402,COA!$A$1:$K$26,2,FALSE),0)</f>
        <v>0</v>
      </c>
      <c r="H1402" s="11"/>
      <c r="I1402" s="11"/>
      <c r="J1402" s="78"/>
      <c r="K1402" s="78"/>
      <c r="L1402" s="146">
        <f t="shared" si="66"/>
        <v>504000</v>
      </c>
      <c r="M1402" s="73"/>
      <c r="N1402" s="73"/>
      <c r="O1402" s="73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14.25" customHeight="1" x14ac:dyDescent="0.35">
      <c r="A1403" s="9">
        <f t="shared" si="65"/>
        <v>1395</v>
      </c>
      <c r="B1403" s="15"/>
      <c r="C1403" s="11">
        <f t="shared" si="64"/>
        <v>1</v>
      </c>
      <c r="D1403" s="11"/>
      <c r="E1403" s="11"/>
      <c r="F1403" s="11"/>
      <c r="G1403" s="89">
        <f>IFERROR(VLOOKUP(F1403,COA!$A$1:$K$26,2,FALSE),0)</f>
        <v>0</v>
      </c>
      <c r="H1403" s="11"/>
      <c r="I1403" s="11"/>
      <c r="J1403" s="78"/>
      <c r="K1403" s="78"/>
      <c r="L1403" s="146">
        <f t="shared" si="66"/>
        <v>504000</v>
      </c>
      <c r="M1403" s="73"/>
      <c r="N1403" s="73"/>
      <c r="O1403" s="73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14.25" customHeight="1" x14ac:dyDescent="0.35">
      <c r="A1404" s="9">
        <f t="shared" si="65"/>
        <v>1396</v>
      </c>
      <c r="B1404" s="15"/>
      <c r="C1404" s="11">
        <f t="shared" si="64"/>
        <v>1</v>
      </c>
      <c r="D1404" s="11"/>
      <c r="E1404" s="11"/>
      <c r="F1404" s="11"/>
      <c r="G1404" s="89">
        <f>IFERROR(VLOOKUP(F1404,COA!$A$1:$K$26,2,FALSE),0)</f>
        <v>0</v>
      </c>
      <c r="H1404" s="11"/>
      <c r="I1404" s="11"/>
      <c r="J1404" s="78"/>
      <c r="K1404" s="78"/>
      <c r="L1404" s="146">
        <f t="shared" si="66"/>
        <v>504000</v>
      </c>
      <c r="M1404" s="73"/>
      <c r="N1404" s="73"/>
      <c r="O1404" s="73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14.25" customHeight="1" x14ac:dyDescent="0.35">
      <c r="A1405" s="9">
        <f t="shared" si="65"/>
        <v>1397</v>
      </c>
      <c r="B1405" s="15"/>
      <c r="C1405" s="11">
        <f t="shared" si="64"/>
        <v>1</v>
      </c>
      <c r="D1405" s="11"/>
      <c r="E1405" s="11"/>
      <c r="F1405" s="11"/>
      <c r="G1405" s="89">
        <f>IFERROR(VLOOKUP(F1405,COA!$A$1:$K$26,2,FALSE),0)</f>
        <v>0</v>
      </c>
      <c r="H1405" s="11"/>
      <c r="I1405" s="11"/>
      <c r="J1405" s="78"/>
      <c r="K1405" s="78"/>
      <c r="L1405" s="146">
        <f t="shared" si="66"/>
        <v>504000</v>
      </c>
      <c r="M1405" s="73"/>
      <c r="N1405" s="73"/>
      <c r="O1405" s="73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14.25" customHeight="1" x14ac:dyDescent="0.35">
      <c r="A1406" s="9">
        <f t="shared" si="65"/>
        <v>1398</v>
      </c>
      <c r="B1406" s="15"/>
      <c r="C1406" s="11">
        <f t="shared" si="64"/>
        <v>1</v>
      </c>
      <c r="D1406" s="11"/>
      <c r="E1406" s="11"/>
      <c r="F1406" s="11"/>
      <c r="G1406" s="89">
        <f>IFERROR(VLOOKUP(F1406,COA!$A$1:$K$26,2,FALSE),0)</f>
        <v>0</v>
      </c>
      <c r="H1406" s="11"/>
      <c r="I1406" s="11"/>
      <c r="J1406" s="78"/>
      <c r="K1406" s="78"/>
      <c r="L1406" s="146">
        <f t="shared" si="66"/>
        <v>504000</v>
      </c>
      <c r="M1406" s="73"/>
      <c r="N1406" s="73"/>
      <c r="O1406" s="73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14.25" customHeight="1" x14ac:dyDescent="0.35">
      <c r="A1407" s="9">
        <f t="shared" si="65"/>
        <v>1399</v>
      </c>
      <c r="B1407" s="15"/>
      <c r="C1407" s="11">
        <f t="shared" si="64"/>
        <v>1</v>
      </c>
      <c r="D1407" s="11"/>
      <c r="E1407" s="11"/>
      <c r="F1407" s="11"/>
      <c r="G1407" s="89">
        <f>IFERROR(VLOOKUP(F1407,COA!$A$1:$K$26,2,FALSE),0)</f>
        <v>0</v>
      </c>
      <c r="H1407" s="11"/>
      <c r="I1407" s="11"/>
      <c r="J1407" s="78"/>
      <c r="K1407" s="78"/>
      <c r="L1407" s="146">
        <f t="shared" si="66"/>
        <v>504000</v>
      </c>
      <c r="M1407" s="73"/>
      <c r="N1407" s="73"/>
      <c r="O1407" s="73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14.25" customHeight="1" x14ac:dyDescent="0.35">
      <c r="A1408" s="9">
        <f t="shared" si="65"/>
        <v>1400</v>
      </c>
      <c r="B1408" s="15"/>
      <c r="C1408" s="11">
        <f t="shared" si="64"/>
        <v>1</v>
      </c>
      <c r="D1408" s="11"/>
      <c r="E1408" s="11"/>
      <c r="F1408" s="11"/>
      <c r="G1408" s="89">
        <f>IFERROR(VLOOKUP(F1408,COA!$A$1:$K$26,2,FALSE),0)</f>
        <v>0</v>
      </c>
      <c r="H1408" s="11"/>
      <c r="I1408" s="11"/>
      <c r="J1408" s="78"/>
      <c r="K1408" s="78"/>
      <c r="L1408" s="146">
        <f t="shared" si="66"/>
        <v>504000</v>
      </c>
      <c r="M1408" s="73"/>
      <c r="N1408" s="73"/>
      <c r="O1408" s="73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14.25" customHeight="1" x14ac:dyDescent="0.35">
      <c r="A1409" s="9">
        <f t="shared" si="65"/>
        <v>1401</v>
      </c>
      <c r="B1409" s="15"/>
      <c r="C1409" s="11">
        <f t="shared" si="64"/>
        <v>1</v>
      </c>
      <c r="D1409" s="11"/>
      <c r="E1409" s="11"/>
      <c r="F1409" s="11"/>
      <c r="G1409" s="89">
        <f>IFERROR(VLOOKUP(F1409,COA!$A$1:$K$26,2,FALSE),0)</f>
        <v>0</v>
      </c>
      <c r="H1409" s="11"/>
      <c r="I1409" s="11"/>
      <c r="J1409" s="78"/>
      <c r="K1409" s="78"/>
      <c r="L1409" s="146">
        <f t="shared" si="66"/>
        <v>504000</v>
      </c>
      <c r="M1409" s="73"/>
      <c r="N1409" s="73"/>
      <c r="O1409" s="73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14.25" customHeight="1" x14ac:dyDescent="0.35">
      <c r="A1410" s="9">
        <f t="shared" si="65"/>
        <v>1402</v>
      </c>
      <c r="B1410" s="15"/>
      <c r="C1410" s="11">
        <f t="shared" si="64"/>
        <v>1</v>
      </c>
      <c r="D1410" s="11"/>
      <c r="E1410" s="11"/>
      <c r="F1410" s="11"/>
      <c r="G1410" s="89">
        <f>IFERROR(VLOOKUP(F1410,COA!$A$1:$K$26,2,FALSE),0)</f>
        <v>0</v>
      </c>
      <c r="H1410" s="11"/>
      <c r="I1410" s="11"/>
      <c r="J1410" s="78"/>
      <c r="K1410" s="78"/>
      <c r="L1410" s="146">
        <f t="shared" si="66"/>
        <v>504000</v>
      </c>
      <c r="M1410" s="73"/>
      <c r="N1410" s="73"/>
      <c r="O1410" s="73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14.25" customHeight="1" x14ac:dyDescent="0.35">
      <c r="A1411" s="9">
        <f t="shared" si="65"/>
        <v>1403</v>
      </c>
      <c r="B1411" s="15"/>
      <c r="C1411" s="11">
        <f t="shared" si="64"/>
        <v>1</v>
      </c>
      <c r="D1411" s="11"/>
      <c r="E1411" s="11"/>
      <c r="F1411" s="11"/>
      <c r="G1411" s="89">
        <f>IFERROR(VLOOKUP(F1411,COA!$A$1:$K$26,2,FALSE),0)</f>
        <v>0</v>
      </c>
      <c r="H1411" s="11"/>
      <c r="I1411" s="11"/>
      <c r="J1411" s="78"/>
      <c r="K1411" s="78"/>
      <c r="L1411" s="146">
        <f t="shared" si="66"/>
        <v>504000</v>
      </c>
      <c r="M1411" s="73"/>
      <c r="N1411" s="73"/>
      <c r="O1411" s="73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14.25" customHeight="1" x14ac:dyDescent="0.35">
      <c r="A1412" s="9">
        <f t="shared" si="65"/>
        <v>1404</v>
      </c>
      <c r="B1412" s="15"/>
      <c r="C1412" s="11">
        <f t="shared" si="64"/>
        <v>1</v>
      </c>
      <c r="D1412" s="11"/>
      <c r="E1412" s="11"/>
      <c r="F1412" s="11"/>
      <c r="G1412" s="89">
        <f>IFERROR(VLOOKUP(F1412,COA!$A$1:$K$26,2,FALSE),0)</f>
        <v>0</v>
      </c>
      <c r="H1412" s="11"/>
      <c r="I1412" s="11"/>
      <c r="J1412" s="78"/>
      <c r="K1412" s="78"/>
      <c r="L1412" s="146">
        <f t="shared" si="66"/>
        <v>504000</v>
      </c>
      <c r="M1412" s="73"/>
      <c r="N1412" s="73"/>
      <c r="O1412" s="73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14.25" customHeight="1" x14ac:dyDescent="0.35">
      <c r="A1413" s="9">
        <f t="shared" si="65"/>
        <v>1405</v>
      </c>
      <c r="B1413" s="15"/>
      <c r="C1413" s="11">
        <f t="shared" si="64"/>
        <v>1</v>
      </c>
      <c r="D1413" s="11"/>
      <c r="E1413" s="11"/>
      <c r="F1413" s="11"/>
      <c r="G1413" s="89">
        <f>IFERROR(VLOOKUP(F1413,COA!$A$1:$K$26,2,FALSE),0)</f>
        <v>0</v>
      </c>
      <c r="H1413" s="11"/>
      <c r="I1413" s="11"/>
      <c r="J1413" s="78"/>
      <c r="K1413" s="78"/>
      <c r="L1413" s="146">
        <f t="shared" si="66"/>
        <v>504000</v>
      </c>
      <c r="M1413" s="73"/>
      <c r="N1413" s="73"/>
      <c r="O1413" s="73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14.25" customHeight="1" x14ac:dyDescent="0.35">
      <c r="A1414" s="9">
        <f t="shared" si="65"/>
        <v>1406</v>
      </c>
      <c r="B1414" s="15"/>
      <c r="C1414" s="11">
        <f t="shared" si="64"/>
        <v>1</v>
      </c>
      <c r="D1414" s="11"/>
      <c r="E1414" s="11"/>
      <c r="F1414" s="11"/>
      <c r="G1414" s="89">
        <f>IFERROR(VLOOKUP(F1414,COA!$A$1:$K$26,2,FALSE),0)</f>
        <v>0</v>
      </c>
      <c r="H1414" s="11"/>
      <c r="I1414" s="11"/>
      <c r="J1414" s="78"/>
      <c r="K1414" s="78"/>
      <c r="L1414" s="146">
        <f t="shared" si="66"/>
        <v>504000</v>
      </c>
      <c r="M1414" s="73"/>
      <c r="N1414" s="73"/>
      <c r="O1414" s="73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14.25" customHeight="1" x14ac:dyDescent="0.35">
      <c r="A1415" s="9">
        <f t="shared" si="65"/>
        <v>1407</v>
      </c>
      <c r="B1415" s="15"/>
      <c r="C1415" s="11">
        <f t="shared" si="64"/>
        <v>1</v>
      </c>
      <c r="D1415" s="11"/>
      <c r="E1415" s="11"/>
      <c r="F1415" s="11"/>
      <c r="G1415" s="89">
        <f>IFERROR(VLOOKUP(F1415,COA!$A$1:$K$26,2,FALSE),0)</f>
        <v>0</v>
      </c>
      <c r="H1415" s="11"/>
      <c r="I1415" s="11"/>
      <c r="J1415" s="78"/>
      <c r="K1415" s="78"/>
      <c r="L1415" s="146">
        <f t="shared" si="66"/>
        <v>504000</v>
      </c>
      <c r="M1415" s="73"/>
      <c r="N1415" s="73"/>
      <c r="O1415" s="73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14.25" customHeight="1" x14ac:dyDescent="0.35">
      <c r="A1416" s="9">
        <f t="shared" si="65"/>
        <v>1408</v>
      </c>
      <c r="B1416" s="15"/>
      <c r="C1416" s="11">
        <f t="shared" ref="C1416:C1479" si="67">MONTH(B1416)</f>
        <v>1</v>
      </c>
      <c r="D1416" s="11"/>
      <c r="E1416" s="11"/>
      <c r="F1416" s="11"/>
      <c r="G1416" s="89">
        <f>IFERROR(VLOOKUP(F1416,COA!$A$1:$K$26,2,FALSE),0)</f>
        <v>0</v>
      </c>
      <c r="H1416" s="11"/>
      <c r="I1416" s="11"/>
      <c r="J1416" s="78"/>
      <c r="K1416" s="78"/>
      <c r="L1416" s="146">
        <f t="shared" si="66"/>
        <v>504000</v>
      </c>
      <c r="M1416" s="73"/>
      <c r="N1416" s="73"/>
      <c r="O1416" s="73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14.25" customHeight="1" x14ac:dyDescent="0.35">
      <c r="A1417" s="9">
        <f t="shared" si="65"/>
        <v>1409</v>
      </c>
      <c r="B1417" s="15"/>
      <c r="C1417" s="11">
        <f t="shared" si="67"/>
        <v>1</v>
      </c>
      <c r="D1417" s="11"/>
      <c r="E1417" s="11"/>
      <c r="F1417" s="11"/>
      <c r="G1417" s="89">
        <f>IFERROR(VLOOKUP(F1417,COA!$A$1:$K$26,2,FALSE),0)</f>
        <v>0</v>
      </c>
      <c r="H1417" s="11"/>
      <c r="I1417" s="11"/>
      <c r="J1417" s="78"/>
      <c r="K1417" s="78"/>
      <c r="L1417" s="146">
        <f t="shared" si="66"/>
        <v>504000</v>
      </c>
      <c r="M1417" s="73"/>
      <c r="N1417" s="73"/>
      <c r="O1417" s="73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14.25" customHeight="1" x14ac:dyDescent="0.35">
      <c r="A1418" s="9">
        <f t="shared" si="65"/>
        <v>1410</v>
      </c>
      <c r="B1418" s="15"/>
      <c r="C1418" s="11">
        <f t="shared" si="67"/>
        <v>1</v>
      </c>
      <c r="D1418" s="11"/>
      <c r="E1418" s="11"/>
      <c r="F1418" s="11"/>
      <c r="G1418" s="89">
        <f>IFERROR(VLOOKUP(F1418,COA!$A$1:$K$26,2,FALSE),0)</f>
        <v>0</v>
      </c>
      <c r="H1418" s="11"/>
      <c r="I1418" s="11"/>
      <c r="J1418" s="78"/>
      <c r="K1418" s="78"/>
      <c r="L1418" s="146">
        <f t="shared" si="66"/>
        <v>504000</v>
      </c>
      <c r="M1418" s="73"/>
      <c r="N1418" s="73"/>
      <c r="O1418" s="73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14.25" customHeight="1" x14ac:dyDescent="0.35">
      <c r="A1419" s="9">
        <f t="shared" ref="A1419:A1482" si="68">A1418+1</f>
        <v>1411</v>
      </c>
      <c r="B1419" s="15"/>
      <c r="C1419" s="11">
        <f t="shared" si="67"/>
        <v>1</v>
      </c>
      <c r="D1419" s="11"/>
      <c r="E1419" s="11"/>
      <c r="F1419" s="11"/>
      <c r="G1419" s="89">
        <f>IFERROR(VLOOKUP(F1419,COA!$A$1:$K$26,2,FALSE),0)</f>
        <v>0</v>
      </c>
      <c r="H1419" s="11"/>
      <c r="I1419" s="11"/>
      <c r="J1419" s="78"/>
      <c r="K1419" s="78"/>
      <c r="L1419" s="146">
        <f t="shared" ref="L1419:L1482" si="69">L1418+J1419-K1419</f>
        <v>504000</v>
      </c>
      <c r="M1419" s="73"/>
      <c r="N1419" s="73"/>
      <c r="O1419" s="73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14.25" customHeight="1" x14ac:dyDescent="0.35">
      <c r="A1420" s="9">
        <f t="shared" si="68"/>
        <v>1412</v>
      </c>
      <c r="B1420" s="15"/>
      <c r="C1420" s="11">
        <f t="shared" si="67"/>
        <v>1</v>
      </c>
      <c r="D1420" s="11"/>
      <c r="E1420" s="11"/>
      <c r="F1420" s="11"/>
      <c r="G1420" s="89">
        <f>IFERROR(VLOOKUP(F1420,COA!$A$1:$K$26,2,FALSE),0)</f>
        <v>0</v>
      </c>
      <c r="H1420" s="11"/>
      <c r="I1420" s="11"/>
      <c r="J1420" s="78"/>
      <c r="K1420" s="78"/>
      <c r="L1420" s="146">
        <f t="shared" si="69"/>
        <v>504000</v>
      </c>
      <c r="M1420" s="73"/>
      <c r="N1420" s="73"/>
      <c r="O1420" s="73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14.25" customHeight="1" x14ac:dyDescent="0.35">
      <c r="A1421" s="9">
        <f t="shared" si="68"/>
        <v>1413</v>
      </c>
      <c r="B1421" s="15"/>
      <c r="C1421" s="11">
        <f t="shared" si="67"/>
        <v>1</v>
      </c>
      <c r="D1421" s="11"/>
      <c r="E1421" s="11"/>
      <c r="F1421" s="11"/>
      <c r="G1421" s="89">
        <f>IFERROR(VLOOKUP(F1421,COA!$A$1:$K$26,2,FALSE),0)</f>
        <v>0</v>
      </c>
      <c r="H1421" s="11"/>
      <c r="I1421" s="11"/>
      <c r="J1421" s="78"/>
      <c r="K1421" s="78"/>
      <c r="L1421" s="146">
        <f t="shared" si="69"/>
        <v>504000</v>
      </c>
      <c r="M1421" s="73"/>
      <c r="N1421" s="73"/>
      <c r="O1421" s="73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14.25" customHeight="1" x14ac:dyDescent="0.35">
      <c r="A1422" s="9">
        <f t="shared" si="68"/>
        <v>1414</v>
      </c>
      <c r="B1422" s="15"/>
      <c r="C1422" s="11">
        <f t="shared" si="67"/>
        <v>1</v>
      </c>
      <c r="D1422" s="11"/>
      <c r="E1422" s="11"/>
      <c r="F1422" s="11"/>
      <c r="G1422" s="89">
        <f>IFERROR(VLOOKUP(F1422,COA!$A$1:$K$26,2,FALSE),0)</f>
        <v>0</v>
      </c>
      <c r="H1422" s="11"/>
      <c r="I1422" s="11"/>
      <c r="J1422" s="78"/>
      <c r="K1422" s="78"/>
      <c r="L1422" s="146">
        <f t="shared" si="69"/>
        <v>504000</v>
      </c>
      <c r="M1422" s="73"/>
      <c r="N1422" s="73"/>
      <c r="O1422" s="73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14.25" customHeight="1" x14ac:dyDescent="0.35">
      <c r="A1423" s="9">
        <f t="shared" si="68"/>
        <v>1415</v>
      </c>
      <c r="B1423" s="15"/>
      <c r="C1423" s="11">
        <f t="shared" si="67"/>
        <v>1</v>
      </c>
      <c r="D1423" s="11"/>
      <c r="E1423" s="11"/>
      <c r="F1423" s="11"/>
      <c r="G1423" s="89">
        <f>IFERROR(VLOOKUP(F1423,COA!$A$1:$K$26,2,FALSE),0)</f>
        <v>0</v>
      </c>
      <c r="H1423" s="11"/>
      <c r="I1423" s="11"/>
      <c r="J1423" s="78"/>
      <c r="K1423" s="78"/>
      <c r="L1423" s="146">
        <f t="shared" si="69"/>
        <v>504000</v>
      </c>
      <c r="M1423" s="73"/>
      <c r="N1423" s="73"/>
      <c r="O1423" s="73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14.25" customHeight="1" x14ac:dyDescent="0.35">
      <c r="A1424" s="9">
        <f t="shared" si="68"/>
        <v>1416</v>
      </c>
      <c r="B1424" s="15"/>
      <c r="C1424" s="11">
        <f t="shared" si="67"/>
        <v>1</v>
      </c>
      <c r="D1424" s="11"/>
      <c r="E1424" s="11"/>
      <c r="F1424" s="11"/>
      <c r="G1424" s="89">
        <f>IFERROR(VLOOKUP(F1424,COA!$A$1:$K$26,2,FALSE),0)</f>
        <v>0</v>
      </c>
      <c r="H1424" s="11"/>
      <c r="I1424" s="11"/>
      <c r="J1424" s="78"/>
      <c r="K1424" s="78"/>
      <c r="L1424" s="146">
        <f t="shared" si="69"/>
        <v>504000</v>
      </c>
      <c r="M1424" s="73"/>
      <c r="N1424" s="73"/>
      <c r="O1424" s="73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14.25" customHeight="1" x14ac:dyDescent="0.35">
      <c r="A1425" s="9">
        <f t="shared" si="68"/>
        <v>1417</v>
      </c>
      <c r="B1425" s="15"/>
      <c r="C1425" s="11">
        <f t="shared" si="67"/>
        <v>1</v>
      </c>
      <c r="D1425" s="11"/>
      <c r="E1425" s="11"/>
      <c r="F1425" s="11"/>
      <c r="G1425" s="89">
        <f>IFERROR(VLOOKUP(F1425,COA!$A$1:$K$26,2,FALSE),0)</f>
        <v>0</v>
      </c>
      <c r="H1425" s="11"/>
      <c r="I1425" s="11"/>
      <c r="J1425" s="78"/>
      <c r="K1425" s="78"/>
      <c r="L1425" s="146">
        <f t="shared" si="69"/>
        <v>504000</v>
      </c>
      <c r="M1425" s="73"/>
      <c r="N1425" s="73"/>
      <c r="O1425" s="73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14.25" customHeight="1" x14ac:dyDescent="0.35">
      <c r="A1426" s="9">
        <f t="shared" si="68"/>
        <v>1418</v>
      </c>
      <c r="B1426" s="15"/>
      <c r="C1426" s="11">
        <f t="shared" si="67"/>
        <v>1</v>
      </c>
      <c r="D1426" s="11"/>
      <c r="E1426" s="11"/>
      <c r="F1426" s="11"/>
      <c r="G1426" s="89">
        <f>IFERROR(VLOOKUP(F1426,COA!$A$1:$K$26,2,FALSE),0)</f>
        <v>0</v>
      </c>
      <c r="H1426" s="11"/>
      <c r="I1426" s="11"/>
      <c r="J1426" s="78"/>
      <c r="K1426" s="78"/>
      <c r="L1426" s="146">
        <f t="shared" si="69"/>
        <v>504000</v>
      </c>
      <c r="M1426" s="73"/>
      <c r="N1426" s="73"/>
      <c r="O1426" s="73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14.25" customHeight="1" x14ac:dyDescent="0.35">
      <c r="A1427" s="9">
        <f t="shared" si="68"/>
        <v>1419</v>
      </c>
      <c r="B1427" s="15"/>
      <c r="C1427" s="11">
        <f t="shared" si="67"/>
        <v>1</v>
      </c>
      <c r="D1427" s="11"/>
      <c r="E1427" s="11"/>
      <c r="F1427" s="11"/>
      <c r="G1427" s="89">
        <f>IFERROR(VLOOKUP(F1427,COA!$A$1:$K$26,2,FALSE),0)</f>
        <v>0</v>
      </c>
      <c r="H1427" s="11"/>
      <c r="I1427" s="11"/>
      <c r="J1427" s="78"/>
      <c r="K1427" s="78"/>
      <c r="L1427" s="146">
        <f t="shared" si="69"/>
        <v>504000</v>
      </c>
      <c r="M1427" s="73"/>
      <c r="N1427" s="73"/>
      <c r="O1427" s="73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14.25" customHeight="1" x14ac:dyDescent="0.35">
      <c r="A1428" s="9">
        <f t="shared" si="68"/>
        <v>1420</v>
      </c>
      <c r="B1428" s="15"/>
      <c r="C1428" s="11">
        <f t="shared" si="67"/>
        <v>1</v>
      </c>
      <c r="D1428" s="11"/>
      <c r="E1428" s="11"/>
      <c r="F1428" s="11"/>
      <c r="G1428" s="89">
        <f>IFERROR(VLOOKUP(F1428,COA!$A$1:$K$26,2,FALSE),0)</f>
        <v>0</v>
      </c>
      <c r="H1428" s="11"/>
      <c r="I1428" s="11"/>
      <c r="J1428" s="78"/>
      <c r="K1428" s="78"/>
      <c r="L1428" s="146">
        <f t="shared" si="69"/>
        <v>504000</v>
      </c>
      <c r="M1428" s="73"/>
      <c r="N1428" s="73"/>
      <c r="O1428" s="73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14.25" customHeight="1" x14ac:dyDescent="0.35">
      <c r="A1429" s="9">
        <f t="shared" si="68"/>
        <v>1421</v>
      </c>
      <c r="B1429" s="15"/>
      <c r="C1429" s="11">
        <f t="shared" si="67"/>
        <v>1</v>
      </c>
      <c r="D1429" s="11"/>
      <c r="E1429" s="11"/>
      <c r="F1429" s="11"/>
      <c r="G1429" s="89">
        <f>IFERROR(VLOOKUP(F1429,COA!$A$1:$K$26,2,FALSE),0)</f>
        <v>0</v>
      </c>
      <c r="H1429" s="11"/>
      <c r="I1429" s="11"/>
      <c r="J1429" s="78"/>
      <c r="K1429" s="78"/>
      <c r="L1429" s="146">
        <f t="shared" si="69"/>
        <v>504000</v>
      </c>
      <c r="M1429" s="73"/>
      <c r="N1429" s="73"/>
      <c r="O1429" s="73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14.25" customHeight="1" x14ac:dyDescent="0.35">
      <c r="A1430" s="9">
        <f t="shared" si="68"/>
        <v>1422</v>
      </c>
      <c r="B1430" s="15"/>
      <c r="C1430" s="11">
        <f t="shared" si="67"/>
        <v>1</v>
      </c>
      <c r="D1430" s="11"/>
      <c r="E1430" s="11"/>
      <c r="F1430" s="11"/>
      <c r="G1430" s="89">
        <f>IFERROR(VLOOKUP(F1430,COA!$A$1:$K$26,2,FALSE),0)</f>
        <v>0</v>
      </c>
      <c r="H1430" s="11"/>
      <c r="I1430" s="11"/>
      <c r="J1430" s="78"/>
      <c r="K1430" s="78"/>
      <c r="L1430" s="146">
        <f t="shared" si="69"/>
        <v>504000</v>
      </c>
      <c r="M1430" s="73"/>
      <c r="N1430" s="73"/>
      <c r="O1430" s="73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14.25" customHeight="1" x14ac:dyDescent="0.35">
      <c r="A1431" s="9">
        <f t="shared" si="68"/>
        <v>1423</v>
      </c>
      <c r="B1431" s="15"/>
      <c r="C1431" s="11">
        <f t="shared" si="67"/>
        <v>1</v>
      </c>
      <c r="D1431" s="11"/>
      <c r="E1431" s="11"/>
      <c r="F1431" s="11"/>
      <c r="G1431" s="89">
        <f>IFERROR(VLOOKUP(F1431,COA!$A$1:$K$26,2,FALSE),0)</f>
        <v>0</v>
      </c>
      <c r="H1431" s="11"/>
      <c r="I1431" s="11"/>
      <c r="J1431" s="78"/>
      <c r="K1431" s="78"/>
      <c r="L1431" s="146">
        <f t="shared" si="69"/>
        <v>504000</v>
      </c>
      <c r="M1431" s="73"/>
      <c r="N1431" s="73"/>
      <c r="O1431" s="73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14.25" customHeight="1" x14ac:dyDescent="0.35">
      <c r="A1432" s="9">
        <f t="shared" si="68"/>
        <v>1424</v>
      </c>
      <c r="B1432" s="15"/>
      <c r="C1432" s="11">
        <f t="shared" si="67"/>
        <v>1</v>
      </c>
      <c r="D1432" s="11"/>
      <c r="E1432" s="11"/>
      <c r="F1432" s="11"/>
      <c r="G1432" s="89">
        <f>IFERROR(VLOOKUP(F1432,COA!$A$1:$K$26,2,FALSE),0)</f>
        <v>0</v>
      </c>
      <c r="H1432" s="11"/>
      <c r="I1432" s="11"/>
      <c r="J1432" s="78"/>
      <c r="K1432" s="78"/>
      <c r="L1432" s="146">
        <f t="shared" si="69"/>
        <v>504000</v>
      </c>
      <c r="M1432" s="73"/>
      <c r="N1432" s="73"/>
      <c r="O1432" s="73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14.25" customHeight="1" x14ac:dyDescent="0.35">
      <c r="A1433" s="9">
        <f t="shared" si="68"/>
        <v>1425</v>
      </c>
      <c r="B1433" s="15"/>
      <c r="C1433" s="11">
        <f t="shared" si="67"/>
        <v>1</v>
      </c>
      <c r="D1433" s="11"/>
      <c r="E1433" s="11"/>
      <c r="F1433" s="11"/>
      <c r="G1433" s="89">
        <f>IFERROR(VLOOKUP(F1433,COA!$A$1:$K$26,2,FALSE),0)</f>
        <v>0</v>
      </c>
      <c r="H1433" s="11"/>
      <c r="I1433" s="11"/>
      <c r="J1433" s="78"/>
      <c r="K1433" s="78"/>
      <c r="L1433" s="146">
        <f t="shared" si="69"/>
        <v>504000</v>
      </c>
      <c r="M1433" s="73"/>
      <c r="N1433" s="73"/>
      <c r="O1433" s="73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14.25" customHeight="1" x14ac:dyDescent="0.35">
      <c r="A1434" s="9">
        <f t="shared" si="68"/>
        <v>1426</v>
      </c>
      <c r="B1434" s="15"/>
      <c r="C1434" s="11">
        <f t="shared" si="67"/>
        <v>1</v>
      </c>
      <c r="D1434" s="11"/>
      <c r="E1434" s="11"/>
      <c r="F1434" s="11"/>
      <c r="G1434" s="89">
        <f>IFERROR(VLOOKUP(F1434,COA!$A$1:$K$26,2,FALSE),0)</f>
        <v>0</v>
      </c>
      <c r="H1434" s="11"/>
      <c r="I1434" s="11"/>
      <c r="J1434" s="78"/>
      <c r="K1434" s="78"/>
      <c r="L1434" s="146">
        <f t="shared" si="69"/>
        <v>504000</v>
      </c>
      <c r="M1434" s="73"/>
      <c r="N1434" s="73"/>
      <c r="O1434" s="73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14.25" customHeight="1" x14ac:dyDescent="0.35">
      <c r="A1435" s="9">
        <f t="shared" si="68"/>
        <v>1427</v>
      </c>
      <c r="B1435" s="15"/>
      <c r="C1435" s="11">
        <f t="shared" si="67"/>
        <v>1</v>
      </c>
      <c r="D1435" s="11"/>
      <c r="E1435" s="11"/>
      <c r="F1435" s="11"/>
      <c r="G1435" s="89">
        <f>IFERROR(VLOOKUP(F1435,COA!$A$1:$K$26,2,FALSE),0)</f>
        <v>0</v>
      </c>
      <c r="H1435" s="11"/>
      <c r="I1435" s="11"/>
      <c r="J1435" s="78"/>
      <c r="K1435" s="78"/>
      <c r="L1435" s="146">
        <f t="shared" si="69"/>
        <v>504000</v>
      </c>
      <c r="M1435" s="73"/>
      <c r="N1435" s="73"/>
      <c r="O1435" s="73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14.25" customHeight="1" x14ac:dyDescent="0.35">
      <c r="A1436" s="9">
        <f t="shared" si="68"/>
        <v>1428</v>
      </c>
      <c r="B1436" s="15"/>
      <c r="C1436" s="11">
        <f t="shared" si="67"/>
        <v>1</v>
      </c>
      <c r="D1436" s="11"/>
      <c r="E1436" s="11"/>
      <c r="F1436" s="11"/>
      <c r="G1436" s="89">
        <f>IFERROR(VLOOKUP(F1436,COA!$A$1:$K$26,2,FALSE),0)</f>
        <v>0</v>
      </c>
      <c r="H1436" s="11"/>
      <c r="I1436" s="11"/>
      <c r="J1436" s="78"/>
      <c r="K1436" s="78"/>
      <c r="L1436" s="146">
        <f t="shared" si="69"/>
        <v>504000</v>
      </c>
      <c r="M1436" s="73"/>
      <c r="N1436" s="73"/>
      <c r="O1436" s="73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14.25" customHeight="1" x14ac:dyDescent="0.35">
      <c r="A1437" s="9">
        <f t="shared" si="68"/>
        <v>1429</v>
      </c>
      <c r="B1437" s="15"/>
      <c r="C1437" s="11">
        <f t="shared" si="67"/>
        <v>1</v>
      </c>
      <c r="D1437" s="11"/>
      <c r="E1437" s="11"/>
      <c r="F1437" s="11"/>
      <c r="G1437" s="89">
        <f>IFERROR(VLOOKUP(F1437,COA!$A$1:$K$26,2,FALSE),0)</f>
        <v>0</v>
      </c>
      <c r="H1437" s="11"/>
      <c r="I1437" s="11"/>
      <c r="J1437" s="78"/>
      <c r="K1437" s="78"/>
      <c r="L1437" s="146">
        <f t="shared" si="69"/>
        <v>504000</v>
      </c>
      <c r="M1437" s="73"/>
      <c r="N1437" s="73"/>
      <c r="O1437" s="73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14.25" customHeight="1" x14ac:dyDescent="0.35">
      <c r="A1438" s="9">
        <f t="shared" si="68"/>
        <v>1430</v>
      </c>
      <c r="B1438" s="15"/>
      <c r="C1438" s="11">
        <f t="shared" si="67"/>
        <v>1</v>
      </c>
      <c r="D1438" s="11"/>
      <c r="E1438" s="11"/>
      <c r="F1438" s="11"/>
      <c r="G1438" s="89">
        <f>IFERROR(VLOOKUP(F1438,COA!$A$1:$K$26,2,FALSE),0)</f>
        <v>0</v>
      </c>
      <c r="H1438" s="11"/>
      <c r="I1438" s="11"/>
      <c r="J1438" s="78"/>
      <c r="K1438" s="78"/>
      <c r="L1438" s="146">
        <f t="shared" si="69"/>
        <v>504000</v>
      </c>
      <c r="M1438" s="73"/>
      <c r="N1438" s="73"/>
      <c r="O1438" s="73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14.25" customHeight="1" x14ac:dyDescent="0.35">
      <c r="A1439" s="9">
        <f t="shared" si="68"/>
        <v>1431</v>
      </c>
      <c r="B1439" s="15"/>
      <c r="C1439" s="11">
        <f t="shared" si="67"/>
        <v>1</v>
      </c>
      <c r="D1439" s="11"/>
      <c r="E1439" s="11"/>
      <c r="F1439" s="11"/>
      <c r="G1439" s="89">
        <f>IFERROR(VLOOKUP(F1439,COA!$A$1:$K$26,2,FALSE),0)</f>
        <v>0</v>
      </c>
      <c r="H1439" s="11"/>
      <c r="I1439" s="11"/>
      <c r="J1439" s="78"/>
      <c r="K1439" s="78"/>
      <c r="L1439" s="146">
        <f t="shared" si="69"/>
        <v>504000</v>
      </c>
      <c r="M1439" s="73"/>
      <c r="N1439" s="73"/>
      <c r="O1439" s="73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14.25" customHeight="1" x14ac:dyDescent="0.35">
      <c r="A1440" s="9">
        <f t="shared" si="68"/>
        <v>1432</v>
      </c>
      <c r="B1440" s="15"/>
      <c r="C1440" s="11">
        <f t="shared" si="67"/>
        <v>1</v>
      </c>
      <c r="D1440" s="11"/>
      <c r="E1440" s="11"/>
      <c r="F1440" s="11"/>
      <c r="G1440" s="89">
        <f>IFERROR(VLOOKUP(F1440,COA!$A$1:$K$26,2,FALSE),0)</f>
        <v>0</v>
      </c>
      <c r="H1440" s="11"/>
      <c r="I1440" s="11"/>
      <c r="J1440" s="78"/>
      <c r="K1440" s="78"/>
      <c r="L1440" s="146">
        <f t="shared" si="69"/>
        <v>504000</v>
      </c>
      <c r="M1440" s="73"/>
      <c r="N1440" s="73"/>
      <c r="O1440" s="73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14.25" customHeight="1" x14ac:dyDescent="0.35">
      <c r="A1441" s="9">
        <f t="shared" si="68"/>
        <v>1433</v>
      </c>
      <c r="B1441" s="15"/>
      <c r="C1441" s="11">
        <f t="shared" si="67"/>
        <v>1</v>
      </c>
      <c r="D1441" s="11"/>
      <c r="E1441" s="11"/>
      <c r="F1441" s="11"/>
      <c r="G1441" s="89">
        <f>IFERROR(VLOOKUP(F1441,COA!$A$1:$K$26,2,FALSE),0)</f>
        <v>0</v>
      </c>
      <c r="H1441" s="11"/>
      <c r="I1441" s="11"/>
      <c r="J1441" s="78"/>
      <c r="K1441" s="78"/>
      <c r="L1441" s="146">
        <f t="shared" si="69"/>
        <v>504000</v>
      </c>
      <c r="M1441" s="73"/>
      <c r="N1441" s="73"/>
      <c r="O1441" s="73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14.25" customHeight="1" x14ac:dyDescent="0.35">
      <c r="A1442" s="9">
        <f t="shared" si="68"/>
        <v>1434</v>
      </c>
      <c r="B1442" s="15"/>
      <c r="C1442" s="11">
        <f t="shared" si="67"/>
        <v>1</v>
      </c>
      <c r="D1442" s="11"/>
      <c r="E1442" s="11"/>
      <c r="F1442" s="11"/>
      <c r="G1442" s="89">
        <f>IFERROR(VLOOKUP(F1442,COA!$A$1:$K$26,2,FALSE),0)</f>
        <v>0</v>
      </c>
      <c r="H1442" s="11"/>
      <c r="I1442" s="11"/>
      <c r="J1442" s="78"/>
      <c r="K1442" s="78"/>
      <c r="L1442" s="146">
        <f t="shared" si="69"/>
        <v>504000</v>
      </c>
      <c r="M1442" s="73"/>
      <c r="N1442" s="73"/>
      <c r="O1442" s="73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14.25" customHeight="1" x14ac:dyDescent="0.35">
      <c r="A1443" s="9">
        <f t="shared" si="68"/>
        <v>1435</v>
      </c>
      <c r="B1443" s="15"/>
      <c r="C1443" s="11">
        <f t="shared" si="67"/>
        <v>1</v>
      </c>
      <c r="D1443" s="11"/>
      <c r="E1443" s="11"/>
      <c r="F1443" s="11"/>
      <c r="G1443" s="89">
        <f>IFERROR(VLOOKUP(F1443,COA!$A$1:$K$26,2,FALSE),0)</f>
        <v>0</v>
      </c>
      <c r="H1443" s="11"/>
      <c r="I1443" s="11"/>
      <c r="J1443" s="78"/>
      <c r="K1443" s="78"/>
      <c r="L1443" s="146">
        <f t="shared" si="69"/>
        <v>504000</v>
      </c>
      <c r="M1443" s="73"/>
      <c r="N1443" s="73"/>
      <c r="O1443" s="73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14.25" customHeight="1" x14ac:dyDescent="0.35">
      <c r="A1444" s="9">
        <f t="shared" si="68"/>
        <v>1436</v>
      </c>
      <c r="B1444" s="15"/>
      <c r="C1444" s="11">
        <f t="shared" si="67"/>
        <v>1</v>
      </c>
      <c r="D1444" s="11"/>
      <c r="E1444" s="11"/>
      <c r="F1444" s="11"/>
      <c r="G1444" s="89">
        <f>IFERROR(VLOOKUP(F1444,COA!$A$1:$K$26,2,FALSE),0)</f>
        <v>0</v>
      </c>
      <c r="H1444" s="11"/>
      <c r="I1444" s="11"/>
      <c r="J1444" s="78"/>
      <c r="K1444" s="78"/>
      <c r="L1444" s="146">
        <f t="shared" si="69"/>
        <v>504000</v>
      </c>
      <c r="M1444" s="73"/>
      <c r="N1444" s="73"/>
      <c r="O1444" s="73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14.25" customHeight="1" x14ac:dyDescent="0.35">
      <c r="A1445" s="9">
        <f t="shared" si="68"/>
        <v>1437</v>
      </c>
      <c r="B1445" s="15"/>
      <c r="C1445" s="11">
        <f t="shared" si="67"/>
        <v>1</v>
      </c>
      <c r="D1445" s="11"/>
      <c r="E1445" s="11"/>
      <c r="F1445" s="11"/>
      <c r="G1445" s="89">
        <f>IFERROR(VLOOKUP(F1445,COA!$A$1:$K$26,2,FALSE),0)</f>
        <v>0</v>
      </c>
      <c r="H1445" s="11"/>
      <c r="I1445" s="11"/>
      <c r="J1445" s="78"/>
      <c r="K1445" s="78"/>
      <c r="L1445" s="146">
        <f t="shared" si="69"/>
        <v>504000</v>
      </c>
      <c r="M1445" s="73"/>
      <c r="N1445" s="73"/>
      <c r="O1445" s="73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14.25" customHeight="1" x14ac:dyDescent="0.35">
      <c r="A1446" s="9">
        <f t="shared" si="68"/>
        <v>1438</v>
      </c>
      <c r="B1446" s="15"/>
      <c r="C1446" s="11">
        <f t="shared" si="67"/>
        <v>1</v>
      </c>
      <c r="D1446" s="11"/>
      <c r="E1446" s="11"/>
      <c r="F1446" s="11"/>
      <c r="G1446" s="89">
        <f>IFERROR(VLOOKUP(F1446,COA!$A$1:$K$26,2,FALSE),0)</f>
        <v>0</v>
      </c>
      <c r="H1446" s="11"/>
      <c r="I1446" s="11"/>
      <c r="J1446" s="78"/>
      <c r="K1446" s="78"/>
      <c r="L1446" s="146">
        <f t="shared" si="69"/>
        <v>504000</v>
      </c>
      <c r="M1446" s="73"/>
      <c r="N1446" s="73"/>
      <c r="O1446" s="73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14.25" customHeight="1" x14ac:dyDescent="0.35">
      <c r="A1447" s="9">
        <f t="shared" si="68"/>
        <v>1439</v>
      </c>
      <c r="B1447" s="15"/>
      <c r="C1447" s="11">
        <f t="shared" si="67"/>
        <v>1</v>
      </c>
      <c r="D1447" s="11"/>
      <c r="E1447" s="11"/>
      <c r="F1447" s="11"/>
      <c r="G1447" s="89">
        <f>IFERROR(VLOOKUP(F1447,COA!$A$1:$K$26,2,FALSE),0)</f>
        <v>0</v>
      </c>
      <c r="H1447" s="11"/>
      <c r="I1447" s="11"/>
      <c r="J1447" s="78"/>
      <c r="K1447" s="78"/>
      <c r="L1447" s="146">
        <f t="shared" si="69"/>
        <v>504000</v>
      </c>
      <c r="M1447" s="73"/>
      <c r="N1447" s="73"/>
      <c r="O1447" s="73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14.25" customHeight="1" x14ac:dyDescent="0.35">
      <c r="A1448" s="9">
        <f t="shared" si="68"/>
        <v>1440</v>
      </c>
      <c r="B1448" s="15"/>
      <c r="C1448" s="11">
        <f t="shared" si="67"/>
        <v>1</v>
      </c>
      <c r="D1448" s="11"/>
      <c r="E1448" s="11"/>
      <c r="F1448" s="11"/>
      <c r="G1448" s="89">
        <f>IFERROR(VLOOKUP(F1448,COA!$A$1:$K$26,2,FALSE),0)</f>
        <v>0</v>
      </c>
      <c r="H1448" s="11"/>
      <c r="I1448" s="11"/>
      <c r="J1448" s="78"/>
      <c r="K1448" s="78"/>
      <c r="L1448" s="146">
        <f t="shared" si="69"/>
        <v>504000</v>
      </c>
      <c r="M1448" s="73"/>
      <c r="N1448" s="73"/>
      <c r="O1448" s="73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14.25" customHeight="1" x14ac:dyDescent="0.35">
      <c r="A1449" s="9">
        <f t="shared" si="68"/>
        <v>1441</v>
      </c>
      <c r="B1449" s="15"/>
      <c r="C1449" s="11">
        <f t="shared" si="67"/>
        <v>1</v>
      </c>
      <c r="D1449" s="11"/>
      <c r="E1449" s="11"/>
      <c r="F1449" s="11"/>
      <c r="G1449" s="89">
        <f>IFERROR(VLOOKUP(F1449,COA!$A$1:$K$26,2,FALSE),0)</f>
        <v>0</v>
      </c>
      <c r="H1449" s="11"/>
      <c r="I1449" s="11"/>
      <c r="J1449" s="78"/>
      <c r="K1449" s="78"/>
      <c r="L1449" s="146">
        <f t="shared" si="69"/>
        <v>504000</v>
      </c>
      <c r="M1449" s="73"/>
      <c r="N1449" s="73"/>
      <c r="O1449" s="73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14.25" customHeight="1" x14ac:dyDescent="0.35">
      <c r="A1450" s="9">
        <f t="shared" si="68"/>
        <v>1442</v>
      </c>
      <c r="B1450" s="15"/>
      <c r="C1450" s="11">
        <f t="shared" si="67"/>
        <v>1</v>
      </c>
      <c r="D1450" s="11"/>
      <c r="E1450" s="11"/>
      <c r="F1450" s="11"/>
      <c r="G1450" s="89">
        <f>IFERROR(VLOOKUP(F1450,COA!$A$1:$K$26,2,FALSE),0)</f>
        <v>0</v>
      </c>
      <c r="H1450" s="11"/>
      <c r="I1450" s="11"/>
      <c r="J1450" s="78"/>
      <c r="K1450" s="78"/>
      <c r="L1450" s="146">
        <f t="shared" si="69"/>
        <v>504000</v>
      </c>
      <c r="M1450" s="73"/>
      <c r="N1450" s="73"/>
      <c r="O1450" s="73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14.25" customHeight="1" x14ac:dyDescent="0.35">
      <c r="A1451" s="9">
        <f t="shared" si="68"/>
        <v>1443</v>
      </c>
      <c r="B1451" s="15"/>
      <c r="C1451" s="11">
        <f t="shared" si="67"/>
        <v>1</v>
      </c>
      <c r="D1451" s="11"/>
      <c r="E1451" s="11"/>
      <c r="F1451" s="11"/>
      <c r="G1451" s="89">
        <f>IFERROR(VLOOKUP(F1451,COA!$A$1:$K$26,2,FALSE),0)</f>
        <v>0</v>
      </c>
      <c r="H1451" s="11"/>
      <c r="I1451" s="11"/>
      <c r="J1451" s="78"/>
      <c r="K1451" s="78"/>
      <c r="L1451" s="146">
        <f t="shared" si="69"/>
        <v>504000</v>
      </c>
      <c r="M1451" s="73"/>
      <c r="N1451" s="73"/>
      <c r="O1451" s="73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14.25" customHeight="1" x14ac:dyDescent="0.35">
      <c r="A1452" s="9">
        <f t="shared" si="68"/>
        <v>1444</v>
      </c>
      <c r="B1452" s="15"/>
      <c r="C1452" s="11">
        <f t="shared" si="67"/>
        <v>1</v>
      </c>
      <c r="D1452" s="11"/>
      <c r="E1452" s="11"/>
      <c r="F1452" s="11"/>
      <c r="G1452" s="89">
        <f>IFERROR(VLOOKUP(F1452,COA!$A$1:$K$26,2,FALSE),0)</f>
        <v>0</v>
      </c>
      <c r="H1452" s="11"/>
      <c r="I1452" s="11"/>
      <c r="J1452" s="78"/>
      <c r="K1452" s="78"/>
      <c r="L1452" s="146">
        <f t="shared" si="69"/>
        <v>504000</v>
      </c>
      <c r="M1452" s="73"/>
      <c r="N1452" s="73"/>
      <c r="O1452" s="73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14.25" customHeight="1" x14ac:dyDescent="0.35">
      <c r="A1453" s="9">
        <f t="shared" si="68"/>
        <v>1445</v>
      </c>
      <c r="B1453" s="15"/>
      <c r="C1453" s="11">
        <f t="shared" si="67"/>
        <v>1</v>
      </c>
      <c r="D1453" s="11"/>
      <c r="E1453" s="11"/>
      <c r="F1453" s="11"/>
      <c r="G1453" s="89">
        <f>IFERROR(VLOOKUP(F1453,COA!$A$1:$K$26,2,FALSE),0)</f>
        <v>0</v>
      </c>
      <c r="H1453" s="11"/>
      <c r="I1453" s="11"/>
      <c r="J1453" s="78"/>
      <c r="K1453" s="78"/>
      <c r="L1453" s="146">
        <f t="shared" si="69"/>
        <v>504000</v>
      </c>
      <c r="M1453" s="73"/>
      <c r="N1453" s="73"/>
      <c r="O1453" s="73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14.25" customHeight="1" x14ac:dyDescent="0.35">
      <c r="A1454" s="9">
        <f t="shared" si="68"/>
        <v>1446</v>
      </c>
      <c r="B1454" s="15"/>
      <c r="C1454" s="11">
        <f t="shared" si="67"/>
        <v>1</v>
      </c>
      <c r="D1454" s="11"/>
      <c r="E1454" s="11"/>
      <c r="F1454" s="11"/>
      <c r="G1454" s="89">
        <f>IFERROR(VLOOKUP(F1454,COA!$A$1:$K$26,2,FALSE),0)</f>
        <v>0</v>
      </c>
      <c r="H1454" s="11"/>
      <c r="I1454" s="11"/>
      <c r="J1454" s="78"/>
      <c r="K1454" s="78"/>
      <c r="L1454" s="146">
        <f t="shared" si="69"/>
        <v>504000</v>
      </c>
      <c r="M1454" s="73"/>
      <c r="N1454" s="73"/>
      <c r="O1454" s="73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14.25" customHeight="1" x14ac:dyDescent="0.35">
      <c r="A1455" s="9">
        <f t="shared" si="68"/>
        <v>1447</v>
      </c>
      <c r="B1455" s="22"/>
      <c r="C1455" s="11">
        <f t="shared" si="67"/>
        <v>1</v>
      </c>
      <c r="D1455" s="11"/>
      <c r="E1455" s="11"/>
      <c r="F1455" s="11"/>
      <c r="G1455" s="89">
        <f>IFERROR(VLOOKUP(F1455,COA!$A$1:$K$26,2,FALSE),0)</f>
        <v>0</v>
      </c>
      <c r="H1455" s="11"/>
      <c r="I1455" s="11"/>
      <c r="J1455" s="78"/>
      <c r="K1455" s="78"/>
      <c r="L1455" s="146">
        <f t="shared" si="69"/>
        <v>504000</v>
      </c>
      <c r="M1455" s="73"/>
      <c r="N1455" s="73"/>
      <c r="O1455" s="73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14.25" customHeight="1" x14ac:dyDescent="0.35">
      <c r="A1456" s="9">
        <f t="shared" si="68"/>
        <v>1448</v>
      </c>
      <c r="B1456" s="22"/>
      <c r="C1456" s="11">
        <f t="shared" si="67"/>
        <v>1</v>
      </c>
      <c r="D1456" s="11"/>
      <c r="E1456" s="11"/>
      <c r="F1456" s="11"/>
      <c r="G1456" s="89">
        <f>IFERROR(VLOOKUP(F1456,COA!$A$1:$K$26,2,FALSE),0)</f>
        <v>0</v>
      </c>
      <c r="H1456" s="11"/>
      <c r="I1456" s="11"/>
      <c r="J1456" s="78"/>
      <c r="K1456" s="78"/>
      <c r="L1456" s="146">
        <f t="shared" si="69"/>
        <v>504000</v>
      </c>
      <c r="M1456" s="73"/>
      <c r="N1456" s="73"/>
      <c r="O1456" s="73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14.25" customHeight="1" x14ac:dyDescent="0.35">
      <c r="A1457" s="9">
        <f t="shared" si="68"/>
        <v>1449</v>
      </c>
      <c r="B1457" s="22"/>
      <c r="C1457" s="11">
        <f t="shared" si="67"/>
        <v>1</v>
      </c>
      <c r="D1457" s="11"/>
      <c r="E1457" s="11"/>
      <c r="F1457" s="11"/>
      <c r="G1457" s="89">
        <f>IFERROR(VLOOKUP(F1457,COA!$A$1:$K$26,2,FALSE),0)</f>
        <v>0</v>
      </c>
      <c r="H1457" s="11"/>
      <c r="I1457" s="11"/>
      <c r="J1457" s="78"/>
      <c r="K1457" s="78"/>
      <c r="L1457" s="146">
        <f t="shared" si="69"/>
        <v>504000</v>
      </c>
      <c r="M1457" s="73"/>
      <c r="N1457" s="73"/>
      <c r="O1457" s="73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14.25" customHeight="1" x14ac:dyDescent="0.35">
      <c r="A1458" s="9">
        <f t="shared" si="68"/>
        <v>1450</v>
      </c>
      <c r="B1458" s="22"/>
      <c r="C1458" s="11">
        <f t="shared" si="67"/>
        <v>1</v>
      </c>
      <c r="D1458" s="11"/>
      <c r="E1458" s="11"/>
      <c r="F1458" s="11"/>
      <c r="G1458" s="89">
        <f>IFERROR(VLOOKUP(F1458,COA!$A$1:$K$26,2,FALSE),0)</f>
        <v>0</v>
      </c>
      <c r="H1458" s="11"/>
      <c r="I1458" s="11"/>
      <c r="J1458" s="78"/>
      <c r="K1458" s="78"/>
      <c r="L1458" s="146">
        <f t="shared" si="69"/>
        <v>504000</v>
      </c>
      <c r="M1458" s="73"/>
      <c r="N1458" s="73"/>
      <c r="O1458" s="73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14.25" customHeight="1" x14ac:dyDescent="0.35">
      <c r="A1459" s="9">
        <f t="shared" si="68"/>
        <v>1451</v>
      </c>
      <c r="B1459" s="22"/>
      <c r="C1459" s="11">
        <f t="shared" si="67"/>
        <v>1</v>
      </c>
      <c r="D1459" s="11"/>
      <c r="E1459" s="11"/>
      <c r="F1459" s="11"/>
      <c r="G1459" s="89">
        <f>IFERROR(VLOOKUP(F1459,COA!$A$1:$K$26,2,FALSE),0)</f>
        <v>0</v>
      </c>
      <c r="H1459" s="11"/>
      <c r="I1459" s="11"/>
      <c r="J1459" s="78"/>
      <c r="K1459" s="78"/>
      <c r="L1459" s="146">
        <f t="shared" si="69"/>
        <v>504000</v>
      </c>
      <c r="M1459" s="73"/>
      <c r="N1459" s="73"/>
      <c r="O1459" s="73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14.25" customHeight="1" x14ac:dyDescent="0.35">
      <c r="A1460" s="9">
        <f t="shared" si="68"/>
        <v>1452</v>
      </c>
      <c r="B1460" s="22"/>
      <c r="C1460" s="11">
        <f t="shared" si="67"/>
        <v>1</v>
      </c>
      <c r="D1460" s="11"/>
      <c r="E1460" s="11"/>
      <c r="F1460" s="11"/>
      <c r="G1460" s="89">
        <f>IFERROR(VLOOKUP(F1460,COA!$A$1:$K$26,2,FALSE),0)</f>
        <v>0</v>
      </c>
      <c r="H1460" s="11"/>
      <c r="I1460" s="11"/>
      <c r="J1460" s="78"/>
      <c r="K1460" s="78"/>
      <c r="L1460" s="146">
        <f t="shared" si="69"/>
        <v>504000</v>
      </c>
      <c r="M1460" s="73"/>
      <c r="N1460" s="73"/>
      <c r="O1460" s="73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14.25" customHeight="1" x14ac:dyDescent="0.35">
      <c r="A1461" s="9">
        <f t="shared" si="68"/>
        <v>1453</v>
      </c>
      <c r="B1461" s="15"/>
      <c r="C1461" s="11">
        <f t="shared" si="67"/>
        <v>1</v>
      </c>
      <c r="D1461" s="11"/>
      <c r="E1461" s="11"/>
      <c r="F1461" s="11"/>
      <c r="G1461" s="89">
        <f>IFERROR(VLOOKUP(F1461,COA!$A$1:$K$26,2,FALSE),0)</f>
        <v>0</v>
      </c>
      <c r="H1461" s="11"/>
      <c r="I1461" s="11"/>
      <c r="J1461" s="78"/>
      <c r="K1461" s="78"/>
      <c r="L1461" s="146">
        <f t="shared" si="69"/>
        <v>504000</v>
      </c>
      <c r="M1461" s="73"/>
      <c r="N1461" s="73"/>
      <c r="O1461" s="73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14.25" customHeight="1" x14ac:dyDescent="0.35">
      <c r="A1462" s="9">
        <f t="shared" si="68"/>
        <v>1454</v>
      </c>
      <c r="B1462" s="15"/>
      <c r="C1462" s="11">
        <f t="shared" si="67"/>
        <v>1</v>
      </c>
      <c r="D1462" s="11"/>
      <c r="E1462" s="11"/>
      <c r="F1462" s="11"/>
      <c r="G1462" s="89">
        <f>IFERROR(VLOOKUP(F1462,COA!$A$1:$K$26,2,FALSE),0)</f>
        <v>0</v>
      </c>
      <c r="H1462" s="11"/>
      <c r="I1462" s="11"/>
      <c r="J1462" s="78"/>
      <c r="K1462" s="78"/>
      <c r="L1462" s="146">
        <f t="shared" si="69"/>
        <v>504000</v>
      </c>
      <c r="M1462" s="73"/>
      <c r="N1462" s="73"/>
      <c r="O1462" s="73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14.25" customHeight="1" x14ac:dyDescent="0.35">
      <c r="A1463" s="9">
        <f t="shared" si="68"/>
        <v>1455</v>
      </c>
      <c r="B1463" s="15"/>
      <c r="C1463" s="11">
        <f t="shared" si="67"/>
        <v>1</v>
      </c>
      <c r="D1463" s="11"/>
      <c r="E1463" s="11"/>
      <c r="F1463" s="11"/>
      <c r="G1463" s="89">
        <f>IFERROR(VLOOKUP(F1463,COA!$A$1:$K$26,2,FALSE),0)</f>
        <v>0</v>
      </c>
      <c r="H1463" s="11"/>
      <c r="I1463" s="11"/>
      <c r="J1463" s="78"/>
      <c r="K1463" s="78"/>
      <c r="L1463" s="146">
        <f t="shared" si="69"/>
        <v>504000</v>
      </c>
      <c r="M1463" s="73"/>
      <c r="N1463" s="73"/>
      <c r="O1463" s="73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14.25" customHeight="1" x14ac:dyDescent="0.35">
      <c r="A1464" s="9">
        <f t="shared" si="68"/>
        <v>1456</v>
      </c>
      <c r="B1464" s="15"/>
      <c r="C1464" s="11">
        <f t="shared" si="67"/>
        <v>1</v>
      </c>
      <c r="D1464" s="11"/>
      <c r="E1464" s="11"/>
      <c r="F1464" s="11"/>
      <c r="G1464" s="89">
        <f>IFERROR(VLOOKUP(F1464,COA!$A$1:$K$26,2,FALSE),0)</f>
        <v>0</v>
      </c>
      <c r="H1464" s="11"/>
      <c r="I1464" s="11"/>
      <c r="J1464" s="78"/>
      <c r="K1464" s="78"/>
      <c r="L1464" s="146">
        <f t="shared" si="69"/>
        <v>504000</v>
      </c>
      <c r="M1464" s="73"/>
      <c r="N1464" s="73"/>
      <c r="O1464" s="73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14.25" customHeight="1" x14ac:dyDescent="0.35">
      <c r="A1465" s="9">
        <f t="shared" si="68"/>
        <v>1457</v>
      </c>
      <c r="B1465" s="15"/>
      <c r="C1465" s="11">
        <f t="shared" si="67"/>
        <v>1</v>
      </c>
      <c r="D1465" s="11"/>
      <c r="E1465" s="11"/>
      <c r="F1465" s="11"/>
      <c r="G1465" s="89">
        <f>IFERROR(VLOOKUP(F1465,COA!$A$1:$K$26,2,FALSE),0)</f>
        <v>0</v>
      </c>
      <c r="H1465" s="11"/>
      <c r="I1465" s="11"/>
      <c r="J1465" s="78"/>
      <c r="K1465" s="78"/>
      <c r="L1465" s="146">
        <f t="shared" si="69"/>
        <v>504000</v>
      </c>
      <c r="M1465" s="73"/>
      <c r="N1465" s="73"/>
      <c r="O1465" s="73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14.25" customHeight="1" x14ac:dyDescent="0.35">
      <c r="A1466" s="9">
        <f t="shared" si="68"/>
        <v>1458</v>
      </c>
      <c r="B1466" s="15"/>
      <c r="C1466" s="11">
        <f t="shared" si="67"/>
        <v>1</v>
      </c>
      <c r="D1466" s="11"/>
      <c r="E1466" s="11"/>
      <c r="F1466" s="11"/>
      <c r="G1466" s="89">
        <f>IFERROR(VLOOKUP(F1466,COA!$A$1:$K$26,2,FALSE),0)</f>
        <v>0</v>
      </c>
      <c r="H1466" s="11"/>
      <c r="I1466" s="11"/>
      <c r="J1466" s="78"/>
      <c r="K1466" s="78"/>
      <c r="L1466" s="146">
        <f t="shared" si="69"/>
        <v>504000</v>
      </c>
      <c r="M1466" s="73"/>
      <c r="N1466" s="73"/>
      <c r="O1466" s="73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14.25" customHeight="1" x14ac:dyDescent="0.35">
      <c r="A1467" s="9">
        <f t="shared" si="68"/>
        <v>1459</v>
      </c>
      <c r="B1467" s="15"/>
      <c r="C1467" s="11">
        <f t="shared" si="67"/>
        <v>1</v>
      </c>
      <c r="D1467" s="11"/>
      <c r="E1467" s="11"/>
      <c r="F1467" s="11"/>
      <c r="G1467" s="89">
        <f>IFERROR(VLOOKUP(F1467,COA!$A$1:$K$26,2,FALSE),0)</f>
        <v>0</v>
      </c>
      <c r="H1467" s="11"/>
      <c r="I1467" s="11"/>
      <c r="J1467" s="78"/>
      <c r="K1467" s="78"/>
      <c r="L1467" s="146">
        <f t="shared" si="69"/>
        <v>504000</v>
      </c>
      <c r="M1467" s="73"/>
      <c r="N1467" s="73"/>
      <c r="O1467" s="73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14.25" customHeight="1" x14ac:dyDescent="0.35">
      <c r="A1468" s="9">
        <f t="shared" si="68"/>
        <v>1460</v>
      </c>
      <c r="B1468" s="15"/>
      <c r="C1468" s="11">
        <f t="shared" si="67"/>
        <v>1</v>
      </c>
      <c r="D1468" s="11"/>
      <c r="E1468" s="11"/>
      <c r="F1468" s="11"/>
      <c r="G1468" s="89">
        <f>IFERROR(VLOOKUP(F1468,COA!$A$1:$K$26,2,FALSE),0)</f>
        <v>0</v>
      </c>
      <c r="H1468" s="11"/>
      <c r="I1468" s="11"/>
      <c r="J1468" s="78"/>
      <c r="K1468" s="78"/>
      <c r="L1468" s="146">
        <f t="shared" si="69"/>
        <v>504000</v>
      </c>
      <c r="M1468" s="73"/>
      <c r="N1468" s="73"/>
      <c r="O1468" s="73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14.25" customHeight="1" x14ac:dyDescent="0.35">
      <c r="A1469" s="9">
        <f t="shared" si="68"/>
        <v>1461</v>
      </c>
      <c r="B1469" s="15"/>
      <c r="C1469" s="11">
        <f t="shared" si="67"/>
        <v>1</v>
      </c>
      <c r="D1469" s="11"/>
      <c r="E1469" s="11"/>
      <c r="F1469" s="11"/>
      <c r="G1469" s="89">
        <f>IFERROR(VLOOKUP(F1469,COA!$A$1:$K$26,2,FALSE),0)</f>
        <v>0</v>
      </c>
      <c r="H1469" s="11"/>
      <c r="I1469" s="11"/>
      <c r="J1469" s="78"/>
      <c r="K1469" s="78"/>
      <c r="L1469" s="146">
        <f t="shared" si="69"/>
        <v>504000</v>
      </c>
      <c r="M1469" s="73"/>
      <c r="N1469" s="73"/>
      <c r="O1469" s="73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14.25" customHeight="1" x14ac:dyDescent="0.35">
      <c r="A1470" s="9">
        <f t="shared" si="68"/>
        <v>1462</v>
      </c>
      <c r="B1470" s="15"/>
      <c r="C1470" s="11">
        <f t="shared" si="67"/>
        <v>1</v>
      </c>
      <c r="D1470" s="11"/>
      <c r="E1470" s="11"/>
      <c r="F1470" s="11"/>
      <c r="G1470" s="89">
        <f>IFERROR(VLOOKUP(F1470,COA!$A$1:$K$26,2,FALSE),0)</f>
        <v>0</v>
      </c>
      <c r="H1470" s="11"/>
      <c r="I1470" s="11"/>
      <c r="J1470" s="78"/>
      <c r="K1470" s="78"/>
      <c r="L1470" s="146">
        <f t="shared" si="69"/>
        <v>504000</v>
      </c>
      <c r="M1470" s="73"/>
      <c r="N1470" s="73"/>
      <c r="O1470" s="73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14.25" customHeight="1" x14ac:dyDescent="0.35">
      <c r="A1471" s="9">
        <f t="shared" si="68"/>
        <v>1463</v>
      </c>
      <c r="B1471" s="15"/>
      <c r="C1471" s="11">
        <f t="shared" si="67"/>
        <v>1</v>
      </c>
      <c r="D1471" s="11"/>
      <c r="E1471" s="11"/>
      <c r="F1471" s="11"/>
      <c r="G1471" s="89">
        <f>IFERROR(VLOOKUP(F1471,COA!$A$1:$K$26,2,FALSE),0)</f>
        <v>0</v>
      </c>
      <c r="H1471" s="11"/>
      <c r="I1471" s="11"/>
      <c r="J1471" s="78"/>
      <c r="K1471" s="78"/>
      <c r="L1471" s="146">
        <f t="shared" si="69"/>
        <v>504000</v>
      </c>
      <c r="M1471" s="73"/>
      <c r="N1471" s="73"/>
      <c r="O1471" s="73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14.25" customHeight="1" x14ac:dyDescent="0.35">
      <c r="A1472" s="9">
        <f t="shared" si="68"/>
        <v>1464</v>
      </c>
      <c r="B1472" s="15"/>
      <c r="C1472" s="11">
        <f t="shared" si="67"/>
        <v>1</v>
      </c>
      <c r="D1472" s="11"/>
      <c r="E1472" s="11"/>
      <c r="F1472" s="11"/>
      <c r="G1472" s="89">
        <f>IFERROR(VLOOKUP(F1472,COA!$A$1:$K$26,2,FALSE),0)</f>
        <v>0</v>
      </c>
      <c r="H1472" s="11"/>
      <c r="I1472" s="11"/>
      <c r="J1472" s="78"/>
      <c r="K1472" s="78"/>
      <c r="L1472" s="146">
        <f t="shared" si="69"/>
        <v>504000</v>
      </c>
      <c r="M1472" s="73"/>
      <c r="N1472" s="73"/>
      <c r="O1472" s="73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14.25" customHeight="1" x14ac:dyDescent="0.35">
      <c r="A1473" s="9">
        <f t="shared" si="68"/>
        <v>1465</v>
      </c>
      <c r="B1473" s="15"/>
      <c r="C1473" s="11">
        <f t="shared" si="67"/>
        <v>1</v>
      </c>
      <c r="D1473" s="11"/>
      <c r="E1473" s="11"/>
      <c r="F1473" s="11"/>
      <c r="G1473" s="89">
        <f>IFERROR(VLOOKUP(F1473,COA!$A$1:$K$26,2,FALSE),0)</f>
        <v>0</v>
      </c>
      <c r="H1473" s="11"/>
      <c r="I1473" s="11"/>
      <c r="J1473" s="78"/>
      <c r="K1473" s="78"/>
      <c r="L1473" s="146">
        <f t="shared" si="69"/>
        <v>504000</v>
      </c>
      <c r="M1473" s="73"/>
      <c r="N1473" s="73"/>
      <c r="O1473" s="73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14.25" customHeight="1" x14ac:dyDescent="0.35">
      <c r="A1474" s="9">
        <f t="shared" si="68"/>
        <v>1466</v>
      </c>
      <c r="B1474" s="15"/>
      <c r="C1474" s="11">
        <f t="shared" si="67"/>
        <v>1</v>
      </c>
      <c r="D1474" s="11"/>
      <c r="E1474" s="11"/>
      <c r="F1474" s="11"/>
      <c r="G1474" s="89">
        <f>IFERROR(VLOOKUP(F1474,COA!$A$1:$K$26,2,FALSE),0)</f>
        <v>0</v>
      </c>
      <c r="H1474" s="11"/>
      <c r="I1474" s="11"/>
      <c r="J1474" s="78"/>
      <c r="K1474" s="78"/>
      <c r="L1474" s="146">
        <f t="shared" si="69"/>
        <v>504000</v>
      </c>
      <c r="M1474" s="73"/>
      <c r="N1474" s="73"/>
      <c r="O1474" s="73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14.25" customHeight="1" x14ac:dyDescent="0.35">
      <c r="A1475" s="9">
        <f t="shared" si="68"/>
        <v>1467</v>
      </c>
      <c r="B1475" s="15"/>
      <c r="C1475" s="11">
        <f t="shared" si="67"/>
        <v>1</v>
      </c>
      <c r="D1475" s="11"/>
      <c r="E1475" s="11"/>
      <c r="F1475" s="11"/>
      <c r="G1475" s="89">
        <f>IFERROR(VLOOKUP(F1475,COA!$A$1:$K$26,2,FALSE),0)</f>
        <v>0</v>
      </c>
      <c r="H1475" s="11"/>
      <c r="I1475" s="11"/>
      <c r="J1475" s="78"/>
      <c r="K1475" s="78"/>
      <c r="L1475" s="146">
        <f t="shared" si="69"/>
        <v>504000</v>
      </c>
      <c r="M1475" s="73"/>
      <c r="N1475" s="73"/>
      <c r="O1475" s="73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14.25" customHeight="1" x14ac:dyDescent="0.35">
      <c r="A1476" s="9">
        <f t="shared" si="68"/>
        <v>1468</v>
      </c>
      <c r="B1476" s="15"/>
      <c r="C1476" s="11">
        <f t="shared" si="67"/>
        <v>1</v>
      </c>
      <c r="D1476" s="11"/>
      <c r="E1476" s="11"/>
      <c r="F1476" s="11"/>
      <c r="G1476" s="89">
        <f>IFERROR(VLOOKUP(F1476,COA!$A$1:$K$26,2,FALSE),0)</f>
        <v>0</v>
      </c>
      <c r="H1476" s="11"/>
      <c r="I1476" s="11"/>
      <c r="J1476" s="78"/>
      <c r="K1476" s="78"/>
      <c r="L1476" s="146">
        <f t="shared" si="69"/>
        <v>504000</v>
      </c>
      <c r="M1476" s="73"/>
      <c r="N1476" s="73"/>
      <c r="O1476" s="73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14.25" customHeight="1" x14ac:dyDescent="0.35">
      <c r="A1477" s="9">
        <f t="shared" si="68"/>
        <v>1469</v>
      </c>
      <c r="B1477" s="15"/>
      <c r="C1477" s="11">
        <f t="shared" si="67"/>
        <v>1</v>
      </c>
      <c r="D1477" s="11"/>
      <c r="E1477" s="11"/>
      <c r="F1477" s="11"/>
      <c r="G1477" s="89">
        <f>IFERROR(VLOOKUP(F1477,COA!$A$1:$K$26,2,FALSE),0)</f>
        <v>0</v>
      </c>
      <c r="H1477" s="11"/>
      <c r="I1477" s="11"/>
      <c r="J1477" s="78"/>
      <c r="K1477" s="78"/>
      <c r="L1477" s="146">
        <f t="shared" si="69"/>
        <v>504000</v>
      </c>
      <c r="M1477" s="73"/>
      <c r="N1477" s="73"/>
      <c r="O1477" s="73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14.25" customHeight="1" x14ac:dyDescent="0.35">
      <c r="A1478" s="9">
        <f t="shared" si="68"/>
        <v>1470</v>
      </c>
      <c r="B1478" s="15"/>
      <c r="C1478" s="11">
        <f t="shared" si="67"/>
        <v>1</v>
      </c>
      <c r="D1478" s="11"/>
      <c r="E1478" s="11"/>
      <c r="F1478" s="11"/>
      <c r="G1478" s="89">
        <f>IFERROR(VLOOKUP(F1478,COA!$A$1:$K$26,2,FALSE),0)</f>
        <v>0</v>
      </c>
      <c r="H1478" s="11"/>
      <c r="I1478" s="11"/>
      <c r="J1478" s="78"/>
      <c r="K1478" s="78"/>
      <c r="L1478" s="146">
        <f t="shared" si="69"/>
        <v>504000</v>
      </c>
      <c r="M1478" s="73"/>
      <c r="N1478" s="73"/>
      <c r="O1478" s="73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14.25" customHeight="1" x14ac:dyDescent="0.35">
      <c r="A1479" s="9">
        <f t="shared" si="68"/>
        <v>1471</v>
      </c>
      <c r="B1479" s="15"/>
      <c r="C1479" s="11">
        <f t="shared" si="67"/>
        <v>1</v>
      </c>
      <c r="D1479" s="11"/>
      <c r="E1479" s="11"/>
      <c r="F1479" s="11"/>
      <c r="G1479" s="89">
        <f>IFERROR(VLOOKUP(F1479,COA!$A$1:$K$26,2,FALSE),0)</f>
        <v>0</v>
      </c>
      <c r="H1479" s="11"/>
      <c r="I1479" s="11"/>
      <c r="J1479" s="78"/>
      <c r="K1479" s="78"/>
      <c r="L1479" s="146">
        <f t="shared" si="69"/>
        <v>504000</v>
      </c>
      <c r="M1479" s="73"/>
      <c r="N1479" s="73"/>
      <c r="O1479" s="73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14.25" customHeight="1" x14ac:dyDescent="0.35">
      <c r="A1480" s="9">
        <f t="shared" si="68"/>
        <v>1472</v>
      </c>
      <c r="B1480" s="15"/>
      <c r="C1480" s="11">
        <f t="shared" ref="C1480:C1543" si="70">MONTH(B1480)</f>
        <v>1</v>
      </c>
      <c r="D1480" s="11"/>
      <c r="E1480" s="11"/>
      <c r="F1480" s="11"/>
      <c r="G1480" s="89">
        <f>IFERROR(VLOOKUP(F1480,COA!$A$1:$K$26,2,FALSE),0)</f>
        <v>0</v>
      </c>
      <c r="H1480" s="11"/>
      <c r="I1480" s="11"/>
      <c r="J1480" s="78"/>
      <c r="K1480" s="78"/>
      <c r="L1480" s="146">
        <f t="shared" si="69"/>
        <v>504000</v>
      </c>
      <c r="M1480" s="73"/>
      <c r="N1480" s="73"/>
      <c r="O1480" s="73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14.25" customHeight="1" x14ac:dyDescent="0.35">
      <c r="A1481" s="9">
        <f t="shared" si="68"/>
        <v>1473</v>
      </c>
      <c r="B1481" s="15"/>
      <c r="C1481" s="11">
        <f t="shared" si="70"/>
        <v>1</v>
      </c>
      <c r="D1481" s="11"/>
      <c r="E1481" s="11"/>
      <c r="F1481" s="11"/>
      <c r="G1481" s="89">
        <f>IFERROR(VLOOKUP(F1481,COA!$A$1:$K$26,2,FALSE),0)</f>
        <v>0</v>
      </c>
      <c r="H1481" s="11"/>
      <c r="I1481" s="11"/>
      <c r="J1481" s="78"/>
      <c r="K1481" s="78"/>
      <c r="L1481" s="146">
        <f t="shared" si="69"/>
        <v>504000</v>
      </c>
      <c r="M1481" s="73"/>
      <c r="N1481" s="73"/>
      <c r="O1481" s="73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14.25" customHeight="1" x14ac:dyDescent="0.35">
      <c r="A1482" s="9">
        <f t="shared" si="68"/>
        <v>1474</v>
      </c>
      <c r="B1482" s="15"/>
      <c r="C1482" s="11">
        <f t="shared" si="70"/>
        <v>1</v>
      </c>
      <c r="D1482" s="11"/>
      <c r="E1482" s="11"/>
      <c r="F1482" s="11"/>
      <c r="G1482" s="89">
        <f>IFERROR(VLOOKUP(F1482,COA!$A$1:$K$26,2,FALSE),0)</f>
        <v>0</v>
      </c>
      <c r="H1482" s="11"/>
      <c r="I1482" s="11"/>
      <c r="J1482" s="78"/>
      <c r="K1482" s="78"/>
      <c r="L1482" s="146">
        <f t="shared" si="69"/>
        <v>504000</v>
      </c>
      <c r="M1482" s="73"/>
      <c r="N1482" s="73"/>
      <c r="O1482" s="73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14.25" customHeight="1" x14ac:dyDescent="0.35">
      <c r="A1483" s="9">
        <f t="shared" ref="A1483:A1546" si="71">A1482+1</f>
        <v>1475</v>
      </c>
      <c r="B1483" s="15"/>
      <c r="C1483" s="11">
        <f t="shared" si="70"/>
        <v>1</v>
      </c>
      <c r="D1483" s="11"/>
      <c r="E1483" s="11"/>
      <c r="F1483" s="11"/>
      <c r="G1483" s="89">
        <f>IFERROR(VLOOKUP(F1483,COA!$A$1:$K$26,2,FALSE),0)</f>
        <v>0</v>
      </c>
      <c r="H1483" s="11"/>
      <c r="I1483" s="11"/>
      <c r="J1483" s="78"/>
      <c r="K1483" s="78"/>
      <c r="L1483" s="146">
        <f t="shared" ref="L1483:L1546" si="72">L1482+J1483-K1483</f>
        <v>504000</v>
      </c>
      <c r="M1483" s="73"/>
      <c r="N1483" s="73"/>
      <c r="O1483" s="73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14.25" customHeight="1" x14ac:dyDescent="0.35">
      <c r="A1484" s="9">
        <f t="shared" si="71"/>
        <v>1476</v>
      </c>
      <c r="B1484" s="15"/>
      <c r="C1484" s="11">
        <f t="shared" si="70"/>
        <v>1</v>
      </c>
      <c r="D1484" s="11"/>
      <c r="E1484" s="11"/>
      <c r="F1484" s="11"/>
      <c r="G1484" s="89">
        <f>IFERROR(VLOOKUP(F1484,COA!$A$1:$K$26,2,FALSE),0)</f>
        <v>0</v>
      </c>
      <c r="H1484" s="11"/>
      <c r="I1484" s="11"/>
      <c r="J1484" s="78"/>
      <c r="K1484" s="78"/>
      <c r="L1484" s="146">
        <f t="shared" si="72"/>
        <v>504000</v>
      </c>
      <c r="M1484" s="73"/>
      <c r="N1484" s="73"/>
      <c r="O1484" s="73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14.25" customHeight="1" x14ac:dyDescent="0.35">
      <c r="A1485" s="9">
        <f t="shared" si="71"/>
        <v>1477</v>
      </c>
      <c r="B1485" s="15"/>
      <c r="C1485" s="11">
        <f t="shared" si="70"/>
        <v>1</v>
      </c>
      <c r="D1485" s="11"/>
      <c r="E1485" s="11"/>
      <c r="F1485" s="11"/>
      <c r="G1485" s="89">
        <f>IFERROR(VLOOKUP(F1485,COA!$A$1:$K$26,2,FALSE),0)</f>
        <v>0</v>
      </c>
      <c r="H1485" s="11"/>
      <c r="I1485" s="11"/>
      <c r="J1485" s="78"/>
      <c r="K1485" s="78"/>
      <c r="L1485" s="146">
        <f t="shared" si="72"/>
        <v>504000</v>
      </c>
      <c r="M1485" s="73"/>
      <c r="N1485" s="73"/>
      <c r="O1485" s="73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14.25" customHeight="1" x14ac:dyDescent="0.35">
      <c r="A1486" s="9">
        <f t="shared" si="71"/>
        <v>1478</v>
      </c>
      <c r="B1486" s="15"/>
      <c r="C1486" s="11">
        <f t="shared" si="70"/>
        <v>1</v>
      </c>
      <c r="D1486" s="11"/>
      <c r="E1486" s="11"/>
      <c r="F1486" s="11"/>
      <c r="G1486" s="89">
        <f>IFERROR(VLOOKUP(F1486,COA!$A$1:$K$26,2,FALSE),0)</f>
        <v>0</v>
      </c>
      <c r="H1486" s="11"/>
      <c r="I1486" s="11"/>
      <c r="J1486" s="78"/>
      <c r="K1486" s="78"/>
      <c r="L1486" s="146">
        <f t="shared" si="72"/>
        <v>504000</v>
      </c>
      <c r="M1486" s="73"/>
      <c r="N1486" s="73"/>
      <c r="O1486" s="73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14.25" customHeight="1" x14ac:dyDescent="0.35">
      <c r="A1487" s="9">
        <f t="shared" si="71"/>
        <v>1479</v>
      </c>
      <c r="B1487" s="15"/>
      <c r="C1487" s="11">
        <f t="shared" si="70"/>
        <v>1</v>
      </c>
      <c r="D1487" s="11"/>
      <c r="E1487" s="11"/>
      <c r="F1487" s="11"/>
      <c r="G1487" s="89">
        <f>IFERROR(VLOOKUP(F1487,COA!$A$1:$K$26,2,FALSE),0)</f>
        <v>0</v>
      </c>
      <c r="H1487" s="11"/>
      <c r="I1487" s="11"/>
      <c r="J1487" s="78"/>
      <c r="K1487" s="78"/>
      <c r="L1487" s="146">
        <f t="shared" si="72"/>
        <v>504000</v>
      </c>
      <c r="M1487" s="73"/>
      <c r="N1487" s="73"/>
      <c r="O1487" s="73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14.25" customHeight="1" x14ac:dyDescent="0.35">
      <c r="A1488" s="9">
        <f t="shared" si="71"/>
        <v>1480</v>
      </c>
      <c r="B1488" s="15"/>
      <c r="C1488" s="11">
        <f t="shared" si="70"/>
        <v>1</v>
      </c>
      <c r="D1488" s="11"/>
      <c r="E1488" s="11"/>
      <c r="F1488" s="11"/>
      <c r="G1488" s="89">
        <f>IFERROR(VLOOKUP(F1488,COA!$A$1:$K$26,2,FALSE),0)</f>
        <v>0</v>
      </c>
      <c r="H1488" s="11"/>
      <c r="I1488" s="11"/>
      <c r="J1488" s="78"/>
      <c r="K1488" s="78"/>
      <c r="L1488" s="146">
        <f t="shared" si="72"/>
        <v>504000</v>
      </c>
      <c r="M1488" s="73"/>
      <c r="N1488" s="73"/>
      <c r="O1488" s="73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14.25" customHeight="1" x14ac:dyDescent="0.35">
      <c r="A1489" s="9">
        <f t="shared" si="71"/>
        <v>1481</v>
      </c>
      <c r="B1489" s="15"/>
      <c r="C1489" s="11">
        <f t="shared" si="70"/>
        <v>1</v>
      </c>
      <c r="D1489" s="11"/>
      <c r="E1489" s="11"/>
      <c r="F1489" s="11"/>
      <c r="G1489" s="89">
        <f>IFERROR(VLOOKUP(F1489,COA!$A$1:$K$26,2,FALSE),0)</f>
        <v>0</v>
      </c>
      <c r="H1489" s="11"/>
      <c r="I1489" s="11"/>
      <c r="J1489" s="78"/>
      <c r="K1489" s="78"/>
      <c r="L1489" s="146">
        <f t="shared" si="72"/>
        <v>504000</v>
      </c>
      <c r="M1489" s="73"/>
      <c r="N1489" s="73"/>
      <c r="O1489" s="73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14.25" customHeight="1" x14ac:dyDescent="0.35">
      <c r="A1490" s="9">
        <f t="shared" si="71"/>
        <v>1482</v>
      </c>
      <c r="B1490" s="15"/>
      <c r="C1490" s="11">
        <f t="shared" si="70"/>
        <v>1</v>
      </c>
      <c r="D1490" s="11"/>
      <c r="E1490" s="11"/>
      <c r="F1490" s="11"/>
      <c r="G1490" s="89">
        <f>IFERROR(VLOOKUP(F1490,COA!$A$1:$K$26,2,FALSE),0)</f>
        <v>0</v>
      </c>
      <c r="H1490" s="11"/>
      <c r="I1490" s="11"/>
      <c r="J1490" s="78"/>
      <c r="K1490" s="78"/>
      <c r="L1490" s="146">
        <f t="shared" si="72"/>
        <v>504000</v>
      </c>
      <c r="M1490" s="73"/>
      <c r="N1490" s="73"/>
      <c r="O1490" s="73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14.25" customHeight="1" x14ac:dyDescent="0.35">
      <c r="A1491" s="9">
        <f t="shared" si="71"/>
        <v>1483</v>
      </c>
      <c r="B1491" s="15"/>
      <c r="C1491" s="11">
        <f t="shared" si="70"/>
        <v>1</v>
      </c>
      <c r="D1491" s="11"/>
      <c r="E1491" s="11"/>
      <c r="F1491" s="11"/>
      <c r="G1491" s="89">
        <f>IFERROR(VLOOKUP(F1491,COA!$A$1:$K$26,2,FALSE),0)</f>
        <v>0</v>
      </c>
      <c r="H1491" s="11"/>
      <c r="I1491" s="11"/>
      <c r="J1491" s="78"/>
      <c r="K1491" s="78"/>
      <c r="L1491" s="146">
        <f t="shared" si="72"/>
        <v>504000</v>
      </c>
      <c r="M1491" s="73"/>
      <c r="N1491" s="73"/>
      <c r="O1491" s="73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14.25" customHeight="1" x14ac:dyDescent="0.35">
      <c r="A1492" s="9">
        <f t="shared" si="71"/>
        <v>1484</v>
      </c>
      <c r="B1492" s="15"/>
      <c r="C1492" s="11">
        <f t="shared" si="70"/>
        <v>1</v>
      </c>
      <c r="D1492" s="11"/>
      <c r="E1492" s="11"/>
      <c r="F1492" s="11"/>
      <c r="G1492" s="89">
        <f>IFERROR(VLOOKUP(F1492,COA!$A$1:$K$26,2,FALSE),0)</f>
        <v>0</v>
      </c>
      <c r="H1492" s="11"/>
      <c r="I1492" s="11"/>
      <c r="J1492" s="78"/>
      <c r="K1492" s="78"/>
      <c r="L1492" s="146">
        <f t="shared" si="72"/>
        <v>504000</v>
      </c>
      <c r="M1492" s="73"/>
      <c r="N1492" s="73"/>
      <c r="O1492" s="73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14.25" customHeight="1" x14ac:dyDescent="0.35">
      <c r="A1493" s="9">
        <f t="shared" si="71"/>
        <v>1485</v>
      </c>
      <c r="B1493" s="15"/>
      <c r="C1493" s="11">
        <f t="shared" si="70"/>
        <v>1</v>
      </c>
      <c r="D1493" s="11"/>
      <c r="E1493" s="11"/>
      <c r="F1493" s="11"/>
      <c r="G1493" s="89">
        <f>IFERROR(VLOOKUP(F1493,COA!$A$1:$K$26,2,FALSE),0)</f>
        <v>0</v>
      </c>
      <c r="H1493" s="11"/>
      <c r="I1493" s="11"/>
      <c r="J1493" s="78"/>
      <c r="K1493" s="78"/>
      <c r="L1493" s="146">
        <f t="shared" si="72"/>
        <v>504000</v>
      </c>
      <c r="M1493" s="73"/>
      <c r="N1493" s="73"/>
      <c r="O1493" s="73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14.25" customHeight="1" x14ac:dyDescent="0.35">
      <c r="A1494" s="9">
        <f t="shared" si="71"/>
        <v>1486</v>
      </c>
      <c r="B1494" s="15"/>
      <c r="C1494" s="11">
        <f t="shared" si="70"/>
        <v>1</v>
      </c>
      <c r="D1494" s="11"/>
      <c r="E1494" s="11"/>
      <c r="F1494" s="11"/>
      <c r="G1494" s="89">
        <f>IFERROR(VLOOKUP(F1494,COA!$A$1:$K$26,2,FALSE),0)</f>
        <v>0</v>
      </c>
      <c r="H1494" s="11"/>
      <c r="I1494" s="11"/>
      <c r="J1494" s="78"/>
      <c r="K1494" s="78"/>
      <c r="L1494" s="146">
        <f t="shared" si="72"/>
        <v>504000</v>
      </c>
      <c r="M1494" s="73"/>
      <c r="N1494" s="73"/>
      <c r="O1494" s="73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14.25" customHeight="1" x14ac:dyDescent="0.35">
      <c r="A1495" s="9">
        <f t="shared" si="71"/>
        <v>1487</v>
      </c>
      <c r="B1495" s="15"/>
      <c r="C1495" s="11">
        <f t="shared" si="70"/>
        <v>1</v>
      </c>
      <c r="D1495" s="11"/>
      <c r="E1495" s="11"/>
      <c r="F1495" s="11"/>
      <c r="G1495" s="89">
        <f>IFERROR(VLOOKUP(F1495,COA!$A$1:$K$26,2,FALSE),0)</f>
        <v>0</v>
      </c>
      <c r="H1495" s="11"/>
      <c r="I1495" s="11"/>
      <c r="J1495" s="78"/>
      <c r="K1495" s="78"/>
      <c r="L1495" s="146">
        <f t="shared" si="72"/>
        <v>504000</v>
      </c>
      <c r="M1495" s="73"/>
      <c r="N1495" s="73"/>
      <c r="O1495" s="73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14.25" customHeight="1" x14ac:dyDescent="0.35">
      <c r="A1496" s="9">
        <f t="shared" si="71"/>
        <v>1488</v>
      </c>
      <c r="B1496" s="15"/>
      <c r="C1496" s="11">
        <f t="shared" si="70"/>
        <v>1</v>
      </c>
      <c r="D1496" s="11"/>
      <c r="E1496" s="11"/>
      <c r="F1496" s="11"/>
      <c r="G1496" s="89">
        <f>IFERROR(VLOOKUP(F1496,COA!$A$1:$K$26,2,FALSE),0)</f>
        <v>0</v>
      </c>
      <c r="H1496" s="11"/>
      <c r="I1496" s="11"/>
      <c r="J1496" s="78"/>
      <c r="K1496" s="78"/>
      <c r="L1496" s="146">
        <f t="shared" si="72"/>
        <v>504000</v>
      </c>
      <c r="M1496" s="73"/>
      <c r="N1496" s="73"/>
      <c r="O1496" s="73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14.25" customHeight="1" x14ac:dyDescent="0.35">
      <c r="A1497" s="9">
        <f t="shared" si="71"/>
        <v>1489</v>
      </c>
      <c r="B1497" s="15"/>
      <c r="C1497" s="11">
        <f t="shared" si="70"/>
        <v>1</v>
      </c>
      <c r="D1497" s="11"/>
      <c r="E1497" s="11"/>
      <c r="F1497" s="11"/>
      <c r="G1497" s="89">
        <f>IFERROR(VLOOKUP(F1497,COA!$A$1:$K$26,2,FALSE),0)</f>
        <v>0</v>
      </c>
      <c r="H1497" s="11"/>
      <c r="I1497" s="11"/>
      <c r="J1497" s="78"/>
      <c r="K1497" s="78"/>
      <c r="L1497" s="146">
        <f t="shared" si="72"/>
        <v>504000</v>
      </c>
      <c r="M1497" s="73"/>
      <c r="N1497" s="73"/>
      <c r="O1497" s="73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14.25" customHeight="1" x14ac:dyDescent="0.35">
      <c r="A1498" s="9">
        <f t="shared" si="71"/>
        <v>1490</v>
      </c>
      <c r="B1498" s="15"/>
      <c r="C1498" s="11">
        <f t="shared" si="70"/>
        <v>1</v>
      </c>
      <c r="D1498" s="11"/>
      <c r="E1498" s="11"/>
      <c r="F1498" s="11"/>
      <c r="G1498" s="89">
        <f>IFERROR(VLOOKUP(F1498,COA!$A$1:$K$26,2,FALSE),0)</f>
        <v>0</v>
      </c>
      <c r="H1498" s="11"/>
      <c r="I1498" s="11"/>
      <c r="J1498" s="78"/>
      <c r="K1498" s="78"/>
      <c r="L1498" s="146">
        <f t="shared" si="72"/>
        <v>504000</v>
      </c>
      <c r="M1498" s="73"/>
      <c r="N1498" s="73"/>
      <c r="O1498" s="73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14.25" customHeight="1" x14ac:dyDescent="0.35">
      <c r="A1499" s="9">
        <f t="shared" si="71"/>
        <v>1491</v>
      </c>
      <c r="B1499" s="15"/>
      <c r="C1499" s="11">
        <f t="shared" si="70"/>
        <v>1</v>
      </c>
      <c r="D1499" s="11"/>
      <c r="E1499" s="11"/>
      <c r="F1499" s="11"/>
      <c r="G1499" s="89">
        <f>IFERROR(VLOOKUP(F1499,COA!$A$1:$K$26,2,FALSE),0)</f>
        <v>0</v>
      </c>
      <c r="H1499" s="11"/>
      <c r="I1499" s="11"/>
      <c r="J1499" s="78"/>
      <c r="K1499" s="78"/>
      <c r="L1499" s="146">
        <f t="shared" si="72"/>
        <v>504000</v>
      </c>
      <c r="M1499" s="73"/>
      <c r="N1499" s="73"/>
      <c r="O1499" s="73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14.25" customHeight="1" x14ac:dyDescent="0.35">
      <c r="A1500" s="9">
        <f t="shared" si="71"/>
        <v>1492</v>
      </c>
      <c r="B1500" s="15"/>
      <c r="C1500" s="11">
        <f t="shared" si="70"/>
        <v>1</v>
      </c>
      <c r="D1500" s="11"/>
      <c r="E1500" s="11"/>
      <c r="F1500" s="11"/>
      <c r="G1500" s="89">
        <f>IFERROR(VLOOKUP(F1500,COA!$A$1:$K$26,2,FALSE),0)</f>
        <v>0</v>
      </c>
      <c r="H1500" s="11"/>
      <c r="I1500" s="11"/>
      <c r="J1500" s="78"/>
      <c r="K1500" s="78"/>
      <c r="L1500" s="146">
        <f t="shared" si="72"/>
        <v>504000</v>
      </c>
      <c r="M1500" s="73"/>
      <c r="N1500" s="73"/>
      <c r="O1500" s="73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14.25" customHeight="1" x14ac:dyDescent="0.35">
      <c r="A1501" s="9">
        <f t="shared" si="71"/>
        <v>1493</v>
      </c>
      <c r="B1501" s="15"/>
      <c r="C1501" s="11">
        <f t="shared" si="70"/>
        <v>1</v>
      </c>
      <c r="D1501" s="11"/>
      <c r="E1501" s="11"/>
      <c r="F1501" s="11"/>
      <c r="G1501" s="89">
        <f>IFERROR(VLOOKUP(F1501,COA!$A$1:$K$26,2,FALSE),0)</f>
        <v>0</v>
      </c>
      <c r="H1501" s="11"/>
      <c r="I1501" s="11"/>
      <c r="J1501" s="78"/>
      <c r="K1501" s="78"/>
      <c r="L1501" s="146">
        <f t="shared" si="72"/>
        <v>504000</v>
      </c>
      <c r="M1501" s="73"/>
      <c r="N1501" s="73"/>
      <c r="O1501" s="73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14.25" customHeight="1" x14ac:dyDescent="0.35">
      <c r="A1502" s="9">
        <f t="shared" si="71"/>
        <v>1494</v>
      </c>
      <c r="B1502" s="15"/>
      <c r="C1502" s="11">
        <f t="shared" si="70"/>
        <v>1</v>
      </c>
      <c r="D1502" s="11"/>
      <c r="E1502" s="11"/>
      <c r="F1502" s="11"/>
      <c r="G1502" s="89">
        <f>IFERROR(VLOOKUP(F1502,COA!$A$1:$K$26,2,FALSE),0)</f>
        <v>0</v>
      </c>
      <c r="H1502" s="11"/>
      <c r="I1502" s="11"/>
      <c r="J1502" s="78"/>
      <c r="K1502" s="78"/>
      <c r="L1502" s="146">
        <f t="shared" si="72"/>
        <v>504000</v>
      </c>
      <c r="M1502" s="73"/>
      <c r="N1502" s="73"/>
      <c r="O1502" s="73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14.25" customHeight="1" x14ac:dyDescent="0.35">
      <c r="A1503" s="9">
        <f t="shared" si="71"/>
        <v>1495</v>
      </c>
      <c r="B1503" s="15"/>
      <c r="C1503" s="11">
        <f t="shared" si="70"/>
        <v>1</v>
      </c>
      <c r="D1503" s="11"/>
      <c r="E1503" s="11"/>
      <c r="F1503" s="11"/>
      <c r="G1503" s="89">
        <f>IFERROR(VLOOKUP(F1503,COA!$A$1:$K$26,2,FALSE),0)</f>
        <v>0</v>
      </c>
      <c r="H1503" s="11"/>
      <c r="I1503" s="11"/>
      <c r="J1503" s="78"/>
      <c r="K1503" s="78"/>
      <c r="L1503" s="146">
        <f t="shared" si="72"/>
        <v>504000</v>
      </c>
      <c r="M1503" s="73"/>
      <c r="N1503" s="73"/>
      <c r="O1503" s="73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14.25" customHeight="1" x14ac:dyDescent="0.35">
      <c r="A1504" s="9">
        <f t="shared" si="71"/>
        <v>1496</v>
      </c>
      <c r="B1504" s="15"/>
      <c r="C1504" s="11">
        <f t="shared" si="70"/>
        <v>1</v>
      </c>
      <c r="D1504" s="11"/>
      <c r="E1504" s="11"/>
      <c r="F1504" s="11"/>
      <c r="G1504" s="89">
        <f>IFERROR(VLOOKUP(F1504,COA!$A$1:$K$26,2,FALSE),0)</f>
        <v>0</v>
      </c>
      <c r="H1504" s="11"/>
      <c r="I1504" s="11"/>
      <c r="J1504" s="78"/>
      <c r="K1504" s="78"/>
      <c r="L1504" s="146">
        <f t="shared" si="72"/>
        <v>504000</v>
      </c>
      <c r="M1504" s="73"/>
      <c r="N1504" s="73"/>
      <c r="O1504" s="73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14.25" customHeight="1" x14ac:dyDescent="0.35">
      <c r="A1505" s="9">
        <f t="shared" si="71"/>
        <v>1497</v>
      </c>
      <c r="B1505" s="15"/>
      <c r="C1505" s="11">
        <f t="shared" si="70"/>
        <v>1</v>
      </c>
      <c r="D1505" s="11"/>
      <c r="E1505" s="11"/>
      <c r="F1505" s="11"/>
      <c r="G1505" s="89">
        <f>IFERROR(VLOOKUP(F1505,COA!$A$1:$K$26,2,FALSE),0)</f>
        <v>0</v>
      </c>
      <c r="H1505" s="11"/>
      <c r="I1505" s="11"/>
      <c r="J1505" s="78"/>
      <c r="K1505" s="78"/>
      <c r="L1505" s="146">
        <f t="shared" si="72"/>
        <v>504000</v>
      </c>
      <c r="M1505" s="73"/>
      <c r="N1505" s="73"/>
      <c r="O1505" s="73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14.25" customHeight="1" x14ac:dyDescent="0.35">
      <c r="A1506" s="9">
        <f t="shared" si="71"/>
        <v>1498</v>
      </c>
      <c r="B1506" s="15"/>
      <c r="C1506" s="11">
        <f t="shared" si="70"/>
        <v>1</v>
      </c>
      <c r="D1506" s="11"/>
      <c r="E1506" s="11"/>
      <c r="F1506" s="11"/>
      <c r="G1506" s="89">
        <f>IFERROR(VLOOKUP(F1506,COA!$A$1:$K$26,2,FALSE),0)</f>
        <v>0</v>
      </c>
      <c r="H1506" s="11"/>
      <c r="I1506" s="11"/>
      <c r="J1506" s="78"/>
      <c r="K1506" s="78"/>
      <c r="L1506" s="146">
        <f t="shared" si="72"/>
        <v>504000</v>
      </c>
      <c r="M1506" s="73"/>
      <c r="N1506" s="73"/>
      <c r="O1506" s="73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14.25" customHeight="1" x14ac:dyDescent="0.35">
      <c r="A1507" s="9">
        <f t="shared" si="71"/>
        <v>1499</v>
      </c>
      <c r="B1507" s="15"/>
      <c r="C1507" s="11">
        <f t="shared" si="70"/>
        <v>1</v>
      </c>
      <c r="D1507" s="11"/>
      <c r="E1507" s="11"/>
      <c r="F1507" s="11"/>
      <c r="G1507" s="89">
        <f>IFERROR(VLOOKUP(F1507,COA!$A$1:$K$26,2,FALSE),0)</f>
        <v>0</v>
      </c>
      <c r="H1507" s="11"/>
      <c r="I1507" s="11"/>
      <c r="J1507" s="78"/>
      <c r="K1507" s="78"/>
      <c r="L1507" s="146">
        <f t="shared" si="72"/>
        <v>504000</v>
      </c>
      <c r="M1507" s="73"/>
      <c r="N1507" s="73"/>
      <c r="O1507" s="73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14.25" customHeight="1" x14ac:dyDescent="0.35">
      <c r="A1508" s="9">
        <f t="shared" si="71"/>
        <v>1500</v>
      </c>
      <c r="B1508" s="15"/>
      <c r="C1508" s="11">
        <f t="shared" si="70"/>
        <v>1</v>
      </c>
      <c r="D1508" s="11"/>
      <c r="E1508" s="11"/>
      <c r="F1508" s="11"/>
      <c r="G1508" s="89">
        <f>IFERROR(VLOOKUP(F1508,COA!$A$1:$K$26,2,FALSE),0)</f>
        <v>0</v>
      </c>
      <c r="H1508" s="11"/>
      <c r="I1508" s="11"/>
      <c r="J1508" s="78"/>
      <c r="K1508" s="78"/>
      <c r="L1508" s="146">
        <f t="shared" si="72"/>
        <v>504000</v>
      </c>
      <c r="M1508" s="73"/>
      <c r="N1508" s="73"/>
      <c r="O1508" s="73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14.25" customHeight="1" x14ac:dyDescent="0.35">
      <c r="A1509" s="9">
        <f t="shared" si="71"/>
        <v>1501</v>
      </c>
      <c r="B1509" s="15"/>
      <c r="C1509" s="11">
        <f t="shared" si="70"/>
        <v>1</v>
      </c>
      <c r="D1509" s="11"/>
      <c r="E1509" s="11"/>
      <c r="F1509" s="11"/>
      <c r="G1509" s="89">
        <f>IFERROR(VLOOKUP(F1509,COA!$A$1:$K$26,2,FALSE),0)</f>
        <v>0</v>
      </c>
      <c r="H1509" s="11"/>
      <c r="I1509" s="11"/>
      <c r="J1509" s="78"/>
      <c r="K1509" s="78"/>
      <c r="L1509" s="146">
        <f t="shared" si="72"/>
        <v>504000</v>
      </c>
      <c r="M1509" s="73"/>
      <c r="N1509" s="73"/>
      <c r="O1509" s="73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14.25" customHeight="1" x14ac:dyDescent="0.35">
      <c r="A1510" s="9">
        <f t="shared" si="71"/>
        <v>1502</v>
      </c>
      <c r="B1510" s="15"/>
      <c r="C1510" s="11">
        <f t="shared" si="70"/>
        <v>1</v>
      </c>
      <c r="D1510" s="11"/>
      <c r="E1510" s="11"/>
      <c r="F1510" s="11"/>
      <c r="G1510" s="89">
        <f>IFERROR(VLOOKUP(F1510,COA!$A$1:$K$26,2,FALSE),0)</f>
        <v>0</v>
      </c>
      <c r="H1510" s="11"/>
      <c r="I1510" s="11"/>
      <c r="J1510" s="78"/>
      <c r="K1510" s="78"/>
      <c r="L1510" s="146">
        <f t="shared" si="72"/>
        <v>504000</v>
      </c>
      <c r="M1510" s="73"/>
      <c r="N1510" s="73"/>
      <c r="O1510" s="73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14.25" customHeight="1" x14ac:dyDescent="0.35">
      <c r="A1511" s="9">
        <f t="shared" si="71"/>
        <v>1503</v>
      </c>
      <c r="B1511" s="15"/>
      <c r="C1511" s="11">
        <f t="shared" si="70"/>
        <v>1</v>
      </c>
      <c r="D1511" s="11"/>
      <c r="E1511" s="11"/>
      <c r="F1511" s="11"/>
      <c r="G1511" s="89">
        <f>IFERROR(VLOOKUP(F1511,COA!$A$1:$K$26,2,FALSE),0)</f>
        <v>0</v>
      </c>
      <c r="H1511" s="11"/>
      <c r="I1511" s="11"/>
      <c r="J1511" s="78"/>
      <c r="K1511" s="78"/>
      <c r="L1511" s="146">
        <f t="shared" si="72"/>
        <v>504000</v>
      </c>
      <c r="M1511" s="73"/>
      <c r="N1511" s="73"/>
      <c r="O1511" s="73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14.25" customHeight="1" x14ac:dyDescent="0.35">
      <c r="A1512" s="9">
        <f t="shared" si="71"/>
        <v>1504</v>
      </c>
      <c r="B1512" s="15"/>
      <c r="C1512" s="11">
        <f t="shared" si="70"/>
        <v>1</v>
      </c>
      <c r="D1512" s="11"/>
      <c r="E1512" s="11"/>
      <c r="F1512" s="11"/>
      <c r="G1512" s="89">
        <f>IFERROR(VLOOKUP(F1512,COA!$A$1:$K$26,2,FALSE),0)</f>
        <v>0</v>
      </c>
      <c r="H1512" s="11"/>
      <c r="I1512" s="11"/>
      <c r="J1512" s="78"/>
      <c r="K1512" s="78"/>
      <c r="L1512" s="146">
        <f t="shared" si="72"/>
        <v>504000</v>
      </c>
      <c r="M1512" s="73"/>
      <c r="N1512" s="73"/>
      <c r="O1512" s="73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14.25" customHeight="1" x14ac:dyDescent="0.35">
      <c r="A1513" s="9">
        <f t="shared" si="71"/>
        <v>1505</v>
      </c>
      <c r="B1513" s="15"/>
      <c r="C1513" s="11">
        <f t="shared" si="70"/>
        <v>1</v>
      </c>
      <c r="D1513" s="11"/>
      <c r="E1513" s="11"/>
      <c r="F1513" s="11"/>
      <c r="G1513" s="89">
        <f>IFERROR(VLOOKUP(F1513,COA!$A$1:$K$26,2,FALSE),0)</f>
        <v>0</v>
      </c>
      <c r="H1513" s="11"/>
      <c r="I1513" s="11"/>
      <c r="J1513" s="78"/>
      <c r="K1513" s="78"/>
      <c r="L1513" s="146">
        <f t="shared" si="72"/>
        <v>504000</v>
      </c>
      <c r="M1513" s="73"/>
      <c r="N1513" s="73"/>
      <c r="O1513" s="73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14.25" customHeight="1" x14ac:dyDescent="0.35">
      <c r="A1514" s="9">
        <f t="shared" si="71"/>
        <v>1506</v>
      </c>
      <c r="B1514" s="15"/>
      <c r="C1514" s="11">
        <f t="shared" si="70"/>
        <v>1</v>
      </c>
      <c r="D1514" s="11"/>
      <c r="E1514" s="11"/>
      <c r="F1514" s="11"/>
      <c r="G1514" s="89">
        <f>IFERROR(VLOOKUP(F1514,COA!$A$1:$K$26,2,FALSE),0)</f>
        <v>0</v>
      </c>
      <c r="H1514" s="11"/>
      <c r="I1514" s="11"/>
      <c r="J1514" s="78"/>
      <c r="K1514" s="78"/>
      <c r="L1514" s="146">
        <f t="shared" si="72"/>
        <v>504000</v>
      </c>
      <c r="M1514" s="73"/>
      <c r="N1514" s="73"/>
      <c r="O1514" s="73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14.25" customHeight="1" x14ac:dyDescent="0.35">
      <c r="A1515" s="9">
        <f t="shared" si="71"/>
        <v>1507</v>
      </c>
      <c r="B1515" s="15"/>
      <c r="C1515" s="11">
        <f t="shared" si="70"/>
        <v>1</v>
      </c>
      <c r="D1515" s="11"/>
      <c r="E1515" s="11"/>
      <c r="F1515" s="11"/>
      <c r="G1515" s="89">
        <f>IFERROR(VLOOKUP(F1515,COA!$A$1:$K$26,2,FALSE),0)</f>
        <v>0</v>
      </c>
      <c r="H1515" s="11"/>
      <c r="I1515" s="11"/>
      <c r="J1515" s="78"/>
      <c r="K1515" s="78"/>
      <c r="L1515" s="146">
        <f t="shared" si="72"/>
        <v>504000</v>
      </c>
      <c r="M1515" s="73"/>
      <c r="N1515" s="73"/>
      <c r="O1515" s="73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14.25" customHeight="1" x14ac:dyDescent="0.35">
      <c r="A1516" s="9">
        <f t="shared" si="71"/>
        <v>1508</v>
      </c>
      <c r="B1516" s="15"/>
      <c r="C1516" s="11">
        <f t="shared" si="70"/>
        <v>1</v>
      </c>
      <c r="D1516" s="11"/>
      <c r="E1516" s="11"/>
      <c r="F1516" s="11"/>
      <c r="G1516" s="89">
        <f>IFERROR(VLOOKUP(F1516,COA!$A$1:$K$26,2,FALSE),0)</f>
        <v>0</v>
      </c>
      <c r="H1516" s="11"/>
      <c r="I1516" s="11"/>
      <c r="J1516" s="78"/>
      <c r="K1516" s="78"/>
      <c r="L1516" s="146">
        <f t="shared" si="72"/>
        <v>504000</v>
      </c>
      <c r="M1516" s="73"/>
      <c r="N1516" s="73"/>
      <c r="O1516" s="73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14.25" customHeight="1" x14ac:dyDescent="0.35">
      <c r="A1517" s="9">
        <f t="shared" si="71"/>
        <v>1509</v>
      </c>
      <c r="B1517" s="15"/>
      <c r="C1517" s="11">
        <f t="shared" si="70"/>
        <v>1</v>
      </c>
      <c r="D1517" s="11"/>
      <c r="E1517" s="11"/>
      <c r="F1517" s="11"/>
      <c r="G1517" s="89">
        <f>IFERROR(VLOOKUP(F1517,COA!$A$1:$K$26,2,FALSE),0)</f>
        <v>0</v>
      </c>
      <c r="H1517" s="11"/>
      <c r="I1517" s="11"/>
      <c r="J1517" s="78"/>
      <c r="K1517" s="78"/>
      <c r="L1517" s="146">
        <f t="shared" si="72"/>
        <v>504000</v>
      </c>
      <c r="M1517" s="73"/>
      <c r="N1517" s="73"/>
      <c r="O1517" s="73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14.25" customHeight="1" x14ac:dyDescent="0.35">
      <c r="A1518" s="9">
        <f t="shared" si="71"/>
        <v>1510</v>
      </c>
      <c r="B1518" s="15"/>
      <c r="C1518" s="11">
        <f t="shared" si="70"/>
        <v>1</v>
      </c>
      <c r="D1518" s="11"/>
      <c r="E1518" s="11"/>
      <c r="F1518" s="11"/>
      <c r="G1518" s="89">
        <f>IFERROR(VLOOKUP(F1518,COA!$A$1:$K$26,2,FALSE),0)</f>
        <v>0</v>
      </c>
      <c r="H1518" s="11"/>
      <c r="I1518" s="11"/>
      <c r="J1518" s="78"/>
      <c r="K1518" s="78"/>
      <c r="L1518" s="146">
        <f t="shared" si="72"/>
        <v>504000</v>
      </c>
      <c r="M1518" s="73"/>
      <c r="N1518" s="73"/>
      <c r="O1518" s="73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14.25" customHeight="1" x14ac:dyDescent="0.35">
      <c r="A1519" s="9">
        <f t="shared" si="71"/>
        <v>1511</v>
      </c>
      <c r="B1519" s="15"/>
      <c r="C1519" s="11">
        <f t="shared" si="70"/>
        <v>1</v>
      </c>
      <c r="D1519" s="11"/>
      <c r="E1519" s="11"/>
      <c r="F1519" s="11"/>
      <c r="G1519" s="89">
        <f>IFERROR(VLOOKUP(F1519,COA!$A$1:$K$26,2,FALSE),0)</f>
        <v>0</v>
      </c>
      <c r="H1519" s="11"/>
      <c r="I1519" s="11"/>
      <c r="J1519" s="78"/>
      <c r="K1519" s="78"/>
      <c r="L1519" s="146">
        <f t="shared" si="72"/>
        <v>504000</v>
      </c>
      <c r="M1519" s="73"/>
      <c r="N1519" s="73"/>
      <c r="O1519" s="73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14.25" customHeight="1" x14ac:dyDescent="0.35">
      <c r="A1520" s="9">
        <f t="shared" si="71"/>
        <v>1512</v>
      </c>
      <c r="B1520" s="15"/>
      <c r="C1520" s="11">
        <f t="shared" si="70"/>
        <v>1</v>
      </c>
      <c r="D1520" s="11"/>
      <c r="E1520" s="11"/>
      <c r="F1520" s="11"/>
      <c r="G1520" s="89">
        <f>IFERROR(VLOOKUP(F1520,COA!$A$1:$K$26,2,FALSE),0)</f>
        <v>0</v>
      </c>
      <c r="H1520" s="11"/>
      <c r="I1520" s="11"/>
      <c r="J1520" s="78"/>
      <c r="K1520" s="78"/>
      <c r="L1520" s="146">
        <f t="shared" si="72"/>
        <v>504000</v>
      </c>
      <c r="M1520" s="73"/>
      <c r="N1520" s="73"/>
      <c r="O1520" s="73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14.25" customHeight="1" x14ac:dyDescent="0.35">
      <c r="A1521" s="9">
        <f t="shared" si="71"/>
        <v>1513</v>
      </c>
      <c r="B1521" s="15"/>
      <c r="C1521" s="11">
        <f t="shared" si="70"/>
        <v>1</v>
      </c>
      <c r="D1521" s="11"/>
      <c r="E1521" s="11"/>
      <c r="F1521" s="11"/>
      <c r="G1521" s="89">
        <f>IFERROR(VLOOKUP(F1521,COA!$A$1:$K$26,2,FALSE),0)</f>
        <v>0</v>
      </c>
      <c r="H1521" s="11"/>
      <c r="I1521" s="11"/>
      <c r="J1521" s="78"/>
      <c r="K1521" s="78"/>
      <c r="L1521" s="146">
        <f t="shared" si="72"/>
        <v>504000</v>
      </c>
      <c r="M1521" s="73"/>
      <c r="N1521" s="73"/>
      <c r="O1521" s="73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14.25" customHeight="1" x14ac:dyDescent="0.35">
      <c r="A1522" s="9">
        <f t="shared" si="71"/>
        <v>1514</v>
      </c>
      <c r="B1522" s="15"/>
      <c r="C1522" s="11">
        <f t="shared" si="70"/>
        <v>1</v>
      </c>
      <c r="D1522" s="11"/>
      <c r="E1522" s="11"/>
      <c r="F1522" s="11"/>
      <c r="G1522" s="89">
        <f>IFERROR(VLOOKUP(F1522,COA!$A$1:$K$26,2,FALSE),0)</f>
        <v>0</v>
      </c>
      <c r="H1522" s="11"/>
      <c r="I1522" s="11"/>
      <c r="J1522" s="78"/>
      <c r="K1522" s="78"/>
      <c r="L1522" s="146">
        <f t="shared" si="72"/>
        <v>504000</v>
      </c>
      <c r="M1522" s="73"/>
      <c r="N1522" s="73"/>
      <c r="O1522" s="73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14.25" customHeight="1" x14ac:dyDescent="0.35">
      <c r="A1523" s="9">
        <f t="shared" si="71"/>
        <v>1515</v>
      </c>
      <c r="B1523" s="15"/>
      <c r="C1523" s="11">
        <f t="shared" si="70"/>
        <v>1</v>
      </c>
      <c r="D1523" s="11"/>
      <c r="E1523" s="11"/>
      <c r="F1523" s="11"/>
      <c r="G1523" s="89">
        <f>IFERROR(VLOOKUP(F1523,COA!$A$1:$K$26,2,FALSE),0)</f>
        <v>0</v>
      </c>
      <c r="H1523" s="11"/>
      <c r="I1523" s="11"/>
      <c r="J1523" s="78"/>
      <c r="K1523" s="78"/>
      <c r="L1523" s="146">
        <f t="shared" si="72"/>
        <v>504000</v>
      </c>
      <c r="M1523" s="73"/>
      <c r="N1523" s="73"/>
      <c r="O1523" s="73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14.25" customHeight="1" x14ac:dyDescent="0.35">
      <c r="A1524" s="9">
        <f t="shared" si="71"/>
        <v>1516</v>
      </c>
      <c r="B1524" s="15"/>
      <c r="C1524" s="11">
        <f t="shared" si="70"/>
        <v>1</v>
      </c>
      <c r="D1524" s="11"/>
      <c r="E1524" s="11"/>
      <c r="F1524" s="11"/>
      <c r="G1524" s="89">
        <f>IFERROR(VLOOKUP(F1524,COA!$A$1:$K$26,2,FALSE),0)</f>
        <v>0</v>
      </c>
      <c r="H1524" s="11"/>
      <c r="I1524" s="11"/>
      <c r="J1524" s="78"/>
      <c r="K1524" s="78"/>
      <c r="L1524" s="146">
        <f t="shared" si="72"/>
        <v>504000</v>
      </c>
      <c r="M1524" s="73"/>
      <c r="N1524" s="73"/>
      <c r="O1524" s="73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14.25" customHeight="1" x14ac:dyDescent="0.35">
      <c r="A1525" s="9">
        <f t="shared" si="71"/>
        <v>1517</v>
      </c>
      <c r="B1525" s="15"/>
      <c r="C1525" s="11">
        <f t="shared" si="70"/>
        <v>1</v>
      </c>
      <c r="D1525" s="11"/>
      <c r="E1525" s="11"/>
      <c r="F1525" s="11"/>
      <c r="G1525" s="89">
        <f>IFERROR(VLOOKUP(F1525,COA!$A$1:$K$26,2,FALSE),0)</f>
        <v>0</v>
      </c>
      <c r="H1525" s="11"/>
      <c r="I1525" s="11"/>
      <c r="J1525" s="78"/>
      <c r="K1525" s="78"/>
      <c r="L1525" s="146">
        <f t="shared" si="72"/>
        <v>504000</v>
      </c>
      <c r="M1525" s="73"/>
      <c r="N1525" s="73"/>
      <c r="O1525" s="73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14.25" customHeight="1" x14ac:dyDescent="0.35">
      <c r="A1526" s="9">
        <f t="shared" si="71"/>
        <v>1518</v>
      </c>
      <c r="B1526" s="15"/>
      <c r="C1526" s="11">
        <f t="shared" si="70"/>
        <v>1</v>
      </c>
      <c r="D1526" s="11"/>
      <c r="E1526" s="11"/>
      <c r="F1526" s="11"/>
      <c r="G1526" s="89">
        <f>IFERROR(VLOOKUP(F1526,COA!$A$1:$K$26,2,FALSE),0)</f>
        <v>0</v>
      </c>
      <c r="H1526" s="11"/>
      <c r="I1526" s="11"/>
      <c r="J1526" s="78"/>
      <c r="K1526" s="78"/>
      <c r="L1526" s="146">
        <f t="shared" si="72"/>
        <v>504000</v>
      </c>
      <c r="M1526" s="73"/>
      <c r="N1526" s="73"/>
      <c r="O1526" s="73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14.25" customHeight="1" x14ac:dyDescent="0.35">
      <c r="A1527" s="9">
        <f t="shared" si="71"/>
        <v>1519</v>
      </c>
      <c r="B1527" s="15"/>
      <c r="C1527" s="11">
        <f t="shared" si="70"/>
        <v>1</v>
      </c>
      <c r="D1527" s="11"/>
      <c r="E1527" s="11"/>
      <c r="F1527" s="11"/>
      <c r="G1527" s="89">
        <f>IFERROR(VLOOKUP(F1527,COA!$A$1:$K$26,2,FALSE),0)</f>
        <v>0</v>
      </c>
      <c r="H1527" s="11"/>
      <c r="I1527" s="11"/>
      <c r="J1527" s="78"/>
      <c r="K1527" s="78"/>
      <c r="L1527" s="146">
        <f t="shared" si="72"/>
        <v>504000</v>
      </c>
      <c r="M1527" s="73"/>
      <c r="N1527" s="73"/>
      <c r="O1527" s="73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14.25" customHeight="1" x14ac:dyDescent="0.35">
      <c r="A1528" s="9">
        <f t="shared" si="71"/>
        <v>1520</v>
      </c>
      <c r="B1528" s="15"/>
      <c r="C1528" s="11">
        <f t="shared" si="70"/>
        <v>1</v>
      </c>
      <c r="D1528" s="11"/>
      <c r="E1528" s="11"/>
      <c r="F1528" s="11"/>
      <c r="G1528" s="89">
        <f>IFERROR(VLOOKUP(F1528,COA!$A$1:$K$26,2,FALSE),0)</f>
        <v>0</v>
      </c>
      <c r="H1528" s="11"/>
      <c r="I1528" s="11"/>
      <c r="J1528" s="78"/>
      <c r="K1528" s="78"/>
      <c r="L1528" s="146">
        <f t="shared" si="72"/>
        <v>504000</v>
      </c>
      <c r="M1528" s="73"/>
      <c r="N1528" s="73"/>
      <c r="O1528" s="73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14.25" customHeight="1" x14ac:dyDescent="0.35">
      <c r="A1529" s="9">
        <f t="shared" si="71"/>
        <v>1521</v>
      </c>
      <c r="B1529" s="15"/>
      <c r="C1529" s="11">
        <f t="shared" si="70"/>
        <v>1</v>
      </c>
      <c r="D1529" s="11"/>
      <c r="E1529" s="11"/>
      <c r="F1529" s="11"/>
      <c r="G1529" s="89">
        <f>IFERROR(VLOOKUP(F1529,COA!$A$1:$K$26,2,FALSE),0)</f>
        <v>0</v>
      </c>
      <c r="H1529" s="11"/>
      <c r="I1529" s="11"/>
      <c r="J1529" s="78"/>
      <c r="K1529" s="78"/>
      <c r="L1529" s="146">
        <f t="shared" si="72"/>
        <v>504000</v>
      </c>
      <c r="M1529" s="73"/>
      <c r="N1529" s="73"/>
      <c r="O1529" s="73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14.25" customHeight="1" x14ac:dyDescent="0.35">
      <c r="A1530" s="9">
        <f t="shared" si="71"/>
        <v>1522</v>
      </c>
      <c r="B1530" s="15"/>
      <c r="C1530" s="11">
        <f t="shared" si="70"/>
        <v>1</v>
      </c>
      <c r="D1530" s="11"/>
      <c r="E1530" s="11"/>
      <c r="F1530" s="11"/>
      <c r="G1530" s="89">
        <f>IFERROR(VLOOKUP(F1530,COA!$A$1:$K$26,2,FALSE),0)</f>
        <v>0</v>
      </c>
      <c r="H1530" s="11"/>
      <c r="I1530" s="11"/>
      <c r="J1530" s="78"/>
      <c r="K1530" s="78"/>
      <c r="L1530" s="146">
        <f t="shared" si="72"/>
        <v>504000</v>
      </c>
      <c r="M1530" s="73"/>
      <c r="N1530" s="73"/>
      <c r="O1530" s="73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14.25" customHeight="1" x14ac:dyDescent="0.35">
      <c r="A1531" s="9">
        <f t="shared" si="71"/>
        <v>1523</v>
      </c>
      <c r="B1531" s="15"/>
      <c r="C1531" s="11">
        <f t="shared" si="70"/>
        <v>1</v>
      </c>
      <c r="D1531" s="11"/>
      <c r="E1531" s="11"/>
      <c r="F1531" s="11"/>
      <c r="G1531" s="89">
        <f>IFERROR(VLOOKUP(F1531,COA!$A$1:$K$26,2,FALSE),0)</f>
        <v>0</v>
      </c>
      <c r="H1531" s="11"/>
      <c r="I1531" s="11"/>
      <c r="J1531" s="78"/>
      <c r="K1531" s="78"/>
      <c r="L1531" s="146">
        <f t="shared" si="72"/>
        <v>504000</v>
      </c>
      <c r="M1531" s="73"/>
      <c r="N1531" s="73"/>
      <c r="O1531" s="73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14.25" customHeight="1" x14ac:dyDescent="0.35">
      <c r="A1532" s="9">
        <f t="shared" si="71"/>
        <v>1524</v>
      </c>
      <c r="B1532" s="15"/>
      <c r="C1532" s="11">
        <f t="shared" si="70"/>
        <v>1</v>
      </c>
      <c r="D1532" s="11"/>
      <c r="E1532" s="11"/>
      <c r="F1532" s="11"/>
      <c r="G1532" s="89">
        <f>IFERROR(VLOOKUP(F1532,COA!$A$1:$K$26,2,FALSE),0)</f>
        <v>0</v>
      </c>
      <c r="H1532" s="11"/>
      <c r="I1532" s="11"/>
      <c r="J1532" s="78"/>
      <c r="K1532" s="78"/>
      <c r="L1532" s="146">
        <f t="shared" si="72"/>
        <v>504000</v>
      </c>
      <c r="M1532" s="73"/>
      <c r="N1532" s="73"/>
      <c r="O1532" s="73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14.25" customHeight="1" x14ac:dyDescent="0.35">
      <c r="A1533" s="9">
        <f t="shared" si="71"/>
        <v>1525</v>
      </c>
      <c r="B1533" s="15"/>
      <c r="C1533" s="11">
        <f t="shared" si="70"/>
        <v>1</v>
      </c>
      <c r="D1533" s="11"/>
      <c r="E1533" s="11"/>
      <c r="F1533" s="11"/>
      <c r="G1533" s="89">
        <f>IFERROR(VLOOKUP(F1533,COA!$A$1:$K$26,2,FALSE),0)</f>
        <v>0</v>
      </c>
      <c r="H1533" s="11"/>
      <c r="I1533" s="11"/>
      <c r="J1533" s="78"/>
      <c r="K1533" s="78"/>
      <c r="L1533" s="146">
        <f t="shared" si="72"/>
        <v>504000</v>
      </c>
      <c r="M1533" s="73"/>
      <c r="N1533" s="73"/>
      <c r="O1533" s="73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14.25" customHeight="1" x14ac:dyDescent="0.35">
      <c r="A1534" s="9">
        <f t="shared" si="71"/>
        <v>1526</v>
      </c>
      <c r="B1534" s="15"/>
      <c r="C1534" s="11">
        <f t="shared" si="70"/>
        <v>1</v>
      </c>
      <c r="D1534" s="11"/>
      <c r="E1534" s="11"/>
      <c r="F1534" s="11"/>
      <c r="G1534" s="89">
        <f>IFERROR(VLOOKUP(F1534,COA!$A$1:$K$26,2,FALSE),0)</f>
        <v>0</v>
      </c>
      <c r="H1534" s="11"/>
      <c r="I1534" s="11"/>
      <c r="J1534" s="78"/>
      <c r="K1534" s="78"/>
      <c r="L1534" s="146">
        <f t="shared" si="72"/>
        <v>504000</v>
      </c>
      <c r="M1534" s="73"/>
      <c r="N1534" s="73"/>
      <c r="O1534" s="73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14.25" customHeight="1" x14ac:dyDescent="0.35">
      <c r="A1535" s="9">
        <f t="shared" si="71"/>
        <v>1527</v>
      </c>
      <c r="B1535" s="15"/>
      <c r="C1535" s="11">
        <f t="shared" si="70"/>
        <v>1</v>
      </c>
      <c r="D1535" s="11"/>
      <c r="E1535" s="11"/>
      <c r="F1535" s="11"/>
      <c r="G1535" s="89">
        <f>IFERROR(VLOOKUP(F1535,COA!$A$1:$K$26,2,FALSE),0)</f>
        <v>0</v>
      </c>
      <c r="H1535" s="11"/>
      <c r="I1535" s="11"/>
      <c r="J1535" s="78"/>
      <c r="K1535" s="78"/>
      <c r="L1535" s="146">
        <f t="shared" si="72"/>
        <v>504000</v>
      </c>
      <c r="M1535" s="73"/>
      <c r="N1535" s="73"/>
      <c r="O1535" s="73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14.25" customHeight="1" x14ac:dyDescent="0.35">
      <c r="A1536" s="9">
        <f t="shared" si="71"/>
        <v>1528</v>
      </c>
      <c r="B1536" s="15"/>
      <c r="C1536" s="11">
        <f t="shared" si="70"/>
        <v>1</v>
      </c>
      <c r="D1536" s="11"/>
      <c r="E1536" s="11"/>
      <c r="F1536" s="11"/>
      <c r="G1536" s="89">
        <f>IFERROR(VLOOKUP(F1536,COA!$A$1:$K$26,2,FALSE),0)</f>
        <v>0</v>
      </c>
      <c r="H1536" s="11"/>
      <c r="I1536" s="11"/>
      <c r="J1536" s="78"/>
      <c r="K1536" s="78"/>
      <c r="L1536" s="146">
        <f t="shared" si="72"/>
        <v>504000</v>
      </c>
      <c r="M1536" s="73"/>
      <c r="N1536" s="73"/>
      <c r="O1536" s="73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14.25" customHeight="1" x14ac:dyDescent="0.35">
      <c r="A1537" s="9">
        <f t="shared" si="71"/>
        <v>1529</v>
      </c>
      <c r="B1537" s="15"/>
      <c r="C1537" s="11">
        <f t="shared" si="70"/>
        <v>1</v>
      </c>
      <c r="D1537" s="11"/>
      <c r="E1537" s="11"/>
      <c r="F1537" s="11"/>
      <c r="G1537" s="89">
        <f>IFERROR(VLOOKUP(F1537,COA!$A$1:$K$26,2,FALSE),0)</f>
        <v>0</v>
      </c>
      <c r="H1537" s="11"/>
      <c r="I1537" s="11"/>
      <c r="J1537" s="78"/>
      <c r="K1537" s="78"/>
      <c r="L1537" s="146">
        <f t="shared" si="72"/>
        <v>504000</v>
      </c>
      <c r="M1537" s="73"/>
      <c r="N1537" s="73"/>
      <c r="O1537" s="73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14.25" customHeight="1" x14ac:dyDescent="0.35">
      <c r="A1538" s="9">
        <f t="shared" si="71"/>
        <v>1530</v>
      </c>
      <c r="B1538" s="15"/>
      <c r="C1538" s="11">
        <f t="shared" si="70"/>
        <v>1</v>
      </c>
      <c r="D1538" s="11"/>
      <c r="E1538" s="11"/>
      <c r="F1538" s="11"/>
      <c r="G1538" s="89">
        <f>IFERROR(VLOOKUP(F1538,COA!$A$1:$K$26,2,FALSE),0)</f>
        <v>0</v>
      </c>
      <c r="H1538" s="11"/>
      <c r="I1538" s="11"/>
      <c r="J1538" s="78"/>
      <c r="K1538" s="78"/>
      <c r="L1538" s="146">
        <f t="shared" si="72"/>
        <v>504000</v>
      </c>
      <c r="M1538" s="73"/>
      <c r="N1538" s="73"/>
      <c r="O1538" s="73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14.25" customHeight="1" x14ac:dyDescent="0.35">
      <c r="A1539" s="9">
        <f t="shared" si="71"/>
        <v>1531</v>
      </c>
      <c r="B1539" s="15"/>
      <c r="C1539" s="11">
        <f t="shared" si="70"/>
        <v>1</v>
      </c>
      <c r="D1539" s="11"/>
      <c r="E1539" s="11"/>
      <c r="F1539" s="11"/>
      <c r="G1539" s="89">
        <f>IFERROR(VLOOKUP(F1539,COA!$A$1:$K$26,2,FALSE),0)</f>
        <v>0</v>
      </c>
      <c r="H1539" s="11"/>
      <c r="I1539" s="11"/>
      <c r="J1539" s="78"/>
      <c r="K1539" s="78"/>
      <c r="L1539" s="146">
        <f t="shared" si="72"/>
        <v>504000</v>
      </c>
      <c r="M1539" s="73"/>
      <c r="N1539" s="73"/>
      <c r="O1539" s="73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14.25" customHeight="1" x14ac:dyDescent="0.35">
      <c r="A1540" s="9">
        <f t="shared" si="71"/>
        <v>1532</v>
      </c>
      <c r="B1540" s="15"/>
      <c r="C1540" s="11">
        <f t="shared" si="70"/>
        <v>1</v>
      </c>
      <c r="D1540" s="11"/>
      <c r="E1540" s="11"/>
      <c r="F1540" s="11"/>
      <c r="G1540" s="89">
        <f>IFERROR(VLOOKUP(F1540,COA!$A$1:$K$26,2,FALSE),0)</f>
        <v>0</v>
      </c>
      <c r="H1540" s="11"/>
      <c r="I1540" s="11"/>
      <c r="J1540" s="78"/>
      <c r="K1540" s="78"/>
      <c r="L1540" s="146">
        <f t="shared" si="72"/>
        <v>504000</v>
      </c>
      <c r="M1540" s="73"/>
      <c r="N1540" s="73"/>
      <c r="O1540" s="73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14.25" customHeight="1" x14ac:dyDescent="0.35">
      <c r="A1541" s="9">
        <f t="shared" si="71"/>
        <v>1533</v>
      </c>
      <c r="B1541" s="15"/>
      <c r="C1541" s="11">
        <f t="shared" si="70"/>
        <v>1</v>
      </c>
      <c r="D1541" s="11"/>
      <c r="E1541" s="11"/>
      <c r="F1541" s="11"/>
      <c r="G1541" s="89">
        <f>IFERROR(VLOOKUP(F1541,COA!$A$1:$K$26,2,FALSE),0)</f>
        <v>0</v>
      </c>
      <c r="H1541" s="11"/>
      <c r="I1541" s="11"/>
      <c r="J1541" s="78"/>
      <c r="K1541" s="78"/>
      <c r="L1541" s="146">
        <f t="shared" si="72"/>
        <v>504000</v>
      </c>
      <c r="M1541" s="73"/>
      <c r="N1541" s="73"/>
      <c r="O1541" s="73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14.25" customHeight="1" x14ac:dyDescent="0.35">
      <c r="A1542" s="9">
        <f t="shared" si="71"/>
        <v>1534</v>
      </c>
      <c r="B1542" s="15"/>
      <c r="C1542" s="11">
        <f t="shared" si="70"/>
        <v>1</v>
      </c>
      <c r="D1542" s="11"/>
      <c r="E1542" s="11"/>
      <c r="F1542" s="11"/>
      <c r="G1542" s="89">
        <f>IFERROR(VLOOKUP(F1542,COA!$A$1:$K$26,2,FALSE),0)</f>
        <v>0</v>
      </c>
      <c r="H1542" s="11"/>
      <c r="I1542" s="11"/>
      <c r="J1542" s="78"/>
      <c r="K1542" s="78"/>
      <c r="L1542" s="146">
        <f t="shared" si="72"/>
        <v>504000</v>
      </c>
      <c r="M1542" s="73"/>
      <c r="N1542" s="73"/>
      <c r="O1542" s="73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14.25" customHeight="1" x14ac:dyDescent="0.35">
      <c r="A1543" s="9">
        <f t="shared" si="71"/>
        <v>1535</v>
      </c>
      <c r="B1543" s="15"/>
      <c r="C1543" s="11">
        <f t="shared" si="70"/>
        <v>1</v>
      </c>
      <c r="D1543" s="11"/>
      <c r="E1543" s="11"/>
      <c r="F1543" s="11"/>
      <c r="G1543" s="89">
        <f>IFERROR(VLOOKUP(F1543,COA!$A$1:$K$26,2,FALSE),0)</f>
        <v>0</v>
      </c>
      <c r="H1543" s="11"/>
      <c r="I1543" s="11"/>
      <c r="J1543" s="78"/>
      <c r="K1543" s="78"/>
      <c r="L1543" s="146">
        <f t="shared" si="72"/>
        <v>504000</v>
      </c>
      <c r="M1543" s="73"/>
      <c r="N1543" s="73"/>
      <c r="O1543" s="73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14.25" customHeight="1" x14ac:dyDescent="0.35">
      <c r="A1544" s="9">
        <f t="shared" si="71"/>
        <v>1536</v>
      </c>
      <c r="B1544" s="15"/>
      <c r="C1544" s="11">
        <f t="shared" ref="C1544:C1607" si="73">MONTH(B1544)</f>
        <v>1</v>
      </c>
      <c r="D1544" s="11"/>
      <c r="E1544" s="11"/>
      <c r="F1544" s="11"/>
      <c r="G1544" s="89">
        <f>IFERROR(VLOOKUP(F1544,COA!$A$1:$K$26,2,FALSE),0)</f>
        <v>0</v>
      </c>
      <c r="H1544" s="11"/>
      <c r="I1544" s="11"/>
      <c r="J1544" s="78"/>
      <c r="K1544" s="78"/>
      <c r="L1544" s="146">
        <f t="shared" si="72"/>
        <v>504000</v>
      </c>
      <c r="M1544" s="73"/>
      <c r="N1544" s="73"/>
      <c r="O1544" s="73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14.25" customHeight="1" x14ac:dyDescent="0.35">
      <c r="A1545" s="9">
        <f t="shared" si="71"/>
        <v>1537</v>
      </c>
      <c r="B1545" s="15"/>
      <c r="C1545" s="11">
        <f t="shared" si="73"/>
        <v>1</v>
      </c>
      <c r="D1545" s="11"/>
      <c r="E1545" s="11"/>
      <c r="F1545" s="11"/>
      <c r="G1545" s="89">
        <f>IFERROR(VLOOKUP(F1545,COA!$A$1:$K$26,2,FALSE),0)</f>
        <v>0</v>
      </c>
      <c r="H1545" s="11"/>
      <c r="I1545" s="11"/>
      <c r="J1545" s="78"/>
      <c r="K1545" s="78"/>
      <c r="L1545" s="146">
        <f t="shared" si="72"/>
        <v>504000</v>
      </c>
      <c r="M1545" s="73"/>
      <c r="N1545" s="73"/>
      <c r="O1545" s="73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14.25" customHeight="1" x14ac:dyDescent="0.35">
      <c r="A1546" s="9">
        <f t="shared" si="71"/>
        <v>1538</v>
      </c>
      <c r="B1546" s="15"/>
      <c r="C1546" s="11">
        <f t="shared" si="73"/>
        <v>1</v>
      </c>
      <c r="D1546" s="11"/>
      <c r="E1546" s="11"/>
      <c r="F1546" s="11"/>
      <c r="G1546" s="89">
        <f>IFERROR(VLOOKUP(F1546,COA!$A$1:$K$26,2,FALSE),0)</f>
        <v>0</v>
      </c>
      <c r="H1546" s="11"/>
      <c r="I1546" s="11"/>
      <c r="J1546" s="78"/>
      <c r="K1546" s="78"/>
      <c r="L1546" s="146">
        <f t="shared" si="72"/>
        <v>504000</v>
      </c>
      <c r="M1546" s="73"/>
      <c r="N1546" s="73"/>
      <c r="O1546" s="73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14.25" customHeight="1" x14ac:dyDescent="0.35">
      <c r="A1547" s="9">
        <f t="shared" ref="A1547:A1610" si="74">A1546+1</f>
        <v>1539</v>
      </c>
      <c r="B1547" s="15"/>
      <c r="C1547" s="11">
        <f t="shared" si="73"/>
        <v>1</v>
      </c>
      <c r="D1547" s="11"/>
      <c r="E1547" s="11"/>
      <c r="F1547" s="11"/>
      <c r="G1547" s="89">
        <f>IFERROR(VLOOKUP(F1547,COA!$A$1:$K$26,2,FALSE),0)</f>
        <v>0</v>
      </c>
      <c r="H1547" s="11"/>
      <c r="I1547" s="11"/>
      <c r="J1547" s="78"/>
      <c r="K1547" s="78"/>
      <c r="L1547" s="146">
        <f t="shared" ref="L1547:L1610" si="75">L1546+J1547-K1547</f>
        <v>504000</v>
      </c>
      <c r="M1547" s="73"/>
      <c r="N1547" s="73"/>
      <c r="O1547" s="73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14.25" customHeight="1" x14ac:dyDescent="0.35">
      <c r="A1548" s="9">
        <f t="shared" si="74"/>
        <v>1540</v>
      </c>
      <c r="B1548" s="15"/>
      <c r="C1548" s="11">
        <f t="shared" si="73"/>
        <v>1</v>
      </c>
      <c r="D1548" s="11"/>
      <c r="E1548" s="11"/>
      <c r="F1548" s="11"/>
      <c r="G1548" s="89">
        <f>IFERROR(VLOOKUP(F1548,COA!$A$1:$K$26,2,FALSE),0)</f>
        <v>0</v>
      </c>
      <c r="H1548" s="11"/>
      <c r="I1548" s="11"/>
      <c r="J1548" s="78"/>
      <c r="K1548" s="78"/>
      <c r="L1548" s="146">
        <f t="shared" si="75"/>
        <v>504000</v>
      </c>
      <c r="M1548" s="73"/>
      <c r="N1548" s="73"/>
      <c r="O1548" s="73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14.25" customHeight="1" x14ac:dyDescent="0.35">
      <c r="A1549" s="9">
        <f t="shared" si="74"/>
        <v>1541</v>
      </c>
      <c r="B1549" s="15"/>
      <c r="C1549" s="11">
        <f t="shared" si="73"/>
        <v>1</v>
      </c>
      <c r="D1549" s="11"/>
      <c r="E1549" s="11"/>
      <c r="F1549" s="11"/>
      <c r="G1549" s="89">
        <f>IFERROR(VLOOKUP(F1549,COA!$A$1:$K$26,2,FALSE),0)</f>
        <v>0</v>
      </c>
      <c r="H1549" s="11"/>
      <c r="I1549" s="11"/>
      <c r="J1549" s="78"/>
      <c r="K1549" s="78"/>
      <c r="L1549" s="146">
        <f t="shared" si="75"/>
        <v>504000</v>
      </c>
      <c r="M1549" s="73"/>
      <c r="N1549" s="73"/>
      <c r="O1549" s="73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14.25" customHeight="1" x14ac:dyDescent="0.35">
      <c r="A1550" s="9">
        <f t="shared" si="74"/>
        <v>1542</v>
      </c>
      <c r="B1550" s="15"/>
      <c r="C1550" s="11">
        <f t="shared" si="73"/>
        <v>1</v>
      </c>
      <c r="D1550" s="11"/>
      <c r="E1550" s="11"/>
      <c r="F1550" s="11"/>
      <c r="G1550" s="89">
        <f>IFERROR(VLOOKUP(F1550,COA!$A$1:$K$26,2,FALSE),0)</f>
        <v>0</v>
      </c>
      <c r="H1550" s="11"/>
      <c r="I1550" s="11"/>
      <c r="J1550" s="78"/>
      <c r="K1550" s="78"/>
      <c r="L1550" s="146">
        <f t="shared" si="75"/>
        <v>504000</v>
      </c>
      <c r="M1550" s="73"/>
      <c r="N1550" s="73"/>
      <c r="O1550" s="73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14.25" customHeight="1" x14ac:dyDescent="0.35">
      <c r="A1551" s="9">
        <f t="shared" si="74"/>
        <v>1543</v>
      </c>
      <c r="B1551" s="15"/>
      <c r="C1551" s="11">
        <f t="shared" si="73"/>
        <v>1</v>
      </c>
      <c r="D1551" s="11"/>
      <c r="E1551" s="11"/>
      <c r="F1551" s="11"/>
      <c r="G1551" s="89">
        <f>IFERROR(VLOOKUP(F1551,COA!$A$1:$K$26,2,FALSE),0)</f>
        <v>0</v>
      </c>
      <c r="H1551" s="11"/>
      <c r="I1551" s="11"/>
      <c r="J1551" s="78"/>
      <c r="K1551" s="78"/>
      <c r="L1551" s="146">
        <f t="shared" si="75"/>
        <v>504000</v>
      </c>
      <c r="M1551" s="73"/>
      <c r="N1551" s="73"/>
      <c r="O1551" s="73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14.25" customHeight="1" x14ac:dyDescent="0.35">
      <c r="A1552" s="9">
        <f t="shared" si="74"/>
        <v>1544</v>
      </c>
      <c r="B1552" s="15"/>
      <c r="C1552" s="11">
        <f t="shared" si="73"/>
        <v>1</v>
      </c>
      <c r="D1552" s="11"/>
      <c r="E1552" s="11"/>
      <c r="F1552" s="11"/>
      <c r="G1552" s="89">
        <f>IFERROR(VLOOKUP(F1552,COA!$A$1:$K$26,2,FALSE),0)</f>
        <v>0</v>
      </c>
      <c r="H1552" s="11"/>
      <c r="I1552" s="11"/>
      <c r="J1552" s="78"/>
      <c r="K1552" s="78"/>
      <c r="L1552" s="146">
        <f t="shared" si="75"/>
        <v>504000</v>
      </c>
      <c r="M1552" s="73"/>
      <c r="N1552" s="73"/>
      <c r="O1552" s="73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14.25" customHeight="1" x14ac:dyDescent="0.35">
      <c r="A1553" s="9">
        <f t="shared" si="74"/>
        <v>1545</v>
      </c>
      <c r="B1553" s="15"/>
      <c r="C1553" s="11">
        <f t="shared" si="73"/>
        <v>1</v>
      </c>
      <c r="D1553" s="11"/>
      <c r="E1553" s="11"/>
      <c r="F1553" s="11"/>
      <c r="G1553" s="89">
        <f>IFERROR(VLOOKUP(F1553,COA!$A$1:$K$26,2,FALSE),0)</f>
        <v>0</v>
      </c>
      <c r="H1553" s="11"/>
      <c r="I1553" s="11"/>
      <c r="J1553" s="78"/>
      <c r="K1553" s="78"/>
      <c r="L1553" s="146">
        <f t="shared" si="75"/>
        <v>504000</v>
      </c>
      <c r="M1553" s="73"/>
      <c r="N1553" s="73"/>
      <c r="O1553" s="73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14.25" customHeight="1" x14ac:dyDescent="0.35">
      <c r="A1554" s="9">
        <f t="shared" si="74"/>
        <v>1546</v>
      </c>
      <c r="B1554" s="15"/>
      <c r="C1554" s="11">
        <f t="shared" si="73"/>
        <v>1</v>
      </c>
      <c r="D1554" s="11"/>
      <c r="E1554" s="11"/>
      <c r="F1554" s="11"/>
      <c r="G1554" s="89">
        <f>IFERROR(VLOOKUP(F1554,COA!$A$1:$K$26,2,FALSE),0)</f>
        <v>0</v>
      </c>
      <c r="H1554" s="11"/>
      <c r="I1554" s="11"/>
      <c r="J1554" s="78"/>
      <c r="K1554" s="78"/>
      <c r="L1554" s="146">
        <f t="shared" si="75"/>
        <v>504000</v>
      </c>
      <c r="M1554" s="73"/>
      <c r="N1554" s="73"/>
      <c r="O1554" s="73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14.25" customHeight="1" x14ac:dyDescent="0.35">
      <c r="A1555" s="9">
        <f t="shared" si="74"/>
        <v>1547</v>
      </c>
      <c r="B1555" s="15"/>
      <c r="C1555" s="11">
        <f t="shared" si="73"/>
        <v>1</v>
      </c>
      <c r="D1555" s="11"/>
      <c r="E1555" s="11"/>
      <c r="F1555" s="11"/>
      <c r="G1555" s="89">
        <f>IFERROR(VLOOKUP(F1555,COA!$A$1:$K$26,2,FALSE),0)</f>
        <v>0</v>
      </c>
      <c r="H1555" s="11"/>
      <c r="I1555" s="11"/>
      <c r="J1555" s="78"/>
      <c r="K1555" s="78"/>
      <c r="L1555" s="146">
        <f t="shared" si="75"/>
        <v>504000</v>
      </c>
      <c r="M1555" s="73"/>
      <c r="N1555" s="73"/>
      <c r="O1555" s="73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14.25" customHeight="1" x14ac:dyDescent="0.35">
      <c r="A1556" s="9">
        <f t="shared" si="74"/>
        <v>1548</v>
      </c>
      <c r="B1556" s="15"/>
      <c r="C1556" s="11">
        <f t="shared" si="73"/>
        <v>1</v>
      </c>
      <c r="D1556" s="11"/>
      <c r="E1556" s="11"/>
      <c r="F1556" s="11"/>
      <c r="G1556" s="89">
        <f>IFERROR(VLOOKUP(F1556,COA!$A$1:$K$26,2,FALSE),0)</f>
        <v>0</v>
      </c>
      <c r="H1556" s="11"/>
      <c r="I1556" s="11"/>
      <c r="J1556" s="78"/>
      <c r="K1556" s="78"/>
      <c r="L1556" s="146">
        <f t="shared" si="75"/>
        <v>504000</v>
      </c>
      <c r="M1556" s="73"/>
      <c r="N1556" s="73"/>
      <c r="O1556" s="73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14.25" customHeight="1" x14ac:dyDescent="0.35">
      <c r="A1557" s="9">
        <f t="shared" si="74"/>
        <v>1549</v>
      </c>
      <c r="B1557" s="15"/>
      <c r="C1557" s="11">
        <f t="shared" si="73"/>
        <v>1</v>
      </c>
      <c r="D1557" s="11"/>
      <c r="E1557" s="11"/>
      <c r="F1557" s="11"/>
      <c r="G1557" s="89">
        <f>IFERROR(VLOOKUP(F1557,COA!$A$1:$K$26,2,FALSE),0)</f>
        <v>0</v>
      </c>
      <c r="H1557" s="11"/>
      <c r="I1557" s="11"/>
      <c r="J1557" s="78"/>
      <c r="K1557" s="78"/>
      <c r="L1557" s="146">
        <f t="shared" si="75"/>
        <v>504000</v>
      </c>
      <c r="M1557" s="73"/>
      <c r="N1557" s="73"/>
      <c r="O1557" s="73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14.25" customHeight="1" x14ac:dyDescent="0.35">
      <c r="A1558" s="9">
        <f t="shared" si="74"/>
        <v>1550</v>
      </c>
      <c r="B1558" s="15"/>
      <c r="C1558" s="11">
        <f t="shared" si="73"/>
        <v>1</v>
      </c>
      <c r="D1558" s="11"/>
      <c r="E1558" s="11"/>
      <c r="F1558" s="11"/>
      <c r="G1558" s="89">
        <f>IFERROR(VLOOKUP(F1558,COA!$A$1:$K$26,2,FALSE),0)</f>
        <v>0</v>
      </c>
      <c r="H1558" s="11"/>
      <c r="I1558" s="11"/>
      <c r="J1558" s="78"/>
      <c r="K1558" s="78"/>
      <c r="L1558" s="146">
        <f t="shared" si="75"/>
        <v>504000</v>
      </c>
      <c r="M1558" s="73"/>
      <c r="N1558" s="73"/>
      <c r="O1558" s="73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14.25" customHeight="1" x14ac:dyDescent="0.35">
      <c r="A1559" s="9">
        <f t="shared" si="74"/>
        <v>1551</v>
      </c>
      <c r="B1559" s="15"/>
      <c r="C1559" s="11">
        <f t="shared" si="73"/>
        <v>1</v>
      </c>
      <c r="D1559" s="11"/>
      <c r="E1559" s="11"/>
      <c r="F1559" s="11"/>
      <c r="G1559" s="89">
        <f>IFERROR(VLOOKUP(F1559,COA!$A$1:$K$26,2,FALSE),0)</f>
        <v>0</v>
      </c>
      <c r="H1559" s="11"/>
      <c r="I1559" s="11"/>
      <c r="J1559" s="78"/>
      <c r="K1559" s="78"/>
      <c r="L1559" s="146">
        <f t="shared" si="75"/>
        <v>504000</v>
      </c>
      <c r="M1559" s="73"/>
      <c r="N1559" s="73"/>
      <c r="O1559" s="73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14.25" customHeight="1" x14ac:dyDescent="0.35">
      <c r="A1560" s="9">
        <f t="shared" si="74"/>
        <v>1552</v>
      </c>
      <c r="B1560" s="15"/>
      <c r="C1560" s="11">
        <f t="shared" si="73"/>
        <v>1</v>
      </c>
      <c r="D1560" s="11"/>
      <c r="E1560" s="11"/>
      <c r="F1560" s="11"/>
      <c r="G1560" s="89">
        <f>IFERROR(VLOOKUP(F1560,COA!$A$1:$K$26,2,FALSE),0)</f>
        <v>0</v>
      </c>
      <c r="H1560" s="11"/>
      <c r="I1560" s="11"/>
      <c r="J1560" s="78"/>
      <c r="K1560" s="78"/>
      <c r="L1560" s="146">
        <f t="shared" si="75"/>
        <v>504000</v>
      </c>
      <c r="M1560" s="73"/>
      <c r="N1560" s="73"/>
      <c r="O1560" s="73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14.25" customHeight="1" x14ac:dyDescent="0.35">
      <c r="A1561" s="9">
        <f t="shared" si="74"/>
        <v>1553</v>
      </c>
      <c r="B1561" s="15"/>
      <c r="C1561" s="11">
        <f t="shared" si="73"/>
        <v>1</v>
      </c>
      <c r="D1561" s="11"/>
      <c r="E1561" s="11"/>
      <c r="F1561" s="11"/>
      <c r="G1561" s="89">
        <f>IFERROR(VLOOKUP(F1561,COA!$A$1:$K$26,2,FALSE),0)</f>
        <v>0</v>
      </c>
      <c r="H1561" s="11"/>
      <c r="I1561" s="11"/>
      <c r="J1561" s="78"/>
      <c r="K1561" s="78"/>
      <c r="L1561" s="146">
        <f t="shared" si="75"/>
        <v>504000</v>
      </c>
      <c r="M1561" s="73"/>
      <c r="N1561" s="73"/>
      <c r="O1561" s="73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14.25" customHeight="1" x14ac:dyDescent="0.35">
      <c r="A1562" s="9">
        <f t="shared" si="74"/>
        <v>1554</v>
      </c>
      <c r="B1562" s="15"/>
      <c r="C1562" s="11">
        <f t="shared" si="73"/>
        <v>1</v>
      </c>
      <c r="D1562" s="11"/>
      <c r="E1562" s="11"/>
      <c r="F1562" s="11"/>
      <c r="G1562" s="89">
        <f>IFERROR(VLOOKUP(F1562,COA!$A$1:$K$26,2,FALSE),0)</f>
        <v>0</v>
      </c>
      <c r="H1562" s="11"/>
      <c r="I1562" s="11"/>
      <c r="J1562" s="78"/>
      <c r="K1562" s="78"/>
      <c r="L1562" s="146">
        <f t="shared" si="75"/>
        <v>504000</v>
      </c>
      <c r="M1562" s="73"/>
      <c r="N1562" s="73"/>
      <c r="O1562" s="73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14.25" customHeight="1" x14ac:dyDescent="0.35">
      <c r="A1563" s="9">
        <f t="shared" si="74"/>
        <v>1555</v>
      </c>
      <c r="B1563" s="15"/>
      <c r="C1563" s="11">
        <f t="shared" si="73"/>
        <v>1</v>
      </c>
      <c r="D1563" s="11"/>
      <c r="E1563" s="11"/>
      <c r="F1563" s="11"/>
      <c r="G1563" s="89">
        <f>IFERROR(VLOOKUP(F1563,COA!$A$1:$K$26,2,FALSE),0)</f>
        <v>0</v>
      </c>
      <c r="H1563" s="11"/>
      <c r="I1563" s="11"/>
      <c r="J1563" s="78"/>
      <c r="K1563" s="78"/>
      <c r="L1563" s="146">
        <f t="shared" si="75"/>
        <v>504000</v>
      </c>
      <c r="M1563" s="73"/>
      <c r="N1563" s="73"/>
      <c r="O1563" s="73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14.25" customHeight="1" x14ac:dyDescent="0.35">
      <c r="A1564" s="9">
        <f t="shared" si="74"/>
        <v>1556</v>
      </c>
      <c r="B1564" s="15"/>
      <c r="C1564" s="11">
        <f t="shared" si="73"/>
        <v>1</v>
      </c>
      <c r="D1564" s="11"/>
      <c r="E1564" s="11"/>
      <c r="F1564" s="11"/>
      <c r="G1564" s="89">
        <f>IFERROR(VLOOKUP(F1564,COA!$A$1:$K$26,2,FALSE),0)</f>
        <v>0</v>
      </c>
      <c r="H1564" s="11"/>
      <c r="I1564" s="11"/>
      <c r="J1564" s="78"/>
      <c r="K1564" s="78"/>
      <c r="L1564" s="146">
        <f t="shared" si="75"/>
        <v>504000</v>
      </c>
      <c r="M1564" s="73"/>
      <c r="N1564" s="73"/>
      <c r="O1564" s="73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14.25" customHeight="1" x14ac:dyDescent="0.35">
      <c r="A1565" s="9">
        <f t="shared" si="74"/>
        <v>1557</v>
      </c>
      <c r="B1565" s="15"/>
      <c r="C1565" s="11">
        <f t="shared" si="73"/>
        <v>1</v>
      </c>
      <c r="D1565" s="11"/>
      <c r="E1565" s="11"/>
      <c r="F1565" s="11"/>
      <c r="G1565" s="89">
        <f>IFERROR(VLOOKUP(F1565,COA!$A$1:$K$26,2,FALSE),0)</f>
        <v>0</v>
      </c>
      <c r="H1565" s="11"/>
      <c r="I1565" s="11"/>
      <c r="J1565" s="78"/>
      <c r="K1565" s="78"/>
      <c r="L1565" s="146">
        <f t="shared" si="75"/>
        <v>504000</v>
      </c>
      <c r="M1565" s="73"/>
      <c r="N1565" s="73"/>
      <c r="O1565" s="73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14.25" customHeight="1" x14ac:dyDescent="0.35">
      <c r="A1566" s="9">
        <f t="shared" si="74"/>
        <v>1558</v>
      </c>
      <c r="B1566" s="15"/>
      <c r="C1566" s="11">
        <f t="shared" si="73"/>
        <v>1</v>
      </c>
      <c r="D1566" s="11"/>
      <c r="E1566" s="11"/>
      <c r="F1566" s="11"/>
      <c r="G1566" s="89">
        <f>IFERROR(VLOOKUP(F1566,COA!$A$1:$K$26,2,FALSE),0)</f>
        <v>0</v>
      </c>
      <c r="H1566" s="11"/>
      <c r="I1566" s="11"/>
      <c r="J1566" s="78"/>
      <c r="K1566" s="78"/>
      <c r="L1566" s="146">
        <f t="shared" si="75"/>
        <v>504000</v>
      </c>
      <c r="M1566" s="73"/>
      <c r="N1566" s="73"/>
      <c r="O1566" s="73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14.25" customHeight="1" x14ac:dyDescent="0.35">
      <c r="A1567" s="9">
        <f t="shared" si="74"/>
        <v>1559</v>
      </c>
      <c r="B1567" s="15"/>
      <c r="C1567" s="11">
        <f t="shared" si="73"/>
        <v>1</v>
      </c>
      <c r="D1567" s="11"/>
      <c r="E1567" s="11"/>
      <c r="F1567" s="11"/>
      <c r="G1567" s="89">
        <f>IFERROR(VLOOKUP(F1567,COA!$A$1:$K$26,2,FALSE),0)</f>
        <v>0</v>
      </c>
      <c r="H1567" s="11"/>
      <c r="I1567" s="11"/>
      <c r="J1567" s="78"/>
      <c r="K1567" s="78"/>
      <c r="L1567" s="146">
        <f t="shared" si="75"/>
        <v>504000</v>
      </c>
      <c r="M1567" s="73"/>
      <c r="N1567" s="73"/>
      <c r="O1567" s="73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14.25" customHeight="1" x14ac:dyDescent="0.35">
      <c r="A1568" s="9">
        <f t="shared" si="74"/>
        <v>1560</v>
      </c>
      <c r="B1568" s="15"/>
      <c r="C1568" s="11">
        <f t="shared" si="73"/>
        <v>1</v>
      </c>
      <c r="D1568" s="11"/>
      <c r="E1568" s="11"/>
      <c r="F1568" s="11"/>
      <c r="G1568" s="89">
        <f>IFERROR(VLOOKUP(F1568,COA!$A$1:$K$26,2,FALSE),0)</f>
        <v>0</v>
      </c>
      <c r="H1568" s="11"/>
      <c r="I1568" s="11"/>
      <c r="J1568" s="78"/>
      <c r="K1568" s="78"/>
      <c r="L1568" s="146">
        <f t="shared" si="75"/>
        <v>504000</v>
      </c>
      <c r="M1568" s="73"/>
      <c r="N1568" s="73"/>
      <c r="O1568" s="73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14.25" customHeight="1" x14ac:dyDescent="0.35">
      <c r="A1569" s="9">
        <f t="shared" si="74"/>
        <v>1561</v>
      </c>
      <c r="B1569" s="15"/>
      <c r="C1569" s="11">
        <f t="shared" si="73"/>
        <v>1</v>
      </c>
      <c r="D1569" s="11"/>
      <c r="E1569" s="11"/>
      <c r="F1569" s="11"/>
      <c r="G1569" s="89">
        <f>IFERROR(VLOOKUP(F1569,COA!$A$1:$K$26,2,FALSE),0)</f>
        <v>0</v>
      </c>
      <c r="H1569" s="11"/>
      <c r="I1569" s="11"/>
      <c r="J1569" s="78"/>
      <c r="K1569" s="78"/>
      <c r="L1569" s="146">
        <f t="shared" si="75"/>
        <v>504000</v>
      </c>
      <c r="M1569" s="73"/>
      <c r="N1569" s="73"/>
      <c r="O1569" s="73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14.25" customHeight="1" x14ac:dyDescent="0.35">
      <c r="A1570" s="9">
        <f t="shared" si="74"/>
        <v>1562</v>
      </c>
      <c r="B1570" s="15"/>
      <c r="C1570" s="11">
        <f t="shared" si="73"/>
        <v>1</v>
      </c>
      <c r="D1570" s="11"/>
      <c r="E1570" s="11"/>
      <c r="F1570" s="11"/>
      <c r="G1570" s="89">
        <f>IFERROR(VLOOKUP(F1570,COA!$A$1:$K$26,2,FALSE),0)</f>
        <v>0</v>
      </c>
      <c r="H1570" s="11"/>
      <c r="I1570" s="11"/>
      <c r="J1570" s="78"/>
      <c r="K1570" s="78"/>
      <c r="L1570" s="146">
        <f t="shared" si="75"/>
        <v>504000</v>
      </c>
      <c r="M1570" s="73"/>
      <c r="N1570" s="73"/>
      <c r="O1570" s="73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14.25" customHeight="1" x14ac:dyDescent="0.35">
      <c r="A1571" s="9">
        <f t="shared" si="74"/>
        <v>1563</v>
      </c>
      <c r="B1571" s="15"/>
      <c r="C1571" s="11">
        <f t="shared" si="73"/>
        <v>1</v>
      </c>
      <c r="D1571" s="11"/>
      <c r="E1571" s="11"/>
      <c r="F1571" s="11"/>
      <c r="G1571" s="89">
        <f>IFERROR(VLOOKUP(F1571,COA!$A$1:$K$26,2,FALSE),0)</f>
        <v>0</v>
      </c>
      <c r="H1571" s="11"/>
      <c r="I1571" s="11"/>
      <c r="J1571" s="78"/>
      <c r="K1571" s="78"/>
      <c r="L1571" s="146">
        <f t="shared" si="75"/>
        <v>504000</v>
      </c>
      <c r="M1571" s="73"/>
      <c r="N1571" s="73"/>
      <c r="O1571" s="73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14.25" customHeight="1" x14ac:dyDescent="0.35">
      <c r="A1572" s="9">
        <f t="shared" si="74"/>
        <v>1564</v>
      </c>
      <c r="B1572" s="15"/>
      <c r="C1572" s="11">
        <f t="shared" si="73"/>
        <v>1</v>
      </c>
      <c r="D1572" s="11"/>
      <c r="E1572" s="11"/>
      <c r="F1572" s="11"/>
      <c r="G1572" s="89">
        <f>IFERROR(VLOOKUP(F1572,COA!$A$1:$K$26,2,FALSE),0)</f>
        <v>0</v>
      </c>
      <c r="H1572" s="11"/>
      <c r="I1572" s="11"/>
      <c r="J1572" s="78"/>
      <c r="K1572" s="78"/>
      <c r="L1572" s="146">
        <f t="shared" si="75"/>
        <v>504000</v>
      </c>
      <c r="M1572" s="73"/>
      <c r="N1572" s="73"/>
      <c r="O1572" s="73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14.25" customHeight="1" x14ac:dyDescent="0.35">
      <c r="A1573" s="9">
        <f t="shared" si="74"/>
        <v>1565</v>
      </c>
      <c r="B1573" s="15"/>
      <c r="C1573" s="11">
        <f t="shared" si="73"/>
        <v>1</v>
      </c>
      <c r="D1573" s="11"/>
      <c r="E1573" s="11"/>
      <c r="F1573" s="11"/>
      <c r="G1573" s="89">
        <f>IFERROR(VLOOKUP(F1573,COA!$A$1:$K$26,2,FALSE),0)</f>
        <v>0</v>
      </c>
      <c r="H1573" s="11"/>
      <c r="I1573" s="11"/>
      <c r="J1573" s="78"/>
      <c r="K1573" s="78"/>
      <c r="L1573" s="146">
        <f t="shared" si="75"/>
        <v>504000</v>
      </c>
      <c r="M1573" s="73"/>
      <c r="N1573" s="73"/>
      <c r="O1573" s="73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14.25" customHeight="1" x14ac:dyDescent="0.35">
      <c r="A1574" s="9">
        <f t="shared" si="74"/>
        <v>1566</v>
      </c>
      <c r="B1574" s="15"/>
      <c r="C1574" s="11">
        <f t="shared" si="73"/>
        <v>1</v>
      </c>
      <c r="D1574" s="11"/>
      <c r="E1574" s="11"/>
      <c r="F1574" s="11"/>
      <c r="G1574" s="89">
        <f>IFERROR(VLOOKUP(F1574,COA!$A$1:$K$26,2,FALSE),0)</f>
        <v>0</v>
      </c>
      <c r="H1574" s="11"/>
      <c r="I1574" s="11"/>
      <c r="J1574" s="78"/>
      <c r="K1574" s="78"/>
      <c r="L1574" s="146">
        <f t="shared" si="75"/>
        <v>504000</v>
      </c>
      <c r="M1574" s="73"/>
      <c r="N1574" s="73"/>
      <c r="O1574" s="73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14.25" customHeight="1" x14ac:dyDescent="0.35">
      <c r="A1575" s="9">
        <f t="shared" si="74"/>
        <v>1567</v>
      </c>
      <c r="B1575" s="15"/>
      <c r="C1575" s="11">
        <f t="shared" si="73"/>
        <v>1</v>
      </c>
      <c r="D1575" s="11"/>
      <c r="E1575" s="11"/>
      <c r="F1575" s="11"/>
      <c r="G1575" s="89">
        <f>IFERROR(VLOOKUP(F1575,COA!$A$1:$K$26,2,FALSE),0)</f>
        <v>0</v>
      </c>
      <c r="H1575" s="11"/>
      <c r="I1575" s="11"/>
      <c r="J1575" s="78"/>
      <c r="K1575" s="78"/>
      <c r="L1575" s="146">
        <f t="shared" si="75"/>
        <v>504000</v>
      </c>
      <c r="M1575" s="73"/>
      <c r="N1575" s="73"/>
      <c r="O1575" s="73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14.25" customHeight="1" x14ac:dyDescent="0.35">
      <c r="A1576" s="9">
        <f t="shared" si="74"/>
        <v>1568</v>
      </c>
      <c r="B1576" s="15"/>
      <c r="C1576" s="11">
        <f t="shared" si="73"/>
        <v>1</v>
      </c>
      <c r="D1576" s="11"/>
      <c r="E1576" s="11"/>
      <c r="F1576" s="11"/>
      <c r="G1576" s="89">
        <f>IFERROR(VLOOKUP(F1576,COA!$A$1:$K$26,2,FALSE),0)</f>
        <v>0</v>
      </c>
      <c r="H1576" s="11"/>
      <c r="I1576" s="11"/>
      <c r="J1576" s="78"/>
      <c r="K1576" s="78"/>
      <c r="L1576" s="146">
        <f t="shared" si="75"/>
        <v>504000</v>
      </c>
      <c r="M1576" s="73"/>
      <c r="N1576" s="73"/>
      <c r="O1576" s="73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14.25" customHeight="1" x14ac:dyDescent="0.35">
      <c r="A1577" s="9">
        <f t="shared" si="74"/>
        <v>1569</v>
      </c>
      <c r="B1577" s="15"/>
      <c r="C1577" s="11">
        <f t="shared" si="73"/>
        <v>1</v>
      </c>
      <c r="D1577" s="11"/>
      <c r="E1577" s="11"/>
      <c r="F1577" s="11"/>
      <c r="G1577" s="89">
        <f>IFERROR(VLOOKUP(F1577,COA!$A$1:$K$26,2,FALSE),0)</f>
        <v>0</v>
      </c>
      <c r="H1577" s="11"/>
      <c r="I1577" s="11"/>
      <c r="J1577" s="78"/>
      <c r="K1577" s="78"/>
      <c r="L1577" s="146">
        <f t="shared" si="75"/>
        <v>504000</v>
      </c>
      <c r="M1577" s="73"/>
      <c r="N1577" s="73"/>
      <c r="O1577" s="73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14.25" customHeight="1" x14ac:dyDescent="0.35">
      <c r="A1578" s="9">
        <f t="shared" si="74"/>
        <v>1570</v>
      </c>
      <c r="B1578" s="15"/>
      <c r="C1578" s="11">
        <f t="shared" si="73"/>
        <v>1</v>
      </c>
      <c r="D1578" s="11"/>
      <c r="E1578" s="11"/>
      <c r="F1578" s="11"/>
      <c r="G1578" s="89">
        <f>IFERROR(VLOOKUP(F1578,COA!$A$1:$K$26,2,FALSE),0)</f>
        <v>0</v>
      </c>
      <c r="H1578" s="11"/>
      <c r="I1578" s="11"/>
      <c r="J1578" s="78"/>
      <c r="K1578" s="78"/>
      <c r="L1578" s="146">
        <f t="shared" si="75"/>
        <v>504000</v>
      </c>
      <c r="M1578" s="73"/>
      <c r="N1578" s="73"/>
      <c r="O1578" s="73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14.25" customHeight="1" x14ac:dyDescent="0.35">
      <c r="A1579" s="9">
        <f t="shared" si="74"/>
        <v>1571</v>
      </c>
      <c r="B1579" s="15"/>
      <c r="C1579" s="11">
        <f t="shared" si="73"/>
        <v>1</v>
      </c>
      <c r="D1579" s="11"/>
      <c r="E1579" s="11"/>
      <c r="F1579" s="11"/>
      <c r="G1579" s="89">
        <f>IFERROR(VLOOKUP(F1579,COA!$A$1:$K$26,2,FALSE),0)</f>
        <v>0</v>
      </c>
      <c r="H1579" s="11"/>
      <c r="I1579" s="11"/>
      <c r="J1579" s="78"/>
      <c r="K1579" s="78"/>
      <c r="L1579" s="146">
        <f t="shared" si="75"/>
        <v>504000</v>
      </c>
      <c r="M1579" s="73"/>
      <c r="N1579" s="73"/>
      <c r="O1579" s="73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14.25" customHeight="1" x14ac:dyDescent="0.35">
      <c r="A1580" s="9">
        <f t="shared" si="74"/>
        <v>1572</v>
      </c>
      <c r="B1580" s="15"/>
      <c r="C1580" s="11">
        <f t="shared" si="73"/>
        <v>1</v>
      </c>
      <c r="D1580" s="11"/>
      <c r="E1580" s="11"/>
      <c r="F1580" s="11"/>
      <c r="G1580" s="89">
        <f>IFERROR(VLOOKUP(F1580,COA!$A$1:$K$26,2,FALSE),0)</f>
        <v>0</v>
      </c>
      <c r="H1580" s="11"/>
      <c r="I1580" s="11"/>
      <c r="J1580" s="78"/>
      <c r="K1580" s="78"/>
      <c r="L1580" s="146">
        <f t="shared" si="75"/>
        <v>504000</v>
      </c>
      <c r="M1580" s="73"/>
      <c r="N1580" s="73"/>
      <c r="O1580" s="73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14.25" customHeight="1" x14ac:dyDescent="0.35">
      <c r="A1581" s="9">
        <f t="shared" si="74"/>
        <v>1573</v>
      </c>
      <c r="B1581" s="15"/>
      <c r="C1581" s="11">
        <f t="shared" si="73"/>
        <v>1</v>
      </c>
      <c r="D1581" s="11"/>
      <c r="E1581" s="11"/>
      <c r="F1581" s="11"/>
      <c r="G1581" s="89">
        <f>IFERROR(VLOOKUP(F1581,COA!$A$1:$K$26,2,FALSE),0)</f>
        <v>0</v>
      </c>
      <c r="H1581" s="11"/>
      <c r="I1581" s="11"/>
      <c r="J1581" s="78"/>
      <c r="K1581" s="78"/>
      <c r="L1581" s="146">
        <f t="shared" si="75"/>
        <v>504000</v>
      </c>
      <c r="M1581" s="73"/>
      <c r="N1581" s="73"/>
      <c r="O1581" s="73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14.25" customHeight="1" x14ac:dyDescent="0.35">
      <c r="A1582" s="9">
        <f t="shared" si="74"/>
        <v>1574</v>
      </c>
      <c r="B1582" s="15"/>
      <c r="C1582" s="11">
        <f t="shared" si="73"/>
        <v>1</v>
      </c>
      <c r="D1582" s="11"/>
      <c r="E1582" s="11"/>
      <c r="F1582" s="11"/>
      <c r="G1582" s="89">
        <f>IFERROR(VLOOKUP(F1582,COA!$A$1:$K$26,2,FALSE),0)</f>
        <v>0</v>
      </c>
      <c r="H1582" s="11"/>
      <c r="I1582" s="11"/>
      <c r="J1582" s="78"/>
      <c r="K1582" s="78"/>
      <c r="L1582" s="146">
        <f t="shared" si="75"/>
        <v>504000</v>
      </c>
      <c r="M1582" s="73"/>
      <c r="N1582" s="73"/>
      <c r="O1582" s="73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14.25" customHeight="1" x14ac:dyDescent="0.35">
      <c r="A1583" s="9">
        <f t="shared" si="74"/>
        <v>1575</v>
      </c>
      <c r="B1583" s="15"/>
      <c r="C1583" s="11">
        <f t="shared" si="73"/>
        <v>1</v>
      </c>
      <c r="D1583" s="11"/>
      <c r="E1583" s="11"/>
      <c r="F1583" s="11"/>
      <c r="G1583" s="89">
        <f>IFERROR(VLOOKUP(F1583,COA!$A$1:$K$26,2,FALSE),0)</f>
        <v>0</v>
      </c>
      <c r="H1583" s="11"/>
      <c r="I1583" s="11"/>
      <c r="J1583" s="78"/>
      <c r="K1583" s="78"/>
      <c r="L1583" s="146">
        <f t="shared" si="75"/>
        <v>504000</v>
      </c>
      <c r="M1583" s="73"/>
      <c r="N1583" s="73"/>
      <c r="O1583" s="73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14.25" customHeight="1" x14ac:dyDescent="0.35">
      <c r="A1584" s="9">
        <f t="shared" si="74"/>
        <v>1576</v>
      </c>
      <c r="B1584" s="15"/>
      <c r="C1584" s="11">
        <f t="shared" si="73"/>
        <v>1</v>
      </c>
      <c r="D1584" s="11"/>
      <c r="E1584" s="11"/>
      <c r="F1584" s="11"/>
      <c r="G1584" s="89">
        <f>IFERROR(VLOOKUP(F1584,COA!$A$1:$K$26,2,FALSE),0)</f>
        <v>0</v>
      </c>
      <c r="H1584" s="11"/>
      <c r="I1584" s="11"/>
      <c r="J1584" s="78"/>
      <c r="K1584" s="78"/>
      <c r="L1584" s="146">
        <f t="shared" si="75"/>
        <v>504000</v>
      </c>
      <c r="M1584" s="73"/>
      <c r="N1584" s="73"/>
      <c r="O1584" s="73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14.25" customHeight="1" x14ac:dyDescent="0.35">
      <c r="A1585" s="9">
        <f t="shared" si="74"/>
        <v>1577</v>
      </c>
      <c r="B1585" s="15"/>
      <c r="C1585" s="11">
        <f t="shared" si="73"/>
        <v>1</v>
      </c>
      <c r="D1585" s="11"/>
      <c r="E1585" s="11"/>
      <c r="F1585" s="11"/>
      <c r="G1585" s="89">
        <f>IFERROR(VLOOKUP(F1585,COA!$A$1:$K$26,2,FALSE),0)</f>
        <v>0</v>
      </c>
      <c r="H1585" s="11"/>
      <c r="I1585" s="11"/>
      <c r="J1585" s="78"/>
      <c r="K1585" s="78"/>
      <c r="L1585" s="146">
        <f t="shared" si="75"/>
        <v>504000</v>
      </c>
      <c r="M1585" s="73"/>
      <c r="N1585" s="73"/>
      <c r="O1585" s="73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14.25" customHeight="1" x14ac:dyDescent="0.35">
      <c r="A1586" s="9">
        <f t="shared" si="74"/>
        <v>1578</v>
      </c>
      <c r="B1586" s="15"/>
      <c r="C1586" s="11">
        <f t="shared" si="73"/>
        <v>1</v>
      </c>
      <c r="D1586" s="11"/>
      <c r="E1586" s="11"/>
      <c r="F1586" s="11"/>
      <c r="G1586" s="89">
        <f>IFERROR(VLOOKUP(F1586,COA!$A$1:$K$26,2,FALSE),0)</f>
        <v>0</v>
      </c>
      <c r="H1586" s="11"/>
      <c r="I1586" s="11"/>
      <c r="J1586" s="78"/>
      <c r="K1586" s="78"/>
      <c r="L1586" s="146">
        <f t="shared" si="75"/>
        <v>504000</v>
      </c>
      <c r="M1586" s="73"/>
      <c r="N1586" s="73"/>
      <c r="O1586" s="73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14.25" customHeight="1" x14ac:dyDescent="0.35">
      <c r="A1587" s="9">
        <f t="shared" si="74"/>
        <v>1579</v>
      </c>
      <c r="B1587" s="15"/>
      <c r="C1587" s="11">
        <f t="shared" si="73"/>
        <v>1</v>
      </c>
      <c r="D1587" s="11"/>
      <c r="E1587" s="11"/>
      <c r="F1587" s="11"/>
      <c r="G1587" s="89">
        <f>IFERROR(VLOOKUP(F1587,COA!$A$1:$K$26,2,FALSE),0)</f>
        <v>0</v>
      </c>
      <c r="H1587" s="11"/>
      <c r="I1587" s="11"/>
      <c r="J1587" s="78"/>
      <c r="K1587" s="78"/>
      <c r="L1587" s="146">
        <f t="shared" si="75"/>
        <v>504000</v>
      </c>
      <c r="M1587" s="73"/>
      <c r="N1587" s="73"/>
      <c r="O1587" s="73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14.25" customHeight="1" x14ac:dyDescent="0.35">
      <c r="A1588" s="9">
        <f t="shared" si="74"/>
        <v>1580</v>
      </c>
      <c r="B1588" s="15"/>
      <c r="C1588" s="11">
        <f t="shared" si="73"/>
        <v>1</v>
      </c>
      <c r="D1588" s="11"/>
      <c r="E1588" s="11"/>
      <c r="F1588" s="11"/>
      <c r="G1588" s="89">
        <f>IFERROR(VLOOKUP(F1588,COA!$A$1:$K$26,2,FALSE),0)</f>
        <v>0</v>
      </c>
      <c r="H1588" s="11"/>
      <c r="I1588" s="11"/>
      <c r="J1588" s="78"/>
      <c r="K1588" s="78"/>
      <c r="L1588" s="146">
        <f t="shared" si="75"/>
        <v>504000</v>
      </c>
      <c r="M1588" s="73"/>
      <c r="N1588" s="73"/>
      <c r="O1588" s="73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14.25" customHeight="1" x14ac:dyDescent="0.35">
      <c r="A1589" s="9">
        <f t="shared" si="74"/>
        <v>1581</v>
      </c>
      <c r="B1589" s="15"/>
      <c r="C1589" s="11">
        <f t="shared" si="73"/>
        <v>1</v>
      </c>
      <c r="D1589" s="11"/>
      <c r="E1589" s="11"/>
      <c r="F1589" s="11"/>
      <c r="G1589" s="89">
        <f>IFERROR(VLOOKUP(F1589,COA!$A$1:$K$26,2,FALSE),0)</f>
        <v>0</v>
      </c>
      <c r="H1589" s="11"/>
      <c r="I1589" s="11"/>
      <c r="J1589" s="78"/>
      <c r="K1589" s="78"/>
      <c r="L1589" s="146">
        <f t="shared" si="75"/>
        <v>504000</v>
      </c>
      <c r="M1589" s="73"/>
      <c r="N1589" s="73"/>
      <c r="O1589" s="73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14.25" customHeight="1" x14ac:dyDescent="0.35">
      <c r="A1590" s="9">
        <f t="shared" si="74"/>
        <v>1582</v>
      </c>
      <c r="B1590" s="15"/>
      <c r="C1590" s="11">
        <f t="shared" si="73"/>
        <v>1</v>
      </c>
      <c r="D1590" s="11"/>
      <c r="E1590" s="11"/>
      <c r="F1590" s="11"/>
      <c r="G1590" s="89">
        <f>IFERROR(VLOOKUP(F1590,COA!$A$1:$K$26,2,FALSE),0)</f>
        <v>0</v>
      </c>
      <c r="H1590" s="11"/>
      <c r="I1590" s="11"/>
      <c r="J1590" s="78"/>
      <c r="K1590" s="78"/>
      <c r="L1590" s="146">
        <f t="shared" si="75"/>
        <v>504000</v>
      </c>
      <c r="M1590" s="73"/>
      <c r="N1590" s="73"/>
      <c r="O1590" s="73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14.25" customHeight="1" x14ac:dyDescent="0.35">
      <c r="A1591" s="9">
        <f t="shared" si="74"/>
        <v>1583</v>
      </c>
      <c r="B1591" s="15"/>
      <c r="C1591" s="11">
        <f t="shared" si="73"/>
        <v>1</v>
      </c>
      <c r="D1591" s="11"/>
      <c r="E1591" s="11"/>
      <c r="F1591" s="11"/>
      <c r="G1591" s="89">
        <f>IFERROR(VLOOKUP(F1591,COA!$A$1:$K$26,2,FALSE),0)</f>
        <v>0</v>
      </c>
      <c r="H1591" s="11"/>
      <c r="I1591" s="11"/>
      <c r="J1591" s="78"/>
      <c r="K1591" s="78"/>
      <c r="L1591" s="146">
        <f t="shared" si="75"/>
        <v>504000</v>
      </c>
      <c r="M1591" s="73"/>
      <c r="N1591" s="73"/>
      <c r="O1591" s="73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14.25" customHeight="1" x14ac:dyDescent="0.35">
      <c r="A1592" s="9">
        <f t="shared" si="74"/>
        <v>1584</v>
      </c>
      <c r="B1592" s="15"/>
      <c r="C1592" s="11">
        <f t="shared" si="73"/>
        <v>1</v>
      </c>
      <c r="D1592" s="11"/>
      <c r="E1592" s="11"/>
      <c r="F1592" s="11"/>
      <c r="G1592" s="89">
        <f>IFERROR(VLOOKUP(F1592,COA!$A$1:$K$26,2,FALSE),0)</f>
        <v>0</v>
      </c>
      <c r="H1592" s="11"/>
      <c r="I1592" s="11"/>
      <c r="J1592" s="78"/>
      <c r="K1592" s="78"/>
      <c r="L1592" s="146">
        <f t="shared" si="75"/>
        <v>504000</v>
      </c>
      <c r="M1592" s="73"/>
      <c r="N1592" s="73"/>
      <c r="O1592" s="73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14.25" customHeight="1" x14ac:dyDescent="0.35">
      <c r="A1593" s="9">
        <f t="shared" si="74"/>
        <v>1585</v>
      </c>
      <c r="B1593" s="15"/>
      <c r="C1593" s="11">
        <f t="shared" si="73"/>
        <v>1</v>
      </c>
      <c r="D1593" s="11"/>
      <c r="E1593" s="11"/>
      <c r="F1593" s="11"/>
      <c r="G1593" s="89">
        <f>IFERROR(VLOOKUP(F1593,COA!$A$1:$K$26,2,FALSE),0)</f>
        <v>0</v>
      </c>
      <c r="H1593" s="11"/>
      <c r="I1593" s="11"/>
      <c r="J1593" s="78"/>
      <c r="K1593" s="78"/>
      <c r="L1593" s="146">
        <f t="shared" si="75"/>
        <v>504000</v>
      </c>
      <c r="M1593" s="73"/>
      <c r="N1593" s="73"/>
      <c r="O1593" s="73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14.25" customHeight="1" x14ac:dyDescent="0.35">
      <c r="A1594" s="9">
        <f t="shared" si="74"/>
        <v>1586</v>
      </c>
      <c r="B1594" s="15"/>
      <c r="C1594" s="11">
        <f t="shared" si="73"/>
        <v>1</v>
      </c>
      <c r="D1594" s="11"/>
      <c r="E1594" s="11"/>
      <c r="F1594" s="11"/>
      <c r="G1594" s="89">
        <f>IFERROR(VLOOKUP(F1594,COA!$A$1:$K$26,2,FALSE),0)</f>
        <v>0</v>
      </c>
      <c r="H1594" s="11"/>
      <c r="I1594" s="11"/>
      <c r="J1594" s="78"/>
      <c r="K1594" s="78"/>
      <c r="L1594" s="146">
        <f t="shared" si="75"/>
        <v>504000</v>
      </c>
      <c r="M1594" s="73"/>
      <c r="N1594" s="73"/>
      <c r="O1594" s="73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14.25" customHeight="1" x14ac:dyDescent="0.35">
      <c r="A1595" s="9">
        <f t="shared" si="74"/>
        <v>1587</v>
      </c>
      <c r="B1595" s="15"/>
      <c r="C1595" s="11">
        <f t="shared" si="73"/>
        <v>1</v>
      </c>
      <c r="D1595" s="11"/>
      <c r="E1595" s="11"/>
      <c r="F1595" s="11"/>
      <c r="G1595" s="89">
        <f>IFERROR(VLOOKUP(F1595,COA!$A$1:$K$26,2,FALSE),0)</f>
        <v>0</v>
      </c>
      <c r="H1595" s="11"/>
      <c r="I1595" s="11"/>
      <c r="J1595" s="78"/>
      <c r="K1595" s="78"/>
      <c r="L1595" s="146">
        <f t="shared" si="75"/>
        <v>504000</v>
      </c>
      <c r="M1595" s="73"/>
      <c r="N1595" s="73"/>
      <c r="O1595" s="73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14.25" customHeight="1" x14ac:dyDescent="0.35">
      <c r="A1596" s="9">
        <f t="shared" si="74"/>
        <v>1588</v>
      </c>
      <c r="B1596" s="15"/>
      <c r="C1596" s="11">
        <f t="shared" si="73"/>
        <v>1</v>
      </c>
      <c r="D1596" s="11"/>
      <c r="E1596" s="11"/>
      <c r="F1596" s="11"/>
      <c r="G1596" s="89">
        <f>IFERROR(VLOOKUP(F1596,COA!$A$1:$K$26,2,FALSE),0)</f>
        <v>0</v>
      </c>
      <c r="H1596" s="11"/>
      <c r="I1596" s="11"/>
      <c r="J1596" s="78"/>
      <c r="K1596" s="78"/>
      <c r="L1596" s="146">
        <f t="shared" si="75"/>
        <v>504000</v>
      </c>
      <c r="M1596" s="73"/>
      <c r="N1596" s="73"/>
      <c r="O1596" s="73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14.25" customHeight="1" x14ac:dyDescent="0.35">
      <c r="A1597" s="9">
        <f t="shared" si="74"/>
        <v>1589</v>
      </c>
      <c r="B1597" s="15"/>
      <c r="C1597" s="11">
        <f t="shared" si="73"/>
        <v>1</v>
      </c>
      <c r="D1597" s="11"/>
      <c r="E1597" s="11"/>
      <c r="F1597" s="11"/>
      <c r="G1597" s="89">
        <f>IFERROR(VLOOKUP(F1597,COA!$A$1:$K$26,2,FALSE),0)</f>
        <v>0</v>
      </c>
      <c r="H1597" s="11"/>
      <c r="I1597" s="11"/>
      <c r="J1597" s="78"/>
      <c r="K1597" s="78"/>
      <c r="L1597" s="146">
        <f t="shared" si="75"/>
        <v>504000</v>
      </c>
      <c r="M1597" s="73"/>
      <c r="N1597" s="73"/>
      <c r="O1597" s="73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14.25" customHeight="1" x14ac:dyDescent="0.35">
      <c r="A1598" s="9">
        <f t="shared" si="74"/>
        <v>1590</v>
      </c>
      <c r="B1598" s="15"/>
      <c r="C1598" s="11">
        <f t="shared" si="73"/>
        <v>1</v>
      </c>
      <c r="D1598" s="11"/>
      <c r="E1598" s="11"/>
      <c r="F1598" s="11"/>
      <c r="G1598" s="89">
        <f>IFERROR(VLOOKUP(F1598,COA!$A$1:$K$26,2,FALSE),0)</f>
        <v>0</v>
      </c>
      <c r="H1598" s="11"/>
      <c r="I1598" s="11"/>
      <c r="J1598" s="78"/>
      <c r="K1598" s="78"/>
      <c r="L1598" s="146">
        <f t="shared" si="75"/>
        <v>504000</v>
      </c>
      <c r="M1598" s="73"/>
      <c r="N1598" s="73"/>
      <c r="O1598" s="73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14.25" customHeight="1" x14ac:dyDescent="0.35">
      <c r="A1599" s="9">
        <f t="shared" si="74"/>
        <v>1591</v>
      </c>
      <c r="B1599" s="15"/>
      <c r="C1599" s="11">
        <f t="shared" si="73"/>
        <v>1</v>
      </c>
      <c r="D1599" s="11"/>
      <c r="E1599" s="11"/>
      <c r="F1599" s="11"/>
      <c r="G1599" s="89">
        <f>IFERROR(VLOOKUP(F1599,COA!$A$1:$K$26,2,FALSE),0)</f>
        <v>0</v>
      </c>
      <c r="H1599" s="11"/>
      <c r="I1599" s="11"/>
      <c r="J1599" s="78"/>
      <c r="K1599" s="78"/>
      <c r="L1599" s="146">
        <f t="shared" si="75"/>
        <v>504000</v>
      </c>
      <c r="M1599" s="73"/>
      <c r="N1599" s="73"/>
      <c r="O1599" s="73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14.25" customHeight="1" x14ac:dyDescent="0.35">
      <c r="A1600" s="9">
        <f t="shared" si="74"/>
        <v>1592</v>
      </c>
      <c r="B1600" s="15"/>
      <c r="C1600" s="11">
        <f t="shared" si="73"/>
        <v>1</v>
      </c>
      <c r="D1600" s="11"/>
      <c r="E1600" s="11"/>
      <c r="F1600" s="11"/>
      <c r="G1600" s="89">
        <f>IFERROR(VLOOKUP(F1600,COA!$A$1:$K$26,2,FALSE),0)</f>
        <v>0</v>
      </c>
      <c r="H1600" s="11"/>
      <c r="I1600" s="11"/>
      <c r="J1600" s="78"/>
      <c r="K1600" s="78"/>
      <c r="L1600" s="146">
        <f t="shared" si="75"/>
        <v>504000</v>
      </c>
      <c r="M1600" s="73"/>
      <c r="N1600" s="73"/>
      <c r="O1600" s="73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14.25" customHeight="1" x14ac:dyDescent="0.35">
      <c r="A1601" s="9">
        <f t="shared" si="74"/>
        <v>1593</v>
      </c>
      <c r="B1601" s="15"/>
      <c r="C1601" s="11">
        <f t="shared" si="73"/>
        <v>1</v>
      </c>
      <c r="D1601" s="11"/>
      <c r="E1601" s="11"/>
      <c r="F1601" s="11"/>
      <c r="G1601" s="89">
        <f>IFERROR(VLOOKUP(F1601,COA!$A$1:$K$26,2,FALSE),0)</f>
        <v>0</v>
      </c>
      <c r="H1601" s="11"/>
      <c r="I1601" s="11"/>
      <c r="J1601" s="78"/>
      <c r="K1601" s="78"/>
      <c r="L1601" s="146">
        <f t="shared" si="75"/>
        <v>504000</v>
      </c>
      <c r="M1601" s="73"/>
      <c r="N1601" s="73"/>
      <c r="O1601" s="73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14.25" customHeight="1" x14ac:dyDescent="0.35">
      <c r="A1602" s="9">
        <f t="shared" si="74"/>
        <v>1594</v>
      </c>
      <c r="B1602" s="15"/>
      <c r="C1602" s="11">
        <f t="shared" si="73"/>
        <v>1</v>
      </c>
      <c r="D1602" s="11"/>
      <c r="E1602" s="11"/>
      <c r="F1602" s="11"/>
      <c r="G1602" s="89">
        <f>IFERROR(VLOOKUP(F1602,COA!$A$1:$K$26,2,FALSE),0)</f>
        <v>0</v>
      </c>
      <c r="H1602" s="11"/>
      <c r="I1602" s="11"/>
      <c r="J1602" s="78"/>
      <c r="K1602" s="78"/>
      <c r="L1602" s="146">
        <f t="shared" si="75"/>
        <v>504000</v>
      </c>
      <c r="M1602" s="73"/>
      <c r="N1602" s="73"/>
      <c r="O1602" s="73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14.25" customHeight="1" x14ac:dyDescent="0.35">
      <c r="A1603" s="9">
        <f t="shared" si="74"/>
        <v>1595</v>
      </c>
      <c r="B1603" s="15"/>
      <c r="C1603" s="11">
        <f t="shared" si="73"/>
        <v>1</v>
      </c>
      <c r="D1603" s="11"/>
      <c r="E1603" s="11"/>
      <c r="F1603" s="11"/>
      <c r="G1603" s="89">
        <f>IFERROR(VLOOKUP(F1603,COA!$A$1:$K$26,2,FALSE),0)</f>
        <v>0</v>
      </c>
      <c r="H1603" s="11"/>
      <c r="I1603" s="11"/>
      <c r="J1603" s="78"/>
      <c r="K1603" s="78"/>
      <c r="L1603" s="146">
        <f t="shared" si="75"/>
        <v>504000</v>
      </c>
      <c r="M1603" s="73"/>
      <c r="N1603" s="73"/>
      <c r="O1603" s="73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14.25" customHeight="1" x14ac:dyDescent="0.35">
      <c r="A1604" s="9">
        <f t="shared" si="74"/>
        <v>1596</v>
      </c>
      <c r="B1604" s="15"/>
      <c r="C1604" s="11">
        <f t="shared" si="73"/>
        <v>1</v>
      </c>
      <c r="D1604" s="11"/>
      <c r="E1604" s="11"/>
      <c r="F1604" s="11"/>
      <c r="G1604" s="89">
        <f>IFERROR(VLOOKUP(F1604,COA!$A$1:$K$26,2,FALSE),0)</f>
        <v>0</v>
      </c>
      <c r="H1604" s="11"/>
      <c r="I1604" s="11"/>
      <c r="J1604" s="78"/>
      <c r="K1604" s="78"/>
      <c r="L1604" s="146">
        <f t="shared" si="75"/>
        <v>504000</v>
      </c>
      <c r="M1604" s="73"/>
      <c r="N1604" s="73"/>
      <c r="O1604" s="73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14.25" customHeight="1" x14ac:dyDescent="0.35">
      <c r="A1605" s="9">
        <f t="shared" si="74"/>
        <v>1597</v>
      </c>
      <c r="B1605" s="15"/>
      <c r="C1605" s="11">
        <f t="shared" si="73"/>
        <v>1</v>
      </c>
      <c r="D1605" s="11"/>
      <c r="E1605" s="11"/>
      <c r="F1605" s="11"/>
      <c r="G1605" s="89">
        <f>IFERROR(VLOOKUP(F1605,COA!$A$1:$K$26,2,FALSE),0)</f>
        <v>0</v>
      </c>
      <c r="H1605" s="11"/>
      <c r="I1605" s="11"/>
      <c r="J1605" s="78"/>
      <c r="K1605" s="78"/>
      <c r="L1605" s="146">
        <f t="shared" si="75"/>
        <v>504000</v>
      </c>
      <c r="M1605" s="73"/>
      <c r="N1605" s="73"/>
      <c r="O1605" s="73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14.25" customHeight="1" x14ac:dyDescent="0.35">
      <c r="A1606" s="9">
        <f t="shared" si="74"/>
        <v>1598</v>
      </c>
      <c r="B1606" s="15"/>
      <c r="C1606" s="11">
        <f t="shared" si="73"/>
        <v>1</v>
      </c>
      <c r="D1606" s="11"/>
      <c r="E1606" s="11"/>
      <c r="F1606" s="11"/>
      <c r="G1606" s="89">
        <f>IFERROR(VLOOKUP(F1606,COA!$A$1:$K$26,2,FALSE),0)</f>
        <v>0</v>
      </c>
      <c r="H1606" s="11"/>
      <c r="I1606" s="11"/>
      <c r="J1606" s="78"/>
      <c r="K1606" s="78"/>
      <c r="L1606" s="146">
        <f t="shared" si="75"/>
        <v>504000</v>
      </c>
      <c r="M1606" s="73"/>
      <c r="N1606" s="73"/>
      <c r="O1606" s="73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14.25" customHeight="1" x14ac:dyDescent="0.35">
      <c r="A1607" s="9">
        <f t="shared" si="74"/>
        <v>1599</v>
      </c>
      <c r="B1607" s="15"/>
      <c r="C1607" s="11">
        <f t="shared" si="73"/>
        <v>1</v>
      </c>
      <c r="D1607" s="11"/>
      <c r="E1607" s="11"/>
      <c r="F1607" s="11"/>
      <c r="G1607" s="89">
        <f>IFERROR(VLOOKUP(F1607,COA!$A$1:$K$26,2,FALSE),0)</f>
        <v>0</v>
      </c>
      <c r="H1607" s="11"/>
      <c r="I1607" s="11"/>
      <c r="J1607" s="78"/>
      <c r="K1607" s="78"/>
      <c r="L1607" s="146">
        <f t="shared" si="75"/>
        <v>504000</v>
      </c>
      <c r="M1607" s="73"/>
      <c r="N1607" s="73"/>
      <c r="O1607" s="73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14.25" customHeight="1" x14ac:dyDescent="0.35">
      <c r="A1608" s="9">
        <f t="shared" si="74"/>
        <v>1600</v>
      </c>
      <c r="B1608" s="15"/>
      <c r="C1608" s="11">
        <f t="shared" ref="C1608:C1671" si="76">MONTH(B1608)</f>
        <v>1</v>
      </c>
      <c r="D1608" s="11"/>
      <c r="E1608" s="11"/>
      <c r="F1608" s="11"/>
      <c r="G1608" s="89">
        <f>IFERROR(VLOOKUP(F1608,COA!$A$1:$K$26,2,FALSE),0)</f>
        <v>0</v>
      </c>
      <c r="H1608" s="11"/>
      <c r="I1608" s="11"/>
      <c r="J1608" s="78"/>
      <c r="K1608" s="78"/>
      <c r="L1608" s="146">
        <f t="shared" si="75"/>
        <v>504000</v>
      </c>
      <c r="M1608" s="73"/>
      <c r="N1608" s="73"/>
      <c r="O1608" s="73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14.25" customHeight="1" x14ac:dyDescent="0.35">
      <c r="A1609" s="9">
        <f t="shared" si="74"/>
        <v>1601</v>
      </c>
      <c r="B1609" s="15"/>
      <c r="C1609" s="11">
        <f t="shared" si="76"/>
        <v>1</v>
      </c>
      <c r="D1609" s="11"/>
      <c r="E1609" s="11"/>
      <c r="F1609" s="11"/>
      <c r="G1609" s="89">
        <f>IFERROR(VLOOKUP(F1609,COA!$A$1:$K$26,2,FALSE),0)</f>
        <v>0</v>
      </c>
      <c r="H1609" s="11"/>
      <c r="I1609" s="11"/>
      <c r="J1609" s="78"/>
      <c r="K1609" s="78"/>
      <c r="L1609" s="146">
        <f t="shared" si="75"/>
        <v>504000</v>
      </c>
      <c r="M1609" s="73"/>
      <c r="N1609" s="73"/>
      <c r="O1609" s="73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14.25" customHeight="1" x14ac:dyDescent="0.35">
      <c r="A1610" s="9">
        <f t="shared" si="74"/>
        <v>1602</v>
      </c>
      <c r="B1610" s="15"/>
      <c r="C1610" s="11">
        <f t="shared" si="76"/>
        <v>1</v>
      </c>
      <c r="D1610" s="11"/>
      <c r="E1610" s="11"/>
      <c r="F1610" s="11"/>
      <c r="G1610" s="89">
        <f>IFERROR(VLOOKUP(F1610,COA!$A$1:$K$26,2,FALSE),0)</f>
        <v>0</v>
      </c>
      <c r="H1610" s="11"/>
      <c r="I1610" s="11"/>
      <c r="J1610" s="78"/>
      <c r="K1610" s="78"/>
      <c r="L1610" s="146">
        <f t="shared" si="75"/>
        <v>504000</v>
      </c>
      <c r="M1610" s="73"/>
      <c r="N1610" s="73"/>
      <c r="O1610" s="73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14.25" customHeight="1" x14ac:dyDescent="0.35">
      <c r="A1611" s="9">
        <f t="shared" ref="A1611:A1674" si="77">A1610+1</f>
        <v>1603</v>
      </c>
      <c r="B1611" s="15"/>
      <c r="C1611" s="11">
        <f t="shared" si="76"/>
        <v>1</v>
      </c>
      <c r="D1611" s="11"/>
      <c r="E1611" s="11"/>
      <c r="F1611" s="11"/>
      <c r="G1611" s="89">
        <f>IFERROR(VLOOKUP(F1611,COA!$A$1:$K$26,2,FALSE),0)</f>
        <v>0</v>
      </c>
      <c r="H1611" s="11"/>
      <c r="I1611" s="11"/>
      <c r="J1611" s="78"/>
      <c r="K1611" s="78"/>
      <c r="L1611" s="146">
        <f t="shared" ref="L1611:L1674" si="78">L1610+J1611-K1611</f>
        <v>504000</v>
      </c>
      <c r="M1611" s="73"/>
      <c r="N1611" s="73"/>
      <c r="O1611" s="73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14.25" customHeight="1" x14ac:dyDescent="0.35">
      <c r="A1612" s="9">
        <f t="shared" si="77"/>
        <v>1604</v>
      </c>
      <c r="B1612" s="15"/>
      <c r="C1612" s="11">
        <f t="shared" si="76"/>
        <v>1</v>
      </c>
      <c r="D1612" s="11"/>
      <c r="E1612" s="11"/>
      <c r="F1612" s="11"/>
      <c r="G1612" s="89">
        <f>IFERROR(VLOOKUP(F1612,COA!$A$1:$K$26,2,FALSE),0)</f>
        <v>0</v>
      </c>
      <c r="H1612" s="11"/>
      <c r="I1612" s="11"/>
      <c r="J1612" s="78"/>
      <c r="K1612" s="78"/>
      <c r="L1612" s="146">
        <f t="shared" si="78"/>
        <v>504000</v>
      </c>
      <c r="M1612" s="73"/>
      <c r="N1612" s="73"/>
      <c r="O1612" s="73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14.25" customHeight="1" x14ac:dyDescent="0.35">
      <c r="A1613" s="9">
        <f t="shared" si="77"/>
        <v>1605</v>
      </c>
      <c r="B1613" s="15"/>
      <c r="C1613" s="11">
        <f t="shared" si="76"/>
        <v>1</v>
      </c>
      <c r="D1613" s="11"/>
      <c r="E1613" s="11"/>
      <c r="F1613" s="11"/>
      <c r="G1613" s="89">
        <f>IFERROR(VLOOKUP(F1613,COA!$A$1:$K$26,2,FALSE),0)</f>
        <v>0</v>
      </c>
      <c r="H1613" s="11"/>
      <c r="I1613" s="11"/>
      <c r="J1613" s="78"/>
      <c r="K1613" s="78"/>
      <c r="L1613" s="146">
        <f t="shared" si="78"/>
        <v>504000</v>
      </c>
      <c r="M1613" s="73"/>
      <c r="N1613" s="73"/>
      <c r="O1613" s="73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14.25" customHeight="1" x14ac:dyDescent="0.35">
      <c r="A1614" s="9">
        <f t="shared" si="77"/>
        <v>1606</v>
      </c>
      <c r="B1614" s="15"/>
      <c r="C1614" s="11">
        <f t="shared" si="76"/>
        <v>1</v>
      </c>
      <c r="D1614" s="11"/>
      <c r="E1614" s="11"/>
      <c r="F1614" s="11"/>
      <c r="G1614" s="89">
        <f>IFERROR(VLOOKUP(F1614,COA!$A$1:$K$26,2,FALSE),0)</f>
        <v>0</v>
      </c>
      <c r="H1614" s="11"/>
      <c r="I1614" s="11"/>
      <c r="J1614" s="78"/>
      <c r="K1614" s="78"/>
      <c r="L1614" s="146">
        <f t="shared" si="78"/>
        <v>504000</v>
      </c>
      <c r="M1614" s="73"/>
      <c r="N1614" s="73"/>
      <c r="O1614" s="73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14.25" customHeight="1" x14ac:dyDescent="0.35">
      <c r="A1615" s="9">
        <f t="shared" si="77"/>
        <v>1607</v>
      </c>
      <c r="B1615" s="15"/>
      <c r="C1615" s="11">
        <f t="shared" si="76"/>
        <v>1</v>
      </c>
      <c r="D1615" s="11"/>
      <c r="E1615" s="11"/>
      <c r="F1615" s="11"/>
      <c r="G1615" s="89">
        <f>IFERROR(VLOOKUP(F1615,COA!$A$1:$K$26,2,FALSE),0)</f>
        <v>0</v>
      </c>
      <c r="H1615" s="11"/>
      <c r="I1615" s="11"/>
      <c r="J1615" s="78"/>
      <c r="K1615" s="78"/>
      <c r="L1615" s="146">
        <f t="shared" si="78"/>
        <v>504000</v>
      </c>
      <c r="M1615" s="73"/>
      <c r="N1615" s="73"/>
      <c r="O1615" s="73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14.25" customHeight="1" x14ac:dyDescent="0.35">
      <c r="A1616" s="9">
        <f t="shared" si="77"/>
        <v>1608</v>
      </c>
      <c r="B1616" s="15"/>
      <c r="C1616" s="11">
        <f t="shared" si="76"/>
        <v>1</v>
      </c>
      <c r="D1616" s="11"/>
      <c r="E1616" s="11"/>
      <c r="F1616" s="11"/>
      <c r="G1616" s="89">
        <f>IFERROR(VLOOKUP(F1616,COA!$A$1:$K$26,2,FALSE),0)</f>
        <v>0</v>
      </c>
      <c r="H1616" s="11"/>
      <c r="I1616" s="11"/>
      <c r="J1616" s="78"/>
      <c r="K1616" s="78"/>
      <c r="L1616" s="146">
        <f t="shared" si="78"/>
        <v>504000</v>
      </c>
      <c r="M1616" s="73"/>
      <c r="N1616" s="73"/>
      <c r="O1616" s="73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14.25" customHeight="1" x14ac:dyDescent="0.35">
      <c r="A1617" s="9">
        <f t="shared" si="77"/>
        <v>1609</v>
      </c>
      <c r="B1617" s="15"/>
      <c r="C1617" s="11">
        <f t="shared" si="76"/>
        <v>1</v>
      </c>
      <c r="D1617" s="11"/>
      <c r="E1617" s="11"/>
      <c r="F1617" s="11"/>
      <c r="G1617" s="89">
        <f>IFERROR(VLOOKUP(F1617,COA!$A$1:$K$26,2,FALSE),0)</f>
        <v>0</v>
      </c>
      <c r="H1617" s="11"/>
      <c r="I1617" s="11"/>
      <c r="J1617" s="78"/>
      <c r="K1617" s="78"/>
      <c r="L1617" s="146">
        <f t="shared" si="78"/>
        <v>504000</v>
      </c>
      <c r="M1617" s="73"/>
      <c r="N1617" s="73"/>
      <c r="O1617" s="73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14.25" customHeight="1" x14ac:dyDescent="0.35">
      <c r="A1618" s="9">
        <f t="shared" si="77"/>
        <v>1610</v>
      </c>
      <c r="B1618" s="15"/>
      <c r="C1618" s="11">
        <f t="shared" si="76"/>
        <v>1</v>
      </c>
      <c r="D1618" s="11"/>
      <c r="E1618" s="11"/>
      <c r="F1618" s="11"/>
      <c r="G1618" s="89">
        <f>IFERROR(VLOOKUP(F1618,COA!$A$1:$K$26,2,FALSE),0)</f>
        <v>0</v>
      </c>
      <c r="H1618" s="11"/>
      <c r="I1618" s="11"/>
      <c r="J1618" s="78"/>
      <c r="K1618" s="78"/>
      <c r="L1618" s="146">
        <f t="shared" si="78"/>
        <v>504000</v>
      </c>
      <c r="M1618" s="73"/>
      <c r="N1618" s="73"/>
      <c r="O1618" s="73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14.25" customHeight="1" x14ac:dyDescent="0.35">
      <c r="A1619" s="9">
        <f t="shared" si="77"/>
        <v>1611</v>
      </c>
      <c r="B1619" s="15"/>
      <c r="C1619" s="11">
        <f t="shared" si="76"/>
        <v>1</v>
      </c>
      <c r="D1619" s="11"/>
      <c r="E1619" s="11"/>
      <c r="F1619" s="11"/>
      <c r="G1619" s="89">
        <f>IFERROR(VLOOKUP(F1619,COA!$A$1:$K$26,2,FALSE),0)</f>
        <v>0</v>
      </c>
      <c r="H1619" s="11"/>
      <c r="I1619" s="11"/>
      <c r="J1619" s="78"/>
      <c r="K1619" s="78"/>
      <c r="L1619" s="146">
        <f t="shared" si="78"/>
        <v>504000</v>
      </c>
      <c r="M1619" s="73"/>
      <c r="N1619" s="73"/>
      <c r="O1619" s="73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14.25" customHeight="1" x14ac:dyDescent="0.35">
      <c r="A1620" s="9">
        <f t="shared" si="77"/>
        <v>1612</v>
      </c>
      <c r="B1620" s="15"/>
      <c r="C1620" s="11">
        <f t="shared" si="76"/>
        <v>1</v>
      </c>
      <c r="D1620" s="11"/>
      <c r="E1620" s="11"/>
      <c r="F1620" s="11"/>
      <c r="G1620" s="89">
        <f>IFERROR(VLOOKUP(F1620,COA!$A$1:$K$26,2,FALSE),0)</f>
        <v>0</v>
      </c>
      <c r="H1620" s="11"/>
      <c r="I1620" s="11"/>
      <c r="J1620" s="78"/>
      <c r="K1620" s="78"/>
      <c r="L1620" s="146">
        <f t="shared" si="78"/>
        <v>504000</v>
      </c>
      <c r="M1620" s="73"/>
      <c r="N1620" s="73"/>
      <c r="O1620" s="73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14.25" customHeight="1" x14ac:dyDescent="0.35">
      <c r="A1621" s="9">
        <f t="shared" si="77"/>
        <v>1613</v>
      </c>
      <c r="B1621" s="15"/>
      <c r="C1621" s="11">
        <f t="shared" si="76"/>
        <v>1</v>
      </c>
      <c r="D1621" s="11"/>
      <c r="E1621" s="11"/>
      <c r="F1621" s="11"/>
      <c r="G1621" s="89">
        <f>IFERROR(VLOOKUP(F1621,COA!$A$1:$K$26,2,FALSE),0)</f>
        <v>0</v>
      </c>
      <c r="H1621" s="11"/>
      <c r="I1621" s="11"/>
      <c r="J1621" s="78"/>
      <c r="K1621" s="78"/>
      <c r="L1621" s="146">
        <f t="shared" si="78"/>
        <v>504000</v>
      </c>
      <c r="M1621" s="73"/>
      <c r="N1621" s="73"/>
      <c r="O1621" s="73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14.25" customHeight="1" x14ac:dyDescent="0.35">
      <c r="A1622" s="9">
        <f t="shared" si="77"/>
        <v>1614</v>
      </c>
      <c r="B1622" s="15"/>
      <c r="C1622" s="11">
        <f t="shared" si="76"/>
        <v>1</v>
      </c>
      <c r="D1622" s="11"/>
      <c r="E1622" s="11"/>
      <c r="F1622" s="11"/>
      <c r="G1622" s="89">
        <f>IFERROR(VLOOKUP(F1622,COA!$A$1:$K$26,2,FALSE),0)</f>
        <v>0</v>
      </c>
      <c r="H1622" s="11"/>
      <c r="I1622" s="11"/>
      <c r="J1622" s="78"/>
      <c r="K1622" s="78"/>
      <c r="L1622" s="146">
        <f t="shared" si="78"/>
        <v>504000</v>
      </c>
      <c r="M1622" s="73"/>
      <c r="N1622" s="73"/>
      <c r="O1622" s="73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14.25" customHeight="1" x14ac:dyDescent="0.35">
      <c r="A1623" s="9">
        <f t="shared" si="77"/>
        <v>1615</v>
      </c>
      <c r="B1623" s="15"/>
      <c r="C1623" s="11">
        <f t="shared" si="76"/>
        <v>1</v>
      </c>
      <c r="D1623" s="11"/>
      <c r="E1623" s="11"/>
      <c r="F1623" s="11"/>
      <c r="G1623" s="89">
        <f>IFERROR(VLOOKUP(F1623,COA!$A$1:$K$26,2,FALSE),0)</f>
        <v>0</v>
      </c>
      <c r="H1623" s="11"/>
      <c r="I1623" s="11"/>
      <c r="J1623" s="78"/>
      <c r="K1623" s="78"/>
      <c r="L1623" s="146">
        <f t="shared" si="78"/>
        <v>504000</v>
      </c>
      <c r="M1623" s="73"/>
      <c r="N1623" s="73"/>
      <c r="O1623" s="73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14.25" customHeight="1" x14ac:dyDescent="0.35">
      <c r="A1624" s="9">
        <f t="shared" si="77"/>
        <v>1616</v>
      </c>
      <c r="B1624" s="15"/>
      <c r="C1624" s="11">
        <f t="shared" si="76"/>
        <v>1</v>
      </c>
      <c r="D1624" s="11"/>
      <c r="E1624" s="11"/>
      <c r="F1624" s="11"/>
      <c r="G1624" s="89">
        <f>IFERROR(VLOOKUP(F1624,COA!$A$1:$K$26,2,FALSE),0)</f>
        <v>0</v>
      </c>
      <c r="H1624" s="11"/>
      <c r="I1624" s="11"/>
      <c r="J1624" s="78"/>
      <c r="K1624" s="78"/>
      <c r="L1624" s="146">
        <f t="shared" si="78"/>
        <v>504000</v>
      </c>
      <c r="M1624" s="73"/>
      <c r="N1624" s="73"/>
      <c r="O1624" s="73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14.25" customHeight="1" x14ac:dyDescent="0.35">
      <c r="A1625" s="9">
        <f t="shared" si="77"/>
        <v>1617</v>
      </c>
      <c r="B1625" s="15"/>
      <c r="C1625" s="11">
        <f t="shared" si="76"/>
        <v>1</v>
      </c>
      <c r="D1625" s="11"/>
      <c r="E1625" s="11"/>
      <c r="F1625" s="11"/>
      <c r="G1625" s="89">
        <f>IFERROR(VLOOKUP(F1625,COA!$A$1:$K$26,2,FALSE),0)</f>
        <v>0</v>
      </c>
      <c r="H1625" s="11"/>
      <c r="I1625" s="11"/>
      <c r="J1625" s="78"/>
      <c r="K1625" s="78"/>
      <c r="L1625" s="146">
        <f t="shared" si="78"/>
        <v>504000</v>
      </c>
      <c r="M1625" s="73"/>
      <c r="N1625" s="73"/>
      <c r="O1625" s="73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14.25" customHeight="1" x14ac:dyDescent="0.35">
      <c r="A1626" s="9">
        <f t="shared" si="77"/>
        <v>1618</v>
      </c>
      <c r="B1626" s="15"/>
      <c r="C1626" s="11">
        <f t="shared" si="76"/>
        <v>1</v>
      </c>
      <c r="D1626" s="11"/>
      <c r="E1626" s="11"/>
      <c r="F1626" s="11"/>
      <c r="G1626" s="89">
        <f>IFERROR(VLOOKUP(F1626,COA!$A$1:$K$26,2,FALSE),0)</f>
        <v>0</v>
      </c>
      <c r="H1626" s="11"/>
      <c r="I1626" s="11"/>
      <c r="J1626" s="78"/>
      <c r="K1626" s="78"/>
      <c r="L1626" s="146">
        <f t="shared" si="78"/>
        <v>504000</v>
      </c>
      <c r="M1626" s="73"/>
      <c r="N1626" s="73"/>
      <c r="O1626" s="73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14.25" customHeight="1" x14ac:dyDescent="0.35">
      <c r="A1627" s="9">
        <f t="shared" si="77"/>
        <v>1619</v>
      </c>
      <c r="B1627" s="15"/>
      <c r="C1627" s="11">
        <f t="shared" si="76"/>
        <v>1</v>
      </c>
      <c r="D1627" s="11"/>
      <c r="E1627" s="11"/>
      <c r="F1627" s="11"/>
      <c r="G1627" s="89">
        <f>IFERROR(VLOOKUP(F1627,COA!$A$1:$K$26,2,FALSE),0)</f>
        <v>0</v>
      </c>
      <c r="H1627" s="11"/>
      <c r="I1627" s="11"/>
      <c r="J1627" s="78"/>
      <c r="K1627" s="78"/>
      <c r="L1627" s="146">
        <f t="shared" si="78"/>
        <v>504000</v>
      </c>
      <c r="M1627" s="73"/>
      <c r="N1627" s="73"/>
      <c r="O1627" s="73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14.25" customHeight="1" x14ac:dyDescent="0.35">
      <c r="A1628" s="9">
        <f t="shared" si="77"/>
        <v>1620</v>
      </c>
      <c r="B1628" s="15"/>
      <c r="C1628" s="11">
        <f t="shared" si="76"/>
        <v>1</v>
      </c>
      <c r="D1628" s="11"/>
      <c r="E1628" s="11"/>
      <c r="F1628" s="11"/>
      <c r="G1628" s="89">
        <f>IFERROR(VLOOKUP(F1628,COA!$A$1:$K$26,2,FALSE),0)</f>
        <v>0</v>
      </c>
      <c r="H1628" s="11"/>
      <c r="I1628" s="11"/>
      <c r="J1628" s="78"/>
      <c r="K1628" s="78"/>
      <c r="L1628" s="146">
        <f t="shared" si="78"/>
        <v>504000</v>
      </c>
      <c r="M1628" s="73"/>
      <c r="N1628" s="73"/>
      <c r="O1628" s="73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14.25" customHeight="1" x14ac:dyDescent="0.35">
      <c r="A1629" s="9">
        <f t="shared" si="77"/>
        <v>1621</v>
      </c>
      <c r="B1629" s="15"/>
      <c r="C1629" s="11">
        <f t="shared" si="76"/>
        <v>1</v>
      </c>
      <c r="D1629" s="11"/>
      <c r="E1629" s="11"/>
      <c r="F1629" s="11"/>
      <c r="G1629" s="89">
        <f>IFERROR(VLOOKUP(F1629,COA!$A$1:$K$26,2,FALSE),0)</f>
        <v>0</v>
      </c>
      <c r="H1629" s="11"/>
      <c r="I1629" s="11"/>
      <c r="J1629" s="78"/>
      <c r="K1629" s="78"/>
      <c r="L1629" s="146">
        <f t="shared" si="78"/>
        <v>504000</v>
      </c>
      <c r="M1629" s="73"/>
      <c r="N1629" s="73"/>
      <c r="O1629" s="73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14.25" customHeight="1" x14ac:dyDescent="0.35">
      <c r="A1630" s="9">
        <f t="shared" si="77"/>
        <v>1622</v>
      </c>
      <c r="B1630" s="15"/>
      <c r="C1630" s="11">
        <f t="shared" si="76"/>
        <v>1</v>
      </c>
      <c r="D1630" s="11"/>
      <c r="E1630" s="11"/>
      <c r="F1630" s="11"/>
      <c r="G1630" s="89">
        <f>IFERROR(VLOOKUP(F1630,COA!$A$1:$K$26,2,FALSE),0)</f>
        <v>0</v>
      </c>
      <c r="H1630" s="11"/>
      <c r="I1630" s="11"/>
      <c r="J1630" s="78"/>
      <c r="K1630" s="78"/>
      <c r="L1630" s="146">
        <f t="shared" si="78"/>
        <v>504000</v>
      </c>
      <c r="M1630" s="73"/>
      <c r="N1630" s="73"/>
      <c r="O1630" s="73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14.25" customHeight="1" x14ac:dyDescent="0.35">
      <c r="A1631" s="9">
        <f t="shared" si="77"/>
        <v>1623</v>
      </c>
      <c r="B1631" s="15"/>
      <c r="C1631" s="11">
        <f t="shared" si="76"/>
        <v>1</v>
      </c>
      <c r="D1631" s="11"/>
      <c r="E1631" s="11"/>
      <c r="F1631" s="11"/>
      <c r="G1631" s="89">
        <f>IFERROR(VLOOKUP(F1631,COA!$A$1:$K$26,2,FALSE),0)</f>
        <v>0</v>
      </c>
      <c r="H1631" s="11"/>
      <c r="I1631" s="11"/>
      <c r="J1631" s="78"/>
      <c r="K1631" s="78"/>
      <c r="L1631" s="146">
        <f t="shared" si="78"/>
        <v>504000</v>
      </c>
      <c r="M1631" s="73"/>
      <c r="N1631" s="73"/>
      <c r="O1631" s="73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14.25" customHeight="1" x14ac:dyDescent="0.35">
      <c r="A1632" s="9">
        <f t="shared" si="77"/>
        <v>1624</v>
      </c>
      <c r="B1632" s="15"/>
      <c r="C1632" s="11">
        <f t="shared" si="76"/>
        <v>1</v>
      </c>
      <c r="D1632" s="11"/>
      <c r="E1632" s="11"/>
      <c r="F1632" s="11"/>
      <c r="G1632" s="89">
        <f>IFERROR(VLOOKUP(F1632,COA!$A$1:$K$26,2,FALSE),0)</f>
        <v>0</v>
      </c>
      <c r="H1632" s="11"/>
      <c r="I1632" s="11"/>
      <c r="J1632" s="78"/>
      <c r="K1632" s="78"/>
      <c r="L1632" s="146">
        <f t="shared" si="78"/>
        <v>504000</v>
      </c>
      <c r="M1632" s="73"/>
      <c r="N1632" s="73"/>
      <c r="O1632" s="73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14.25" customHeight="1" x14ac:dyDescent="0.35">
      <c r="A1633" s="9">
        <f t="shared" si="77"/>
        <v>1625</v>
      </c>
      <c r="B1633" s="15"/>
      <c r="C1633" s="11">
        <f t="shared" si="76"/>
        <v>1</v>
      </c>
      <c r="D1633" s="11"/>
      <c r="E1633" s="11"/>
      <c r="F1633" s="11"/>
      <c r="G1633" s="89">
        <f>IFERROR(VLOOKUP(F1633,COA!$A$1:$K$26,2,FALSE),0)</f>
        <v>0</v>
      </c>
      <c r="H1633" s="11"/>
      <c r="I1633" s="11"/>
      <c r="J1633" s="78"/>
      <c r="K1633" s="78"/>
      <c r="L1633" s="146">
        <f t="shared" si="78"/>
        <v>504000</v>
      </c>
      <c r="M1633" s="73"/>
      <c r="N1633" s="73"/>
      <c r="O1633" s="73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14.25" customHeight="1" x14ac:dyDescent="0.35">
      <c r="A1634" s="9">
        <f t="shared" si="77"/>
        <v>1626</v>
      </c>
      <c r="B1634" s="15"/>
      <c r="C1634" s="11">
        <f t="shared" si="76"/>
        <v>1</v>
      </c>
      <c r="D1634" s="11"/>
      <c r="E1634" s="11"/>
      <c r="F1634" s="11"/>
      <c r="G1634" s="89">
        <f>IFERROR(VLOOKUP(F1634,COA!$A$1:$K$26,2,FALSE),0)</f>
        <v>0</v>
      </c>
      <c r="H1634" s="11"/>
      <c r="I1634" s="11"/>
      <c r="J1634" s="78"/>
      <c r="K1634" s="78"/>
      <c r="L1634" s="146">
        <f t="shared" si="78"/>
        <v>504000</v>
      </c>
      <c r="M1634" s="73"/>
      <c r="N1634" s="73"/>
      <c r="O1634" s="73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14.25" customHeight="1" x14ac:dyDescent="0.35">
      <c r="A1635" s="9">
        <f t="shared" si="77"/>
        <v>1627</v>
      </c>
      <c r="B1635" s="15"/>
      <c r="C1635" s="11">
        <f t="shared" si="76"/>
        <v>1</v>
      </c>
      <c r="D1635" s="11"/>
      <c r="E1635" s="11"/>
      <c r="F1635" s="11"/>
      <c r="G1635" s="89">
        <f>IFERROR(VLOOKUP(F1635,COA!$A$1:$K$26,2,FALSE),0)</f>
        <v>0</v>
      </c>
      <c r="H1635" s="11"/>
      <c r="I1635" s="11"/>
      <c r="J1635" s="78"/>
      <c r="K1635" s="78"/>
      <c r="L1635" s="146">
        <f t="shared" si="78"/>
        <v>504000</v>
      </c>
      <c r="M1635" s="73"/>
      <c r="N1635" s="73"/>
      <c r="O1635" s="73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14.25" customHeight="1" x14ac:dyDescent="0.35">
      <c r="A1636" s="9">
        <f t="shared" si="77"/>
        <v>1628</v>
      </c>
      <c r="B1636" s="15"/>
      <c r="C1636" s="11">
        <f t="shared" si="76"/>
        <v>1</v>
      </c>
      <c r="D1636" s="11"/>
      <c r="E1636" s="11"/>
      <c r="F1636" s="11"/>
      <c r="G1636" s="89">
        <f>IFERROR(VLOOKUP(F1636,COA!$A$1:$K$26,2,FALSE),0)</f>
        <v>0</v>
      </c>
      <c r="H1636" s="11"/>
      <c r="I1636" s="11"/>
      <c r="J1636" s="78"/>
      <c r="K1636" s="78"/>
      <c r="L1636" s="146">
        <f t="shared" si="78"/>
        <v>504000</v>
      </c>
      <c r="M1636" s="73"/>
      <c r="N1636" s="73"/>
      <c r="O1636" s="73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14.25" customHeight="1" x14ac:dyDescent="0.35">
      <c r="A1637" s="9">
        <f t="shared" si="77"/>
        <v>1629</v>
      </c>
      <c r="B1637" s="15"/>
      <c r="C1637" s="11">
        <f t="shared" si="76"/>
        <v>1</v>
      </c>
      <c r="D1637" s="11"/>
      <c r="E1637" s="11"/>
      <c r="F1637" s="11"/>
      <c r="G1637" s="89">
        <f>IFERROR(VLOOKUP(F1637,COA!$A$1:$K$26,2,FALSE),0)</f>
        <v>0</v>
      </c>
      <c r="H1637" s="11"/>
      <c r="I1637" s="11"/>
      <c r="J1637" s="78"/>
      <c r="K1637" s="78"/>
      <c r="L1637" s="146">
        <f t="shared" si="78"/>
        <v>504000</v>
      </c>
      <c r="M1637" s="73"/>
      <c r="N1637" s="73"/>
      <c r="O1637" s="73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14.25" customHeight="1" x14ac:dyDescent="0.35">
      <c r="A1638" s="9">
        <f t="shared" si="77"/>
        <v>1630</v>
      </c>
      <c r="B1638" s="15"/>
      <c r="C1638" s="11">
        <f t="shared" si="76"/>
        <v>1</v>
      </c>
      <c r="D1638" s="11"/>
      <c r="E1638" s="11"/>
      <c r="F1638" s="11"/>
      <c r="G1638" s="89">
        <f>IFERROR(VLOOKUP(F1638,COA!$A$1:$K$26,2,FALSE),0)</f>
        <v>0</v>
      </c>
      <c r="H1638" s="11"/>
      <c r="I1638" s="11"/>
      <c r="J1638" s="78"/>
      <c r="K1638" s="78"/>
      <c r="L1638" s="146">
        <f t="shared" si="78"/>
        <v>504000</v>
      </c>
      <c r="M1638" s="73"/>
      <c r="N1638" s="73"/>
      <c r="O1638" s="73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14.25" customHeight="1" x14ac:dyDescent="0.35">
      <c r="A1639" s="9">
        <f t="shared" si="77"/>
        <v>1631</v>
      </c>
      <c r="B1639" s="15"/>
      <c r="C1639" s="11">
        <f t="shared" si="76"/>
        <v>1</v>
      </c>
      <c r="D1639" s="11"/>
      <c r="E1639" s="11"/>
      <c r="F1639" s="11"/>
      <c r="G1639" s="89">
        <f>IFERROR(VLOOKUP(F1639,COA!$A$1:$K$26,2,FALSE),0)</f>
        <v>0</v>
      </c>
      <c r="H1639" s="11"/>
      <c r="I1639" s="11"/>
      <c r="J1639" s="78"/>
      <c r="K1639" s="78"/>
      <c r="L1639" s="146">
        <f t="shared" si="78"/>
        <v>504000</v>
      </c>
      <c r="M1639" s="73"/>
      <c r="N1639" s="73"/>
      <c r="O1639" s="73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14.25" customHeight="1" x14ac:dyDescent="0.35">
      <c r="A1640" s="9">
        <f t="shared" si="77"/>
        <v>1632</v>
      </c>
      <c r="B1640" s="15"/>
      <c r="C1640" s="11">
        <f t="shared" si="76"/>
        <v>1</v>
      </c>
      <c r="D1640" s="11"/>
      <c r="E1640" s="11"/>
      <c r="F1640" s="11"/>
      <c r="G1640" s="89">
        <f>IFERROR(VLOOKUP(F1640,COA!$A$1:$K$26,2,FALSE),0)</f>
        <v>0</v>
      </c>
      <c r="H1640" s="11"/>
      <c r="I1640" s="11"/>
      <c r="J1640" s="78"/>
      <c r="K1640" s="78"/>
      <c r="L1640" s="146">
        <f t="shared" si="78"/>
        <v>504000</v>
      </c>
      <c r="M1640" s="73"/>
      <c r="N1640" s="73"/>
      <c r="O1640" s="73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14.25" customHeight="1" x14ac:dyDescent="0.35">
      <c r="A1641" s="9">
        <f t="shared" si="77"/>
        <v>1633</v>
      </c>
      <c r="B1641" s="15"/>
      <c r="C1641" s="11">
        <f t="shared" si="76"/>
        <v>1</v>
      </c>
      <c r="D1641" s="11"/>
      <c r="E1641" s="11"/>
      <c r="F1641" s="11"/>
      <c r="G1641" s="89">
        <f>IFERROR(VLOOKUP(F1641,COA!$A$1:$K$26,2,FALSE),0)</f>
        <v>0</v>
      </c>
      <c r="H1641" s="11"/>
      <c r="I1641" s="11"/>
      <c r="J1641" s="78"/>
      <c r="K1641" s="78"/>
      <c r="L1641" s="146">
        <f t="shared" si="78"/>
        <v>504000</v>
      </c>
      <c r="M1641" s="73"/>
      <c r="N1641" s="73"/>
      <c r="O1641" s="73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14.25" customHeight="1" x14ac:dyDescent="0.35">
      <c r="A1642" s="9">
        <f t="shared" si="77"/>
        <v>1634</v>
      </c>
      <c r="B1642" s="15"/>
      <c r="C1642" s="11">
        <f t="shared" si="76"/>
        <v>1</v>
      </c>
      <c r="D1642" s="11"/>
      <c r="E1642" s="11"/>
      <c r="F1642" s="11"/>
      <c r="G1642" s="89">
        <f>IFERROR(VLOOKUP(F1642,COA!$A$1:$K$26,2,FALSE),0)</f>
        <v>0</v>
      </c>
      <c r="H1642" s="11"/>
      <c r="I1642" s="11"/>
      <c r="J1642" s="78"/>
      <c r="K1642" s="78"/>
      <c r="L1642" s="146">
        <f t="shared" si="78"/>
        <v>504000</v>
      </c>
      <c r="M1642" s="73"/>
      <c r="N1642" s="73"/>
      <c r="O1642" s="73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14.25" customHeight="1" x14ac:dyDescent="0.35">
      <c r="A1643" s="9">
        <f t="shared" si="77"/>
        <v>1635</v>
      </c>
      <c r="B1643" s="15"/>
      <c r="C1643" s="11">
        <f t="shared" si="76"/>
        <v>1</v>
      </c>
      <c r="D1643" s="11"/>
      <c r="E1643" s="11"/>
      <c r="F1643" s="11"/>
      <c r="G1643" s="89">
        <f>IFERROR(VLOOKUP(F1643,COA!$A$1:$K$26,2,FALSE),0)</f>
        <v>0</v>
      </c>
      <c r="H1643" s="11"/>
      <c r="I1643" s="11"/>
      <c r="J1643" s="78"/>
      <c r="K1643" s="78"/>
      <c r="L1643" s="146">
        <f t="shared" si="78"/>
        <v>504000</v>
      </c>
      <c r="M1643" s="73"/>
      <c r="N1643" s="73"/>
      <c r="O1643" s="73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14.25" customHeight="1" x14ac:dyDescent="0.35">
      <c r="A1644" s="9">
        <f t="shared" si="77"/>
        <v>1636</v>
      </c>
      <c r="B1644" s="15"/>
      <c r="C1644" s="11">
        <f t="shared" si="76"/>
        <v>1</v>
      </c>
      <c r="D1644" s="11"/>
      <c r="E1644" s="11"/>
      <c r="F1644" s="11"/>
      <c r="G1644" s="89">
        <f>IFERROR(VLOOKUP(F1644,COA!$A$1:$K$26,2,FALSE),0)</f>
        <v>0</v>
      </c>
      <c r="H1644" s="11"/>
      <c r="I1644" s="11"/>
      <c r="J1644" s="78"/>
      <c r="K1644" s="78"/>
      <c r="L1644" s="146">
        <f t="shared" si="78"/>
        <v>504000</v>
      </c>
      <c r="M1644" s="73"/>
      <c r="N1644" s="73"/>
      <c r="O1644" s="73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14.25" customHeight="1" x14ac:dyDescent="0.35">
      <c r="A1645" s="9">
        <f t="shared" si="77"/>
        <v>1637</v>
      </c>
      <c r="B1645" s="15"/>
      <c r="C1645" s="11">
        <f t="shared" si="76"/>
        <v>1</v>
      </c>
      <c r="D1645" s="11"/>
      <c r="E1645" s="11"/>
      <c r="F1645" s="11"/>
      <c r="G1645" s="89">
        <f>IFERROR(VLOOKUP(F1645,COA!$A$1:$K$26,2,FALSE),0)</f>
        <v>0</v>
      </c>
      <c r="H1645" s="11"/>
      <c r="I1645" s="11"/>
      <c r="J1645" s="78"/>
      <c r="K1645" s="78"/>
      <c r="L1645" s="146">
        <f t="shared" si="78"/>
        <v>504000</v>
      </c>
      <c r="M1645" s="73"/>
      <c r="N1645" s="73"/>
      <c r="O1645" s="73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14.25" customHeight="1" x14ac:dyDescent="0.35">
      <c r="A1646" s="9">
        <f t="shared" si="77"/>
        <v>1638</v>
      </c>
      <c r="B1646" s="15"/>
      <c r="C1646" s="11">
        <f t="shared" si="76"/>
        <v>1</v>
      </c>
      <c r="D1646" s="11"/>
      <c r="E1646" s="11"/>
      <c r="F1646" s="11"/>
      <c r="G1646" s="89">
        <f>IFERROR(VLOOKUP(F1646,COA!$A$1:$K$26,2,FALSE),0)</f>
        <v>0</v>
      </c>
      <c r="H1646" s="11"/>
      <c r="I1646" s="11"/>
      <c r="J1646" s="78"/>
      <c r="K1646" s="78"/>
      <c r="L1646" s="146">
        <f t="shared" si="78"/>
        <v>504000</v>
      </c>
      <c r="M1646" s="73"/>
      <c r="N1646" s="73"/>
      <c r="O1646" s="73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14.25" customHeight="1" x14ac:dyDescent="0.35">
      <c r="A1647" s="9">
        <f t="shared" si="77"/>
        <v>1639</v>
      </c>
      <c r="B1647" s="15"/>
      <c r="C1647" s="11">
        <f t="shared" si="76"/>
        <v>1</v>
      </c>
      <c r="D1647" s="11"/>
      <c r="E1647" s="11"/>
      <c r="F1647" s="11"/>
      <c r="G1647" s="89">
        <f>IFERROR(VLOOKUP(F1647,COA!$A$1:$K$26,2,FALSE),0)</f>
        <v>0</v>
      </c>
      <c r="H1647" s="11"/>
      <c r="I1647" s="11"/>
      <c r="J1647" s="78"/>
      <c r="K1647" s="78"/>
      <c r="L1647" s="146">
        <f t="shared" si="78"/>
        <v>504000</v>
      </c>
      <c r="M1647" s="73"/>
      <c r="N1647" s="73"/>
      <c r="O1647" s="73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14.25" customHeight="1" x14ac:dyDescent="0.35">
      <c r="A1648" s="9">
        <f t="shared" si="77"/>
        <v>1640</v>
      </c>
      <c r="B1648" s="15"/>
      <c r="C1648" s="11">
        <f t="shared" si="76"/>
        <v>1</v>
      </c>
      <c r="D1648" s="11"/>
      <c r="E1648" s="11"/>
      <c r="F1648" s="11"/>
      <c r="G1648" s="89">
        <f>IFERROR(VLOOKUP(F1648,COA!$A$1:$K$26,2,FALSE),0)</f>
        <v>0</v>
      </c>
      <c r="H1648" s="11"/>
      <c r="I1648" s="11"/>
      <c r="J1648" s="78"/>
      <c r="K1648" s="78"/>
      <c r="L1648" s="146">
        <f t="shared" si="78"/>
        <v>504000</v>
      </c>
      <c r="M1648" s="73"/>
      <c r="N1648" s="73"/>
      <c r="O1648" s="73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14.25" customHeight="1" x14ac:dyDescent="0.35">
      <c r="A1649" s="9">
        <f t="shared" si="77"/>
        <v>1641</v>
      </c>
      <c r="B1649" s="15"/>
      <c r="C1649" s="11">
        <f t="shared" si="76"/>
        <v>1</v>
      </c>
      <c r="D1649" s="11"/>
      <c r="E1649" s="11"/>
      <c r="F1649" s="11"/>
      <c r="G1649" s="89">
        <f>IFERROR(VLOOKUP(F1649,COA!$A$1:$K$26,2,FALSE),0)</f>
        <v>0</v>
      </c>
      <c r="H1649" s="11"/>
      <c r="I1649" s="11"/>
      <c r="J1649" s="78"/>
      <c r="K1649" s="78"/>
      <c r="L1649" s="146">
        <f t="shared" si="78"/>
        <v>504000</v>
      </c>
      <c r="M1649" s="73"/>
      <c r="N1649" s="73"/>
      <c r="O1649" s="73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14.25" customHeight="1" x14ac:dyDescent="0.35">
      <c r="A1650" s="9">
        <f t="shared" si="77"/>
        <v>1642</v>
      </c>
      <c r="B1650" s="15"/>
      <c r="C1650" s="11">
        <f t="shared" si="76"/>
        <v>1</v>
      </c>
      <c r="D1650" s="11"/>
      <c r="E1650" s="11"/>
      <c r="F1650" s="11"/>
      <c r="G1650" s="89">
        <f>IFERROR(VLOOKUP(F1650,COA!$A$1:$K$26,2,FALSE),0)</f>
        <v>0</v>
      </c>
      <c r="H1650" s="11"/>
      <c r="I1650" s="11"/>
      <c r="J1650" s="78"/>
      <c r="K1650" s="78"/>
      <c r="L1650" s="146">
        <f t="shared" si="78"/>
        <v>504000</v>
      </c>
      <c r="M1650" s="73"/>
      <c r="N1650" s="73"/>
      <c r="O1650" s="73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14.25" customHeight="1" x14ac:dyDescent="0.35">
      <c r="A1651" s="9">
        <f t="shared" si="77"/>
        <v>1643</v>
      </c>
      <c r="B1651" s="15"/>
      <c r="C1651" s="11">
        <f t="shared" si="76"/>
        <v>1</v>
      </c>
      <c r="D1651" s="11"/>
      <c r="E1651" s="11"/>
      <c r="F1651" s="11"/>
      <c r="G1651" s="89">
        <f>IFERROR(VLOOKUP(F1651,COA!$A$1:$K$26,2,FALSE),0)</f>
        <v>0</v>
      </c>
      <c r="H1651" s="11"/>
      <c r="I1651" s="11"/>
      <c r="J1651" s="78"/>
      <c r="K1651" s="78"/>
      <c r="L1651" s="146">
        <f t="shared" si="78"/>
        <v>504000</v>
      </c>
      <c r="M1651" s="73"/>
      <c r="N1651" s="73"/>
      <c r="O1651" s="73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14.25" customHeight="1" x14ac:dyDescent="0.35">
      <c r="A1652" s="9">
        <f t="shared" si="77"/>
        <v>1644</v>
      </c>
      <c r="B1652" s="15"/>
      <c r="C1652" s="11">
        <f t="shared" si="76"/>
        <v>1</v>
      </c>
      <c r="D1652" s="11"/>
      <c r="E1652" s="11"/>
      <c r="F1652" s="11"/>
      <c r="G1652" s="89">
        <f>IFERROR(VLOOKUP(F1652,COA!$A$1:$K$26,2,FALSE),0)</f>
        <v>0</v>
      </c>
      <c r="H1652" s="11"/>
      <c r="I1652" s="11"/>
      <c r="J1652" s="78"/>
      <c r="K1652" s="78"/>
      <c r="L1652" s="146">
        <f t="shared" si="78"/>
        <v>504000</v>
      </c>
      <c r="M1652" s="73"/>
      <c r="N1652" s="73"/>
      <c r="O1652" s="73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14.25" customHeight="1" x14ac:dyDescent="0.35">
      <c r="A1653" s="9">
        <f t="shared" si="77"/>
        <v>1645</v>
      </c>
      <c r="B1653" s="15"/>
      <c r="C1653" s="11">
        <f t="shared" si="76"/>
        <v>1</v>
      </c>
      <c r="D1653" s="11"/>
      <c r="E1653" s="11"/>
      <c r="F1653" s="11"/>
      <c r="G1653" s="89">
        <f>IFERROR(VLOOKUP(F1653,COA!$A$1:$K$26,2,FALSE),0)</f>
        <v>0</v>
      </c>
      <c r="H1653" s="11"/>
      <c r="I1653" s="11"/>
      <c r="J1653" s="78"/>
      <c r="K1653" s="78"/>
      <c r="L1653" s="146">
        <f t="shared" si="78"/>
        <v>504000</v>
      </c>
      <c r="M1653" s="73"/>
      <c r="N1653" s="73"/>
      <c r="O1653" s="73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14.25" customHeight="1" x14ac:dyDescent="0.35">
      <c r="A1654" s="9">
        <f t="shared" si="77"/>
        <v>1646</v>
      </c>
      <c r="B1654" s="15"/>
      <c r="C1654" s="11">
        <f t="shared" si="76"/>
        <v>1</v>
      </c>
      <c r="D1654" s="11"/>
      <c r="E1654" s="11"/>
      <c r="F1654" s="11"/>
      <c r="G1654" s="89">
        <f>IFERROR(VLOOKUP(F1654,COA!$A$1:$K$26,2,FALSE),0)</f>
        <v>0</v>
      </c>
      <c r="H1654" s="11"/>
      <c r="I1654" s="11"/>
      <c r="J1654" s="78"/>
      <c r="K1654" s="78"/>
      <c r="L1654" s="146">
        <f t="shared" si="78"/>
        <v>504000</v>
      </c>
      <c r="M1654" s="73"/>
      <c r="N1654" s="73"/>
      <c r="O1654" s="73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14.25" customHeight="1" x14ac:dyDescent="0.35">
      <c r="A1655" s="9">
        <f t="shared" si="77"/>
        <v>1647</v>
      </c>
      <c r="B1655" s="15"/>
      <c r="C1655" s="11">
        <f t="shared" si="76"/>
        <v>1</v>
      </c>
      <c r="D1655" s="11"/>
      <c r="E1655" s="11"/>
      <c r="F1655" s="11"/>
      <c r="G1655" s="89">
        <f>IFERROR(VLOOKUP(F1655,COA!$A$1:$K$26,2,FALSE),0)</f>
        <v>0</v>
      </c>
      <c r="H1655" s="11"/>
      <c r="I1655" s="11"/>
      <c r="J1655" s="78"/>
      <c r="K1655" s="78"/>
      <c r="L1655" s="146">
        <f t="shared" si="78"/>
        <v>504000</v>
      </c>
      <c r="M1655" s="73"/>
      <c r="N1655" s="73"/>
      <c r="O1655" s="73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14.25" customHeight="1" x14ac:dyDescent="0.35">
      <c r="A1656" s="9">
        <f t="shared" si="77"/>
        <v>1648</v>
      </c>
      <c r="B1656" s="15"/>
      <c r="C1656" s="11">
        <f t="shared" si="76"/>
        <v>1</v>
      </c>
      <c r="D1656" s="11"/>
      <c r="E1656" s="11"/>
      <c r="F1656" s="11"/>
      <c r="G1656" s="89">
        <f>IFERROR(VLOOKUP(F1656,COA!$A$1:$K$26,2,FALSE),0)</f>
        <v>0</v>
      </c>
      <c r="H1656" s="11"/>
      <c r="I1656" s="11"/>
      <c r="J1656" s="78"/>
      <c r="K1656" s="78"/>
      <c r="L1656" s="146">
        <f t="shared" si="78"/>
        <v>504000</v>
      </c>
      <c r="M1656" s="73"/>
      <c r="N1656" s="73"/>
      <c r="O1656" s="73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14.25" customHeight="1" x14ac:dyDescent="0.35">
      <c r="A1657" s="9">
        <f t="shared" si="77"/>
        <v>1649</v>
      </c>
      <c r="B1657" s="15"/>
      <c r="C1657" s="11">
        <f t="shared" si="76"/>
        <v>1</v>
      </c>
      <c r="D1657" s="11"/>
      <c r="E1657" s="11"/>
      <c r="F1657" s="11"/>
      <c r="G1657" s="89">
        <f>IFERROR(VLOOKUP(F1657,COA!$A$1:$K$26,2,FALSE),0)</f>
        <v>0</v>
      </c>
      <c r="H1657" s="11"/>
      <c r="I1657" s="11"/>
      <c r="J1657" s="78"/>
      <c r="K1657" s="78"/>
      <c r="L1657" s="146">
        <f t="shared" si="78"/>
        <v>504000</v>
      </c>
      <c r="M1657" s="73"/>
      <c r="N1657" s="73"/>
      <c r="O1657" s="73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14.25" customHeight="1" x14ac:dyDescent="0.35">
      <c r="A1658" s="9">
        <f t="shared" si="77"/>
        <v>1650</v>
      </c>
      <c r="B1658" s="15"/>
      <c r="C1658" s="11">
        <f t="shared" si="76"/>
        <v>1</v>
      </c>
      <c r="D1658" s="11"/>
      <c r="E1658" s="11"/>
      <c r="F1658" s="11"/>
      <c r="G1658" s="89">
        <f>IFERROR(VLOOKUP(F1658,COA!$A$1:$K$26,2,FALSE),0)</f>
        <v>0</v>
      </c>
      <c r="H1658" s="11"/>
      <c r="I1658" s="11"/>
      <c r="J1658" s="78"/>
      <c r="K1658" s="78"/>
      <c r="L1658" s="146">
        <f t="shared" si="78"/>
        <v>504000</v>
      </c>
      <c r="M1658" s="73"/>
      <c r="N1658" s="73"/>
      <c r="O1658" s="73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14.25" customHeight="1" x14ac:dyDescent="0.35">
      <c r="A1659" s="9">
        <f t="shared" si="77"/>
        <v>1651</v>
      </c>
      <c r="B1659" s="15"/>
      <c r="C1659" s="11">
        <f t="shared" si="76"/>
        <v>1</v>
      </c>
      <c r="D1659" s="11"/>
      <c r="E1659" s="11"/>
      <c r="F1659" s="11"/>
      <c r="G1659" s="89">
        <f>IFERROR(VLOOKUP(F1659,COA!$A$1:$K$26,2,FALSE),0)</f>
        <v>0</v>
      </c>
      <c r="H1659" s="11"/>
      <c r="I1659" s="11"/>
      <c r="J1659" s="78"/>
      <c r="K1659" s="78"/>
      <c r="L1659" s="146">
        <f t="shared" si="78"/>
        <v>504000</v>
      </c>
      <c r="M1659" s="73"/>
      <c r="N1659" s="73"/>
      <c r="O1659" s="73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14.25" customHeight="1" x14ac:dyDescent="0.35">
      <c r="A1660" s="9">
        <f t="shared" si="77"/>
        <v>1652</v>
      </c>
      <c r="B1660" s="15"/>
      <c r="C1660" s="11">
        <f t="shared" si="76"/>
        <v>1</v>
      </c>
      <c r="D1660" s="11"/>
      <c r="E1660" s="11"/>
      <c r="F1660" s="11"/>
      <c r="G1660" s="89">
        <f>IFERROR(VLOOKUP(F1660,COA!$A$1:$K$26,2,FALSE),0)</f>
        <v>0</v>
      </c>
      <c r="H1660" s="11"/>
      <c r="I1660" s="11"/>
      <c r="J1660" s="78"/>
      <c r="K1660" s="78"/>
      <c r="L1660" s="146">
        <f t="shared" si="78"/>
        <v>504000</v>
      </c>
      <c r="M1660" s="73"/>
      <c r="N1660" s="73"/>
      <c r="O1660" s="73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14.25" customHeight="1" x14ac:dyDescent="0.35">
      <c r="A1661" s="9">
        <f t="shared" si="77"/>
        <v>1653</v>
      </c>
      <c r="B1661" s="15"/>
      <c r="C1661" s="11">
        <f t="shared" si="76"/>
        <v>1</v>
      </c>
      <c r="D1661" s="11"/>
      <c r="E1661" s="11"/>
      <c r="F1661" s="11"/>
      <c r="G1661" s="89">
        <f>IFERROR(VLOOKUP(F1661,COA!$A$1:$K$26,2,FALSE),0)</f>
        <v>0</v>
      </c>
      <c r="H1661" s="11"/>
      <c r="I1661" s="11"/>
      <c r="J1661" s="78"/>
      <c r="K1661" s="78"/>
      <c r="L1661" s="146">
        <f t="shared" si="78"/>
        <v>504000</v>
      </c>
      <c r="M1661" s="73"/>
      <c r="N1661" s="73"/>
      <c r="O1661" s="73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14.25" customHeight="1" x14ac:dyDescent="0.35">
      <c r="A1662" s="9">
        <f t="shared" si="77"/>
        <v>1654</v>
      </c>
      <c r="B1662" s="15"/>
      <c r="C1662" s="11">
        <f t="shared" si="76"/>
        <v>1</v>
      </c>
      <c r="D1662" s="11"/>
      <c r="E1662" s="11"/>
      <c r="F1662" s="11"/>
      <c r="G1662" s="89">
        <f>IFERROR(VLOOKUP(F1662,COA!$A$1:$K$26,2,FALSE),0)</f>
        <v>0</v>
      </c>
      <c r="H1662" s="11"/>
      <c r="I1662" s="11"/>
      <c r="J1662" s="78"/>
      <c r="K1662" s="78"/>
      <c r="L1662" s="146">
        <f t="shared" si="78"/>
        <v>504000</v>
      </c>
      <c r="M1662" s="73"/>
      <c r="N1662" s="73"/>
      <c r="O1662" s="73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14.25" customHeight="1" x14ac:dyDescent="0.35">
      <c r="A1663" s="9">
        <f t="shared" si="77"/>
        <v>1655</v>
      </c>
      <c r="B1663" s="15"/>
      <c r="C1663" s="11">
        <f t="shared" si="76"/>
        <v>1</v>
      </c>
      <c r="D1663" s="11"/>
      <c r="E1663" s="11"/>
      <c r="F1663" s="11"/>
      <c r="G1663" s="89">
        <f>IFERROR(VLOOKUP(F1663,COA!$A$1:$K$26,2,FALSE),0)</f>
        <v>0</v>
      </c>
      <c r="H1663" s="11"/>
      <c r="I1663" s="11"/>
      <c r="J1663" s="78"/>
      <c r="K1663" s="78"/>
      <c r="L1663" s="146">
        <f t="shared" si="78"/>
        <v>504000</v>
      </c>
      <c r="M1663" s="73"/>
      <c r="N1663" s="73"/>
      <c r="O1663" s="73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14.25" customHeight="1" x14ac:dyDescent="0.35">
      <c r="A1664" s="9">
        <f t="shared" si="77"/>
        <v>1656</v>
      </c>
      <c r="B1664" s="15"/>
      <c r="C1664" s="11">
        <f t="shared" si="76"/>
        <v>1</v>
      </c>
      <c r="D1664" s="11"/>
      <c r="E1664" s="11"/>
      <c r="F1664" s="11"/>
      <c r="G1664" s="89">
        <f>IFERROR(VLOOKUP(F1664,COA!$A$1:$K$26,2,FALSE),0)</f>
        <v>0</v>
      </c>
      <c r="H1664" s="11"/>
      <c r="I1664" s="11"/>
      <c r="J1664" s="78"/>
      <c r="K1664" s="78"/>
      <c r="L1664" s="146">
        <f t="shared" si="78"/>
        <v>504000</v>
      </c>
      <c r="M1664" s="73"/>
      <c r="N1664" s="73"/>
      <c r="O1664" s="73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14.25" customHeight="1" x14ac:dyDescent="0.35">
      <c r="A1665" s="9">
        <f t="shared" si="77"/>
        <v>1657</v>
      </c>
      <c r="B1665" s="15"/>
      <c r="C1665" s="11">
        <f t="shared" si="76"/>
        <v>1</v>
      </c>
      <c r="D1665" s="11"/>
      <c r="E1665" s="11"/>
      <c r="F1665" s="11"/>
      <c r="G1665" s="89">
        <f>IFERROR(VLOOKUP(F1665,COA!$A$1:$K$26,2,FALSE),0)</f>
        <v>0</v>
      </c>
      <c r="H1665" s="11"/>
      <c r="I1665" s="11"/>
      <c r="J1665" s="78"/>
      <c r="K1665" s="78"/>
      <c r="L1665" s="146">
        <f t="shared" si="78"/>
        <v>504000</v>
      </c>
      <c r="M1665" s="73"/>
      <c r="N1665" s="73"/>
      <c r="O1665" s="73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14.25" customHeight="1" x14ac:dyDescent="0.35">
      <c r="A1666" s="9">
        <f t="shared" si="77"/>
        <v>1658</v>
      </c>
      <c r="B1666" s="15"/>
      <c r="C1666" s="11">
        <f t="shared" si="76"/>
        <v>1</v>
      </c>
      <c r="D1666" s="11"/>
      <c r="E1666" s="11"/>
      <c r="F1666" s="11"/>
      <c r="G1666" s="89">
        <f>IFERROR(VLOOKUP(F1666,COA!$A$1:$K$26,2,FALSE),0)</f>
        <v>0</v>
      </c>
      <c r="H1666" s="11"/>
      <c r="I1666" s="11"/>
      <c r="J1666" s="78"/>
      <c r="K1666" s="78"/>
      <c r="L1666" s="146">
        <f t="shared" si="78"/>
        <v>504000</v>
      </c>
      <c r="M1666" s="73"/>
      <c r="N1666" s="73"/>
      <c r="O1666" s="73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14.25" customHeight="1" x14ac:dyDescent="0.35">
      <c r="A1667" s="9">
        <f t="shared" si="77"/>
        <v>1659</v>
      </c>
      <c r="B1667" s="15"/>
      <c r="C1667" s="11">
        <f t="shared" si="76"/>
        <v>1</v>
      </c>
      <c r="D1667" s="11"/>
      <c r="E1667" s="11"/>
      <c r="F1667" s="11"/>
      <c r="G1667" s="89">
        <f>IFERROR(VLOOKUP(F1667,COA!$A$1:$K$26,2,FALSE),0)</f>
        <v>0</v>
      </c>
      <c r="H1667" s="11"/>
      <c r="I1667" s="11"/>
      <c r="J1667" s="78"/>
      <c r="K1667" s="78"/>
      <c r="L1667" s="146">
        <f t="shared" si="78"/>
        <v>504000</v>
      </c>
      <c r="M1667" s="73"/>
      <c r="N1667" s="73"/>
      <c r="O1667" s="73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14.25" customHeight="1" x14ac:dyDescent="0.35">
      <c r="A1668" s="9">
        <f t="shared" si="77"/>
        <v>1660</v>
      </c>
      <c r="B1668" s="15"/>
      <c r="C1668" s="11">
        <f t="shared" si="76"/>
        <v>1</v>
      </c>
      <c r="D1668" s="11"/>
      <c r="E1668" s="11"/>
      <c r="F1668" s="11"/>
      <c r="G1668" s="89">
        <f>IFERROR(VLOOKUP(F1668,COA!$A$1:$K$26,2,FALSE),0)</f>
        <v>0</v>
      </c>
      <c r="H1668" s="11"/>
      <c r="I1668" s="11"/>
      <c r="J1668" s="78"/>
      <c r="K1668" s="78"/>
      <c r="L1668" s="146">
        <f t="shared" si="78"/>
        <v>504000</v>
      </c>
      <c r="M1668" s="73"/>
      <c r="N1668" s="73"/>
      <c r="O1668" s="73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14.25" customHeight="1" x14ac:dyDescent="0.35">
      <c r="A1669" s="9">
        <f t="shared" si="77"/>
        <v>1661</v>
      </c>
      <c r="B1669" s="15"/>
      <c r="C1669" s="11">
        <f t="shared" si="76"/>
        <v>1</v>
      </c>
      <c r="D1669" s="11"/>
      <c r="E1669" s="11"/>
      <c r="F1669" s="11"/>
      <c r="G1669" s="89">
        <f>IFERROR(VLOOKUP(F1669,COA!$A$1:$K$26,2,FALSE),0)</f>
        <v>0</v>
      </c>
      <c r="H1669" s="11"/>
      <c r="I1669" s="11"/>
      <c r="J1669" s="78"/>
      <c r="K1669" s="78"/>
      <c r="L1669" s="146">
        <f t="shared" si="78"/>
        <v>504000</v>
      </c>
      <c r="M1669" s="73"/>
      <c r="N1669" s="73"/>
      <c r="O1669" s="73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14.25" customHeight="1" x14ac:dyDescent="0.35">
      <c r="A1670" s="9">
        <f t="shared" si="77"/>
        <v>1662</v>
      </c>
      <c r="B1670" s="15"/>
      <c r="C1670" s="11">
        <f t="shared" si="76"/>
        <v>1</v>
      </c>
      <c r="D1670" s="11"/>
      <c r="E1670" s="11"/>
      <c r="F1670" s="11"/>
      <c r="G1670" s="89">
        <f>IFERROR(VLOOKUP(F1670,COA!$A$1:$K$26,2,FALSE),0)</f>
        <v>0</v>
      </c>
      <c r="H1670" s="11"/>
      <c r="I1670" s="11"/>
      <c r="J1670" s="78"/>
      <c r="K1670" s="78"/>
      <c r="L1670" s="146">
        <f t="shared" si="78"/>
        <v>504000</v>
      </c>
      <c r="M1670" s="73"/>
      <c r="N1670" s="73"/>
      <c r="O1670" s="73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14.25" customHeight="1" x14ac:dyDescent="0.35">
      <c r="A1671" s="9">
        <f t="shared" si="77"/>
        <v>1663</v>
      </c>
      <c r="B1671" s="15"/>
      <c r="C1671" s="11">
        <f t="shared" si="76"/>
        <v>1</v>
      </c>
      <c r="D1671" s="11"/>
      <c r="E1671" s="11"/>
      <c r="F1671" s="11"/>
      <c r="G1671" s="89">
        <f>IFERROR(VLOOKUP(F1671,COA!$A$1:$K$26,2,FALSE),0)</f>
        <v>0</v>
      </c>
      <c r="H1671" s="11"/>
      <c r="I1671" s="11"/>
      <c r="J1671" s="78"/>
      <c r="K1671" s="78"/>
      <c r="L1671" s="146">
        <f t="shared" si="78"/>
        <v>504000</v>
      </c>
      <c r="M1671" s="73"/>
      <c r="N1671" s="73"/>
      <c r="O1671" s="73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14.25" customHeight="1" x14ac:dyDescent="0.35">
      <c r="A1672" s="9">
        <f t="shared" si="77"/>
        <v>1664</v>
      </c>
      <c r="B1672" s="15"/>
      <c r="C1672" s="11">
        <f t="shared" ref="C1672:C1735" si="79">MONTH(B1672)</f>
        <v>1</v>
      </c>
      <c r="D1672" s="11"/>
      <c r="E1672" s="11"/>
      <c r="F1672" s="11"/>
      <c r="G1672" s="89">
        <f>IFERROR(VLOOKUP(F1672,COA!$A$1:$K$26,2,FALSE),0)</f>
        <v>0</v>
      </c>
      <c r="H1672" s="11"/>
      <c r="I1672" s="11"/>
      <c r="J1672" s="78"/>
      <c r="K1672" s="78"/>
      <c r="L1672" s="146">
        <f t="shared" si="78"/>
        <v>504000</v>
      </c>
      <c r="M1672" s="73"/>
      <c r="N1672" s="73"/>
      <c r="O1672" s="73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14.25" customHeight="1" x14ac:dyDescent="0.35">
      <c r="A1673" s="9">
        <f t="shared" si="77"/>
        <v>1665</v>
      </c>
      <c r="B1673" s="15"/>
      <c r="C1673" s="11">
        <f t="shared" si="79"/>
        <v>1</v>
      </c>
      <c r="D1673" s="11"/>
      <c r="E1673" s="11"/>
      <c r="F1673" s="11"/>
      <c r="G1673" s="89">
        <f>IFERROR(VLOOKUP(F1673,COA!$A$1:$K$26,2,FALSE),0)</f>
        <v>0</v>
      </c>
      <c r="H1673" s="11"/>
      <c r="I1673" s="11"/>
      <c r="J1673" s="78"/>
      <c r="K1673" s="78"/>
      <c r="L1673" s="146">
        <f t="shared" si="78"/>
        <v>504000</v>
      </c>
      <c r="M1673" s="73"/>
      <c r="N1673" s="73"/>
      <c r="O1673" s="73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14.25" customHeight="1" x14ac:dyDescent="0.35">
      <c r="A1674" s="9">
        <f t="shared" si="77"/>
        <v>1666</v>
      </c>
      <c r="B1674" s="15"/>
      <c r="C1674" s="11">
        <f t="shared" si="79"/>
        <v>1</v>
      </c>
      <c r="D1674" s="11"/>
      <c r="E1674" s="11"/>
      <c r="F1674" s="11"/>
      <c r="G1674" s="89">
        <f>IFERROR(VLOOKUP(F1674,COA!$A$1:$K$26,2,FALSE),0)</f>
        <v>0</v>
      </c>
      <c r="H1674" s="11"/>
      <c r="I1674" s="11"/>
      <c r="J1674" s="78"/>
      <c r="K1674" s="78"/>
      <c r="L1674" s="146">
        <f t="shared" si="78"/>
        <v>504000</v>
      </c>
      <c r="M1674" s="73"/>
      <c r="N1674" s="73"/>
      <c r="O1674" s="73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14.25" customHeight="1" x14ac:dyDescent="0.35">
      <c r="A1675" s="9">
        <f t="shared" ref="A1675:A1738" si="80">A1674+1</f>
        <v>1667</v>
      </c>
      <c r="B1675" s="15"/>
      <c r="C1675" s="11">
        <f t="shared" si="79"/>
        <v>1</v>
      </c>
      <c r="D1675" s="11"/>
      <c r="E1675" s="11"/>
      <c r="F1675" s="11"/>
      <c r="G1675" s="89">
        <f>IFERROR(VLOOKUP(F1675,COA!$A$1:$K$26,2,FALSE),0)</f>
        <v>0</v>
      </c>
      <c r="H1675" s="11"/>
      <c r="I1675" s="11"/>
      <c r="J1675" s="78"/>
      <c r="K1675" s="78"/>
      <c r="L1675" s="146">
        <f t="shared" ref="L1675:L1738" si="81">L1674+J1675-K1675</f>
        <v>504000</v>
      </c>
      <c r="M1675" s="73"/>
      <c r="N1675" s="73"/>
      <c r="O1675" s="73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14.25" customHeight="1" x14ac:dyDescent="0.35">
      <c r="A1676" s="9">
        <f t="shared" si="80"/>
        <v>1668</v>
      </c>
      <c r="B1676" s="15"/>
      <c r="C1676" s="11">
        <f t="shared" si="79"/>
        <v>1</v>
      </c>
      <c r="D1676" s="11"/>
      <c r="E1676" s="11"/>
      <c r="F1676" s="11"/>
      <c r="G1676" s="89">
        <f>IFERROR(VLOOKUP(F1676,COA!$A$1:$K$26,2,FALSE),0)</f>
        <v>0</v>
      </c>
      <c r="H1676" s="11"/>
      <c r="I1676" s="11"/>
      <c r="J1676" s="78"/>
      <c r="K1676" s="78"/>
      <c r="L1676" s="146">
        <f t="shared" si="81"/>
        <v>504000</v>
      </c>
      <c r="M1676" s="73"/>
      <c r="N1676" s="73"/>
      <c r="O1676" s="73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14.25" customHeight="1" x14ac:dyDescent="0.35">
      <c r="A1677" s="9">
        <f t="shared" si="80"/>
        <v>1669</v>
      </c>
      <c r="B1677" s="15"/>
      <c r="C1677" s="11">
        <f t="shared" si="79"/>
        <v>1</v>
      </c>
      <c r="D1677" s="11"/>
      <c r="E1677" s="11"/>
      <c r="F1677" s="11"/>
      <c r="G1677" s="89">
        <f>IFERROR(VLOOKUP(F1677,COA!$A$1:$K$26,2,FALSE),0)</f>
        <v>0</v>
      </c>
      <c r="H1677" s="11"/>
      <c r="I1677" s="11"/>
      <c r="J1677" s="78"/>
      <c r="K1677" s="78"/>
      <c r="L1677" s="146">
        <f t="shared" si="81"/>
        <v>504000</v>
      </c>
      <c r="M1677" s="73"/>
      <c r="N1677" s="73"/>
      <c r="O1677" s="73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14.25" customHeight="1" x14ac:dyDescent="0.35">
      <c r="A1678" s="9">
        <f t="shared" si="80"/>
        <v>1670</v>
      </c>
      <c r="B1678" s="15"/>
      <c r="C1678" s="11">
        <f t="shared" si="79"/>
        <v>1</v>
      </c>
      <c r="D1678" s="11"/>
      <c r="E1678" s="11"/>
      <c r="F1678" s="11"/>
      <c r="G1678" s="89">
        <f>IFERROR(VLOOKUP(F1678,COA!$A$1:$K$26,2,FALSE),0)</f>
        <v>0</v>
      </c>
      <c r="H1678" s="11"/>
      <c r="I1678" s="11"/>
      <c r="J1678" s="78"/>
      <c r="K1678" s="78"/>
      <c r="L1678" s="146">
        <f t="shared" si="81"/>
        <v>504000</v>
      </c>
      <c r="M1678" s="73"/>
      <c r="N1678" s="73"/>
      <c r="O1678" s="73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14.25" customHeight="1" x14ac:dyDescent="0.35">
      <c r="A1679" s="9">
        <f t="shared" si="80"/>
        <v>1671</v>
      </c>
      <c r="B1679" s="15"/>
      <c r="C1679" s="11">
        <f t="shared" si="79"/>
        <v>1</v>
      </c>
      <c r="D1679" s="11"/>
      <c r="E1679" s="11"/>
      <c r="F1679" s="11"/>
      <c r="G1679" s="89">
        <f>IFERROR(VLOOKUP(F1679,COA!$A$1:$K$26,2,FALSE),0)</f>
        <v>0</v>
      </c>
      <c r="H1679" s="11"/>
      <c r="I1679" s="11"/>
      <c r="J1679" s="78"/>
      <c r="K1679" s="78"/>
      <c r="L1679" s="146">
        <f t="shared" si="81"/>
        <v>504000</v>
      </c>
      <c r="M1679" s="73"/>
      <c r="N1679" s="73"/>
      <c r="O1679" s="73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14.25" customHeight="1" x14ac:dyDescent="0.35">
      <c r="A1680" s="9">
        <f t="shared" si="80"/>
        <v>1672</v>
      </c>
      <c r="B1680" s="15"/>
      <c r="C1680" s="11">
        <f t="shared" si="79"/>
        <v>1</v>
      </c>
      <c r="D1680" s="11"/>
      <c r="E1680" s="11"/>
      <c r="F1680" s="11"/>
      <c r="G1680" s="89">
        <f>IFERROR(VLOOKUP(F1680,COA!$A$1:$K$26,2,FALSE),0)</f>
        <v>0</v>
      </c>
      <c r="H1680" s="11"/>
      <c r="I1680" s="11"/>
      <c r="J1680" s="78"/>
      <c r="K1680" s="78"/>
      <c r="L1680" s="146">
        <f t="shared" si="81"/>
        <v>504000</v>
      </c>
      <c r="M1680" s="73"/>
      <c r="N1680" s="73"/>
      <c r="O1680" s="73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14.25" customHeight="1" x14ac:dyDescent="0.35">
      <c r="A1681" s="9">
        <f t="shared" si="80"/>
        <v>1673</v>
      </c>
      <c r="B1681" s="15"/>
      <c r="C1681" s="11">
        <f t="shared" si="79"/>
        <v>1</v>
      </c>
      <c r="D1681" s="11"/>
      <c r="E1681" s="11"/>
      <c r="F1681" s="11"/>
      <c r="G1681" s="89">
        <f>IFERROR(VLOOKUP(F1681,COA!$A$1:$K$26,2,FALSE),0)</f>
        <v>0</v>
      </c>
      <c r="H1681" s="11"/>
      <c r="I1681" s="11"/>
      <c r="J1681" s="78"/>
      <c r="K1681" s="78"/>
      <c r="L1681" s="146">
        <f t="shared" si="81"/>
        <v>504000</v>
      </c>
      <c r="M1681" s="73"/>
      <c r="N1681" s="73"/>
      <c r="O1681" s="73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14.25" customHeight="1" x14ac:dyDescent="0.35">
      <c r="A1682" s="9">
        <f t="shared" si="80"/>
        <v>1674</v>
      </c>
      <c r="B1682" s="15"/>
      <c r="C1682" s="11">
        <f t="shared" si="79"/>
        <v>1</v>
      </c>
      <c r="D1682" s="11"/>
      <c r="E1682" s="11"/>
      <c r="F1682" s="11"/>
      <c r="G1682" s="89">
        <f>IFERROR(VLOOKUP(F1682,COA!$A$1:$K$26,2,FALSE),0)</f>
        <v>0</v>
      </c>
      <c r="H1682" s="11"/>
      <c r="I1682" s="11"/>
      <c r="J1682" s="78"/>
      <c r="K1682" s="78"/>
      <c r="L1682" s="146">
        <f t="shared" si="81"/>
        <v>504000</v>
      </c>
      <c r="M1682" s="73"/>
      <c r="N1682" s="73"/>
      <c r="O1682" s="73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14.25" customHeight="1" x14ac:dyDescent="0.35">
      <c r="A1683" s="9">
        <f t="shared" si="80"/>
        <v>1675</v>
      </c>
      <c r="B1683" s="15"/>
      <c r="C1683" s="11">
        <f t="shared" si="79"/>
        <v>1</v>
      </c>
      <c r="D1683" s="11"/>
      <c r="E1683" s="11"/>
      <c r="F1683" s="11"/>
      <c r="G1683" s="89">
        <f>IFERROR(VLOOKUP(F1683,COA!$A$1:$K$26,2,FALSE),0)</f>
        <v>0</v>
      </c>
      <c r="H1683" s="11"/>
      <c r="I1683" s="11"/>
      <c r="J1683" s="78"/>
      <c r="K1683" s="78"/>
      <c r="L1683" s="146">
        <f t="shared" si="81"/>
        <v>504000</v>
      </c>
      <c r="M1683" s="73"/>
      <c r="N1683" s="73"/>
      <c r="O1683" s="73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14.25" customHeight="1" x14ac:dyDescent="0.35">
      <c r="A1684" s="9">
        <f t="shared" si="80"/>
        <v>1676</v>
      </c>
      <c r="B1684" s="15"/>
      <c r="C1684" s="11">
        <f t="shared" si="79"/>
        <v>1</v>
      </c>
      <c r="D1684" s="11"/>
      <c r="E1684" s="11"/>
      <c r="F1684" s="11"/>
      <c r="G1684" s="89">
        <f>IFERROR(VLOOKUP(F1684,COA!$A$1:$K$26,2,FALSE),0)</f>
        <v>0</v>
      </c>
      <c r="H1684" s="11"/>
      <c r="I1684" s="11"/>
      <c r="J1684" s="78"/>
      <c r="K1684" s="78"/>
      <c r="L1684" s="146">
        <f t="shared" si="81"/>
        <v>504000</v>
      </c>
      <c r="M1684" s="73"/>
      <c r="N1684" s="73"/>
      <c r="O1684" s="73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14.25" customHeight="1" x14ac:dyDescent="0.35">
      <c r="A1685" s="9">
        <f t="shared" si="80"/>
        <v>1677</v>
      </c>
      <c r="B1685" s="15"/>
      <c r="C1685" s="11">
        <f t="shared" si="79"/>
        <v>1</v>
      </c>
      <c r="D1685" s="11"/>
      <c r="E1685" s="11"/>
      <c r="F1685" s="11"/>
      <c r="G1685" s="89">
        <f>IFERROR(VLOOKUP(F1685,COA!$A$1:$K$26,2,FALSE),0)</f>
        <v>0</v>
      </c>
      <c r="H1685" s="11"/>
      <c r="I1685" s="11"/>
      <c r="J1685" s="78"/>
      <c r="K1685" s="78"/>
      <c r="L1685" s="146">
        <f t="shared" si="81"/>
        <v>504000</v>
      </c>
      <c r="M1685" s="73"/>
      <c r="N1685" s="73"/>
      <c r="O1685" s="73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14.25" customHeight="1" x14ac:dyDescent="0.35">
      <c r="A1686" s="9">
        <f t="shared" si="80"/>
        <v>1678</v>
      </c>
      <c r="B1686" s="15"/>
      <c r="C1686" s="11">
        <f t="shared" si="79"/>
        <v>1</v>
      </c>
      <c r="D1686" s="11"/>
      <c r="E1686" s="11"/>
      <c r="F1686" s="11"/>
      <c r="G1686" s="89">
        <f>IFERROR(VLOOKUP(F1686,COA!$A$1:$K$26,2,FALSE),0)</f>
        <v>0</v>
      </c>
      <c r="H1686" s="11"/>
      <c r="I1686" s="11"/>
      <c r="J1686" s="78"/>
      <c r="K1686" s="78"/>
      <c r="L1686" s="146">
        <f t="shared" si="81"/>
        <v>504000</v>
      </c>
      <c r="M1686" s="73"/>
      <c r="N1686" s="73"/>
      <c r="O1686" s="73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14.25" customHeight="1" x14ac:dyDescent="0.35">
      <c r="A1687" s="9">
        <f t="shared" si="80"/>
        <v>1679</v>
      </c>
      <c r="B1687" s="15"/>
      <c r="C1687" s="11">
        <f t="shared" si="79"/>
        <v>1</v>
      </c>
      <c r="D1687" s="11"/>
      <c r="E1687" s="11"/>
      <c r="F1687" s="11"/>
      <c r="G1687" s="89">
        <f>IFERROR(VLOOKUP(F1687,COA!$A$1:$K$26,2,FALSE),0)</f>
        <v>0</v>
      </c>
      <c r="H1687" s="11"/>
      <c r="I1687" s="11"/>
      <c r="J1687" s="78"/>
      <c r="K1687" s="78"/>
      <c r="L1687" s="146">
        <f t="shared" si="81"/>
        <v>504000</v>
      </c>
      <c r="M1687" s="73"/>
      <c r="N1687" s="73"/>
      <c r="O1687" s="73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14.25" customHeight="1" x14ac:dyDescent="0.35">
      <c r="A1688" s="9">
        <f t="shared" si="80"/>
        <v>1680</v>
      </c>
      <c r="B1688" s="15"/>
      <c r="C1688" s="11">
        <f t="shared" si="79"/>
        <v>1</v>
      </c>
      <c r="D1688" s="11"/>
      <c r="E1688" s="11"/>
      <c r="F1688" s="11"/>
      <c r="G1688" s="89">
        <f>IFERROR(VLOOKUP(F1688,COA!$A$1:$K$26,2,FALSE),0)</f>
        <v>0</v>
      </c>
      <c r="H1688" s="11"/>
      <c r="I1688" s="11"/>
      <c r="J1688" s="78"/>
      <c r="K1688" s="78"/>
      <c r="L1688" s="146">
        <f t="shared" si="81"/>
        <v>504000</v>
      </c>
      <c r="M1688" s="73"/>
      <c r="N1688" s="73"/>
      <c r="O1688" s="73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14.25" customHeight="1" x14ac:dyDescent="0.35">
      <c r="A1689" s="9">
        <f t="shared" si="80"/>
        <v>1681</v>
      </c>
      <c r="B1689" s="15"/>
      <c r="C1689" s="11">
        <f t="shared" si="79"/>
        <v>1</v>
      </c>
      <c r="D1689" s="11"/>
      <c r="E1689" s="11"/>
      <c r="F1689" s="11"/>
      <c r="G1689" s="89">
        <f>IFERROR(VLOOKUP(F1689,COA!$A$1:$K$26,2,FALSE),0)</f>
        <v>0</v>
      </c>
      <c r="H1689" s="11"/>
      <c r="I1689" s="11"/>
      <c r="J1689" s="78"/>
      <c r="K1689" s="78"/>
      <c r="L1689" s="146">
        <f t="shared" si="81"/>
        <v>504000</v>
      </c>
      <c r="M1689" s="73"/>
      <c r="N1689" s="73"/>
      <c r="O1689" s="73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14.25" customHeight="1" x14ac:dyDescent="0.35">
      <c r="A1690" s="9">
        <f t="shared" si="80"/>
        <v>1682</v>
      </c>
      <c r="B1690" s="15"/>
      <c r="C1690" s="11">
        <f t="shared" si="79"/>
        <v>1</v>
      </c>
      <c r="D1690" s="11"/>
      <c r="E1690" s="11"/>
      <c r="F1690" s="11"/>
      <c r="G1690" s="89">
        <f>IFERROR(VLOOKUP(F1690,COA!$A$1:$K$26,2,FALSE),0)</f>
        <v>0</v>
      </c>
      <c r="H1690" s="11"/>
      <c r="I1690" s="11"/>
      <c r="J1690" s="78"/>
      <c r="K1690" s="78"/>
      <c r="L1690" s="146">
        <f t="shared" si="81"/>
        <v>504000</v>
      </c>
      <c r="M1690" s="73"/>
      <c r="N1690" s="73"/>
      <c r="O1690" s="73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14.25" customHeight="1" x14ac:dyDescent="0.35">
      <c r="A1691" s="9">
        <f t="shared" si="80"/>
        <v>1683</v>
      </c>
      <c r="B1691" s="15"/>
      <c r="C1691" s="11">
        <f t="shared" si="79"/>
        <v>1</v>
      </c>
      <c r="D1691" s="11"/>
      <c r="E1691" s="11"/>
      <c r="F1691" s="11"/>
      <c r="G1691" s="89">
        <f>IFERROR(VLOOKUP(F1691,COA!$A$1:$K$26,2,FALSE),0)</f>
        <v>0</v>
      </c>
      <c r="H1691" s="11"/>
      <c r="I1691" s="11"/>
      <c r="J1691" s="78"/>
      <c r="K1691" s="78"/>
      <c r="L1691" s="146">
        <f t="shared" si="81"/>
        <v>504000</v>
      </c>
      <c r="M1691" s="73"/>
      <c r="N1691" s="73"/>
      <c r="O1691" s="73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14.25" customHeight="1" x14ac:dyDescent="0.35">
      <c r="A1692" s="9">
        <f t="shared" si="80"/>
        <v>1684</v>
      </c>
      <c r="B1692" s="15"/>
      <c r="C1692" s="11">
        <f t="shared" si="79"/>
        <v>1</v>
      </c>
      <c r="D1692" s="11"/>
      <c r="E1692" s="11"/>
      <c r="F1692" s="11"/>
      <c r="G1692" s="89">
        <f>IFERROR(VLOOKUP(F1692,COA!$A$1:$K$26,2,FALSE),0)</f>
        <v>0</v>
      </c>
      <c r="H1692" s="11"/>
      <c r="I1692" s="11"/>
      <c r="J1692" s="78"/>
      <c r="K1692" s="78"/>
      <c r="L1692" s="146">
        <f t="shared" si="81"/>
        <v>504000</v>
      </c>
      <c r="M1692" s="73"/>
      <c r="N1692" s="73"/>
      <c r="O1692" s="73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14.25" customHeight="1" x14ac:dyDescent="0.35">
      <c r="A1693" s="9">
        <f t="shared" si="80"/>
        <v>1685</v>
      </c>
      <c r="B1693" s="15"/>
      <c r="C1693" s="11">
        <f t="shared" si="79"/>
        <v>1</v>
      </c>
      <c r="D1693" s="11"/>
      <c r="E1693" s="11"/>
      <c r="F1693" s="11"/>
      <c r="G1693" s="89">
        <f>IFERROR(VLOOKUP(F1693,COA!$A$1:$K$26,2,FALSE),0)</f>
        <v>0</v>
      </c>
      <c r="H1693" s="11"/>
      <c r="I1693" s="11"/>
      <c r="J1693" s="78"/>
      <c r="K1693" s="78"/>
      <c r="L1693" s="146">
        <f t="shared" si="81"/>
        <v>504000</v>
      </c>
      <c r="M1693" s="73"/>
      <c r="N1693" s="73"/>
      <c r="O1693" s="73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14.25" customHeight="1" x14ac:dyDescent="0.35">
      <c r="A1694" s="9">
        <f t="shared" si="80"/>
        <v>1686</v>
      </c>
      <c r="B1694" s="15"/>
      <c r="C1694" s="11">
        <f t="shared" si="79"/>
        <v>1</v>
      </c>
      <c r="D1694" s="11"/>
      <c r="E1694" s="11"/>
      <c r="F1694" s="11"/>
      <c r="G1694" s="89">
        <f>IFERROR(VLOOKUP(F1694,COA!$A$1:$K$26,2,FALSE),0)</f>
        <v>0</v>
      </c>
      <c r="H1694" s="11"/>
      <c r="I1694" s="11"/>
      <c r="J1694" s="78"/>
      <c r="K1694" s="78"/>
      <c r="L1694" s="146">
        <f t="shared" si="81"/>
        <v>504000</v>
      </c>
      <c r="M1694" s="73"/>
      <c r="N1694" s="73"/>
      <c r="O1694" s="73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14.25" customHeight="1" x14ac:dyDescent="0.35">
      <c r="A1695" s="9">
        <f t="shared" si="80"/>
        <v>1687</v>
      </c>
      <c r="B1695" s="15"/>
      <c r="C1695" s="11">
        <f t="shared" si="79"/>
        <v>1</v>
      </c>
      <c r="D1695" s="11"/>
      <c r="E1695" s="11"/>
      <c r="F1695" s="11"/>
      <c r="G1695" s="89">
        <f>IFERROR(VLOOKUP(F1695,COA!$A$1:$K$26,2,FALSE),0)</f>
        <v>0</v>
      </c>
      <c r="H1695" s="11"/>
      <c r="I1695" s="11"/>
      <c r="J1695" s="78"/>
      <c r="K1695" s="78"/>
      <c r="L1695" s="146">
        <f t="shared" si="81"/>
        <v>504000</v>
      </c>
      <c r="M1695" s="73"/>
      <c r="N1695" s="73"/>
      <c r="O1695" s="73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14.25" customHeight="1" x14ac:dyDescent="0.35">
      <c r="A1696" s="9">
        <f t="shared" si="80"/>
        <v>1688</v>
      </c>
      <c r="B1696" s="15"/>
      <c r="C1696" s="11">
        <f t="shared" si="79"/>
        <v>1</v>
      </c>
      <c r="D1696" s="11"/>
      <c r="E1696" s="11"/>
      <c r="F1696" s="11"/>
      <c r="G1696" s="89">
        <f>IFERROR(VLOOKUP(F1696,COA!$A$1:$K$26,2,FALSE),0)</f>
        <v>0</v>
      </c>
      <c r="H1696" s="11"/>
      <c r="I1696" s="11"/>
      <c r="J1696" s="78"/>
      <c r="K1696" s="78"/>
      <c r="L1696" s="146">
        <f t="shared" si="81"/>
        <v>504000</v>
      </c>
      <c r="M1696" s="73"/>
      <c r="N1696" s="73"/>
      <c r="O1696" s="73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14.25" customHeight="1" x14ac:dyDescent="0.35">
      <c r="A1697" s="9">
        <f t="shared" si="80"/>
        <v>1689</v>
      </c>
      <c r="B1697" s="15"/>
      <c r="C1697" s="11">
        <f t="shared" si="79"/>
        <v>1</v>
      </c>
      <c r="D1697" s="11"/>
      <c r="E1697" s="11"/>
      <c r="F1697" s="11"/>
      <c r="G1697" s="89">
        <f>IFERROR(VLOOKUP(F1697,COA!$A$1:$K$26,2,FALSE),0)</f>
        <v>0</v>
      </c>
      <c r="H1697" s="11"/>
      <c r="I1697" s="11"/>
      <c r="J1697" s="78"/>
      <c r="K1697" s="78"/>
      <c r="L1697" s="146">
        <f t="shared" si="81"/>
        <v>504000</v>
      </c>
      <c r="M1697" s="73"/>
      <c r="N1697" s="73"/>
      <c r="O1697" s="73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14.25" customHeight="1" x14ac:dyDescent="0.35">
      <c r="A1698" s="9">
        <f t="shared" si="80"/>
        <v>1690</v>
      </c>
      <c r="B1698" s="15"/>
      <c r="C1698" s="11">
        <f t="shared" si="79"/>
        <v>1</v>
      </c>
      <c r="D1698" s="11"/>
      <c r="E1698" s="11"/>
      <c r="F1698" s="11"/>
      <c r="G1698" s="89">
        <f>IFERROR(VLOOKUP(F1698,COA!$A$1:$K$26,2,FALSE),0)</f>
        <v>0</v>
      </c>
      <c r="H1698" s="11"/>
      <c r="I1698" s="11"/>
      <c r="J1698" s="78"/>
      <c r="K1698" s="78"/>
      <c r="L1698" s="146">
        <f t="shared" si="81"/>
        <v>504000</v>
      </c>
      <c r="M1698" s="73"/>
      <c r="N1698" s="73"/>
      <c r="O1698" s="73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14.25" customHeight="1" x14ac:dyDescent="0.35">
      <c r="A1699" s="9">
        <f t="shared" si="80"/>
        <v>1691</v>
      </c>
      <c r="B1699" s="15"/>
      <c r="C1699" s="11">
        <f t="shared" si="79"/>
        <v>1</v>
      </c>
      <c r="D1699" s="11"/>
      <c r="E1699" s="11"/>
      <c r="F1699" s="11"/>
      <c r="G1699" s="89">
        <f>IFERROR(VLOOKUP(F1699,COA!$A$1:$K$26,2,FALSE),0)</f>
        <v>0</v>
      </c>
      <c r="H1699" s="11"/>
      <c r="I1699" s="11"/>
      <c r="J1699" s="78"/>
      <c r="K1699" s="78"/>
      <c r="L1699" s="146">
        <f t="shared" si="81"/>
        <v>504000</v>
      </c>
      <c r="M1699" s="73"/>
      <c r="N1699" s="73"/>
      <c r="O1699" s="73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14.25" customHeight="1" x14ac:dyDescent="0.35">
      <c r="A1700" s="9">
        <f t="shared" si="80"/>
        <v>1692</v>
      </c>
      <c r="B1700" s="15"/>
      <c r="C1700" s="11">
        <f t="shared" si="79"/>
        <v>1</v>
      </c>
      <c r="D1700" s="11"/>
      <c r="E1700" s="11"/>
      <c r="F1700" s="11"/>
      <c r="G1700" s="89">
        <f>IFERROR(VLOOKUP(F1700,COA!$A$1:$K$26,2,FALSE),0)</f>
        <v>0</v>
      </c>
      <c r="H1700" s="11"/>
      <c r="I1700" s="11"/>
      <c r="J1700" s="78"/>
      <c r="K1700" s="78"/>
      <c r="L1700" s="146">
        <f t="shared" si="81"/>
        <v>504000</v>
      </c>
      <c r="M1700" s="73"/>
      <c r="N1700" s="73"/>
      <c r="O1700" s="73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14.25" customHeight="1" x14ac:dyDescent="0.35">
      <c r="A1701" s="9">
        <f t="shared" si="80"/>
        <v>1693</v>
      </c>
      <c r="B1701" s="15"/>
      <c r="C1701" s="11">
        <f t="shared" si="79"/>
        <v>1</v>
      </c>
      <c r="D1701" s="11"/>
      <c r="E1701" s="11"/>
      <c r="F1701" s="11"/>
      <c r="G1701" s="89">
        <f>IFERROR(VLOOKUP(F1701,COA!$A$1:$K$26,2,FALSE),0)</f>
        <v>0</v>
      </c>
      <c r="H1701" s="11"/>
      <c r="I1701" s="11"/>
      <c r="J1701" s="78"/>
      <c r="K1701" s="78"/>
      <c r="L1701" s="146">
        <f t="shared" si="81"/>
        <v>504000</v>
      </c>
      <c r="M1701" s="73"/>
      <c r="N1701" s="73"/>
      <c r="O1701" s="73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14.25" customHeight="1" x14ac:dyDescent="0.35">
      <c r="A1702" s="9">
        <f t="shared" si="80"/>
        <v>1694</v>
      </c>
      <c r="B1702" s="15"/>
      <c r="C1702" s="11">
        <f t="shared" si="79"/>
        <v>1</v>
      </c>
      <c r="D1702" s="11"/>
      <c r="E1702" s="11"/>
      <c r="F1702" s="11"/>
      <c r="G1702" s="89">
        <f>IFERROR(VLOOKUP(F1702,COA!$A$1:$K$26,2,FALSE),0)</f>
        <v>0</v>
      </c>
      <c r="H1702" s="11"/>
      <c r="I1702" s="11"/>
      <c r="J1702" s="78"/>
      <c r="K1702" s="78"/>
      <c r="L1702" s="146">
        <f t="shared" si="81"/>
        <v>504000</v>
      </c>
      <c r="M1702" s="73"/>
      <c r="N1702" s="73"/>
      <c r="O1702" s="73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14.25" customHeight="1" x14ac:dyDescent="0.35">
      <c r="A1703" s="9">
        <f t="shared" si="80"/>
        <v>1695</v>
      </c>
      <c r="B1703" s="15"/>
      <c r="C1703" s="11">
        <f t="shared" si="79"/>
        <v>1</v>
      </c>
      <c r="D1703" s="11"/>
      <c r="E1703" s="11"/>
      <c r="F1703" s="11"/>
      <c r="G1703" s="89">
        <f>IFERROR(VLOOKUP(F1703,COA!$A$1:$K$26,2,FALSE),0)</f>
        <v>0</v>
      </c>
      <c r="H1703" s="11"/>
      <c r="I1703" s="11"/>
      <c r="J1703" s="78"/>
      <c r="K1703" s="78"/>
      <c r="L1703" s="146">
        <f t="shared" si="81"/>
        <v>504000</v>
      </c>
      <c r="M1703" s="73"/>
      <c r="N1703" s="73"/>
      <c r="O1703" s="73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14.25" customHeight="1" x14ac:dyDescent="0.35">
      <c r="A1704" s="9">
        <f t="shared" si="80"/>
        <v>1696</v>
      </c>
      <c r="B1704" s="15"/>
      <c r="C1704" s="11">
        <f t="shared" si="79"/>
        <v>1</v>
      </c>
      <c r="D1704" s="11"/>
      <c r="E1704" s="11"/>
      <c r="F1704" s="11"/>
      <c r="G1704" s="89">
        <f>IFERROR(VLOOKUP(F1704,COA!$A$1:$K$26,2,FALSE),0)</f>
        <v>0</v>
      </c>
      <c r="H1704" s="11"/>
      <c r="I1704" s="11"/>
      <c r="J1704" s="78"/>
      <c r="K1704" s="78"/>
      <c r="L1704" s="146">
        <f t="shared" si="81"/>
        <v>504000</v>
      </c>
      <c r="M1704" s="73"/>
      <c r="N1704" s="73"/>
      <c r="O1704" s="73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14.25" customHeight="1" x14ac:dyDescent="0.35">
      <c r="A1705" s="9">
        <f t="shared" si="80"/>
        <v>1697</v>
      </c>
      <c r="B1705" s="15"/>
      <c r="C1705" s="11">
        <f t="shared" si="79"/>
        <v>1</v>
      </c>
      <c r="D1705" s="11"/>
      <c r="E1705" s="11"/>
      <c r="F1705" s="11"/>
      <c r="G1705" s="89">
        <f>IFERROR(VLOOKUP(F1705,COA!$A$1:$K$26,2,FALSE),0)</f>
        <v>0</v>
      </c>
      <c r="H1705" s="11"/>
      <c r="I1705" s="11"/>
      <c r="J1705" s="78"/>
      <c r="K1705" s="78"/>
      <c r="L1705" s="146">
        <f t="shared" si="81"/>
        <v>504000</v>
      </c>
      <c r="M1705" s="73"/>
      <c r="N1705" s="73"/>
      <c r="O1705" s="73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14.25" customHeight="1" x14ac:dyDescent="0.35">
      <c r="A1706" s="9">
        <f t="shared" si="80"/>
        <v>1698</v>
      </c>
      <c r="B1706" s="15"/>
      <c r="C1706" s="11">
        <f t="shared" si="79"/>
        <v>1</v>
      </c>
      <c r="D1706" s="11"/>
      <c r="E1706" s="11"/>
      <c r="F1706" s="11"/>
      <c r="G1706" s="89">
        <f>IFERROR(VLOOKUP(F1706,COA!$A$1:$K$26,2,FALSE),0)</f>
        <v>0</v>
      </c>
      <c r="H1706" s="11"/>
      <c r="I1706" s="11"/>
      <c r="J1706" s="78"/>
      <c r="K1706" s="78"/>
      <c r="L1706" s="146">
        <f t="shared" si="81"/>
        <v>504000</v>
      </c>
      <c r="M1706" s="73"/>
      <c r="N1706" s="73"/>
      <c r="O1706" s="73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14.25" customHeight="1" x14ac:dyDescent="0.35">
      <c r="A1707" s="9">
        <f t="shared" si="80"/>
        <v>1699</v>
      </c>
      <c r="B1707" s="15"/>
      <c r="C1707" s="11">
        <f t="shared" si="79"/>
        <v>1</v>
      </c>
      <c r="D1707" s="11"/>
      <c r="E1707" s="11"/>
      <c r="F1707" s="11"/>
      <c r="G1707" s="89">
        <f>IFERROR(VLOOKUP(F1707,COA!$A$1:$K$26,2,FALSE),0)</f>
        <v>0</v>
      </c>
      <c r="H1707" s="11"/>
      <c r="I1707" s="11"/>
      <c r="J1707" s="78"/>
      <c r="K1707" s="78"/>
      <c r="L1707" s="146">
        <f t="shared" si="81"/>
        <v>504000</v>
      </c>
      <c r="M1707" s="73"/>
      <c r="N1707" s="73"/>
      <c r="O1707" s="73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14.25" customHeight="1" x14ac:dyDescent="0.35">
      <c r="A1708" s="9">
        <f t="shared" si="80"/>
        <v>1700</v>
      </c>
      <c r="B1708" s="15"/>
      <c r="C1708" s="11">
        <f t="shared" si="79"/>
        <v>1</v>
      </c>
      <c r="D1708" s="11"/>
      <c r="E1708" s="11"/>
      <c r="F1708" s="11"/>
      <c r="G1708" s="89">
        <f>IFERROR(VLOOKUP(F1708,COA!$A$1:$K$26,2,FALSE),0)</f>
        <v>0</v>
      </c>
      <c r="H1708" s="11"/>
      <c r="I1708" s="11"/>
      <c r="J1708" s="78"/>
      <c r="K1708" s="78"/>
      <c r="L1708" s="146">
        <f t="shared" si="81"/>
        <v>504000</v>
      </c>
      <c r="M1708" s="73"/>
      <c r="N1708" s="73"/>
      <c r="O1708" s="73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14.25" customHeight="1" x14ac:dyDescent="0.35">
      <c r="A1709" s="9">
        <f t="shared" si="80"/>
        <v>1701</v>
      </c>
      <c r="B1709" s="15"/>
      <c r="C1709" s="11">
        <f t="shared" si="79"/>
        <v>1</v>
      </c>
      <c r="D1709" s="11"/>
      <c r="E1709" s="11"/>
      <c r="F1709" s="11"/>
      <c r="G1709" s="89">
        <f>IFERROR(VLOOKUP(F1709,COA!$A$1:$K$26,2,FALSE),0)</f>
        <v>0</v>
      </c>
      <c r="H1709" s="11"/>
      <c r="I1709" s="11"/>
      <c r="J1709" s="78"/>
      <c r="K1709" s="78"/>
      <c r="L1709" s="146">
        <f t="shared" si="81"/>
        <v>504000</v>
      </c>
      <c r="M1709" s="73"/>
      <c r="N1709" s="73"/>
      <c r="O1709" s="73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14.25" customHeight="1" x14ac:dyDescent="0.35">
      <c r="A1710" s="9">
        <f t="shared" si="80"/>
        <v>1702</v>
      </c>
      <c r="B1710" s="15"/>
      <c r="C1710" s="11">
        <f t="shared" si="79"/>
        <v>1</v>
      </c>
      <c r="D1710" s="11"/>
      <c r="E1710" s="11"/>
      <c r="F1710" s="11"/>
      <c r="G1710" s="89">
        <f>IFERROR(VLOOKUP(F1710,COA!$A$1:$K$26,2,FALSE),0)</f>
        <v>0</v>
      </c>
      <c r="H1710" s="11"/>
      <c r="I1710" s="11"/>
      <c r="J1710" s="78"/>
      <c r="K1710" s="78"/>
      <c r="L1710" s="146">
        <f t="shared" si="81"/>
        <v>504000</v>
      </c>
      <c r="M1710" s="73"/>
      <c r="N1710" s="73"/>
      <c r="O1710" s="73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14.25" customHeight="1" x14ac:dyDescent="0.35">
      <c r="A1711" s="9">
        <f t="shared" si="80"/>
        <v>1703</v>
      </c>
      <c r="B1711" s="15"/>
      <c r="C1711" s="11">
        <f t="shared" si="79"/>
        <v>1</v>
      </c>
      <c r="D1711" s="11"/>
      <c r="E1711" s="11"/>
      <c r="F1711" s="11"/>
      <c r="G1711" s="89">
        <f>IFERROR(VLOOKUP(F1711,COA!$A$1:$K$26,2,FALSE),0)</f>
        <v>0</v>
      </c>
      <c r="H1711" s="11"/>
      <c r="I1711" s="11"/>
      <c r="J1711" s="78"/>
      <c r="K1711" s="78"/>
      <c r="L1711" s="146">
        <f t="shared" si="81"/>
        <v>504000</v>
      </c>
      <c r="M1711" s="73"/>
      <c r="N1711" s="73"/>
      <c r="O1711" s="73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14.25" customHeight="1" x14ac:dyDescent="0.35">
      <c r="A1712" s="9">
        <f t="shared" si="80"/>
        <v>1704</v>
      </c>
      <c r="B1712" s="15"/>
      <c r="C1712" s="11">
        <f t="shared" si="79"/>
        <v>1</v>
      </c>
      <c r="D1712" s="11"/>
      <c r="E1712" s="11"/>
      <c r="F1712" s="11"/>
      <c r="G1712" s="89">
        <f>IFERROR(VLOOKUP(F1712,COA!$A$1:$K$26,2,FALSE),0)</f>
        <v>0</v>
      </c>
      <c r="H1712" s="11"/>
      <c r="I1712" s="11"/>
      <c r="J1712" s="78"/>
      <c r="K1712" s="78"/>
      <c r="L1712" s="146">
        <f t="shared" si="81"/>
        <v>504000</v>
      </c>
      <c r="M1712" s="73"/>
      <c r="N1712" s="73"/>
      <c r="O1712" s="73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14.25" customHeight="1" x14ac:dyDescent="0.35">
      <c r="A1713" s="9">
        <f t="shared" si="80"/>
        <v>1705</v>
      </c>
      <c r="B1713" s="15"/>
      <c r="C1713" s="11">
        <f t="shared" si="79"/>
        <v>1</v>
      </c>
      <c r="D1713" s="11"/>
      <c r="E1713" s="11"/>
      <c r="F1713" s="11"/>
      <c r="G1713" s="89">
        <f>IFERROR(VLOOKUP(F1713,COA!$A$1:$K$26,2,FALSE),0)</f>
        <v>0</v>
      </c>
      <c r="H1713" s="11"/>
      <c r="I1713" s="11"/>
      <c r="J1713" s="78"/>
      <c r="K1713" s="78"/>
      <c r="L1713" s="146">
        <f t="shared" si="81"/>
        <v>504000</v>
      </c>
      <c r="M1713" s="73"/>
      <c r="N1713" s="73"/>
      <c r="O1713" s="73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14.25" customHeight="1" x14ac:dyDescent="0.35">
      <c r="A1714" s="9">
        <f t="shared" si="80"/>
        <v>1706</v>
      </c>
      <c r="B1714" s="15"/>
      <c r="C1714" s="11">
        <f t="shared" si="79"/>
        <v>1</v>
      </c>
      <c r="D1714" s="11"/>
      <c r="E1714" s="11"/>
      <c r="F1714" s="11"/>
      <c r="G1714" s="89">
        <f>IFERROR(VLOOKUP(F1714,COA!$A$1:$K$26,2,FALSE),0)</f>
        <v>0</v>
      </c>
      <c r="H1714" s="11"/>
      <c r="I1714" s="11"/>
      <c r="J1714" s="78"/>
      <c r="K1714" s="78"/>
      <c r="L1714" s="146">
        <f t="shared" si="81"/>
        <v>504000</v>
      </c>
      <c r="M1714" s="73"/>
      <c r="N1714" s="73"/>
      <c r="O1714" s="73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14.25" customHeight="1" x14ac:dyDescent="0.35">
      <c r="A1715" s="9">
        <f t="shared" si="80"/>
        <v>1707</v>
      </c>
      <c r="B1715" s="15"/>
      <c r="C1715" s="11">
        <f t="shared" si="79"/>
        <v>1</v>
      </c>
      <c r="D1715" s="11"/>
      <c r="E1715" s="11"/>
      <c r="F1715" s="11"/>
      <c r="G1715" s="89">
        <f>IFERROR(VLOOKUP(F1715,COA!$A$1:$K$26,2,FALSE),0)</f>
        <v>0</v>
      </c>
      <c r="H1715" s="11"/>
      <c r="I1715" s="11"/>
      <c r="J1715" s="78"/>
      <c r="K1715" s="78"/>
      <c r="L1715" s="146">
        <f t="shared" si="81"/>
        <v>504000</v>
      </c>
      <c r="M1715" s="73"/>
      <c r="N1715" s="73"/>
      <c r="O1715" s="73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14.25" customHeight="1" x14ac:dyDescent="0.35">
      <c r="A1716" s="9">
        <f t="shared" si="80"/>
        <v>1708</v>
      </c>
      <c r="B1716" s="15"/>
      <c r="C1716" s="11">
        <f t="shared" si="79"/>
        <v>1</v>
      </c>
      <c r="D1716" s="11"/>
      <c r="E1716" s="11"/>
      <c r="F1716" s="11"/>
      <c r="G1716" s="89">
        <f>IFERROR(VLOOKUP(F1716,COA!$A$1:$K$26,2,FALSE),0)</f>
        <v>0</v>
      </c>
      <c r="H1716" s="11"/>
      <c r="I1716" s="11"/>
      <c r="J1716" s="78"/>
      <c r="K1716" s="78"/>
      <c r="L1716" s="146">
        <f t="shared" si="81"/>
        <v>504000</v>
      </c>
      <c r="M1716" s="73"/>
      <c r="N1716" s="73"/>
      <c r="O1716" s="73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14.25" customHeight="1" x14ac:dyDescent="0.35">
      <c r="A1717" s="9">
        <f t="shared" si="80"/>
        <v>1709</v>
      </c>
      <c r="B1717" s="15"/>
      <c r="C1717" s="11">
        <f t="shared" si="79"/>
        <v>1</v>
      </c>
      <c r="D1717" s="11"/>
      <c r="E1717" s="11"/>
      <c r="F1717" s="11"/>
      <c r="G1717" s="89">
        <f>IFERROR(VLOOKUP(F1717,COA!$A$1:$K$26,2,FALSE),0)</f>
        <v>0</v>
      </c>
      <c r="H1717" s="11"/>
      <c r="I1717" s="11"/>
      <c r="J1717" s="78"/>
      <c r="K1717" s="78"/>
      <c r="L1717" s="146">
        <f t="shared" si="81"/>
        <v>504000</v>
      </c>
      <c r="M1717" s="73"/>
      <c r="N1717" s="73"/>
      <c r="O1717" s="73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14.25" customHeight="1" x14ac:dyDescent="0.35">
      <c r="A1718" s="9">
        <f t="shared" si="80"/>
        <v>1710</v>
      </c>
      <c r="B1718" s="15"/>
      <c r="C1718" s="11">
        <f t="shared" si="79"/>
        <v>1</v>
      </c>
      <c r="D1718" s="11"/>
      <c r="E1718" s="11"/>
      <c r="F1718" s="11"/>
      <c r="G1718" s="89">
        <f>IFERROR(VLOOKUP(F1718,COA!$A$1:$K$26,2,FALSE),0)</f>
        <v>0</v>
      </c>
      <c r="H1718" s="11"/>
      <c r="I1718" s="11"/>
      <c r="J1718" s="78"/>
      <c r="K1718" s="78"/>
      <c r="L1718" s="146">
        <f t="shared" si="81"/>
        <v>504000</v>
      </c>
      <c r="M1718" s="73"/>
      <c r="N1718" s="73"/>
      <c r="O1718" s="73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14.25" customHeight="1" x14ac:dyDescent="0.35">
      <c r="A1719" s="9">
        <f t="shared" si="80"/>
        <v>1711</v>
      </c>
      <c r="B1719" s="15"/>
      <c r="C1719" s="11">
        <f t="shared" si="79"/>
        <v>1</v>
      </c>
      <c r="D1719" s="11"/>
      <c r="E1719" s="11"/>
      <c r="F1719" s="11"/>
      <c r="G1719" s="89">
        <f>IFERROR(VLOOKUP(F1719,COA!$A$1:$K$26,2,FALSE),0)</f>
        <v>0</v>
      </c>
      <c r="H1719" s="11"/>
      <c r="I1719" s="11"/>
      <c r="J1719" s="78"/>
      <c r="K1719" s="78"/>
      <c r="L1719" s="146">
        <f t="shared" si="81"/>
        <v>504000</v>
      </c>
      <c r="M1719" s="73"/>
      <c r="N1719" s="73"/>
      <c r="O1719" s="73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14.25" customHeight="1" x14ac:dyDescent="0.35">
      <c r="A1720" s="9">
        <f t="shared" si="80"/>
        <v>1712</v>
      </c>
      <c r="B1720" s="15"/>
      <c r="C1720" s="11">
        <f t="shared" si="79"/>
        <v>1</v>
      </c>
      <c r="D1720" s="11"/>
      <c r="E1720" s="11"/>
      <c r="F1720" s="11"/>
      <c r="G1720" s="89">
        <f>IFERROR(VLOOKUP(F1720,COA!$A$1:$K$26,2,FALSE),0)</f>
        <v>0</v>
      </c>
      <c r="H1720" s="11"/>
      <c r="I1720" s="11"/>
      <c r="J1720" s="78"/>
      <c r="K1720" s="78"/>
      <c r="L1720" s="146">
        <f t="shared" si="81"/>
        <v>504000</v>
      </c>
      <c r="M1720" s="73"/>
      <c r="N1720" s="73"/>
      <c r="O1720" s="73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14.25" customHeight="1" x14ac:dyDescent="0.35">
      <c r="A1721" s="9">
        <f t="shared" si="80"/>
        <v>1713</v>
      </c>
      <c r="B1721" s="15"/>
      <c r="C1721" s="11">
        <f t="shared" si="79"/>
        <v>1</v>
      </c>
      <c r="D1721" s="11"/>
      <c r="E1721" s="11"/>
      <c r="F1721" s="11"/>
      <c r="G1721" s="89">
        <f>IFERROR(VLOOKUP(F1721,COA!$A$1:$K$26,2,FALSE),0)</f>
        <v>0</v>
      </c>
      <c r="H1721" s="11"/>
      <c r="I1721" s="11"/>
      <c r="J1721" s="78"/>
      <c r="K1721" s="78"/>
      <c r="L1721" s="146">
        <f t="shared" si="81"/>
        <v>504000</v>
      </c>
      <c r="M1721" s="73"/>
      <c r="N1721" s="73"/>
      <c r="O1721" s="73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14.25" customHeight="1" x14ac:dyDescent="0.35">
      <c r="A1722" s="9">
        <f t="shared" si="80"/>
        <v>1714</v>
      </c>
      <c r="B1722" s="15"/>
      <c r="C1722" s="11">
        <f t="shared" si="79"/>
        <v>1</v>
      </c>
      <c r="D1722" s="11"/>
      <c r="E1722" s="11"/>
      <c r="F1722" s="11"/>
      <c r="G1722" s="89">
        <f>IFERROR(VLOOKUP(F1722,COA!$A$1:$K$26,2,FALSE),0)</f>
        <v>0</v>
      </c>
      <c r="H1722" s="11"/>
      <c r="I1722" s="11"/>
      <c r="J1722" s="78"/>
      <c r="K1722" s="78"/>
      <c r="L1722" s="146">
        <f t="shared" si="81"/>
        <v>504000</v>
      </c>
      <c r="M1722" s="73"/>
      <c r="N1722" s="73"/>
      <c r="O1722" s="73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14.25" customHeight="1" x14ac:dyDescent="0.35">
      <c r="A1723" s="9">
        <f t="shared" si="80"/>
        <v>1715</v>
      </c>
      <c r="B1723" s="15"/>
      <c r="C1723" s="11">
        <f t="shared" si="79"/>
        <v>1</v>
      </c>
      <c r="D1723" s="11"/>
      <c r="E1723" s="11"/>
      <c r="F1723" s="11"/>
      <c r="G1723" s="89">
        <f>IFERROR(VLOOKUP(F1723,COA!$A$1:$K$26,2,FALSE),0)</f>
        <v>0</v>
      </c>
      <c r="H1723" s="11"/>
      <c r="I1723" s="11"/>
      <c r="J1723" s="78"/>
      <c r="K1723" s="78"/>
      <c r="L1723" s="146">
        <f t="shared" si="81"/>
        <v>504000</v>
      </c>
      <c r="M1723" s="73"/>
      <c r="N1723" s="73"/>
      <c r="O1723" s="73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14.25" customHeight="1" x14ac:dyDescent="0.35">
      <c r="A1724" s="9">
        <f t="shared" si="80"/>
        <v>1716</v>
      </c>
      <c r="B1724" s="15"/>
      <c r="C1724" s="11">
        <f t="shared" si="79"/>
        <v>1</v>
      </c>
      <c r="D1724" s="11"/>
      <c r="E1724" s="11"/>
      <c r="F1724" s="11"/>
      <c r="G1724" s="89">
        <f>IFERROR(VLOOKUP(F1724,COA!$A$1:$K$26,2,FALSE),0)</f>
        <v>0</v>
      </c>
      <c r="H1724" s="11"/>
      <c r="I1724" s="11"/>
      <c r="J1724" s="78"/>
      <c r="K1724" s="78"/>
      <c r="L1724" s="146">
        <f t="shared" si="81"/>
        <v>504000</v>
      </c>
      <c r="M1724" s="73"/>
      <c r="N1724" s="73"/>
      <c r="O1724" s="73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14.25" customHeight="1" x14ac:dyDescent="0.35">
      <c r="A1725" s="9">
        <f t="shared" si="80"/>
        <v>1717</v>
      </c>
      <c r="B1725" s="15"/>
      <c r="C1725" s="11">
        <f t="shared" si="79"/>
        <v>1</v>
      </c>
      <c r="D1725" s="11"/>
      <c r="E1725" s="11"/>
      <c r="F1725" s="11"/>
      <c r="G1725" s="89">
        <f>IFERROR(VLOOKUP(F1725,COA!$A$1:$K$26,2,FALSE),0)</f>
        <v>0</v>
      </c>
      <c r="H1725" s="11"/>
      <c r="I1725" s="11"/>
      <c r="J1725" s="78"/>
      <c r="K1725" s="78"/>
      <c r="L1725" s="146">
        <f t="shared" si="81"/>
        <v>504000</v>
      </c>
      <c r="M1725" s="73"/>
      <c r="N1725" s="73"/>
      <c r="O1725" s="73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14.25" customHeight="1" x14ac:dyDescent="0.35">
      <c r="A1726" s="9">
        <f t="shared" si="80"/>
        <v>1718</v>
      </c>
      <c r="B1726" s="15"/>
      <c r="C1726" s="11">
        <f t="shared" si="79"/>
        <v>1</v>
      </c>
      <c r="D1726" s="11"/>
      <c r="E1726" s="11"/>
      <c r="F1726" s="11"/>
      <c r="G1726" s="89">
        <f>IFERROR(VLOOKUP(F1726,COA!$A$1:$K$26,2,FALSE),0)</f>
        <v>0</v>
      </c>
      <c r="H1726" s="11"/>
      <c r="I1726" s="11"/>
      <c r="J1726" s="78"/>
      <c r="K1726" s="78"/>
      <c r="L1726" s="146">
        <f t="shared" si="81"/>
        <v>504000</v>
      </c>
      <c r="M1726" s="73"/>
      <c r="N1726" s="73"/>
      <c r="O1726" s="73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14.25" customHeight="1" x14ac:dyDescent="0.35">
      <c r="A1727" s="9">
        <f t="shared" si="80"/>
        <v>1719</v>
      </c>
      <c r="B1727" s="15"/>
      <c r="C1727" s="11">
        <f t="shared" si="79"/>
        <v>1</v>
      </c>
      <c r="D1727" s="11"/>
      <c r="E1727" s="11"/>
      <c r="F1727" s="11"/>
      <c r="G1727" s="89">
        <f>IFERROR(VLOOKUP(F1727,COA!$A$1:$K$26,2,FALSE),0)</f>
        <v>0</v>
      </c>
      <c r="H1727" s="11"/>
      <c r="I1727" s="11"/>
      <c r="J1727" s="78"/>
      <c r="K1727" s="78"/>
      <c r="L1727" s="146">
        <f t="shared" si="81"/>
        <v>504000</v>
      </c>
      <c r="M1727" s="73"/>
      <c r="N1727" s="73"/>
      <c r="O1727" s="73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14.25" customHeight="1" x14ac:dyDescent="0.35">
      <c r="A1728" s="9">
        <f t="shared" si="80"/>
        <v>1720</v>
      </c>
      <c r="B1728" s="15"/>
      <c r="C1728" s="11">
        <f t="shared" si="79"/>
        <v>1</v>
      </c>
      <c r="D1728" s="11"/>
      <c r="E1728" s="11"/>
      <c r="F1728" s="11"/>
      <c r="G1728" s="89">
        <f>IFERROR(VLOOKUP(F1728,COA!$A$1:$K$26,2,FALSE),0)</f>
        <v>0</v>
      </c>
      <c r="H1728" s="11"/>
      <c r="I1728" s="11"/>
      <c r="J1728" s="78"/>
      <c r="K1728" s="78"/>
      <c r="L1728" s="146">
        <f t="shared" si="81"/>
        <v>504000</v>
      </c>
      <c r="M1728" s="73"/>
      <c r="N1728" s="73"/>
      <c r="O1728" s="73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14.25" customHeight="1" x14ac:dyDescent="0.35">
      <c r="A1729" s="9">
        <f t="shared" si="80"/>
        <v>1721</v>
      </c>
      <c r="B1729" s="15"/>
      <c r="C1729" s="11">
        <f t="shared" si="79"/>
        <v>1</v>
      </c>
      <c r="D1729" s="11"/>
      <c r="E1729" s="11"/>
      <c r="F1729" s="11"/>
      <c r="G1729" s="89">
        <f>IFERROR(VLOOKUP(F1729,COA!$A$1:$K$26,2,FALSE),0)</f>
        <v>0</v>
      </c>
      <c r="H1729" s="11"/>
      <c r="I1729" s="11"/>
      <c r="J1729" s="78"/>
      <c r="K1729" s="78"/>
      <c r="L1729" s="146">
        <f t="shared" si="81"/>
        <v>504000</v>
      </c>
      <c r="M1729" s="73"/>
      <c r="N1729" s="73"/>
      <c r="O1729" s="73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14.25" customHeight="1" x14ac:dyDescent="0.35">
      <c r="A1730" s="9">
        <f t="shared" si="80"/>
        <v>1722</v>
      </c>
      <c r="B1730" s="15"/>
      <c r="C1730" s="11">
        <f t="shared" si="79"/>
        <v>1</v>
      </c>
      <c r="D1730" s="11"/>
      <c r="E1730" s="11"/>
      <c r="F1730" s="11"/>
      <c r="G1730" s="89">
        <f>IFERROR(VLOOKUP(F1730,COA!$A$1:$K$26,2,FALSE),0)</f>
        <v>0</v>
      </c>
      <c r="H1730" s="11"/>
      <c r="I1730" s="11"/>
      <c r="J1730" s="78"/>
      <c r="K1730" s="78"/>
      <c r="L1730" s="146">
        <f t="shared" si="81"/>
        <v>504000</v>
      </c>
      <c r="M1730" s="73"/>
      <c r="N1730" s="73"/>
      <c r="O1730" s="73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14.25" customHeight="1" x14ac:dyDescent="0.35">
      <c r="A1731" s="9">
        <f t="shared" si="80"/>
        <v>1723</v>
      </c>
      <c r="B1731" s="15"/>
      <c r="C1731" s="11">
        <f t="shared" si="79"/>
        <v>1</v>
      </c>
      <c r="D1731" s="11"/>
      <c r="E1731" s="11"/>
      <c r="F1731" s="11"/>
      <c r="G1731" s="89">
        <f>IFERROR(VLOOKUP(F1731,COA!$A$1:$K$26,2,FALSE),0)</f>
        <v>0</v>
      </c>
      <c r="H1731" s="11"/>
      <c r="I1731" s="11"/>
      <c r="J1731" s="78"/>
      <c r="K1731" s="78"/>
      <c r="L1731" s="146">
        <f t="shared" si="81"/>
        <v>504000</v>
      </c>
      <c r="M1731" s="73"/>
      <c r="N1731" s="73"/>
      <c r="O1731" s="73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14.25" customHeight="1" x14ac:dyDescent="0.35">
      <c r="A1732" s="9">
        <f t="shared" si="80"/>
        <v>1724</v>
      </c>
      <c r="B1732" s="15"/>
      <c r="C1732" s="11">
        <f t="shared" si="79"/>
        <v>1</v>
      </c>
      <c r="D1732" s="11"/>
      <c r="E1732" s="11"/>
      <c r="F1732" s="11"/>
      <c r="G1732" s="89">
        <f>IFERROR(VLOOKUP(F1732,COA!$A$1:$K$26,2,FALSE),0)</f>
        <v>0</v>
      </c>
      <c r="H1732" s="11"/>
      <c r="I1732" s="11"/>
      <c r="J1732" s="78"/>
      <c r="K1732" s="78"/>
      <c r="L1732" s="146">
        <f t="shared" si="81"/>
        <v>504000</v>
      </c>
      <c r="M1732" s="73"/>
      <c r="N1732" s="73"/>
      <c r="O1732" s="73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14.25" customHeight="1" x14ac:dyDescent="0.35">
      <c r="A1733" s="9">
        <f t="shared" si="80"/>
        <v>1725</v>
      </c>
      <c r="B1733" s="15"/>
      <c r="C1733" s="11">
        <f t="shared" si="79"/>
        <v>1</v>
      </c>
      <c r="D1733" s="11"/>
      <c r="E1733" s="11"/>
      <c r="F1733" s="11"/>
      <c r="G1733" s="89">
        <f>IFERROR(VLOOKUP(F1733,COA!$A$1:$K$26,2,FALSE),0)</f>
        <v>0</v>
      </c>
      <c r="H1733" s="11"/>
      <c r="I1733" s="11"/>
      <c r="J1733" s="78"/>
      <c r="K1733" s="78"/>
      <c r="L1733" s="146">
        <f t="shared" si="81"/>
        <v>504000</v>
      </c>
      <c r="M1733" s="73"/>
      <c r="N1733" s="73"/>
      <c r="O1733" s="73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14.25" customHeight="1" x14ac:dyDescent="0.35">
      <c r="A1734" s="9">
        <f t="shared" si="80"/>
        <v>1726</v>
      </c>
      <c r="B1734" s="15"/>
      <c r="C1734" s="11">
        <f t="shared" si="79"/>
        <v>1</v>
      </c>
      <c r="D1734" s="11"/>
      <c r="E1734" s="11"/>
      <c r="F1734" s="11"/>
      <c r="G1734" s="89">
        <f>IFERROR(VLOOKUP(F1734,COA!$A$1:$K$26,2,FALSE),0)</f>
        <v>0</v>
      </c>
      <c r="H1734" s="11"/>
      <c r="I1734" s="11"/>
      <c r="J1734" s="78"/>
      <c r="K1734" s="78"/>
      <c r="L1734" s="146">
        <f t="shared" si="81"/>
        <v>504000</v>
      </c>
      <c r="M1734" s="73"/>
      <c r="N1734" s="73"/>
      <c r="O1734" s="73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14.25" customHeight="1" x14ac:dyDescent="0.35">
      <c r="A1735" s="9">
        <f t="shared" si="80"/>
        <v>1727</v>
      </c>
      <c r="B1735" s="15"/>
      <c r="C1735" s="11">
        <f t="shared" si="79"/>
        <v>1</v>
      </c>
      <c r="D1735" s="11"/>
      <c r="E1735" s="11"/>
      <c r="F1735" s="11"/>
      <c r="G1735" s="89">
        <f>IFERROR(VLOOKUP(F1735,COA!$A$1:$K$26,2,FALSE),0)</f>
        <v>0</v>
      </c>
      <c r="H1735" s="11"/>
      <c r="I1735" s="11"/>
      <c r="J1735" s="78"/>
      <c r="K1735" s="78"/>
      <c r="L1735" s="146">
        <f t="shared" si="81"/>
        <v>504000</v>
      </c>
      <c r="M1735" s="73"/>
      <c r="N1735" s="73"/>
      <c r="O1735" s="73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14.25" customHeight="1" x14ac:dyDescent="0.35">
      <c r="A1736" s="9">
        <f t="shared" si="80"/>
        <v>1728</v>
      </c>
      <c r="B1736" s="15"/>
      <c r="C1736" s="11">
        <f t="shared" ref="C1736:C1738" si="82">MONTH(B1736)</f>
        <v>1</v>
      </c>
      <c r="D1736" s="11"/>
      <c r="E1736" s="11"/>
      <c r="F1736" s="11"/>
      <c r="G1736" s="89">
        <f>IFERROR(VLOOKUP(F1736,COA!$A$1:$K$26,2,FALSE),0)</f>
        <v>0</v>
      </c>
      <c r="H1736" s="11"/>
      <c r="I1736" s="11"/>
      <c r="J1736" s="78"/>
      <c r="K1736" s="78"/>
      <c r="L1736" s="146">
        <f t="shared" si="81"/>
        <v>504000</v>
      </c>
      <c r="M1736" s="73"/>
      <c r="N1736" s="73"/>
      <c r="O1736" s="73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14.25" customHeight="1" x14ac:dyDescent="0.35">
      <c r="A1737" s="9">
        <f t="shared" si="80"/>
        <v>1729</v>
      </c>
      <c r="B1737" s="15"/>
      <c r="C1737" s="11">
        <f t="shared" si="82"/>
        <v>1</v>
      </c>
      <c r="D1737" s="11"/>
      <c r="E1737" s="11"/>
      <c r="F1737" s="11"/>
      <c r="G1737" s="89">
        <f>IFERROR(VLOOKUP(F1737,COA!$A$1:$K$26,2,FALSE),0)</f>
        <v>0</v>
      </c>
      <c r="H1737" s="11"/>
      <c r="I1737" s="11"/>
      <c r="J1737" s="78"/>
      <c r="K1737" s="78"/>
      <c r="L1737" s="146">
        <f t="shared" si="81"/>
        <v>504000</v>
      </c>
      <c r="M1737" s="73"/>
      <c r="N1737" s="73"/>
      <c r="O1737" s="73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14.25" customHeight="1" x14ac:dyDescent="0.35">
      <c r="A1738" s="9">
        <f t="shared" si="80"/>
        <v>1730</v>
      </c>
      <c r="B1738" s="15"/>
      <c r="C1738" s="11">
        <f t="shared" si="82"/>
        <v>1</v>
      </c>
      <c r="D1738" s="11"/>
      <c r="E1738" s="11"/>
      <c r="F1738" s="11"/>
      <c r="G1738" s="89">
        <f>IFERROR(VLOOKUP(F1738,COA!$A$1:$K$26,2,FALSE),0)</f>
        <v>0</v>
      </c>
      <c r="H1738" s="11"/>
      <c r="I1738" s="11"/>
      <c r="J1738" s="78"/>
      <c r="K1738" s="78"/>
      <c r="L1738" s="146">
        <f t="shared" si="81"/>
        <v>504000</v>
      </c>
      <c r="M1738" s="73"/>
      <c r="N1738" s="73"/>
      <c r="O1738" s="73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14.25" customHeight="1" x14ac:dyDescent="0.35">
      <c r="A1739" s="9">
        <f t="shared" ref="A1739" si="83">A1738+1</f>
        <v>1731</v>
      </c>
      <c r="B1739" s="15"/>
      <c r="C1739" s="15"/>
      <c r="D1739" s="11"/>
      <c r="E1739" s="11"/>
      <c r="F1739" s="11"/>
      <c r="G1739" s="11"/>
      <c r="H1739" s="11"/>
      <c r="I1739" s="11"/>
      <c r="J1739" s="80">
        <f>SUBTOTAL(9,J9:J1738)</f>
        <v>504000</v>
      </c>
      <c r="K1739" s="80">
        <f>SUBTOTAL(9,K9:K1738)</f>
        <v>0</v>
      </c>
      <c r="L1739" s="84">
        <f>L8+J1739-K1739</f>
        <v>504000</v>
      </c>
      <c r="M1739" s="73"/>
      <c r="N1739" s="73"/>
      <c r="O1739" s="73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14.25" customHeight="1" x14ac:dyDescent="0.35">
      <c r="A1740" s="23"/>
      <c r="B1740" s="6"/>
      <c r="C1740" s="6"/>
      <c r="D1740" s="2"/>
      <c r="E1740" s="2"/>
      <c r="F1740" s="2"/>
      <c r="G1740" s="2"/>
      <c r="H1740" s="2"/>
      <c r="I1740" s="2"/>
      <c r="J1740" s="73"/>
      <c r="K1740" s="73"/>
      <c r="L1740" s="73">
        <f>L1738-L1739</f>
        <v>0</v>
      </c>
      <c r="M1740" s="73"/>
      <c r="N1740" s="73"/>
      <c r="O1740" s="73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14.25" customHeight="1" x14ac:dyDescent="0.35">
      <c r="A1741" s="23"/>
      <c r="B1741" s="6"/>
      <c r="C1741" s="6"/>
      <c r="D1741" s="2"/>
      <c r="E1741" s="2"/>
      <c r="F1741" s="2"/>
      <c r="G1741" s="2"/>
      <c r="H1741" s="2"/>
      <c r="I1741" s="2"/>
      <c r="J1741" s="73"/>
      <c r="K1741" s="73"/>
      <c r="L1741" s="73"/>
      <c r="M1741" s="73"/>
      <c r="N1741" s="73"/>
      <c r="O1741" s="73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14.25" customHeight="1" x14ac:dyDescent="0.35">
      <c r="A1742" s="23"/>
      <c r="B1742" s="6"/>
      <c r="C1742" s="6"/>
      <c r="D1742" s="2"/>
      <c r="E1742" s="2"/>
      <c r="F1742" s="2"/>
      <c r="G1742" s="2"/>
      <c r="H1742" s="2"/>
      <c r="I1742" s="2"/>
      <c r="J1742" s="73"/>
      <c r="K1742" s="73"/>
      <c r="L1742" s="73"/>
      <c r="M1742" s="73"/>
      <c r="N1742" s="73"/>
      <c r="O1742" s="73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14.25" customHeight="1" x14ac:dyDescent="0.35">
      <c r="A1743" s="23"/>
      <c r="B1743" s="6"/>
      <c r="C1743" s="6"/>
      <c r="D1743" s="2"/>
      <c r="E1743" s="2"/>
      <c r="F1743" s="2"/>
      <c r="G1743" s="2"/>
      <c r="H1743" s="2"/>
      <c r="I1743" s="2"/>
      <c r="J1743" s="73"/>
      <c r="K1743" s="73"/>
      <c r="L1743" s="73"/>
      <c r="M1743" s="73"/>
      <c r="N1743" s="73"/>
      <c r="O1743" s="73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14.25" customHeight="1" x14ac:dyDescent="0.35">
      <c r="A1744" s="23"/>
      <c r="B1744" s="6"/>
      <c r="C1744" s="6"/>
      <c r="D1744" s="2"/>
      <c r="E1744" s="2"/>
      <c r="F1744" s="2"/>
      <c r="G1744" s="2"/>
      <c r="H1744" s="2"/>
      <c r="I1744" s="2"/>
      <c r="J1744" s="73"/>
      <c r="K1744" s="73"/>
      <c r="L1744" s="73"/>
      <c r="M1744" s="73"/>
      <c r="N1744" s="73"/>
      <c r="O1744" s="73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14.25" customHeight="1" x14ac:dyDescent="0.35">
      <c r="A1745" s="23"/>
      <c r="B1745" s="6"/>
      <c r="C1745" s="6"/>
      <c r="D1745" s="2"/>
      <c r="E1745" s="2"/>
      <c r="F1745" s="2"/>
      <c r="G1745" s="2"/>
      <c r="H1745" s="2"/>
      <c r="I1745" s="2"/>
      <c r="J1745" s="73"/>
      <c r="K1745" s="73"/>
      <c r="L1745" s="73"/>
      <c r="M1745" s="73"/>
      <c r="N1745" s="73"/>
      <c r="O1745" s="73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14.25" customHeight="1" x14ac:dyDescent="0.35">
      <c r="A1746" s="23"/>
      <c r="B1746" s="6"/>
      <c r="C1746" s="6"/>
      <c r="D1746" s="2"/>
      <c r="E1746" s="2"/>
      <c r="F1746" s="2"/>
      <c r="G1746" s="2"/>
      <c r="H1746" s="2"/>
      <c r="I1746" s="2"/>
      <c r="J1746" s="73"/>
      <c r="K1746" s="73"/>
      <c r="L1746" s="73"/>
      <c r="M1746" s="73"/>
      <c r="N1746" s="73"/>
      <c r="O1746" s="73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14.25" customHeight="1" x14ac:dyDescent="0.35">
      <c r="A1747" s="23"/>
      <c r="B1747" s="6"/>
      <c r="C1747" s="6"/>
      <c r="D1747" s="2"/>
      <c r="E1747" s="2"/>
      <c r="F1747" s="2"/>
      <c r="G1747" s="2"/>
      <c r="H1747" s="2"/>
      <c r="I1747" s="2"/>
      <c r="J1747" s="73"/>
      <c r="K1747" s="73"/>
      <c r="L1747" s="73"/>
      <c r="M1747" s="73"/>
      <c r="N1747" s="73"/>
      <c r="O1747" s="73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14.25" customHeight="1" x14ac:dyDescent="0.35">
      <c r="A1748" s="23"/>
      <c r="B1748" s="6"/>
      <c r="C1748" s="6"/>
      <c r="D1748" s="2"/>
      <c r="E1748" s="2"/>
      <c r="F1748" s="2"/>
      <c r="G1748" s="2"/>
      <c r="H1748" s="2"/>
      <c r="I1748" s="2"/>
      <c r="J1748" s="73"/>
      <c r="K1748" s="73"/>
      <c r="L1748" s="73"/>
      <c r="M1748" s="73"/>
      <c r="N1748" s="73"/>
      <c r="O1748" s="73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14.25" customHeight="1" x14ac:dyDescent="0.35">
      <c r="A1749" s="23"/>
      <c r="B1749" s="6"/>
      <c r="C1749" s="6"/>
      <c r="D1749" s="2"/>
      <c r="E1749" s="2"/>
      <c r="F1749" s="2"/>
      <c r="G1749" s="2"/>
      <c r="H1749" s="2"/>
      <c r="I1749" s="2"/>
      <c r="J1749" s="73"/>
      <c r="K1749" s="73"/>
      <c r="L1749" s="73"/>
      <c r="M1749" s="73"/>
      <c r="N1749" s="73"/>
      <c r="O1749" s="73"/>
      <c r="P1749" s="2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 spans="1:29" ht="14.25" customHeight="1" x14ac:dyDescent="0.35">
      <c r="A1750" s="23"/>
      <c r="B1750" s="6"/>
      <c r="C1750" s="6"/>
      <c r="D1750" s="2"/>
      <c r="E1750" s="2"/>
      <c r="F1750" s="2"/>
      <c r="G1750" s="2"/>
      <c r="H1750" s="2"/>
      <c r="I1750" s="2"/>
      <c r="J1750" s="73"/>
      <c r="K1750" s="73"/>
      <c r="L1750" s="73"/>
      <c r="M1750" s="73"/>
      <c r="N1750" s="73"/>
      <c r="O1750" s="73"/>
      <c r="P1750" s="2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 spans="1:29" ht="14.25" customHeight="1" x14ac:dyDescent="0.35">
      <c r="A1751" s="23"/>
      <c r="B1751" s="6"/>
      <c r="C1751" s="6"/>
      <c r="D1751" s="2"/>
      <c r="E1751" s="2"/>
      <c r="F1751" s="2"/>
      <c r="G1751" s="2"/>
      <c r="H1751" s="2"/>
      <c r="I1751" s="2"/>
      <c r="J1751" s="73"/>
      <c r="K1751" s="73"/>
      <c r="L1751" s="73"/>
      <c r="M1751" s="73"/>
      <c r="N1751" s="73"/>
      <c r="O1751" s="73"/>
      <c r="P1751" s="2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 spans="1:29" ht="14.25" customHeight="1" x14ac:dyDescent="0.35">
      <c r="A1752" s="23"/>
      <c r="B1752" s="6"/>
      <c r="C1752" s="6"/>
      <c r="D1752" s="2"/>
      <c r="E1752" s="2"/>
      <c r="F1752" s="2"/>
      <c r="G1752" s="2"/>
      <c r="H1752" s="2"/>
      <c r="I1752" s="2"/>
      <c r="J1752" s="73"/>
      <c r="K1752" s="73"/>
      <c r="L1752" s="73"/>
      <c r="M1752" s="73"/>
      <c r="N1752" s="73"/>
      <c r="O1752" s="73"/>
      <c r="P1752" s="2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 spans="1:29" ht="14.25" customHeight="1" x14ac:dyDescent="0.35">
      <c r="A1753" s="23"/>
      <c r="B1753" s="6"/>
      <c r="C1753" s="6"/>
      <c r="D1753" s="2"/>
      <c r="E1753" s="2"/>
      <c r="F1753" s="2"/>
      <c r="G1753" s="2"/>
      <c r="H1753" s="2"/>
      <c r="I1753" s="2"/>
      <c r="J1753" s="73"/>
      <c r="K1753" s="73"/>
      <c r="L1753" s="73"/>
      <c r="M1753" s="73"/>
      <c r="N1753" s="73"/>
      <c r="O1753" s="73"/>
      <c r="P1753" s="2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 spans="1:29" ht="14.25" customHeight="1" x14ac:dyDescent="0.35">
      <c r="A1754" s="23"/>
      <c r="B1754" s="6"/>
      <c r="C1754" s="6"/>
      <c r="D1754" s="2"/>
      <c r="E1754" s="2"/>
      <c r="F1754" s="2"/>
      <c r="G1754" s="2"/>
      <c r="H1754" s="2"/>
      <c r="I1754" s="2"/>
      <c r="J1754" s="73"/>
      <c r="K1754" s="73"/>
      <c r="L1754" s="73"/>
      <c r="M1754" s="73"/>
      <c r="N1754" s="73"/>
      <c r="O1754" s="73"/>
      <c r="P1754" s="2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 spans="1:29" ht="14.25" customHeight="1" x14ac:dyDescent="0.35">
      <c r="A1755" s="23"/>
      <c r="B1755" s="6"/>
      <c r="C1755" s="6"/>
      <c r="D1755" s="2"/>
      <c r="E1755" s="2"/>
      <c r="F1755" s="2"/>
      <c r="G1755" s="2"/>
      <c r="H1755" s="2"/>
      <c r="I1755" s="2"/>
      <c r="J1755" s="73"/>
      <c r="K1755" s="73"/>
      <c r="L1755" s="73"/>
      <c r="M1755" s="73"/>
      <c r="N1755" s="73"/>
      <c r="O1755" s="73"/>
      <c r="P1755" s="2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 spans="1:29" ht="14.25" customHeight="1" x14ac:dyDescent="0.35">
      <c r="A1756" s="23"/>
      <c r="B1756" s="6"/>
      <c r="C1756" s="6"/>
      <c r="D1756" s="2"/>
      <c r="E1756" s="2"/>
      <c r="F1756" s="2"/>
      <c r="G1756" s="2"/>
      <c r="H1756" s="2"/>
      <c r="I1756" s="2"/>
      <c r="J1756" s="73"/>
      <c r="K1756" s="73"/>
      <c r="L1756" s="73"/>
      <c r="M1756" s="73"/>
      <c r="N1756" s="73"/>
      <c r="O1756" s="73"/>
      <c r="P1756" s="2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 spans="1:29" ht="14.25" customHeight="1" x14ac:dyDescent="0.35">
      <c r="A1757" s="23"/>
      <c r="B1757" s="6"/>
      <c r="C1757" s="6"/>
      <c r="D1757" s="2"/>
      <c r="E1757" s="2"/>
      <c r="F1757" s="2"/>
      <c r="G1757" s="2"/>
      <c r="H1757" s="2"/>
      <c r="I1757" s="2"/>
      <c r="J1757" s="73"/>
      <c r="K1757" s="73"/>
      <c r="L1757" s="73"/>
      <c r="M1757" s="73"/>
      <c r="N1757" s="73"/>
      <c r="O1757" s="73"/>
      <c r="P1757" s="2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 spans="1:29" ht="14.25" customHeight="1" x14ac:dyDescent="0.35">
      <c r="A1758" s="23"/>
      <c r="B1758" s="6"/>
      <c r="C1758" s="6"/>
      <c r="D1758" s="2"/>
      <c r="E1758" s="2"/>
      <c r="F1758" s="2"/>
      <c r="G1758" s="2"/>
      <c r="H1758" s="2"/>
      <c r="I1758" s="2"/>
      <c r="J1758" s="73"/>
      <c r="K1758" s="73"/>
      <c r="L1758" s="73"/>
      <c r="M1758" s="73"/>
      <c r="N1758" s="73"/>
      <c r="O1758" s="73"/>
      <c r="P1758" s="2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 spans="1:29" ht="14.25" customHeight="1" x14ac:dyDescent="0.35">
      <c r="A1759" s="23"/>
      <c r="B1759" s="6"/>
      <c r="C1759" s="6"/>
      <c r="D1759" s="2"/>
      <c r="E1759" s="2"/>
      <c r="F1759" s="2"/>
      <c r="G1759" s="2"/>
      <c r="H1759" s="2"/>
      <c r="I1759" s="2"/>
      <c r="J1759" s="73"/>
      <c r="K1759" s="73"/>
      <c r="L1759" s="73"/>
      <c r="M1759" s="73"/>
      <c r="N1759" s="73"/>
      <c r="O1759" s="73"/>
      <c r="P1759" s="2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 spans="1:29" ht="14.25" customHeight="1" x14ac:dyDescent="0.35">
      <c r="A1760" s="23"/>
      <c r="B1760" s="6"/>
      <c r="C1760" s="6"/>
      <c r="D1760" s="2"/>
      <c r="E1760" s="2"/>
      <c r="F1760" s="2"/>
      <c r="G1760" s="2"/>
      <c r="H1760" s="2"/>
      <c r="I1760" s="2"/>
      <c r="J1760" s="73"/>
      <c r="K1760" s="73"/>
      <c r="L1760" s="73"/>
      <c r="M1760" s="73"/>
      <c r="N1760" s="73"/>
      <c r="O1760" s="73"/>
      <c r="P1760" s="2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 spans="1:29" ht="14.25" customHeight="1" x14ac:dyDescent="0.35">
      <c r="A1761" s="23"/>
      <c r="B1761" s="6"/>
      <c r="C1761" s="6"/>
      <c r="D1761" s="2"/>
      <c r="E1761" s="2"/>
      <c r="F1761" s="2"/>
      <c r="G1761" s="2"/>
      <c r="H1761" s="2"/>
      <c r="I1761" s="2"/>
      <c r="J1761" s="73"/>
      <c r="K1761" s="73"/>
      <c r="L1761" s="73"/>
      <c r="M1761" s="73"/>
      <c r="N1761" s="73"/>
      <c r="O1761" s="73"/>
      <c r="P1761" s="2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 spans="1:29" ht="14.25" customHeight="1" x14ac:dyDescent="0.35">
      <c r="A1762" s="23"/>
      <c r="B1762" s="6"/>
      <c r="C1762" s="6"/>
      <c r="D1762" s="2"/>
      <c r="E1762" s="2"/>
      <c r="F1762" s="2"/>
      <c r="G1762" s="2"/>
      <c r="H1762" s="2"/>
      <c r="I1762" s="2"/>
      <c r="J1762" s="73"/>
      <c r="K1762" s="73"/>
      <c r="L1762" s="73"/>
      <c r="M1762" s="73"/>
      <c r="N1762" s="73"/>
      <c r="O1762" s="73"/>
      <c r="P1762" s="2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 spans="1:29" ht="14.25" customHeight="1" x14ac:dyDescent="0.35">
      <c r="A1763" s="23"/>
      <c r="B1763" s="6"/>
      <c r="C1763" s="6"/>
      <c r="D1763" s="2"/>
      <c r="E1763" s="2"/>
      <c r="F1763" s="2"/>
      <c r="G1763" s="2"/>
      <c r="H1763" s="2"/>
      <c r="I1763" s="2"/>
      <c r="J1763" s="73"/>
      <c r="K1763" s="73"/>
      <c r="L1763" s="73"/>
      <c r="M1763" s="73"/>
      <c r="N1763" s="73"/>
      <c r="O1763" s="73"/>
      <c r="P1763" s="2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 spans="1:29" ht="14.25" customHeight="1" x14ac:dyDescent="0.35">
      <c r="A1764" s="23"/>
      <c r="B1764" s="6"/>
      <c r="C1764" s="6"/>
      <c r="D1764" s="2"/>
      <c r="E1764" s="2"/>
      <c r="F1764" s="2"/>
      <c r="G1764" s="2"/>
      <c r="H1764" s="2"/>
      <c r="I1764" s="2"/>
      <c r="J1764" s="73"/>
      <c r="K1764" s="73"/>
      <c r="L1764" s="73"/>
      <c r="M1764" s="73"/>
      <c r="N1764" s="73"/>
      <c r="O1764" s="73"/>
      <c r="P1764" s="2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 spans="1:29" ht="14.25" customHeight="1" x14ac:dyDescent="0.35">
      <c r="A1765" s="23"/>
      <c r="B1765" s="6"/>
      <c r="C1765" s="6"/>
      <c r="D1765" s="2"/>
      <c r="E1765" s="2"/>
      <c r="F1765" s="2"/>
      <c r="G1765" s="2"/>
      <c r="H1765" s="2"/>
      <c r="I1765" s="2"/>
      <c r="J1765" s="73"/>
      <c r="K1765" s="73"/>
      <c r="L1765" s="73"/>
      <c r="M1765" s="73"/>
      <c r="N1765" s="73"/>
      <c r="O1765" s="73"/>
      <c r="P1765" s="2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 spans="1:29" ht="14.25" customHeight="1" x14ac:dyDescent="0.35">
      <c r="A1766" s="23"/>
      <c r="B1766" s="6"/>
      <c r="C1766" s="6"/>
      <c r="D1766" s="2"/>
      <c r="E1766" s="2"/>
      <c r="F1766" s="2"/>
      <c r="G1766" s="2"/>
      <c r="H1766" s="2"/>
      <c r="I1766" s="2"/>
      <c r="J1766" s="73"/>
      <c r="K1766" s="73"/>
      <c r="L1766" s="73"/>
      <c r="M1766" s="73"/>
      <c r="N1766" s="73"/>
      <c r="O1766" s="73"/>
      <c r="P1766" s="2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 spans="1:29" ht="14.25" customHeight="1" x14ac:dyDescent="0.35">
      <c r="A1767" s="23"/>
      <c r="B1767" s="6"/>
      <c r="C1767" s="6"/>
      <c r="D1767" s="2"/>
      <c r="E1767" s="2"/>
      <c r="F1767" s="2"/>
      <c r="G1767" s="2"/>
      <c r="H1767" s="2"/>
      <c r="I1767" s="2"/>
      <c r="J1767" s="73"/>
      <c r="K1767" s="73"/>
      <c r="L1767" s="73"/>
      <c r="M1767" s="73"/>
      <c r="N1767" s="73"/>
      <c r="O1767" s="73"/>
      <c r="P1767" s="2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 spans="1:29" ht="14.25" customHeight="1" x14ac:dyDescent="0.35">
      <c r="A1768" s="23"/>
      <c r="B1768" s="6"/>
      <c r="C1768" s="6"/>
      <c r="D1768" s="2"/>
      <c r="E1768" s="2"/>
      <c r="F1768" s="2"/>
      <c r="G1768" s="2"/>
      <c r="H1768" s="2"/>
      <c r="I1768" s="2"/>
      <c r="J1768" s="73"/>
      <c r="K1768" s="73"/>
      <c r="L1768" s="73"/>
      <c r="M1768" s="73"/>
      <c r="N1768" s="73"/>
      <c r="O1768" s="73"/>
      <c r="P1768" s="2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 spans="1:29" ht="14.25" customHeight="1" x14ac:dyDescent="0.35">
      <c r="A1769" s="23"/>
      <c r="B1769" s="6"/>
      <c r="C1769" s="6"/>
      <c r="D1769" s="2"/>
      <c r="E1769" s="2"/>
      <c r="F1769" s="2"/>
      <c r="G1769" s="2"/>
      <c r="H1769" s="2"/>
      <c r="I1769" s="2"/>
      <c r="J1769" s="73"/>
      <c r="K1769" s="73"/>
      <c r="L1769" s="73"/>
      <c r="M1769" s="73"/>
      <c r="N1769" s="73"/>
      <c r="O1769" s="73"/>
      <c r="P1769" s="2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 spans="1:29" ht="14.25" customHeight="1" x14ac:dyDescent="0.35">
      <c r="A1770" s="23"/>
      <c r="B1770" s="6"/>
      <c r="C1770" s="6"/>
      <c r="D1770" s="2"/>
      <c r="E1770" s="2"/>
      <c r="F1770" s="2"/>
      <c r="G1770" s="2"/>
      <c r="H1770" s="2"/>
      <c r="I1770" s="2"/>
      <c r="J1770" s="73"/>
      <c r="K1770" s="73"/>
      <c r="L1770" s="73"/>
      <c r="M1770" s="73"/>
      <c r="N1770" s="73"/>
      <c r="O1770" s="73"/>
      <c r="P1770" s="2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 spans="1:29" ht="14.25" customHeight="1" x14ac:dyDescent="0.35">
      <c r="A1771" s="23"/>
      <c r="B1771" s="6"/>
      <c r="C1771" s="6"/>
      <c r="D1771" s="2"/>
      <c r="E1771" s="2"/>
      <c r="F1771" s="2"/>
      <c r="G1771" s="2"/>
      <c r="H1771" s="2"/>
      <c r="I1771" s="2"/>
      <c r="J1771" s="73"/>
      <c r="K1771" s="73"/>
      <c r="L1771" s="73"/>
      <c r="M1771" s="73"/>
      <c r="N1771" s="73"/>
      <c r="O1771" s="73"/>
      <c r="P1771" s="2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 spans="1:29" ht="14.25" customHeight="1" x14ac:dyDescent="0.35">
      <c r="A1772" s="23"/>
      <c r="B1772" s="6"/>
      <c r="C1772" s="6"/>
      <c r="D1772" s="2"/>
      <c r="E1772" s="2"/>
      <c r="F1772" s="2"/>
      <c r="G1772" s="2"/>
      <c r="H1772" s="2"/>
      <c r="I1772" s="2"/>
      <c r="J1772" s="73"/>
      <c r="K1772" s="73"/>
      <c r="L1772" s="73"/>
      <c r="M1772" s="73"/>
      <c r="N1772" s="73"/>
      <c r="O1772" s="73"/>
      <c r="P1772" s="2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 spans="1:29" ht="14.25" customHeight="1" x14ac:dyDescent="0.35">
      <c r="A1773" s="23"/>
      <c r="B1773" s="6"/>
      <c r="C1773" s="6"/>
      <c r="D1773" s="2"/>
      <c r="E1773" s="2"/>
      <c r="F1773" s="2"/>
      <c r="G1773" s="2"/>
      <c r="H1773" s="2"/>
      <c r="I1773" s="2"/>
      <c r="J1773" s="73"/>
      <c r="K1773" s="73"/>
      <c r="L1773" s="73"/>
      <c r="M1773" s="73"/>
      <c r="N1773" s="73"/>
      <c r="O1773" s="73"/>
      <c r="P1773" s="2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 spans="1:29" ht="14.25" customHeight="1" x14ac:dyDescent="0.35">
      <c r="A1774" s="23"/>
      <c r="B1774" s="6"/>
      <c r="C1774" s="6"/>
      <c r="D1774" s="2"/>
      <c r="E1774" s="2"/>
      <c r="F1774" s="2"/>
      <c r="G1774" s="2"/>
      <c r="H1774" s="2"/>
      <c r="I1774" s="2"/>
      <c r="J1774" s="73"/>
      <c r="K1774" s="73"/>
      <c r="L1774" s="73"/>
      <c r="M1774" s="73"/>
      <c r="N1774" s="73"/>
      <c r="O1774" s="73"/>
      <c r="P1774" s="2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 spans="1:29" ht="14.25" customHeight="1" x14ac:dyDescent="0.35">
      <c r="A1775" s="23"/>
      <c r="B1775" s="6"/>
      <c r="C1775" s="6"/>
      <c r="D1775" s="2"/>
      <c r="E1775" s="2"/>
      <c r="F1775" s="2"/>
      <c r="G1775" s="2"/>
      <c r="H1775" s="2"/>
      <c r="I1775" s="2"/>
      <c r="J1775" s="73"/>
      <c r="K1775" s="73"/>
      <c r="L1775" s="73"/>
      <c r="M1775" s="73"/>
      <c r="N1775" s="73"/>
      <c r="O1775" s="73"/>
      <c r="P1775" s="2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 spans="1:29" ht="14.25" customHeight="1" x14ac:dyDescent="0.35">
      <c r="A1776" s="23"/>
      <c r="B1776" s="6"/>
      <c r="C1776" s="6"/>
      <c r="D1776" s="2"/>
      <c r="E1776" s="2"/>
      <c r="F1776" s="2"/>
      <c r="G1776" s="2"/>
      <c r="H1776" s="2"/>
      <c r="I1776" s="2"/>
      <c r="J1776" s="73"/>
      <c r="K1776" s="73"/>
      <c r="L1776" s="73"/>
      <c r="M1776" s="73"/>
      <c r="N1776" s="73"/>
      <c r="O1776" s="73"/>
      <c r="P1776" s="2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 ht="14.25" customHeight="1" x14ac:dyDescent="0.35">
      <c r="A1777" s="23"/>
      <c r="B1777" s="6"/>
      <c r="C1777" s="6"/>
      <c r="D1777" s="2"/>
      <c r="E1777" s="2"/>
      <c r="F1777" s="2"/>
      <c r="G1777" s="2"/>
      <c r="H1777" s="2"/>
      <c r="I1777" s="2"/>
      <c r="J1777" s="73"/>
      <c r="K1777" s="73"/>
      <c r="L1777" s="73"/>
      <c r="M1777" s="73"/>
      <c r="N1777" s="73"/>
      <c r="O1777" s="73"/>
      <c r="P1777" s="2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 spans="1:29" ht="14.25" customHeight="1" x14ac:dyDescent="0.35">
      <c r="A1778" s="23"/>
      <c r="B1778" s="6"/>
      <c r="C1778" s="6"/>
      <c r="D1778" s="2"/>
      <c r="E1778" s="2"/>
      <c r="F1778" s="2"/>
      <c r="G1778" s="2"/>
      <c r="H1778" s="2"/>
      <c r="I1778" s="2"/>
      <c r="J1778" s="73"/>
      <c r="K1778" s="73"/>
      <c r="L1778" s="73"/>
      <c r="M1778" s="73"/>
      <c r="N1778" s="73"/>
      <c r="O1778" s="73"/>
      <c r="P1778" s="2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29" ht="14.25" customHeight="1" x14ac:dyDescent="0.35">
      <c r="A1779" s="23"/>
      <c r="B1779" s="6"/>
      <c r="C1779" s="6"/>
      <c r="D1779" s="2"/>
      <c r="E1779" s="2"/>
      <c r="F1779" s="2"/>
      <c r="G1779" s="2"/>
      <c r="H1779" s="2"/>
      <c r="I1779" s="2"/>
      <c r="J1779" s="73"/>
      <c r="K1779" s="73"/>
      <c r="L1779" s="73"/>
      <c r="M1779" s="73"/>
      <c r="N1779" s="73"/>
      <c r="O1779" s="73"/>
      <c r="P1779" s="2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 spans="1:29" ht="14.25" customHeight="1" x14ac:dyDescent="0.35">
      <c r="A1780" s="23"/>
      <c r="B1780" s="6"/>
      <c r="C1780" s="6"/>
      <c r="D1780" s="2"/>
      <c r="E1780" s="2"/>
      <c r="F1780" s="2"/>
      <c r="G1780" s="2"/>
      <c r="H1780" s="2"/>
      <c r="I1780" s="2"/>
      <c r="J1780" s="73"/>
      <c r="K1780" s="73"/>
      <c r="L1780" s="73"/>
      <c r="M1780" s="73"/>
      <c r="N1780" s="73"/>
      <c r="O1780" s="73"/>
      <c r="P1780" s="2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 spans="1:29" ht="14.25" customHeight="1" x14ac:dyDescent="0.35">
      <c r="A1781" s="23"/>
      <c r="B1781" s="6"/>
      <c r="C1781" s="6"/>
      <c r="D1781" s="2"/>
      <c r="E1781" s="2"/>
      <c r="F1781" s="2"/>
      <c r="G1781" s="2"/>
      <c r="H1781" s="2"/>
      <c r="I1781" s="2"/>
      <c r="J1781" s="73"/>
      <c r="K1781" s="73"/>
      <c r="L1781" s="73"/>
      <c r="M1781" s="73"/>
      <c r="N1781" s="73"/>
      <c r="O1781" s="73"/>
      <c r="P1781" s="2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 spans="1:29" ht="14.25" customHeight="1" x14ac:dyDescent="0.35">
      <c r="A1782" s="23"/>
      <c r="B1782" s="6"/>
      <c r="C1782" s="6"/>
      <c r="D1782" s="2"/>
      <c r="E1782" s="2"/>
      <c r="F1782" s="2"/>
      <c r="G1782" s="2"/>
      <c r="H1782" s="2"/>
      <c r="I1782" s="2"/>
      <c r="J1782" s="73"/>
      <c r="K1782" s="73"/>
      <c r="L1782" s="73"/>
      <c r="M1782" s="73"/>
      <c r="N1782" s="73"/>
      <c r="O1782" s="73"/>
      <c r="P1782" s="2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 spans="1:29" ht="14.25" customHeight="1" x14ac:dyDescent="0.35">
      <c r="A1783" s="23"/>
      <c r="B1783" s="6"/>
      <c r="C1783" s="6"/>
      <c r="D1783" s="2"/>
      <c r="E1783" s="2"/>
      <c r="F1783" s="2"/>
      <c r="G1783" s="2"/>
      <c r="H1783" s="2"/>
      <c r="I1783" s="2"/>
      <c r="J1783" s="73"/>
      <c r="K1783" s="73"/>
      <c r="L1783" s="73"/>
      <c r="M1783" s="73"/>
      <c r="N1783" s="73"/>
      <c r="O1783" s="73"/>
      <c r="P1783" s="2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 spans="1:29" ht="14.25" customHeight="1" x14ac:dyDescent="0.35">
      <c r="A1784" s="23"/>
      <c r="B1784" s="6"/>
      <c r="C1784" s="6"/>
      <c r="D1784" s="2"/>
      <c r="E1784" s="2"/>
      <c r="F1784" s="2"/>
      <c r="G1784" s="2"/>
      <c r="H1784" s="2"/>
      <c r="I1784" s="2"/>
      <c r="J1784" s="73"/>
      <c r="K1784" s="73"/>
      <c r="L1784" s="73"/>
      <c r="M1784" s="73"/>
      <c r="N1784" s="73"/>
      <c r="O1784" s="73"/>
      <c r="P1784" s="2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 spans="1:29" ht="14.25" customHeight="1" x14ac:dyDescent="0.35">
      <c r="A1785" s="23"/>
      <c r="B1785" s="6"/>
      <c r="C1785" s="6"/>
      <c r="D1785" s="2"/>
      <c r="E1785" s="2"/>
      <c r="F1785" s="2"/>
      <c r="G1785" s="2"/>
      <c r="H1785" s="2"/>
      <c r="I1785" s="2"/>
      <c r="J1785" s="73"/>
      <c r="K1785" s="73"/>
      <c r="L1785" s="73"/>
      <c r="M1785" s="73"/>
      <c r="N1785" s="73"/>
      <c r="O1785" s="73"/>
      <c r="P1785" s="2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 spans="1:29" ht="14.25" customHeight="1" x14ac:dyDescent="0.35">
      <c r="A1786" s="23"/>
      <c r="B1786" s="6"/>
      <c r="C1786" s="6"/>
      <c r="D1786" s="2"/>
      <c r="E1786" s="2"/>
      <c r="F1786" s="2"/>
      <c r="G1786" s="2"/>
      <c r="H1786" s="2"/>
      <c r="I1786" s="2"/>
      <c r="J1786" s="73"/>
      <c r="K1786" s="73"/>
      <c r="L1786" s="73"/>
      <c r="M1786" s="73"/>
      <c r="N1786" s="73"/>
      <c r="O1786" s="73"/>
      <c r="P1786" s="2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 ht="14.25" customHeight="1" x14ac:dyDescent="0.35">
      <c r="A1787" s="23"/>
      <c r="B1787" s="6"/>
      <c r="C1787" s="6"/>
      <c r="D1787" s="2"/>
      <c r="E1787" s="2"/>
      <c r="F1787" s="2"/>
      <c r="G1787" s="2"/>
      <c r="H1787" s="2"/>
      <c r="I1787" s="2"/>
      <c r="J1787" s="73"/>
      <c r="K1787" s="73"/>
      <c r="L1787" s="73"/>
      <c r="M1787" s="73"/>
      <c r="N1787" s="73"/>
      <c r="O1787" s="73"/>
      <c r="P1787" s="2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 spans="1:29" ht="14.25" customHeight="1" x14ac:dyDescent="0.35">
      <c r="A1788" s="23"/>
      <c r="B1788" s="6"/>
      <c r="C1788" s="6"/>
      <c r="D1788" s="2"/>
      <c r="E1788" s="2"/>
      <c r="F1788" s="2"/>
      <c r="G1788" s="2"/>
      <c r="H1788" s="2"/>
      <c r="I1788" s="2"/>
      <c r="J1788" s="73"/>
      <c r="K1788" s="73"/>
      <c r="L1788" s="73"/>
      <c r="M1788" s="73"/>
      <c r="N1788" s="73"/>
      <c r="O1788" s="73"/>
      <c r="P1788" s="2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 spans="1:29" ht="14.25" customHeight="1" x14ac:dyDescent="0.35">
      <c r="A1789" s="23"/>
      <c r="B1789" s="6"/>
      <c r="C1789" s="6"/>
      <c r="D1789" s="2"/>
      <c r="E1789" s="2"/>
      <c r="F1789" s="2"/>
      <c r="G1789" s="2"/>
      <c r="H1789" s="2"/>
      <c r="I1789" s="2"/>
      <c r="J1789" s="73"/>
      <c r="K1789" s="73"/>
      <c r="L1789" s="73"/>
      <c r="M1789" s="73"/>
      <c r="N1789" s="73"/>
      <c r="O1789" s="73"/>
      <c r="P1789" s="2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 spans="1:29" ht="14.25" customHeight="1" x14ac:dyDescent="0.35">
      <c r="A1790" s="23"/>
      <c r="B1790" s="6"/>
      <c r="C1790" s="6"/>
      <c r="D1790" s="2"/>
      <c r="E1790" s="2"/>
      <c r="F1790" s="2"/>
      <c r="G1790" s="2"/>
      <c r="H1790" s="2"/>
      <c r="I1790" s="2"/>
      <c r="J1790" s="73"/>
      <c r="K1790" s="73"/>
      <c r="L1790" s="73"/>
      <c r="M1790" s="73"/>
      <c r="N1790" s="73"/>
      <c r="O1790" s="73"/>
      <c r="P1790" s="2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 spans="1:29" ht="14.25" customHeight="1" x14ac:dyDescent="0.35">
      <c r="A1791" s="23"/>
      <c r="B1791" s="6"/>
      <c r="C1791" s="6"/>
      <c r="D1791" s="2"/>
      <c r="E1791" s="2"/>
      <c r="F1791" s="2"/>
      <c r="G1791" s="2"/>
      <c r="H1791" s="2"/>
      <c r="I1791" s="2"/>
      <c r="J1791" s="73"/>
      <c r="K1791" s="73"/>
      <c r="L1791" s="73"/>
      <c r="M1791" s="73"/>
      <c r="N1791" s="73"/>
      <c r="O1791" s="73"/>
      <c r="P1791" s="2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 spans="1:29" ht="14.25" customHeight="1" x14ac:dyDescent="0.35">
      <c r="A1792" s="23"/>
      <c r="B1792" s="6"/>
      <c r="C1792" s="6"/>
      <c r="D1792" s="2"/>
      <c r="E1792" s="2"/>
      <c r="F1792" s="2"/>
      <c r="G1792" s="2"/>
      <c r="H1792" s="2"/>
      <c r="I1792" s="2"/>
      <c r="J1792" s="73"/>
      <c r="K1792" s="73"/>
      <c r="L1792" s="73"/>
      <c r="M1792" s="73"/>
      <c r="N1792" s="73"/>
      <c r="O1792" s="73"/>
      <c r="P1792" s="2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 spans="1:29" ht="14.25" customHeight="1" x14ac:dyDescent="0.35">
      <c r="A1793" s="23"/>
      <c r="B1793" s="6"/>
      <c r="C1793" s="6"/>
      <c r="D1793" s="2"/>
      <c r="E1793" s="2"/>
      <c r="F1793" s="2"/>
      <c r="G1793" s="2"/>
      <c r="H1793" s="2"/>
      <c r="I1793" s="2"/>
      <c r="J1793" s="73"/>
      <c r="K1793" s="73"/>
      <c r="L1793" s="73"/>
      <c r="M1793" s="73"/>
      <c r="N1793" s="73"/>
      <c r="O1793" s="73"/>
      <c r="P1793" s="2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 spans="1:29" ht="14.25" customHeight="1" x14ac:dyDescent="0.35">
      <c r="A1794" s="23"/>
      <c r="B1794" s="6"/>
      <c r="C1794" s="6"/>
      <c r="D1794" s="2"/>
      <c r="E1794" s="2"/>
      <c r="F1794" s="2"/>
      <c r="G1794" s="2"/>
      <c r="H1794" s="2"/>
      <c r="I1794" s="2"/>
      <c r="J1794" s="73"/>
      <c r="K1794" s="73"/>
      <c r="L1794" s="73"/>
      <c r="M1794" s="73"/>
      <c r="N1794" s="73"/>
      <c r="O1794" s="73"/>
      <c r="P1794" s="2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 spans="1:29" ht="14.25" customHeight="1" x14ac:dyDescent="0.35">
      <c r="A1795" s="23"/>
      <c r="B1795" s="6"/>
      <c r="C1795" s="6"/>
      <c r="D1795" s="2"/>
      <c r="E1795" s="2"/>
      <c r="F1795" s="2"/>
      <c r="G1795" s="2"/>
      <c r="H1795" s="2"/>
      <c r="I1795" s="2"/>
      <c r="J1795" s="73"/>
      <c r="K1795" s="73"/>
      <c r="L1795" s="73"/>
      <c r="M1795" s="73"/>
      <c r="N1795" s="73"/>
      <c r="O1795" s="73"/>
      <c r="P1795" s="2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 spans="1:29" ht="14.25" customHeight="1" x14ac:dyDescent="0.35">
      <c r="A1796" s="23"/>
      <c r="B1796" s="6"/>
      <c r="C1796" s="6"/>
      <c r="D1796" s="2"/>
      <c r="E1796" s="2"/>
      <c r="F1796" s="2"/>
      <c r="G1796" s="2"/>
      <c r="H1796" s="2"/>
      <c r="I1796" s="2"/>
      <c r="J1796" s="73"/>
      <c r="K1796" s="73"/>
      <c r="L1796" s="73"/>
      <c r="M1796" s="73"/>
      <c r="N1796" s="73"/>
      <c r="O1796" s="73"/>
      <c r="P1796" s="2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 spans="1:29" ht="14.25" customHeight="1" x14ac:dyDescent="0.35">
      <c r="A1797" s="23"/>
      <c r="B1797" s="6"/>
      <c r="C1797" s="6"/>
      <c r="D1797" s="2"/>
      <c r="E1797" s="2"/>
      <c r="F1797" s="2"/>
      <c r="G1797" s="2"/>
      <c r="H1797" s="2"/>
      <c r="I1797" s="2"/>
      <c r="J1797" s="73"/>
      <c r="K1797" s="73"/>
      <c r="L1797" s="73"/>
      <c r="M1797" s="73"/>
      <c r="N1797" s="73"/>
      <c r="O1797" s="73"/>
      <c r="P1797" s="2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29" ht="14.25" customHeight="1" x14ac:dyDescent="0.35">
      <c r="A1798" s="23"/>
      <c r="B1798" s="6"/>
      <c r="C1798" s="6"/>
      <c r="D1798" s="2"/>
      <c r="E1798" s="2"/>
      <c r="F1798" s="2"/>
      <c r="G1798" s="2"/>
      <c r="H1798" s="2"/>
      <c r="I1798" s="2"/>
      <c r="J1798" s="73"/>
      <c r="K1798" s="73"/>
      <c r="L1798" s="73"/>
      <c r="M1798" s="73"/>
      <c r="N1798" s="73"/>
      <c r="O1798" s="73"/>
      <c r="P1798" s="2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 spans="1:29" ht="14.25" customHeight="1" x14ac:dyDescent="0.35">
      <c r="A1799" s="23"/>
      <c r="B1799" s="6"/>
      <c r="C1799" s="6"/>
      <c r="D1799" s="2"/>
      <c r="E1799" s="2"/>
      <c r="F1799" s="2"/>
      <c r="G1799" s="2"/>
      <c r="H1799" s="2"/>
      <c r="I1799" s="2"/>
      <c r="J1799" s="73"/>
      <c r="K1799" s="73"/>
      <c r="L1799" s="73"/>
      <c r="M1799" s="73"/>
      <c r="N1799" s="73"/>
      <c r="O1799" s="73"/>
      <c r="P1799" s="2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 spans="1:29" ht="14.25" customHeight="1" x14ac:dyDescent="0.35">
      <c r="A1800" s="23"/>
      <c r="B1800" s="6"/>
      <c r="C1800" s="6"/>
      <c r="D1800" s="2"/>
      <c r="E1800" s="2"/>
      <c r="F1800" s="2"/>
      <c r="G1800" s="2"/>
      <c r="H1800" s="2"/>
      <c r="I1800" s="2"/>
      <c r="J1800" s="73"/>
      <c r="K1800" s="73"/>
      <c r="L1800" s="73"/>
      <c r="M1800" s="73"/>
      <c r="N1800" s="73"/>
      <c r="O1800" s="73"/>
      <c r="P1800" s="2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 spans="1:29" ht="14.25" customHeight="1" x14ac:dyDescent="0.35">
      <c r="A1801" s="23"/>
      <c r="B1801" s="6"/>
      <c r="C1801" s="6"/>
      <c r="D1801" s="2"/>
      <c r="E1801" s="2"/>
      <c r="F1801" s="2"/>
      <c r="G1801" s="2"/>
      <c r="H1801" s="2"/>
      <c r="I1801" s="2"/>
      <c r="J1801" s="73"/>
      <c r="K1801" s="73"/>
      <c r="L1801" s="73"/>
      <c r="M1801" s="73"/>
      <c r="N1801" s="73"/>
      <c r="O1801" s="73"/>
      <c r="P1801" s="2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 ht="14.25" customHeight="1" x14ac:dyDescent="0.35">
      <c r="A1802" s="23"/>
      <c r="B1802" s="6"/>
      <c r="C1802" s="6"/>
      <c r="D1802" s="2"/>
      <c r="E1802" s="2"/>
      <c r="F1802" s="2"/>
      <c r="G1802" s="2"/>
      <c r="H1802" s="2"/>
      <c r="I1802" s="2"/>
      <c r="J1802" s="73"/>
      <c r="K1802" s="73"/>
      <c r="L1802" s="73"/>
      <c r="M1802" s="73"/>
      <c r="N1802" s="73"/>
      <c r="O1802" s="73"/>
      <c r="P1802" s="2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 spans="1:29" ht="14.25" customHeight="1" x14ac:dyDescent="0.35">
      <c r="A1803" s="2"/>
      <c r="B1803" s="6"/>
      <c r="C1803" s="6"/>
      <c r="D1803" s="2"/>
      <c r="E1803" s="2"/>
      <c r="F1803" s="2"/>
      <c r="G1803" s="2"/>
      <c r="H1803" s="2"/>
      <c r="I1803" s="2"/>
      <c r="J1803" s="73"/>
      <c r="K1803" s="73"/>
      <c r="L1803" s="73"/>
      <c r="M1803" s="73"/>
      <c r="N1803" s="73"/>
      <c r="O1803" s="73"/>
      <c r="P1803" s="2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 spans="1:29" ht="14.25" customHeight="1" x14ac:dyDescent="0.35">
      <c r="A1804" s="2"/>
      <c r="B1804" s="6"/>
      <c r="C1804" s="6"/>
      <c r="D1804" s="2"/>
      <c r="E1804" s="2"/>
      <c r="F1804" s="2"/>
      <c r="G1804" s="2"/>
      <c r="H1804" s="2"/>
      <c r="I1804" s="2"/>
      <c r="J1804" s="73"/>
      <c r="K1804" s="73"/>
      <c r="L1804" s="73"/>
      <c r="M1804" s="73"/>
      <c r="N1804" s="73"/>
      <c r="O1804" s="73"/>
      <c r="P1804" s="2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 ht="14.25" customHeight="1" x14ac:dyDescent="0.35">
      <c r="A1805" s="2"/>
      <c r="B1805" s="6"/>
      <c r="C1805" s="6"/>
      <c r="D1805" s="2"/>
      <c r="E1805" s="2"/>
      <c r="F1805" s="2"/>
      <c r="G1805" s="2"/>
      <c r="H1805" s="2"/>
      <c r="I1805" s="2"/>
      <c r="J1805" s="73"/>
      <c r="K1805" s="73"/>
      <c r="L1805" s="73"/>
      <c r="M1805" s="73"/>
      <c r="N1805" s="73"/>
      <c r="O1805" s="73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14.25" customHeight="1" x14ac:dyDescent="0.35">
      <c r="A1806" s="2"/>
      <c r="B1806" s="6"/>
      <c r="C1806" s="6"/>
      <c r="D1806" s="2"/>
      <c r="E1806" s="2"/>
      <c r="F1806" s="2"/>
      <c r="G1806" s="2"/>
      <c r="H1806" s="2"/>
      <c r="I1806" s="2"/>
      <c r="J1806" s="73"/>
      <c r="K1806" s="73"/>
      <c r="L1806" s="73"/>
      <c r="M1806" s="73"/>
      <c r="N1806" s="73"/>
      <c r="O1806" s="73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14.25" customHeight="1" x14ac:dyDescent="0.35">
      <c r="A1807" s="2"/>
      <c r="B1807" s="6"/>
      <c r="C1807" s="6"/>
      <c r="D1807" s="2"/>
      <c r="E1807" s="2"/>
      <c r="F1807" s="2"/>
      <c r="G1807" s="2"/>
      <c r="H1807" s="2"/>
      <c r="I1807" s="2"/>
      <c r="J1807" s="73"/>
      <c r="K1807" s="73"/>
      <c r="L1807" s="73"/>
      <c r="M1807" s="73"/>
      <c r="N1807" s="73"/>
      <c r="O1807" s="73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14.25" customHeight="1" x14ac:dyDescent="0.35">
      <c r="A1808" s="2"/>
      <c r="B1808" s="6"/>
      <c r="C1808" s="6"/>
      <c r="D1808" s="2"/>
      <c r="E1808" s="2"/>
      <c r="F1808" s="2"/>
      <c r="G1808" s="2"/>
      <c r="H1808" s="2"/>
      <c r="I1808" s="2"/>
      <c r="J1808" s="73"/>
      <c r="K1808" s="73"/>
      <c r="L1808" s="73"/>
      <c r="M1808" s="73"/>
      <c r="N1808" s="73"/>
      <c r="O1808" s="73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14.25" customHeight="1" x14ac:dyDescent="0.35">
      <c r="A1809" s="2"/>
      <c r="B1809" s="6"/>
      <c r="C1809" s="6"/>
      <c r="D1809" s="2"/>
      <c r="E1809" s="2"/>
      <c r="F1809" s="2"/>
      <c r="G1809" s="2"/>
      <c r="H1809" s="2"/>
      <c r="I1809" s="2"/>
      <c r="J1809" s="73"/>
      <c r="K1809" s="73"/>
      <c r="L1809" s="73"/>
      <c r="M1809" s="73"/>
      <c r="N1809" s="73"/>
      <c r="O1809" s="73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14.25" customHeight="1" x14ac:dyDescent="0.35">
      <c r="A1810" s="2"/>
      <c r="B1810" s="6"/>
      <c r="C1810" s="6"/>
      <c r="D1810" s="2"/>
      <c r="E1810" s="2"/>
      <c r="F1810" s="2"/>
      <c r="G1810" s="2"/>
      <c r="H1810" s="2"/>
      <c r="I1810" s="2"/>
      <c r="J1810" s="73"/>
      <c r="K1810" s="73"/>
      <c r="L1810" s="73"/>
      <c r="M1810" s="73"/>
      <c r="N1810" s="73"/>
      <c r="O1810" s="73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14.25" customHeight="1" x14ac:dyDescent="0.35">
      <c r="A1811" s="2"/>
      <c r="B1811" s="6"/>
      <c r="C1811" s="6"/>
      <c r="D1811" s="2"/>
      <c r="E1811" s="2"/>
      <c r="F1811" s="2"/>
      <c r="G1811" s="2"/>
      <c r="H1811" s="2"/>
      <c r="I1811" s="2"/>
      <c r="J1811" s="73"/>
      <c r="K1811" s="73"/>
      <c r="L1811" s="73"/>
      <c r="M1811" s="73"/>
      <c r="N1811" s="73"/>
      <c r="O1811" s="73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14.25" customHeight="1" x14ac:dyDescent="0.35">
      <c r="A1812" s="2"/>
      <c r="B1812" s="6"/>
      <c r="C1812" s="6"/>
      <c r="D1812" s="2"/>
      <c r="E1812" s="2"/>
      <c r="F1812" s="2"/>
      <c r="G1812" s="2"/>
      <c r="H1812" s="2"/>
      <c r="I1812" s="2"/>
      <c r="J1812" s="73"/>
      <c r="K1812" s="73"/>
      <c r="L1812" s="73"/>
      <c r="M1812" s="73"/>
      <c r="N1812" s="73"/>
      <c r="O1812" s="73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14.25" customHeight="1" x14ac:dyDescent="0.35">
      <c r="A1813" s="2"/>
      <c r="B1813" s="6"/>
      <c r="C1813" s="6"/>
      <c r="D1813" s="2"/>
      <c r="E1813" s="2"/>
      <c r="F1813" s="2"/>
      <c r="G1813" s="2"/>
      <c r="H1813" s="2"/>
      <c r="I1813" s="2"/>
      <c r="J1813" s="73"/>
      <c r="K1813" s="73"/>
      <c r="L1813" s="73"/>
      <c r="M1813" s="73"/>
      <c r="N1813" s="73"/>
      <c r="O1813" s="73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14.25" customHeight="1" x14ac:dyDescent="0.35">
      <c r="A1814" s="2"/>
      <c r="B1814" s="6"/>
      <c r="C1814" s="6"/>
      <c r="D1814" s="2"/>
      <c r="E1814" s="2"/>
      <c r="F1814" s="2"/>
      <c r="G1814" s="2"/>
      <c r="H1814" s="2"/>
      <c r="I1814" s="2"/>
      <c r="J1814" s="73"/>
      <c r="K1814" s="73"/>
      <c r="L1814" s="73"/>
      <c r="M1814" s="73"/>
      <c r="N1814" s="73"/>
      <c r="O1814" s="73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14.25" customHeight="1" x14ac:dyDescent="0.35">
      <c r="A1815" s="2"/>
      <c r="B1815" s="6"/>
      <c r="C1815" s="6"/>
      <c r="D1815" s="2"/>
      <c r="E1815" s="2"/>
      <c r="F1815" s="2"/>
      <c r="G1815" s="2"/>
      <c r="H1815" s="2"/>
      <c r="I1815" s="2"/>
      <c r="J1815" s="73"/>
      <c r="K1815" s="73"/>
      <c r="L1815" s="73"/>
      <c r="M1815" s="73"/>
      <c r="N1815" s="73"/>
      <c r="O1815" s="73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14.25" customHeight="1" x14ac:dyDescent="0.35">
      <c r="A1816" s="2"/>
      <c r="B1816" s="6"/>
      <c r="C1816" s="6"/>
      <c r="D1816" s="2"/>
      <c r="E1816" s="2"/>
      <c r="F1816" s="2"/>
      <c r="G1816" s="2"/>
      <c r="H1816" s="2"/>
      <c r="I1816" s="2"/>
      <c r="J1816" s="73"/>
      <c r="K1816" s="73"/>
      <c r="L1816" s="73"/>
      <c r="M1816" s="73"/>
      <c r="N1816" s="73"/>
      <c r="O1816" s="73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14.25" customHeight="1" x14ac:dyDescent="0.35">
      <c r="A1817" s="2"/>
      <c r="B1817" s="6"/>
      <c r="C1817" s="6"/>
      <c r="D1817" s="2"/>
      <c r="E1817" s="2"/>
      <c r="F1817" s="2"/>
      <c r="G1817" s="2"/>
      <c r="H1817" s="2"/>
      <c r="I1817" s="2"/>
      <c r="J1817" s="73"/>
      <c r="K1817" s="73"/>
      <c r="L1817" s="73"/>
      <c r="M1817" s="73"/>
      <c r="N1817" s="73"/>
      <c r="O1817" s="73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14.25" customHeight="1" x14ac:dyDescent="0.35">
      <c r="A1818" s="2"/>
      <c r="B1818" s="6"/>
      <c r="C1818" s="6"/>
      <c r="D1818" s="2"/>
      <c r="E1818" s="2"/>
      <c r="F1818" s="2"/>
      <c r="G1818" s="2"/>
      <c r="H1818" s="2"/>
      <c r="I1818" s="2"/>
      <c r="J1818" s="73"/>
      <c r="K1818" s="73"/>
      <c r="L1818" s="73"/>
      <c r="M1818" s="73"/>
      <c r="N1818" s="73"/>
      <c r="O1818" s="73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14.25" customHeight="1" x14ac:dyDescent="0.35">
      <c r="A1819" s="2"/>
      <c r="B1819" s="6"/>
      <c r="C1819" s="6"/>
      <c r="D1819" s="2"/>
      <c r="E1819" s="2"/>
      <c r="F1819" s="2"/>
      <c r="G1819" s="2"/>
      <c r="H1819" s="2"/>
      <c r="I1819" s="2"/>
      <c r="J1819" s="73"/>
      <c r="K1819" s="73"/>
      <c r="L1819" s="73"/>
      <c r="M1819" s="73"/>
      <c r="N1819" s="73"/>
      <c r="O1819" s="73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14.25" customHeight="1" x14ac:dyDescent="0.35">
      <c r="A1820" s="2"/>
      <c r="B1820" s="6"/>
      <c r="C1820" s="6"/>
      <c r="D1820" s="2"/>
      <c r="E1820" s="2"/>
      <c r="F1820" s="2"/>
      <c r="G1820" s="2"/>
      <c r="H1820" s="2"/>
      <c r="I1820" s="2"/>
      <c r="J1820" s="73"/>
      <c r="K1820" s="73"/>
      <c r="L1820" s="73"/>
      <c r="M1820" s="73"/>
      <c r="N1820" s="73"/>
      <c r="O1820" s="73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14.25" customHeight="1" x14ac:dyDescent="0.35">
      <c r="A1821" s="2"/>
      <c r="B1821" s="6"/>
      <c r="C1821" s="6"/>
      <c r="D1821" s="2"/>
      <c r="E1821" s="2"/>
      <c r="F1821" s="2"/>
      <c r="G1821" s="2"/>
      <c r="H1821" s="2"/>
      <c r="I1821" s="2"/>
      <c r="J1821" s="73"/>
      <c r="K1821" s="73"/>
      <c r="L1821" s="73"/>
      <c r="M1821" s="73"/>
      <c r="N1821" s="73"/>
      <c r="O1821" s="73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14.25" customHeight="1" x14ac:dyDescent="0.35">
      <c r="A1822" s="2"/>
      <c r="B1822" s="6"/>
      <c r="C1822" s="6"/>
      <c r="D1822" s="2"/>
      <c r="E1822" s="2"/>
      <c r="F1822" s="2"/>
      <c r="G1822" s="2"/>
      <c r="H1822" s="2"/>
      <c r="I1822" s="2"/>
      <c r="J1822" s="73"/>
      <c r="K1822" s="73"/>
      <c r="L1822" s="73"/>
      <c r="M1822" s="73"/>
      <c r="N1822" s="73"/>
      <c r="O1822" s="73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14.25" customHeight="1" x14ac:dyDescent="0.35">
      <c r="A1823" s="2"/>
      <c r="B1823" s="6"/>
      <c r="C1823" s="6"/>
      <c r="D1823" s="2"/>
      <c r="E1823" s="2"/>
      <c r="F1823" s="2"/>
      <c r="G1823" s="2"/>
      <c r="H1823" s="2"/>
      <c r="I1823" s="2"/>
      <c r="J1823" s="73"/>
      <c r="K1823" s="73"/>
      <c r="L1823" s="73"/>
      <c r="M1823" s="73"/>
      <c r="N1823" s="73"/>
      <c r="O1823" s="73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14.25" customHeight="1" x14ac:dyDescent="0.35">
      <c r="A1824" s="2"/>
      <c r="B1824" s="6"/>
      <c r="C1824" s="6"/>
      <c r="D1824" s="2"/>
      <c r="E1824" s="2"/>
      <c r="F1824" s="2"/>
      <c r="G1824" s="2"/>
      <c r="H1824" s="2"/>
      <c r="I1824" s="2"/>
      <c r="J1824" s="73"/>
      <c r="K1824" s="73"/>
      <c r="L1824" s="73"/>
      <c r="M1824" s="73"/>
      <c r="N1824" s="73"/>
      <c r="O1824" s="73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14.25" customHeight="1" x14ac:dyDescent="0.35">
      <c r="A1825" s="2"/>
      <c r="B1825" s="6"/>
      <c r="C1825" s="6"/>
      <c r="D1825" s="2"/>
      <c r="E1825" s="2"/>
      <c r="F1825" s="2"/>
      <c r="G1825" s="2"/>
      <c r="H1825" s="2"/>
      <c r="I1825" s="2"/>
      <c r="J1825" s="73"/>
      <c r="K1825" s="73"/>
      <c r="L1825" s="73"/>
      <c r="M1825" s="73"/>
      <c r="N1825" s="73"/>
      <c r="O1825" s="73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14.25" customHeight="1" x14ac:dyDescent="0.35">
      <c r="A1826" s="2"/>
      <c r="B1826" s="6"/>
      <c r="C1826" s="6"/>
      <c r="D1826" s="2"/>
      <c r="E1826" s="2"/>
      <c r="F1826" s="2"/>
      <c r="G1826" s="2"/>
      <c r="H1826" s="2"/>
      <c r="I1826" s="2"/>
      <c r="J1826" s="73"/>
      <c r="K1826" s="73"/>
      <c r="L1826" s="73"/>
      <c r="M1826" s="73"/>
      <c r="N1826" s="73"/>
      <c r="O1826" s="73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14.25" customHeight="1" x14ac:dyDescent="0.35">
      <c r="A1827" s="2"/>
      <c r="B1827" s="6"/>
      <c r="C1827" s="6"/>
      <c r="D1827" s="2"/>
      <c r="E1827" s="2"/>
      <c r="F1827" s="2"/>
      <c r="G1827" s="2"/>
      <c r="H1827" s="2"/>
      <c r="I1827" s="2"/>
      <c r="J1827" s="73"/>
      <c r="K1827" s="73"/>
      <c r="L1827" s="73"/>
      <c r="M1827" s="73"/>
      <c r="N1827" s="73"/>
      <c r="O1827" s="73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14.25" customHeight="1" x14ac:dyDescent="0.35">
      <c r="A1828" s="2"/>
      <c r="B1828" s="6"/>
      <c r="C1828" s="6"/>
      <c r="D1828" s="2"/>
      <c r="E1828" s="2"/>
      <c r="F1828" s="2"/>
      <c r="G1828" s="2"/>
      <c r="H1828" s="2"/>
      <c r="I1828" s="2"/>
      <c r="J1828" s="73"/>
      <c r="K1828" s="73"/>
      <c r="L1828" s="73"/>
      <c r="M1828" s="73"/>
      <c r="N1828" s="73"/>
      <c r="O1828" s="73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14.25" customHeight="1" x14ac:dyDescent="0.35">
      <c r="A1829" s="2"/>
      <c r="B1829" s="6"/>
      <c r="C1829" s="6"/>
      <c r="D1829" s="2"/>
      <c r="E1829" s="2"/>
      <c r="F1829" s="2"/>
      <c r="G1829" s="2"/>
      <c r="H1829" s="2"/>
      <c r="I1829" s="2"/>
      <c r="J1829" s="73"/>
      <c r="K1829" s="73"/>
      <c r="L1829" s="73"/>
      <c r="M1829" s="73"/>
      <c r="N1829" s="73"/>
      <c r="O1829" s="73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14.25" customHeight="1" x14ac:dyDescent="0.35">
      <c r="A1830" s="2"/>
      <c r="B1830" s="6"/>
      <c r="C1830" s="6"/>
      <c r="D1830" s="2"/>
      <c r="E1830" s="2"/>
      <c r="F1830" s="2"/>
      <c r="G1830" s="2"/>
      <c r="H1830" s="2"/>
      <c r="I1830" s="2"/>
      <c r="J1830" s="73"/>
      <c r="K1830" s="73"/>
      <c r="L1830" s="73"/>
      <c r="M1830" s="73"/>
      <c r="N1830" s="73"/>
      <c r="O1830" s="73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14.25" customHeight="1" x14ac:dyDescent="0.35">
      <c r="A1831" s="2"/>
      <c r="B1831" s="6"/>
      <c r="C1831" s="6"/>
      <c r="D1831" s="2"/>
      <c r="E1831" s="2"/>
      <c r="F1831" s="2"/>
      <c r="G1831" s="2"/>
      <c r="H1831" s="2"/>
      <c r="I1831" s="2"/>
      <c r="J1831" s="73"/>
      <c r="K1831" s="73"/>
      <c r="L1831" s="73"/>
      <c r="M1831" s="73"/>
      <c r="N1831" s="73"/>
      <c r="O1831" s="73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14.25" customHeight="1" x14ac:dyDescent="0.35">
      <c r="A1832" s="2"/>
      <c r="B1832" s="6"/>
      <c r="C1832" s="6"/>
      <c r="D1832" s="2"/>
      <c r="E1832" s="2"/>
      <c r="F1832" s="2"/>
      <c r="G1832" s="2"/>
      <c r="H1832" s="2"/>
      <c r="I1832" s="2"/>
      <c r="J1832" s="73"/>
      <c r="K1832" s="73"/>
      <c r="L1832" s="73"/>
      <c r="M1832" s="73"/>
      <c r="N1832" s="73"/>
      <c r="O1832" s="73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14.25" customHeight="1" x14ac:dyDescent="0.35">
      <c r="A1833" s="2"/>
      <c r="B1833" s="6"/>
      <c r="C1833" s="6"/>
      <c r="D1833" s="2"/>
      <c r="E1833" s="2"/>
      <c r="F1833" s="2"/>
      <c r="G1833" s="2"/>
      <c r="H1833" s="2"/>
      <c r="I1833" s="2"/>
      <c r="J1833" s="73"/>
      <c r="K1833" s="73"/>
      <c r="L1833" s="73"/>
      <c r="M1833" s="73"/>
      <c r="N1833" s="73"/>
      <c r="O1833" s="73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14.25" customHeight="1" x14ac:dyDescent="0.35">
      <c r="A1834" s="2"/>
      <c r="B1834" s="6"/>
      <c r="C1834" s="6"/>
      <c r="D1834" s="2"/>
      <c r="E1834" s="2"/>
      <c r="F1834" s="2"/>
      <c r="G1834" s="2"/>
      <c r="H1834" s="2"/>
      <c r="I1834" s="2"/>
      <c r="J1834" s="73"/>
      <c r="K1834" s="73"/>
      <c r="L1834" s="73"/>
      <c r="M1834" s="73"/>
      <c r="N1834" s="73"/>
      <c r="O1834" s="73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14.25" customHeight="1" x14ac:dyDescent="0.35">
      <c r="A1835" s="2"/>
      <c r="B1835" s="6"/>
      <c r="C1835" s="6"/>
      <c r="D1835" s="2"/>
      <c r="E1835" s="2"/>
      <c r="F1835" s="2"/>
      <c r="G1835" s="2"/>
      <c r="H1835" s="2"/>
      <c r="I1835" s="2"/>
      <c r="J1835" s="73"/>
      <c r="K1835" s="73"/>
      <c r="L1835" s="73"/>
      <c r="M1835" s="73"/>
      <c r="N1835" s="73"/>
      <c r="O1835" s="73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14.25" customHeight="1" x14ac:dyDescent="0.35">
      <c r="A1836" s="2"/>
      <c r="B1836" s="6"/>
      <c r="C1836" s="6"/>
      <c r="D1836" s="2"/>
      <c r="E1836" s="2"/>
      <c r="F1836" s="2"/>
      <c r="G1836" s="2"/>
      <c r="H1836" s="2"/>
      <c r="I1836" s="2"/>
      <c r="J1836" s="73"/>
      <c r="K1836" s="73"/>
      <c r="L1836" s="73"/>
      <c r="M1836" s="73"/>
      <c r="N1836" s="73"/>
      <c r="O1836" s="73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14.25" customHeight="1" x14ac:dyDescent="0.35">
      <c r="A1837" s="2"/>
      <c r="B1837" s="6"/>
      <c r="C1837" s="6"/>
      <c r="D1837" s="2"/>
      <c r="E1837" s="2"/>
      <c r="F1837" s="2"/>
      <c r="G1837" s="2"/>
      <c r="H1837" s="2"/>
      <c r="I1837" s="2"/>
      <c r="J1837" s="73"/>
      <c r="K1837" s="73"/>
      <c r="L1837" s="73"/>
      <c r="M1837" s="73"/>
      <c r="N1837" s="73"/>
      <c r="O1837" s="73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14.25" customHeight="1" x14ac:dyDescent="0.35">
      <c r="A1838" s="2"/>
      <c r="B1838" s="6"/>
      <c r="C1838" s="6"/>
      <c r="D1838" s="2"/>
      <c r="E1838" s="2"/>
      <c r="F1838" s="2"/>
      <c r="G1838" s="2"/>
      <c r="H1838" s="2"/>
      <c r="I1838" s="2"/>
      <c r="J1838" s="73"/>
      <c r="K1838" s="73"/>
      <c r="L1838" s="73"/>
      <c r="M1838" s="73"/>
      <c r="N1838" s="73"/>
      <c r="O1838" s="73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14.25" customHeight="1" x14ac:dyDescent="0.35">
      <c r="A1839" s="2"/>
      <c r="B1839" s="6"/>
      <c r="C1839" s="6"/>
      <c r="D1839" s="2"/>
      <c r="E1839" s="2"/>
      <c r="F1839" s="2"/>
      <c r="G1839" s="2"/>
      <c r="H1839" s="2"/>
      <c r="I1839" s="2"/>
      <c r="J1839" s="73"/>
      <c r="K1839" s="73"/>
      <c r="L1839" s="73"/>
      <c r="M1839" s="73"/>
      <c r="N1839" s="73"/>
      <c r="O1839" s="73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14.25" customHeight="1" x14ac:dyDescent="0.35">
      <c r="A1840" s="2"/>
      <c r="B1840" s="6"/>
      <c r="C1840" s="6"/>
      <c r="D1840" s="2"/>
      <c r="E1840" s="2"/>
      <c r="F1840" s="2"/>
      <c r="G1840" s="2"/>
      <c r="H1840" s="2"/>
      <c r="I1840" s="2"/>
      <c r="J1840" s="73"/>
      <c r="K1840" s="73"/>
      <c r="L1840" s="73"/>
      <c r="M1840" s="73"/>
      <c r="N1840" s="73"/>
      <c r="O1840" s="73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14.25" customHeight="1" x14ac:dyDescent="0.35">
      <c r="A1841" s="2"/>
      <c r="B1841" s="6"/>
      <c r="C1841" s="6"/>
      <c r="D1841" s="2"/>
      <c r="E1841" s="2"/>
      <c r="F1841" s="2"/>
      <c r="G1841" s="2"/>
      <c r="H1841" s="2"/>
      <c r="I1841" s="2"/>
      <c r="J1841" s="73"/>
      <c r="K1841" s="73"/>
      <c r="L1841" s="73"/>
      <c r="M1841" s="73"/>
      <c r="N1841" s="73"/>
      <c r="O1841" s="73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14.25" customHeight="1" x14ac:dyDescent="0.35">
      <c r="A1842" s="2"/>
      <c r="B1842" s="6"/>
      <c r="C1842" s="6"/>
      <c r="D1842" s="2"/>
      <c r="E1842" s="2"/>
      <c r="F1842" s="2"/>
      <c r="G1842" s="2"/>
      <c r="H1842" s="2"/>
      <c r="I1842" s="2"/>
      <c r="J1842" s="73"/>
      <c r="K1842" s="73"/>
      <c r="L1842" s="73"/>
      <c r="M1842" s="73"/>
      <c r="N1842" s="73"/>
      <c r="O1842" s="73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14.25" customHeight="1" x14ac:dyDescent="0.35">
      <c r="A1843" s="2"/>
      <c r="B1843" s="6"/>
      <c r="C1843" s="6"/>
      <c r="D1843" s="2"/>
      <c r="E1843" s="2"/>
      <c r="F1843" s="2"/>
      <c r="G1843" s="2"/>
      <c r="H1843" s="2"/>
      <c r="I1843" s="2"/>
      <c r="J1843" s="73"/>
      <c r="K1843" s="73"/>
      <c r="L1843" s="73"/>
      <c r="M1843" s="73"/>
      <c r="N1843" s="73"/>
      <c r="O1843" s="73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14.25" customHeight="1" x14ac:dyDescent="0.35">
      <c r="A1844" s="2"/>
      <c r="B1844" s="6"/>
      <c r="C1844" s="6"/>
      <c r="D1844" s="2"/>
      <c r="E1844" s="2"/>
      <c r="F1844" s="2"/>
      <c r="G1844" s="2"/>
      <c r="H1844" s="2"/>
      <c r="I1844" s="2"/>
      <c r="J1844" s="73"/>
      <c r="K1844" s="73"/>
      <c r="L1844" s="73"/>
      <c r="M1844" s="73"/>
      <c r="N1844" s="73"/>
      <c r="O1844" s="73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14.25" customHeight="1" x14ac:dyDescent="0.35">
      <c r="A1845" s="2"/>
      <c r="B1845" s="6"/>
      <c r="C1845" s="6"/>
      <c r="D1845" s="2"/>
      <c r="E1845" s="2"/>
      <c r="F1845" s="2"/>
      <c r="G1845" s="2"/>
      <c r="H1845" s="2"/>
      <c r="I1845" s="2"/>
      <c r="J1845" s="73"/>
      <c r="K1845" s="73"/>
      <c r="L1845" s="73"/>
      <c r="M1845" s="73"/>
      <c r="N1845" s="73"/>
      <c r="O1845" s="73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14.25" customHeight="1" x14ac:dyDescent="0.35">
      <c r="A1846" s="2"/>
      <c r="B1846" s="6"/>
      <c r="C1846" s="6"/>
      <c r="D1846" s="2"/>
      <c r="E1846" s="2"/>
      <c r="F1846" s="2"/>
      <c r="G1846" s="2"/>
      <c r="H1846" s="2"/>
      <c r="I1846" s="2"/>
      <c r="J1846" s="73"/>
      <c r="K1846" s="73"/>
      <c r="L1846" s="73"/>
      <c r="M1846" s="73"/>
      <c r="N1846" s="73"/>
      <c r="O1846" s="73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14.25" customHeight="1" x14ac:dyDescent="0.35">
      <c r="A1847" s="2"/>
      <c r="B1847" s="6"/>
      <c r="C1847" s="6"/>
      <c r="D1847" s="2"/>
      <c r="E1847" s="2"/>
      <c r="F1847" s="2"/>
      <c r="G1847" s="2"/>
      <c r="H1847" s="2"/>
      <c r="I1847" s="2"/>
      <c r="J1847" s="73"/>
      <c r="K1847" s="73"/>
      <c r="L1847" s="73"/>
      <c r="M1847" s="73"/>
      <c r="N1847" s="73"/>
      <c r="O1847" s="73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14.25" customHeight="1" x14ac:dyDescent="0.35">
      <c r="A1848" s="2"/>
      <c r="B1848" s="6"/>
      <c r="C1848" s="6"/>
      <c r="D1848" s="2"/>
      <c r="E1848" s="2"/>
      <c r="F1848" s="2"/>
      <c r="G1848" s="2"/>
      <c r="H1848" s="2"/>
      <c r="I1848" s="2"/>
      <c r="J1848" s="73"/>
      <c r="K1848" s="73"/>
      <c r="L1848" s="73"/>
      <c r="M1848" s="73"/>
      <c r="N1848" s="73"/>
      <c r="O1848" s="73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14.25" customHeight="1" x14ac:dyDescent="0.35">
      <c r="A1849" s="2"/>
      <c r="B1849" s="6"/>
      <c r="C1849" s="6"/>
      <c r="D1849" s="2"/>
      <c r="E1849" s="2"/>
      <c r="F1849" s="2"/>
      <c r="G1849" s="2"/>
      <c r="H1849" s="2"/>
      <c r="I1849" s="2"/>
      <c r="J1849" s="73"/>
      <c r="K1849" s="73"/>
      <c r="L1849" s="73"/>
      <c r="M1849" s="73"/>
      <c r="N1849" s="73"/>
      <c r="O1849" s="73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14.25" customHeight="1" x14ac:dyDescent="0.35">
      <c r="A1850" s="2"/>
      <c r="B1850" s="6"/>
      <c r="C1850" s="6"/>
      <c r="D1850" s="2"/>
      <c r="E1850" s="2"/>
      <c r="F1850" s="2"/>
      <c r="G1850" s="2"/>
      <c r="H1850" s="2"/>
      <c r="I1850" s="2"/>
      <c r="J1850" s="73"/>
      <c r="K1850" s="73"/>
      <c r="L1850" s="73"/>
      <c r="M1850" s="73"/>
      <c r="N1850" s="73"/>
      <c r="O1850" s="73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14.25" customHeight="1" x14ac:dyDescent="0.35">
      <c r="A1851" s="2"/>
      <c r="B1851" s="6"/>
      <c r="C1851" s="6"/>
      <c r="D1851" s="2"/>
      <c r="E1851" s="2"/>
      <c r="F1851" s="2"/>
      <c r="G1851" s="2"/>
      <c r="H1851" s="2"/>
      <c r="I1851" s="2"/>
      <c r="J1851" s="73"/>
      <c r="K1851" s="73"/>
      <c r="L1851" s="73"/>
      <c r="M1851" s="73"/>
      <c r="N1851" s="73"/>
      <c r="O1851" s="73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14.25" customHeight="1" x14ac:dyDescent="0.35">
      <c r="A1852" s="2"/>
      <c r="B1852" s="6"/>
      <c r="C1852" s="6"/>
      <c r="D1852" s="2"/>
      <c r="E1852" s="2"/>
      <c r="F1852" s="2"/>
      <c r="G1852" s="2"/>
      <c r="H1852" s="2"/>
      <c r="I1852" s="2"/>
      <c r="J1852" s="73"/>
      <c r="K1852" s="73"/>
      <c r="L1852" s="73"/>
      <c r="M1852" s="73"/>
      <c r="N1852" s="73"/>
      <c r="O1852" s="73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14.25" customHeight="1" x14ac:dyDescent="0.35">
      <c r="A1853" s="2"/>
      <c r="B1853" s="6"/>
      <c r="C1853" s="6"/>
      <c r="D1853" s="2"/>
      <c r="E1853" s="2"/>
      <c r="F1853" s="2"/>
      <c r="G1853" s="2"/>
      <c r="H1853" s="2"/>
      <c r="I1853" s="2"/>
      <c r="J1853" s="73"/>
      <c r="K1853" s="73"/>
      <c r="L1853" s="73"/>
      <c r="M1853" s="73"/>
      <c r="N1853" s="73"/>
      <c r="O1853" s="73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14.25" customHeight="1" x14ac:dyDescent="0.35">
      <c r="A1854" s="2"/>
      <c r="B1854" s="6"/>
      <c r="C1854" s="6"/>
      <c r="D1854" s="2"/>
      <c r="E1854" s="2"/>
      <c r="F1854" s="2"/>
      <c r="G1854" s="2"/>
      <c r="H1854" s="2"/>
      <c r="I1854" s="2"/>
      <c r="J1854" s="73"/>
      <c r="K1854" s="73"/>
      <c r="L1854" s="73"/>
      <c r="M1854" s="73"/>
      <c r="N1854" s="73"/>
      <c r="O1854" s="73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14.25" customHeight="1" x14ac:dyDescent="0.35">
      <c r="A1855" s="2"/>
      <c r="B1855" s="6"/>
      <c r="C1855" s="6"/>
      <c r="D1855" s="2"/>
      <c r="E1855" s="2"/>
      <c r="F1855" s="2"/>
      <c r="G1855" s="2"/>
      <c r="H1855" s="2"/>
      <c r="I1855" s="2"/>
      <c r="J1855" s="73"/>
      <c r="K1855" s="73"/>
      <c r="L1855" s="73"/>
      <c r="M1855" s="73"/>
      <c r="N1855" s="73"/>
      <c r="O1855" s="73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14.25" customHeight="1" x14ac:dyDescent="0.35">
      <c r="A1856" s="2"/>
      <c r="B1856" s="6"/>
      <c r="C1856" s="6"/>
      <c r="D1856" s="2"/>
      <c r="E1856" s="2"/>
      <c r="F1856" s="2"/>
      <c r="G1856" s="2"/>
      <c r="H1856" s="2"/>
      <c r="I1856" s="2"/>
      <c r="J1856" s="73"/>
      <c r="K1856" s="73"/>
      <c r="L1856" s="73"/>
      <c r="M1856" s="73"/>
      <c r="N1856" s="73"/>
      <c r="O1856" s="73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14.25" customHeight="1" x14ac:dyDescent="0.35">
      <c r="A1857" s="2"/>
      <c r="B1857" s="6"/>
      <c r="C1857" s="6"/>
      <c r="D1857" s="2"/>
      <c r="E1857" s="2"/>
      <c r="F1857" s="2"/>
      <c r="G1857" s="2"/>
      <c r="H1857" s="2"/>
      <c r="I1857" s="2"/>
      <c r="J1857" s="73"/>
      <c r="K1857" s="73"/>
      <c r="L1857" s="73"/>
      <c r="M1857" s="73"/>
      <c r="N1857" s="73"/>
      <c r="O1857" s="73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14.25" customHeight="1" x14ac:dyDescent="0.35">
      <c r="A1858" s="2"/>
      <c r="B1858" s="6"/>
      <c r="C1858" s="6"/>
      <c r="D1858" s="2"/>
      <c r="E1858" s="2"/>
      <c r="F1858" s="2"/>
      <c r="G1858" s="2"/>
      <c r="H1858" s="2"/>
      <c r="I1858" s="2"/>
      <c r="J1858" s="73"/>
      <c r="K1858" s="73"/>
      <c r="L1858" s="73"/>
      <c r="M1858" s="73"/>
      <c r="N1858" s="73"/>
      <c r="O1858" s="73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14.25" customHeight="1" x14ac:dyDescent="0.35">
      <c r="A1859" s="2"/>
      <c r="B1859" s="6"/>
      <c r="C1859" s="6"/>
      <c r="D1859" s="2"/>
      <c r="E1859" s="2"/>
      <c r="F1859" s="2"/>
      <c r="G1859" s="2"/>
      <c r="H1859" s="2"/>
      <c r="I1859" s="2"/>
      <c r="J1859" s="73"/>
      <c r="K1859" s="73"/>
      <c r="L1859" s="73"/>
      <c r="M1859" s="73"/>
      <c r="N1859" s="73"/>
      <c r="O1859" s="73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14.25" customHeight="1" x14ac:dyDescent="0.35">
      <c r="A1860" s="2"/>
      <c r="B1860" s="6"/>
      <c r="C1860" s="6"/>
      <c r="D1860" s="2"/>
      <c r="E1860" s="2"/>
      <c r="F1860" s="2"/>
      <c r="G1860" s="2"/>
      <c r="H1860" s="2"/>
      <c r="I1860" s="2"/>
      <c r="J1860" s="73"/>
      <c r="K1860" s="73"/>
      <c r="L1860" s="73"/>
      <c r="M1860" s="73"/>
      <c r="N1860" s="73"/>
      <c r="O1860" s="73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14.25" customHeight="1" x14ac:dyDescent="0.35">
      <c r="A1861" s="2"/>
      <c r="B1861" s="6"/>
      <c r="C1861" s="6"/>
      <c r="D1861" s="2"/>
      <c r="E1861" s="2"/>
      <c r="F1861" s="2"/>
      <c r="G1861" s="2"/>
      <c r="H1861" s="2"/>
      <c r="I1861" s="2"/>
      <c r="J1861" s="73"/>
      <c r="K1861" s="73"/>
      <c r="L1861" s="73"/>
      <c r="M1861" s="73"/>
      <c r="N1861" s="73"/>
      <c r="O1861" s="73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14.25" customHeight="1" x14ac:dyDescent="0.35">
      <c r="A1862" s="2"/>
      <c r="B1862" s="6"/>
      <c r="C1862" s="6"/>
      <c r="D1862" s="2"/>
      <c r="E1862" s="2"/>
      <c r="F1862" s="2"/>
      <c r="G1862" s="2"/>
      <c r="H1862" s="2"/>
      <c r="I1862" s="2"/>
      <c r="J1862" s="73"/>
      <c r="K1862" s="73"/>
      <c r="L1862" s="73"/>
      <c r="M1862" s="73"/>
      <c r="N1862" s="73"/>
      <c r="O1862" s="73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14.25" customHeight="1" x14ac:dyDescent="0.35">
      <c r="A1863" s="2"/>
      <c r="B1863" s="6"/>
      <c r="C1863" s="6"/>
      <c r="D1863" s="2"/>
      <c r="E1863" s="2"/>
      <c r="F1863" s="2"/>
      <c r="G1863" s="2"/>
      <c r="H1863" s="2"/>
      <c r="I1863" s="2"/>
      <c r="J1863" s="73"/>
      <c r="K1863" s="73"/>
      <c r="L1863" s="73"/>
      <c r="M1863" s="73"/>
      <c r="N1863" s="73"/>
      <c r="O1863" s="73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14.25" customHeight="1" x14ac:dyDescent="0.35">
      <c r="A1864" s="2"/>
      <c r="B1864" s="6"/>
      <c r="C1864" s="6"/>
      <c r="D1864" s="2"/>
      <c r="E1864" s="2"/>
      <c r="F1864" s="2"/>
      <c r="G1864" s="2"/>
      <c r="H1864" s="2"/>
      <c r="I1864" s="2"/>
      <c r="J1864" s="73"/>
      <c r="K1864" s="73"/>
      <c r="L1864" s="73"/>
      <c r="M1864" s="73"/>
      <c r="N1864" s="73"/>
      <c r="O1864" s="73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14.25" customHeight="1" x14ac:dyDescent="0.35">
      <c r="A1865" s="2"/>
      <c r="B1865" s="6"/>
      <c r="C1865" s="6"/>
      <c r="D1865" s="2"/>
      <c r="E1865" s="2"/>
      <c r="F1865" s="2"/>
      <c r="G1865" s="2"/>
      <c r="H1865" s="2"/>
      <c r="I1865" s="2"/>
      <c r="J1865" s="73"/>
      <c r="K1865" s="73"/>
      <c r="L1865" s="73"/>
      <c r="M1865" s="73"/>
      <c r="N1865" s="73"/>
      <c r="O1865" s="73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14.25" customHeight="1" x14ac:dyDescent="0.35">
      <c r="A1866" s="2"/>
      <c r="B1866" s="6"/>
      <c r="C1866" s="6"/>
      <c r="D1866" s="2"/>
      <c r="E1866" s="2"/>
      <c r="F1866" s="2"/>
      <c r="G1866" s="2"/>
      <c r="H1866" s="2"/>
      <c r="I1866" s="2"/>
      <c r="J1866" s="73"/>
      <c r="K1866" s="73"/>
      <c r="L1866" s="73"/>
      <c r="M1866" s="73"/>
      <c r="N1866" s="73"/>
      <c r="O1866" s="73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14.25" customHeight="1" x14ac:dyDescent="0.35">
      <c r="A1867" s="2"/>
      <c r="B1867" s="6"/>
      <c r="C1867" s="6"/>
      <c r="D1867" s="2"/>
      <c r="E1867" s="2"/>
      <c r="F1867" s="2"/>
      <c r="G1867" s="2"/>
      <c r="H1867" s="2"/>
      <c r="I1867" s="2"/>
      <c r="J1867" s="73"/>
      <c r="K1867" s="73"/>
      <c r="L1867" s="73"/>
      <c r="M1867" s="73"/>
      <c r="N1867" s="73"/>
      <c r="O1867" s="73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14.25" customHeight="1" x14ac:dyDescent="0.35">
      <c r="A1868" s="2"/>
      <c r="B1868" s="6"/>
      <c r="C1868" s="6"/>
      <c r="D1868" s="2"/>
      <c r="E1868" s="2"/>
      <c r="F1868" s="2"/>
      <c r="G1868" s="2"/>
      <c r="H1868" s="2"/>
      <c r="I1868" s="2"/>
      <c r="J1868" s="73"/>
      <c r="K1868" s="73"/>
      <c r="L1868" s="73"/>
      <c r="M1868" s="73"/>
      <c r="N1868" s="73"/>
      <c r="O1868" s="73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14.25" customHeight="1" x14ac:dyDescent="0.35">
      <c r="A1869" s="2"/>
      <c r="B1869" s="6"/>
      <c r="C1869" s="6"/>
      <c r="D1869" s="2"/>
      <c r="E1869" s="2"/>
      <c r="F1869" s="2"/>
      <c r="G1869" s="2"/>
      <c r="H1869" s="2"/>
      <c r="I1869" s="2"/>
      <c r="J1869" s="73"/>
      <c r="K1869" s="73"/>
      <c r="L1869" s="73"/>
      <c r="M1869" s="73"/>
      <c r="N1869" s="73"/>
      <c r="O1869" s="73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14.25" customHeight="1" x14ac:dyDescent="0.35">
      <c r="A1870" s="2"/>
      <c r="B1870" s="6"/>
      <c r="C1870" s="6"/>
      <c r="D1870" s="2"/>
      <c r="E1870" s="2"/>
      <c r="F1870" s="2"/>
      <c r="G1870" s="2"/>
      <c r="H1870" s="2"/>
      <c r="I1870" s="2"/>
      <c r="J1870" s="73"/>
      <c r="K1870" s="73"/>
      <c r="L1870" s="73"/>
      <c r="M1870" s="73"/>
      <c r="N1870" s="73"/>
      <c r="O1870" s="73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14.25" customHeight="1" x14ac:dyDescent="0.35">
      <c r="A1871" s="2"/>
      <c r="B1871" s="6"/>
      <c r="C1871" s="6"/>
      <c r="D1871" s="2"/>
      <c r="E1871" s="2"/>
      <c r="F1871" s="2"/>
      <c r="G1871" s="2"/>
      <c r="H1871" s="2"/>
      <c r="I1871" s="2"/>
      <c r="J1871" s="73"/>
      <c r="K1871" s="73"/>
      <c r="L1871" s="73"/>
      <c r="M1871" s="73"/>
      <c r="N1871" s="73"/>
      <c r="O1871" s="73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14.25" customHeight="1" x14ac:dyDescent="0.35">
      <c r="A1872" s="2"/>
      <c r="B1872" s="6"/>
      <c r="C1872" s="6"/>
      <c r="D1872" s="2"/>
      <c r="E1872" s="2"/>
      <c r="F1872" s="2"/>
      <c r="G1872" s="2"/>
      <c r="H1872" s="2"/>
      <c r="I1872" s="2"/>
      <c r="J1872" s="73"/>
      <c r="K1872" s="73"/>
      <c r="L1872" s="73"/>
      <c r="M1872" s="73"/>
      <c r="N1872" s="73"/>
      <c r="O1872" s="73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14.25" customHeight="1" x14ac:dyDescent="0.35">
      <c r="A1873" s="2"/>
      <c r="B1873" s="6"/>
      <c r="C1873" s="6"/>
      <c r="D1873" s="2"/>
      <c r="E1873" s="2"/>
      <c r="F1873" s="2"/>
      <c r="G1873" s="2"/>
      <c r="H1873" s="2"/>
      <c r="I1873" s="2"/>
      <c r="J1873" s="73"/>
      <c r="K1873" s="73"/>
      <c r="L1873" s="73"/>
      <c r="M1873" s="73"/>
      <c r="N1873" s="73"/>
      <c r="O1873" s="73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14.25" customHeight="1" x14ac:dyDescent="0.35">
      <c r="A1874" s="2"/>
      <c r="B1874" s="6"/>
      <c r="C1874" s="6"/>
      <c r="D1874" s="2"/>
      <c r="E1874" s="2"/>
      <c r="F1874" s="2"/>
      <c r="G1874" s="2"/>
      <c r="H1874" s="2"/>
      <c r="I1874" s="2"/>
      <c r="J1874" s="73"/>
      <c r="K1874" s="73"/>
      <c r="L1874" s="73"/>
      <c r="M1874" s="73"/>
      <c r="N1874" s="73"/>
      <c r="O1874" s="73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14.25" customHeight="1" x14ac:dyDescent="0.35">
      <c r="A1875" s="2"/>
      <c r="B1875" s="6"/>
      <c r="C1875" s="6"/>
      <c r="D1875" s="2"/>
      <c r="E1875" s="2"/>
      <c r="F1875" s="2"/>
      <c r="G1875" s="2"/>
      <c r="H1875" s="2"/>
      <c r="I1875" s="2"/>
      <c r="J1875" s="73"/>
      <c r="K1875" s="73"/>
      <c r="L1875" s="73"/>
      <c r="M1875" s="73"/>
      <c r="N1875" s="73"/>
      <c r="O1875" s="73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14.25" customHeight="1" x14ac:dyDescent="0.35">
      <c r="A1876" s="2"/>
      <c r="B1876" s="6"/>
      <c r="C1876" s="6"/>
      <c r="D1876" s="2"/>
      <c r="E1876" s="2"/>
      <c r="F1876" s="2"/>
      <c r="G1876" s="2"/>
      <c r="H1876" s="2"/>
      <c r="I1876" s="2"/>
      <c r="J1876" s="73"/>
      <c r="K1876" s="73"/>
      <c r="L1876" s="73"/>
      <c r="M1876" s="73"/>
      <c r="N1876" s="73"/>
      <c r="O1876" s="73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14.25" customHeight="1" x14ac:dyDescent="0.35">
      <c r="A1877" s="2"/>
      <c r="B1877" s="6"/>
      <c r="C1877" s="6"/>
      <c r="D1877" s="2"/>
      <c r="E1877" s="2"/>
      <c r="F1877" s="2"/>
      <c r="G1877" s="2"/>
      <c r="H1877" s="2"/>
      <c r="I1877" s="2"/>
      <c r="J1877" s="73"/>
      <c r="K1877" s="73"/>
      <c r="L1877" s="73"/>
      <c r="M1877" s="73"/>
      <c r="N1877" s="73"/>
      <c r="O1877" s="73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14.25" customHeight="1" x14ac:dyDescent="0.35">
      <c r="A1878" s="2"/>
      <c r="B1878" s="6"/>
      <c r="C1878" s="6"/>
      <c r="D1878" s="2"/>
      <c r="E1878" s="2"/>
      <c r="F1878" s="2"/>
      <c r="G1878" s="2"/>
      <c r="H1878" s="2"/>
      <c r="I1878" s="2"/>
      <c r="J1878" s="73"/>
      <c r="K1878" s="73"/>
      <c r="L1878" s="73"/>
      <c r="M1878" s="73"/>
      <c r="N1878" s="73"/>
      <c r="O1878" s="73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14.25" customHeight="1" x14ac:dyDescent="0.35">
      <c r="A1879" s="2"/>
      <c r="B1879" s="6"/>
      <c r="C1879" s="6"/>
      <c r="D1879" s="2"/>
      <c r="E1879" s="2"/>
      <c r="F1879" s="2"/>
      <c r="G1879" s="2"/>
      <c r="H1879" s="2"/>
      <c r="I1879" s="2"/>
      <c r="J1879" s="73"/>
      <c r="K1879" s="73"/>
      <c r="L1879" s="73"/>
      <c r="M1879" s="73"/>
      <c r="N1879" s="73"/>
      <c r="O1879" s="73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14.25" customHeight="1" x14ac:dyDescent="0.35">
      <c r="A1880" s="2"/>
      <c r="B1880" s="6"/>
      <c r="C1880" s="6"/>
      <c r="D1880" s="2"/>
      <c r="E1880" s="2"/>
      <c r="F1880" s="2"/>
      <c r="G1880" s="2"/>
      <c r="H1880" s="2"/>
      <c r="I1880" s="2"/>
      <c r="J1880" s="73"/>
      <c r="K1880" s="73"/>
      <c r="L1880" s="73"/>
      <c r="M1880" s="73"/>
      <c r="N1880" s="73"/>
      <c r="O1880" s="73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14.25" customHeight="1" x14ac:dyDescent="0.35">
      <c r="A1881" s="2"/>
      <c r="B1881" s="6"/>
      <c r="C1881" s="6"/>
      <c r="D1881" s="2"/>
      <c r="E1881" s="2"/>
      <c r="F1881" s="2"/>
      <c r="G1881" s="2"/>
      <c r="H1881" s="2"/>
      <c r="I1881" s="2"/>
      <c r="J1881" s="73"/>
      <c r="K1881" s="73"/>
      <c r="L1881" s="73"/>
      <c r="M1881" s="73"/>
      <c r="N1881" s="73"/>
      <c r="O1881" s="73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14.25" customHeight="1" x14ac:dyDescent="0.35">
      <c r="A1882" s="2"/>
      <c r="B1882" s="6"/>
      <c r="C1882" s="6"/>
      <c r="D1882" s="2"/>
      <c r="E1882" s="2"/>
      <c r="F1882" s="2"/>
      <c r="G1882" s="2"/>
      <c r="H1882" s="2"/>
      <c r="I1882" s="2"/>
      <c r="J1882" s="73"/>
      <c r="K1882" s="73"/>
      <c r="L1882" s="73"/>
      <c r="M1882" s="73"/>
      <c r="N1882" s="73"/>
      <c r="O1882" s="73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14.25" customHeight="1" x14ac:dyDescent="0.35">
      <c r="A1883" s="2"/>
      <c r="B1883" s="6"/>
      <c r="C1883" s="6"/>
      <c r="D1883" s="2"/>
      <c r="E1883" s="2"/>
      <c r="F1883" s="2"/>
      <c r="G1883" s="2"/>
      <c r="H1883" s="2"/>
      <c r="I1883" s="2"/>
      <c r="J1883" s="73"/>
      <c r="K1883" s="73"/>
      <c r="L1883" s="73"/>
      <c r="M1883" s="73"/>
      <c r="N1883" s="73"/>
      <c r="O1883" s="73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14.25" customHeight="1" x14ac:dyDescent="0.35">
      <c r="A1884" s="2"/>
      <c r="B1884" s="6"/>
      <c r="C1884" s="6"/>
      <c r="D1884" s="2"/>
      <c r="E1884" s="2"/>
      <c r="F1884" s="2"/>
      <c r="G1884" s="2"/>
      <c r="H1884" s="2"/>
      <c r="I1884" s="2"/>
      <c r="J1884" s="73"/>
      <c r="K1884" s="73"/>
      <c r="L1884" s="73"/>
      <c r="M1884" s="73"/>
      <c r="N1884" s="73"/>
      <c r="O1884" s="73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14.25" customHeight="1" x14ac:dyDescent="0.35">
      <c r="A1885" s="2"/>
      <c r="B1885" s="6"/>
      <c r="C1885" s="6"/>
      <c r="D1885" s="2"/>
      <c r="E1885" s="2"/>
      <c r="F1885" s="2"/>
      <c r="G1885" s="2"/>
      <c r="H1885" s="2"/>
      <c r="I1885" s="2"/>
      <c r="J1885" s="73"/>
      <c r="K1885" s="73"/>
      <c r="L1885" s="73"/>
      <c r="M1885" s="73"/>
      <c r="N1885" s="73"/>
      <c r="O1885" s="73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14.25" customHeight="1" x14ac:dyDescent="0.35">
      <c r="A1886" s="2"/>
      <c r="B1886" s="6"/>
      <c r="C1886" s="6"/>
      <c r="D1886" s="2"/>
      <c r="E1886" s="2"/>
      <c r="F1886" s="2"/>
      <c r="G1886" s="2"/>
      <c r="H1886" s="2"/>
      <c r="I1886" s="2"/>
      <c r="J1886" s="73"/>
      <c r="K1886" s="73"/>
      <c r="L1886" s="73"/>
      <c r="M1886" s="73"/>
      <c r="N1886" s="73"/>
      <c r="O1886" s="73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14.25" customHeight="1" x14ac:dyDescent="0.35">
      <c r="A1887" s="2"/>
      <c r="B1887" s="6"/>
      <c r="C1887" s="6"/>
      <c r="D1887" s="2"/>
      <c r="E1887" s="2"/>
      <c r="F1887" s="2"/>
      <c r="G1887" s="2"/>
      <c r="H1887" s="2"/>
      <c r="I1887" s="2"/>
      <c r="J1887" s="73"/>
      <c r="K1887" s="73"/>
      <c r="L1887" s="73"/>
      <c r="M1887" s="73"/>
      <c r="N1887" s="73"/>
      <c r="O1887" s="73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14.25" customHeight="1" x14ac:dyDescent="0.35">
      <c r="A1888" s="2"/>
      <c r="B1888" s="6"/>
      <c r="C1888" s="6"/>
      <c r="D1888" s="2"/>
      <c r="E1888" s="2"/>
      <c r="F1888" s="2"/>
      <c r="G1888" s="2"/>
      <c r="H1888" s="2"/>
      <c r="I1888" s="2"/>
      <c r="J1888" s="73"/>
      <c r="K1888" s="73"/>
      <c r="L1888" s="73"/>
      <c r="M1888" s="73"/>
      <c r="N1888" s="73"/>
      <c r="O1888" s="73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14.25" customHeight="1" x14ac:dyDescent="0.35">
      <c r="A1889" s="2"/>
      <c r="B1889" s="6"/>
      <c r="C1889" s="6"/>
      <c r="D1889" s="2"/>
      <c r="E1889" s="2"/>
      <c r="F1889" s="2"/>
      <c r="G1889" s="2"/>
      <c r="H1889" s="2"/>
      <c r="I1889" s="2"/>
      <c r="J1889" s="73"/>
      <c r="K1889" s="73"/>
      <c r="L1889" s="73"/>
      <c r="M1889" s="73"/>
      <c r="N1889" s="73"/>
      <c r="O1889" s="73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14.25" customHeight="1" x14ac:dyDescent="0.35">
      <c r="A1890" s="2"/>
      <c r="B1890" s="6"/>
      <c r="C1890" s="6"/>
      <c r="D1890" s="2"/>
      <c r="E1890" s="2"/>
      <c r="F1890" s="2"/>
      <c r="G1890" s="2"/>
      <c r="H1890" s="2"/>
      <c r="I1890" s="2"/>
      <c r="J1890" s="73"/>
      <c r="K1890" s="73"/>
      <c r="L1890" s="73"/>
      <c r="M1890" s="73"/>
      <c r="N1890" s="73"/>
      <c r="O1890" s="73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14.25" customHeight="1" x14ac:dyDescent="0.35">
      <c r="A1891" s="2"/>
      <c r="B1891" s="6"/>
      <c r="C1891" s="6"/>
      <c r="D1891" s="2"/>
      <c r="E1891" s="2"/>
      <c r="F1891" s="2"/>
      <c r="G1891" s="2"/>
      <c r="H1891" s="2"/>
      <c r="I1891" s="2"/>
      <c r="J1891" s="73"/>
      <c r="K1891" s="73"/>
      <c r="L1891" s="73"/>
      <c r="M1891" s="73"/>
      <c r="N1891" s="73"/>
      <c r="O1891" s="73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14.25" customHeight="1" x14ac:dyDescent="0.35">
      <c r="A1892" s="2"/>
      <c r="B1892" s="6"/>
      <c r="C1892" s="6"/>
      <c r="D1892" s="2"/>
      <c r="E1892" s="2"/>
      <c r="F1892" s="2"/>
      <c r="G1892" s="2"/>
      <c r="H1892" s="2"/>
      <c r="I1892" s="2"/>
      <c r="J1892" s="73"/>
      <c r="K1892" s="73"/>
      <c r="L1892" s="73"/>
      <c r="M1892" s="73"/>
      <c r="N1892" s="73"/>
      <c r="O1892" s="73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14.25" customHeight="1" x14ac:dyDescent="0.35">
      <c r="A1893" s="2"/>
      <c r="B1893" s="6"/>
      <c r="C1893" s="6"/>
      <c r="D1893" s="2"/>
      <c r="E1893" s="2"/>
      <c r="F1893" s="2"/>
      <c r="G1893" s="2"/>
      <c r="H1893" s="2"/>
      <c r="I1893" s="2"/>
      <c r="J1893" s="73"/>
      <c r="K1893" s="73"/>
      <c r="L1893" s="73"/>
      <c r="M1893" s="73"/>
      <c r="N1893" s="73"/>
      <c r="O1893" s="73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14.25" customHeight="1" x14ac:dyDescent="0.35">
      <c r="A1894" s="2"/>
      <c r="B1894" s="6"/>
      <c r="C1894" s="6"/>
      <c r="D1894" s="2"/>
      <c r="E1894" s="2"/>
      <c r="F1894" s="2"/>
      <c r="G1894" s="2"/>
      <c r="H1894" s="2"/>
      <c r="I1894" s="2"/>
      <c r="J1894" s="73"/>
      <c r="K1894" s="73"/>
      <c r="L1894" s="73"/>
      <c r="M1894" s="73"/>
      <c r="N1894" s="73"/>
      <c r="O1894" s="73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14.25" customHeight="1" x14ac:dyDescent="0.35">
      <c r="A1895" s="2"/>
      <c r="B1895" s="6"/>
      <c r="C1895" s="6"/>
      <c r="D1895" s="2"/>
      <c r="E1895" s="2"/>
      <c r="F1895" s="2"/>
      <c r="G1895" s="2"/>
      <c r="H1895" s="2"/>
      <c r="I1895" s="2"/>
      <c r="J1895" s="73"/>
      <c r="K1895" s="73"/>
      <c r="L1895" s="73"/>
      <c r="M1895" s="73"/>
      <c r="N1895" s="73"/>
      <c r="O1895" s="73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14.25" customHeight="1" x14ac:dyDescent="0.35">
      <c r="A1896" s="2"/>
      <c r="B1896" s="6"/>
      <c r="C1896" s="6"/>
      <c r="D1896" s="2"/>
      <c r="E1896" s="2"/>
      <c r="F1896" s="2"/>
      <c r="G1896" s="2"/>
      <c r="H1896" s="2"/>
      <c r="I1896" s="2"/>
      <c r="J1896" s="73"/>
      <c r="K1896" s="73"/>
      <c r="L1896" s="73"/>
      <c r="M1896" s="73"/>
      <c r="N1896" s="73"/>
      <c r="O1896" s="73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14.25" customHeight="1" x14ac:dyDescent="0.35">
      <c r="A1897" s="2"/>
      <c r="B1897" s="6"/>
      <c r="C1897" s="6"/>
      <c r="D1897" s="2"/>
      <c r="E1897" s="2"/>
      <c r="F1897" s="2"/>
      <c r="G1897" s="2"/>
      <c r="H1897" s="2"/>
      <c r="I1897" s="2"/>
      <c r="J1897" s="73"/>
      <c r="K1897" s="73"/>
      <c r="L1897" s="73"/>
      <c r="M1897" s="73"/>
      <c r="N1897" s="73"/>
      <c r="O1897" s="73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14.25" customHeight="1" x14ac:dyDescent="0.35">
      <c r="A1898" s="2"/>
      <c r="B1898" s="6"/>
      <c r="C1898" s="6"/>
      <c r="D1898" s="2"/>
      <c r="E1898" s="2"/>
      <c r="F1898" s="2"/>
      <c r="G1898" s="2"/>
      <c r="H1898" s="2"/>
      <c r="I1898" s="2"/>
      <c r="J1898" s="73"/>
      <c r="K1898" s="73"/>
      <c r="L1898" s="73"/>
      <c r="M1898" s="73"/>
      <c r="N1898" s="73"/>
      <c r="O1898" s="73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14.25" customHeight="1" x14ac:dyDescent="0.35">
      <c r="A1899" s="2"/>
      <c r="B1899" s="6"/>
      <c r="C1899" s="6"/>
      <c r="D1899" s="2"/>
      <c r="E1899" s="2"/>
      <c r="F1899" s="2"/>
      <c r="G1899" s="2"/>
      <c r="H1899" s="2"/>
      <c r="I1899" s="2"/>
      <c r="J1899" s="73"/>
      <c r="K1899" s="73"/>
      <c r="L1899" s="73"/>
      <c r="M1899" s="73"/>
      <c r="N1899" s="73"/>
      <c r="O1899" s="73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14.25" customHeight="1" x14ac:dyDescent="0.35">
      <c r="A1900" s="2"/>
      <c r="B1900" s="6"/>
      <c r="C1900" s="6"/>
      <c r="D1900" s="2"/>
      <c r="E1900" s="2"/>
      <c r="F1900" s="2"/>
      <c r="G1900" s="2"/>
      <c r="H1900" s="2"/>
      <c r="I1900" s="2"/>
      <c r="J1900" s="73"/>
      <c r="K1900" s="73"/>
      <c r="L1900" s="73"/>
      <c r="M1900" s="73"/>
      <c r="N1900" s="73"/>
      <c r="O1900" s="73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14.25" customHeight="1" x14ac:dyDescent="0.35">
      <c r="A1901" s="2"/>
      <c r="B1901" s="6"/>
      <c r="C1901" s="6"/>
      <c r="D1901" s="2"/>
      <c r="E1901" s="2"/>
      <c r="F1901" s="2"/>
      <c r="G1901" s="2"/>
      <c r="H1901" s="2"/>
      <c r="I1901" s="2"/>
      <c r="J1901" s="73"/>
      <c r="K1901" s="73"/>
      <c r="L1901" s="73"/>
      <c r="M1901" s="73"/>
      <c r="N1901" s="73"/>
      <c r="O1901" s="73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14.25" customHeight="1" x14ac:dyDescent="0.35">
      <c r="A1902" s="2"/>
      <c r="B1902" s="6"/>
      <c r="C1902" s="6"/>
      <c r="D1902" s="2"/>
      <c r="E1902" s="2"/>
      <c r="F1902" s="2"/>
      <c r="G1902" s="2"/>
      <c r="H1902" s="2"/>
      <c r="I1902" s="2"/>
      <c r="J1902" s="73"/>
      <c r="K1902" s="73"/>
      <c r="L1902" s="73"/>
      <c r="M1902" s="73"/>
      <c r="N1902" s="73"/>
      <c r="O1902" s="73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14.25" customHeight="1" x14ac:dyDescent="0.35">
      <c r="A1903" s="2"/>
      <c r="B1903" s="6"/>
      <c r="C1903" s="6"/>
      <c r="D1903" s="2"/>
      <c r="E1903" s="2"/>
      <c r="F1903" s="2"/>
      <c r="G1903" s="2"/>
      <c r="H1903" s="2"/>
      <c r="I1903" s="2"/>
      <c r="J1903" s="73"/>
      <c r="K1903" s="73"/>
      <c r="L1903" s="73"/>
      <c r="M1903" s="73"/>
      <c r="N1903" s="73"/>
      <c r="O1903" s="73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14.25" customHeight="1" x14ac:dyDescent="0.35">
      <c r="A1904" s="2"/>
      <c r="B1904" s="6"/>
      <c r="C1904" s="6"/>
      <c r="D1904" s="2"/>
      <c r="E1904" s="2"/>
      <c r="F1904" s="2"/>
      <c r="G1904" s="2"/>
      <c r="H1904" s="2"/>
      <c r="I1904" s="2"/>
      <c r="J1904" s="73"/>
      <c r="K1904" s="73"/>
      <c r="L1904" s="73"/>
      <c r="M1904" s="73"/>
      <c r="N1904" s="73"/>
      <c r="O1904" s="73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14.25" customHeight="1" x14ac:dyDescent="0.35">
      <c r="A1905" s="2"/>
      <c r="B1905" s="6"/>
      <c r="C1905" s="6"/>
      <c r="D1905" s="2"/>
      <c r="E1905" s="2"/>
      <c r="F1905" s="2"/>
      <c r="G1905" s="2"/>
      <c r="H1905" s="2"/>
      <c r="I1905" s="2"/>
      <c r="J1905" s="73"/>
      <c r="K1905" s="73"/>
      <c r="L1905" s="73"/>
      <c r="M1905" s="73"/>
      <c r="N1905" s="73"/>
      <c r="O1905" s="73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14.25" customHeight="1" x14ac:dyDescent="0.35">
      <c r="A1906" s="2"/>
      <c r="B1906" s="6"/>
      <c r="C1906" s="6"/>
      <c r="D1906" s="2"/>
      <c r="E1906" s="2"/>
      <c r="F1906" s="2"/>
      <c r="G1906" s="2"/>
      <c r="H1906" s="2"/>
      <c r="I1906" s="2"/>
      <c r="J1906" s="73"/>
      <c r="K1906" s="73"/>
      <c r="L1906" s="73"/>
      <c r="M1906" s="73"/>
      <c r="N1906" s="73"/>
      <c r="O1906" s="73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14.25" customHeight="1" x14ac:dyDescent="0.35">
      <c r="A1907" s="2"/>
      <c r="B1907" s="6"/>
      <c r="C1907" s="6"/>
      <c r="D1907" s="2"/>
      <c r="E1907" s="2"/>
      <c r="F1907" s="2"/>
      <c r="G1907" s="2"/>
      <c r="H1907" s="2"/>
      <c r="I1907" s="2"/>
      <c r="J1907" s="73"/>
      <c r="K1907" s="73"/>
      <c r="L1907" s="73"/>
      <c r="M1907" s="73"/>
      <c r="N1907" s="73"/>
      <c r="O1907" s="73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14.25" customHeight="1" x14ac:dyDescent="0.35">
      <c r="A1908" s="2"/>
      <c r="B1908" s="6"/>
      <c r="C1908" s="6"/>
      <c r="D1908" s="2"/>
      <c r="E1908" s="2"/>
      <c r="F1908" s="2"/>
      <c r="G1908" s="2"/>
      <c r="H1908" s="2"/>
      <c r="I1908" s="2"/>
      <c r="J1908" s="73"/>
      <c r="K1908" s="73"/>
      <c r="L1908" s="73"/>
      <c r="M1908" s="73"/>
      <c r="N1908" s="73"/>
      <c r="O1908" s="73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14.25" customHeight="1" x14ac:dyDescent="0.35">
      <c r="A1909" s="2"/>
      <c r="B1909" s="6"/>
      <c r="C1909" s="6"/>
      <c r="D1909" s="2"/>
      <c r="E1909" s="2"/>
      <c r="F1909" s="2"/>
      <c r="G1909" s="2"/>
      <c r="H1909" s="2"/>
      <c r="I1909" s="2"/>
      <c r="J1909" s="73"/>
      <c r="K1909" s="73"/>
      <c r="L1909" s="73"/>
      <c r="M1909" s="73"/>
      <c r="N1909" s="73"/>
      <c r="O1909" s="73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14.25" customHeight="1" x14ac:dyDescent="0.35">
      <c r="A1910" s="2"/>
      <c r="B1910" s="6"/>
      <c r="C1910" s="6"/>
      <c r="D1910" s="2"/>
      <c r="E1910" s="2"/>
      <c r="F1910" s="2"/>
      <c r="G1910" s="2"/>
      <c r="H1910" s="2"/>
      <c r="I1910" s="2"/>
      <c r="J1910" s="73"/>
      <c r="K1910" s="73"/>
      <c r="L1910" s="73"/>
      <c r="M1910" s="73"/>
      <c r="N1910" s="73"/>
      <c r="O1910" s="73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14.25" customHeight="1" x14ac:dyDescent="0.35">
      <c r="A1911" s="2"/>
      <c r="B1911" s="6"/>
      <c r="C1911" s="6"/>
      <c r="D1911" s="2"/>
      <c r="E1911" s="2"/>
      <c r="F1911" s="2"/>
      <c r="G1911" s="2"/>
      <c r="H1911" s="2"/>
      <c r="I1911" s="2"/>
      <c r="J1911" s="73"/>
      <c r="K1911" s="73"/>
      <c r="L1911" s="73"/>
      <c r="M1911" s="73"/>
      <c r="N1911" s="73"/>
      <c r="O1911" s="73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14.25" customHeight="1" x14ac:dyDescent="0.35">
      <c r="A1912" s="2"/>
      <c r="B1912" s="6"/>
      <c r="C1912" s="6"/>
      <c r="D1912" s="2"/>
      <c r="E1912" s="2"/>
      <c r="F1912" s="2"/>
      <c r="G1912" s="2"/>
      <c r="H1912" s="2"/>
      <c r="I1912" s="2"/>
      <c r="J1912" s="73"/>
      <c r="K1912" s="73"/>
      <c r="L1912" s="73"/>
      <c r="M1912" s="73"/>
      <c r="N1912" s="73"/>
      <c r="O1912" s="73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14.25" customHeight="1" x14ac:dyDescent="0.35">
      <c r="A1913" s="2"/>
      <c r="B1913" s="6"/>
      <c r="C1913" s="6"/>
      <c r="D1913" s="2"/>
      <c r="E1913" s="2"/>
      <c r="F1913" s="2"/>
      <c r="G1913" s="2"/>
      <c r="H1913" s="2"/>
      <c r="I1913" s="2"/>
      <c r="J1913" s="73"/>
      <c r="K1913" s="73"/>
      <c r="L1913" s="73"/>
      <c r="M1913" s="73"/>
      <c r="N1913" s="73"/>
      <c r="O1913" s="73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14.25" customHeight="1" x14ac:dyDescent="0.35">
      <c r="A1914" s="2"/>
      <c r="B1914" s="6"/>
      <c r="C1914" s="6"/>
      <c r="D1914" s="2"/>
      <c r="E1914" s="2"/>
      <c r="F1914" s="2"/>
      <c r="G1914" s="2"/>
      <c r="H1914" s="2"/>
      <c r="I1914" s="2"/>
      <c r="J1914" s="73"/>
      <c r="K1914" s="73"/>
      <c r="L1914" s="73"/>
      <c r="M1914" s="73"/>
      <c r="N1914" s="73"/>
      <c r="O1914" s="73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14.25" customHeight="1" x14ac:dyDescent="0.35">
      <c r="A1915" s="2"/>
      <c r="B1915" s="6"/>
      <c r="C1915" s="6"/>
      <c r="D1915" s="2"/>
      <c r="E1915" s="2"/>
      <c r="F1915" s="2"/>
      <c r="G1915" s="2"/>
      <c r="H1915" s="2"/>
      <c r="I1915" s="2"/>
      <c r="J1915" s="73"/>
      <c r="K1915" s="73"/>
      <c r="L1915" s="73"/>
      <c r="M1915" s="73"/>
      <c r="N1915" s="73"/>
      <c r="O1915" s="73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14.25" customHeight="1" x14ac:dyDescent="0.35">
      <c r="A1916" s="2"/>
      <c r="B1916" s="6"/>
      <c r="C1916" s="6"/>
      <c r="D1916" s="2"/>
      <c r="E1916" s="2"/>
      <c r="F1916" s="2"/>
      <c r="G1916" s="2"/>
      <c r="H1916" s="2"/>
      <c r="I1916" s="2"/>
      <c r="J1916" s="73"/>
      <c r="K1916" s="73"/>
      <c r="L1916" s="73"/>
      <c r="M1916" s="73"/>
      <c r="N1916" s="73"/>
      <c r="O1916" s="73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14.25" customHeight="1" x14ac:dyDescent="0.35">
      <c r="A1917" s="2"/>
      <c r="B1917" s="6"/>
      <c r="C1917" s="6"/>
      <c r="D1917" s="2"/>
      <c r="E1917" s="2"/>
      <c r="F1917" s="2"/>
      <c r="G1917" s="2"/>
      <c r="H1917" s="2"/>
      <c r="I1917" s="2"/>
      <c r="J1917" s="73"/>
      <c r="K1917" s="73"/>
      <c r="L1917" s="73"/>
      <c r="M1917" s="73"/>
      <c r="N1917" s="73"/>
      <c r="O1917" s="73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14.25" customHeight="1" x14ac:dyDescent="0.35">
      <c r="A1918" s="2"/>
      <c r="B1918" s="6"/>
      <c r="C1918" s="6"/>
      <c r="D1918" s="2"/>
      <c r="E1918" s="2"/>
      <c r="F1918" s="2"/>
      <c r="G1918" s="2"/>
      <c r="H1918" s="2"/>
      <c r="I1918" s="2"/>
      <c r="J1918" s="73"/>
      <c r="K1918" s="73"/>
      <c r="L1918" s="73"/>
      <c r="M1918" s="73"/>
      <c r="N1918" s="73"/>
      <c r="O1918" s="73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14.25" customHeight="1" x14ac:dyDescent="0.35">
      <c r="A1919" s="2"/>
      <c r="B1919" s="6"/>
      <c r="C1919" s="6"/>
      <c r="D1919" s="2"/>
      <c r="E1919" s="2"/>
      <c r="F1919" s="2"/>
      <c r="G1919" s="2"/>
      <c r="H1919" s="2"/>
      <c r="I1919" s="2"/>
      <c r="J1919" s="73"/>
      <c r="K1919" s="73"/>
      <c r="L1919" s="73"/>
      <c r="M1919" s="73"/>
      <c r="N1919" s="73"/>
      <c r="O1919" s="73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14.25" customHeight="1" x14ac:dyDescent="0.35">
      <c r="A1920" s="2"/>
      <c r="B1920" s="6"/>
      <c r="C1920" s="6"/>
      <c r="D1920" s="2"/>
      <c r="E1920" s="2"/>
      <c r="F1920" s="2"/>
      <c r="G1920" s="2"/>
      <c r="H1920" s="2"/>
      <c r="I1920" s="2"/>
      <c r="J1920" s="73"/>
      <c r="K1920" s="73"/>
      <c r="L1920" s="73"/>
      <c r="M1920" s="73"/>
      <c r="N1920" s="73"/>
      <c r="O1920" s="73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14.25" customHeight="1" x14ac:dyDescent="0.35">
      <c r="A1921" s="2"/>
      <c r="B1921" s="6"/>
      <c r="C1921" s="6"/>
      <c r="D1921" s="2"/>
      <c r="E1921" s="2"/>
      <c r="F1921" s="2"/>
      <c r="G1921" s="2"/>
      <c r="H1921" s="2"/>
      <c r="I1921" s="2"/>
      <c r="J1921" s="73"/>
      <c r="K1921" s="73"/>
      <c r="L1921" s="73"/>
      <c r="M1921" s="73"/>
      <c r="N1921" s="73"/>
      <c r="O1921" s="73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14.25" customHeight="1" x14ac:dyDescent="0.35">
      <c r="A1922" s="2"/>
      <c r="B1922" s="6"/>
      <c r="C1922" s="6"/>
      <c r="D1922" s="2"/>
      <c r="E1922" s="2"/>
      <c r="F1922" s="2"/>
      <c r="G1922" s="2"/>
      <c r="H1922" s="2"/>
      <c r="I1922" s="2"/>
      <c r="J1922" s="73"/>
      <c r="K1922" s="73"/>
      <c r="L1922" s="73"/>
      <c r="M1922" s="73"/>
      <c r="N1922" s="73"/>
      <c r="O1922" s="73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14.25" customHeight="1" x14ac:dyDescent="0.35">
      <c r="A1923" s="2"/>
      <c r="B1923" s="6"/>
      <c r="C1923" s="6"/>
      <c r="D1923" s="2"/>
      <c r="E1923" s="2"/>
      <c r="F1923" s="2"/>
      <c r="G1923" s="2"/>
      <c r="H1923" s="2"/>
      <c r="I1923" s="2"/>
      <c r="J1923" s="73"/>
      <c r="K1923" s="73"/>
      <c r="L1923" s="73"/>
      <c r="M1923" s="73"/>
      <c r="N1923" s="73"/>
      <c r="O1923" s="73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14.25" customHeight="1" x14ac:dyDescent="0.35">
      <c r="A1924" s="2"/>
      <c r="B1924" s="6"/>
      <c r="C1924" s="6"/>
      <c r="D1924" s="2"/>
      <c r="E1924" s="2"/>
      <c r="F1924" s="2"/>
      <c r="G1924" s="2"/>
      <c r="H1924" s="2"/>
      <c r="I1924" s="2"/>
      <c r="J1924" s="73"/>
      <c r="K1924" s="73"/>
      <c r="L1924" s="73"/>
      <c r="M1924" s="73"/>
      <c r="N1924" s="73"/>
      <c r="O1924" s="73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14.25" customHeight="1" x14ac:dyDescent="0.35">
      <c r="A1925" s="2"/>
      <c r="B1925" s="6"/>
      <c r="C1925" s="6"/>
      <c r="D1925" s="2"/>
      <c r="E1925" s="2"/>
      <c r="F1925" s="2"/>
      <c r="G1925" s="2"/>
      <c r="H1925" s="2"/>
      <c r="I1925" s="2"/>
      <c r="J1925" s="73"/>
      <c r="K1925" s="73"/>
      <c r="L1925" s="73"/>
      <c r="M1925" s="73"/>
      <c r="N1925" s="73"/>
      <c r="O1925" s="73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14.25" customHeight="1" x14ac:dyDescent="0.35">
      <c r="A1926" s="2"/>
      <c r="B1926" s="6"/>
      <c r="C1926" s="6"/>
      <c r="D1926" s="2"/>
      <c r="E1926" s="2"/>
      <c r="F1926" s="2"/>
      <c r="G1926" s="2"/>
      <c r="H1926" s="2"/>
      <c r="I1926" s="2"/>
      <c r="J1926" s="73"/>
      <c r="K1926" s="73"/>
      <c r="L1926" s="73"/>
      <c r="M1926" s="73"/>
      <c r="N1926" s="73"/>
      <c r="O1926" s="73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14.25" customHeight="1" x14ac:dyDescent="0.35">
      <c r="A1927" s="2"/>
      <c r="B1927" s="6"/>
      <c r="C1927" s="6"/>
      <c r="D1927" s="2"/>
      <c r="E1927" s="2"/>
      <c r="F1927" s="2"/>
      <c r="G1927" s="2"/>
      <c r="H1927" s="2"/>
      <c r="I1927" s="2"/>
      <c r="J1927" s="73"/>
      <c r="K1927" s="73"/>
      <c r="L1927" s="73"/>
      <c r="M1927" s="73"/>
      <c r="N1927" s="73"/>
      <c r="O1927" s="73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14.25" customHeight="1" x14ac:dyDescent="0.35">
      <c r="A1928" s="2"/>
      <c r="B1928" s="6"/>
      <c r="C1928" s="6"/>
      <c r="D1928" s="2"/>
      <c r="E1928" s="2"/>
      <c r="F1928" s="2"/>
      <c r="G1928" s="2"/>
      <c r="H1928" s="2"/>
      <c r="I1928" s="2"/>
      <c r="J1928" s="73"/>
      <c r="K1928" s="73"/>
      <c r="L1928" s="73"/>
      <c r="M1928" s="73"/>
      <c r="N1928" s="73"/>
      <c r="O1928" s="73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14.25" customHeight="1" x14ac:dyDescent="0.35">
      <c r="A1929" s="2"/>
      <c r="B1929" s="6"/>
      <c r="C1929" s="6"/>
      <c r="D1929" s="2"/>
      <c r="E1929" s="2"/>
      <c r="F1929" s="2"/>
      <c r="G1929" s="2"/>
      <c r="H1929" s="2"/>
      <c r="I1929" s="2"/>
      <c r="J1929" s="73"/>
      <c r="K1929" s="73"/>
      <c r="L1929" s="73"/>
      <c r="M1929" s="73"/>
      <c r="N1929" s="73"/>
      <c r="O1929" s="73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14.25" customHeight="1" x14ac:dyDescent="0.35">
      <c r="A1930" s="2"/>
      <c r="B1930" s="6"/>
      <c r="C1930" s="6"/>
      <c r="D1930" s="2"/>
      <c r="E1930" s="2"/>
      <c r="F1930" s="2"/>
      <c r="G1930" s="2"/>
      <c r="H1930" s="2"/>
      <c r="I1930" s="2"/>
      <c r="J1930" s="73"/>
      <c r="K1930" s="73"/>
      <c r="L1930" s="73"/>
      <c r="M1930" s="73"/>
      <c r="N1930" s="73"/>
      <c r="O1930" s="73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14.25" customHeight="1" x14ac:dyDescent="0.35">
      <c r="A1931" s="2"/>
      <c r="B1931" s="6"/>
      <c r="C1931" s="6"/>
      <c r="D1931" s="2"/>
      <c r="E1931" s="2"/>
      <c r="F1931" s="2"/>
      <c r="G1931" s="2"/>
      <c r="H1931" s="2"/>
      <c r="I1931" s="2"/>
      <c r="J1931" s="73"/>
      <c r="K1931" s="73"/>
      <c r="L1931" s="73"/>
      <c r="M1931" s="73"/>
      <c r="N1931" s="73"/>
      <c r="O1931" s="73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14.25" customHeight="1" x14ac:dyDescent="0.35">
      <c r="A1932" s="2"/>
      <c r="B1932" s="6"/>
      <c r="C1932" s="6"/>
      <c r="D1932" s="2"/>
      <c r="E1932" s="2"/>
      <c r="F1932" s="2"/>
      <c r="G1932" s="2"/>
      <c r="H1932" s="2"/>
      <c r="I1932" s="2"/>
      <c r="J1932" s="73"/>
      <c r="K1932" s="73"/>
      <c r="L1932" s="73"/>
      <c r="M1932" s="73"/>
      <c r="N1932" s="73"/>
      <c r="O1932" s="73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14.25" customHeight="1" x14ac:dyDescent="0.35">
      <c r="A1933" s="2"/>
      <c r="B1933" s="6"/>
      <c r="C1933" s="6"/>
      <c r="D1933" s="2"/>
      <c r="E1933" s="2"/>
      <c r="F1933" s="2"/>
      <c r="G1933" s="2"/>
      <c r="H1933" s="2"/>
      <c r="I1933" s="2"/>
      <c r="J1933" s="73"/>
      <c r="K1933" s="73"/>
      <c r="L1933" s="73"/>
      <c r="M1933" s="73"/>
      <c r="N1933" s="73"/>
      <c r="O1933" s="73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14.25" customHeight="1" x14ac:dyDescent="0.35">
      <c r="A1934" s="2"/>
      <c r="B1934" s="6"/>
      <c r="C1934" s="6"/>
      <c r="D1934" s="2"/>
      <c r="E1934" s="2"/>
      <c r="F1934" s="2"/>
      <c r="G1934" s="2"/>
      <c r="H1934" s="2"/>
      <c r="I1934" s="2"/>
      <c r="J1934" s="73"/>
      <c r="K1934" s="73"/>
      <c r="L1934" s="73"/>
      <c r="M1934" s="73"/>
      <c r="N1934" s="73"/>
      <c r="O1934" s="73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14.25" customHeight="1" x14ac:dyDescent="0.35">
      <c r="A1935" s="2"/>
      <c r="B1935" s="6"/>
      <c r="C1935" s="6"/>
      <c r="D1935" s="2"/>
      <c r="E1935" s="2"/>
      <c r="F1935" s="2"/>
      <c r="G1935" s="2"/>
      <c r="H1935" s="2"/>
      <c r="I1935" s="2"/>
      <c r="J1935" s="73"/>
      <c r="K1935" s="73"/>
      <c r="L1935" s="73"/>
      <c r="M1935" s="73"/>
      <c r="N1935" s="73"/>
      <c r="O1935" s="73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14.25" customHeight="1" x14ac:dyDescent="0.35">
      <c r="A1936" s="2"/>
      <c r="B1936" s="6"/>
      <c r="C1936" s="6"/>
      <c r="D1936" s="2"/>
      <c r="E1936" s="2"/>
      <c r="F1936" s="2"/>
      <c r="G1936" s="2"/>
      <c r="H1936" s="2"/>
      <c r="I1936" s="2"/>
      <c r="J1936" s="73"/>
      <c r="K1936" s="73"/>
      <c r="L1936" s="73"/>
      <c r="M1936" s="73"/>
      <c r="N1936" s="73"/>
      <c r="O1936" s="73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14.25" customHeight="1" x14ac:dyDescent="0.35">
      <c r="A1937" s="2"/>
      <c r="B1937" s="6"/>
      <c r="C1937" s="6"/>
      <c r="D1937" s="2"/>
      <c r="E1937" s="2"/>
      <c r="F1937" s="2"/>
      <c r="G1937" s="2"/>
      <c r="H1937" s="2"/>
      <c r="I1937" s="2"/>
      <c r="J1937" s="73"/>
      <c r="K1937" s="73"/>
      <c r="L1937" s="73"/>
      <c r="M1937" s="73"/>
      <c r="N1937" s="73"/>
      <c r="O1937" s="73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14.25" customHeight="1" x14ac:dyDescent="0.35">
      <c r="A1938" s="2"/>
      <c r="B1938" s="6"/>
      <c r="C1938" s="6"/>
      <c r="D1938" s="2"/>
      <c r="E1938" s="2"/>
      <c r="F1938" s="2"/>
      <c r="G1938" s="2"/>
      <c r="H1938" s="2"/>
      <c r="I1938" s="2"/>
      <c r="J1938" s="73"/>
      <c r="K1938" s="73"/>
      <c r="L1938" s="73"/>
      <c r="M1938" s="73"/>
      <c r="N1938" s="73"/>
      <c r="O1938" s="73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14.25" customHeight="1" x14ac:dyDescent="0.35">
      <c r="A1939" s="2"/>
      <c r="B1939" s="6"/>
      <c r="C1939" s="6"/>
      <c r="D1939" s="2"/>
      <c r="E1939" s="2"/>
      <c r="F1939" s="2"/>
      <c r="G1939" s="2"/>
      <c r="H1939" s="2"/>
      <c r="I1939" s="2"/>
      <c r="J1939" s="73"/>
      <c r="K1939" s="73"/>
      <c r="L1939" s="73"/>
      <c r="M1939" s="73"/>
      <c r="N1939" s="73"/>
      <c r="O1939" s="73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</sheetData>
  <autoFilter ref="A7:O1740" xr:uid="{00000000-0001-0000-0300-000000000000}"/>
  <mergeCells count="1">
    <mergeCell ref="A5:J5"/>
  </mergeCells>
  <pageMargins left="0.7" right="0.7" top="0.75" bottom="0.75" header="0" footer="0"/>
  <pageSetup paperSize="14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1965"/>
  <sheetViews>
    <sheetView workbookViewId="0">
      <pane xSplit="2" ySplit="7" topLeftCell="F401" activePane="bottomRight" state="frozen"/>
      <selection pane="topRight" activeCell="C1" sqref="C1"/>
      <selection pane="bottomLeft" activeCell="A8" sqref="A8"/>
      <selection pane="bottomRight" activeCell="A404" sqref="A404"/>
    </sheetView>
  </sheetViews>
  <sheetFormatPr defaultColWidth="14.453125" defaultRowHeight="15" customHeight="1" x14ac:dyDescent="0.35"/>
  <cols>
    <col min="1" max="1" width="7.08984375" customWidth="1"/>
    <col min="2" max="2" width="13.453125" customWidth="1"/>
    <col min="3" max="3" width="6.81640625" customWidth="1"/>
    <col min="4" max="4" width="4.54296875" customWidth="1"/>
    <col min="5" max="5" width="9.453125" bestFit="1" customWidth="1"/>
    <col min="6" max="6" width="4.54296875" customWidth="1"/>
    <col min="7" max="8" width="31.81640625" customWidth="1"/>
    <col min="9" max="9" width="8.6328125" customWidth="1"/>
    <col min="10" max="10" width="19.7265625" style="71" customWidth="1"/>
    <col min="11" max="11" width="17.08984375" style="71" customWidth="1"/>
    <col min="12" max="12" width="19.54296875" style="71" customWidth="1"/>
    <col min="13" max="13" width="15.08984375" style="71" customWidth="1"/>
    <col min="14" max="14" width="18" style="71" customWidth="1"/>
    <col min="15" max="15" width="21.26953125" style="71" customWidth="1"/>
    <col min="16" max="16" width="16.54296875" customWidth="1"/>
    <col min="17" max="29" width="9.08984375" customWidth="1"/>
  </cols>
  <sheetData>
    <row r="1" spans="1:29" ht="14.25" customHeight="1" x14ac:dyDescent="0.35">
      <c r="A1" s="2" t="str">
        <f>'LR BLN'!A1:M1</f>
        <v>Paguyuban Puri Bunga 2</v>
      </c>
      <c r="B1" s="6"/>
      <c r="C1" s="6"/>
      <c r="D1" s="2"/>
      <c r="E1" s="2"/>
      <c r="F1" s="2"/>
      <c r="G1" s="2"/>
      <c r="H1" s="2"/>
      <c r="I1" s="2"/>
      <c r="J1" s="73"/>
      <c r="K1" s="73"/>
      <c r="L1" s="73"/>
      <c r="M1" s="73"/>
      <c r="N1" s="73"/>
      <c r="O1" s="7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35">
      <c r="A2" s="2" t="str">
        <f>'LR BLN'!A2:M2</f>
        <v>Laporan Kinerja Keuangan Tahun 2026</v>
      </c>
      <c r="B2" s="6"/>
      <c r="C2" s="6"/>
      <c r="D2" s="2"/>
      <c r="E2" s="2"/>
      <c r="F2" s="2"/>
      <c r="G2" s="2"/>
      <c r="H2" s="2"/>
      <c r="I2" s="2"/>
      <c r="J2" s="73"/>
      <c r="K2" s="73"/>
      <c r="L2" s="73"/>
      <c r="M2" s="73"/>
      <c r="N2" s="73"/>
      <c r="O2" s="7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35">
      <c r="A3" s="2"/>
      <c r="B3" s="6"/>
      <c r="C3" s="6"/>
      <c r="D3" s="2"/>
      <c r="E3" s="2"/>
      <c r="F3" s="2"/>
      <c r="G3" s="2"/>
      <c r="H3" s="2"/>
      <c r="I3" s="2"/>
      <c r="J3" s="73"/>
      <c r="K3" s="73"/>
      <c r="L3" s="73"/>
      <c r="M3" s="73"/>
      <c r="N3" s="73"/>
      <c r="O3" s="7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35">
      <c r="A4" s="2"/>
      <c r="B4" s="6"/>
      <c r="C4" s="6"/>
      <c r="D4" s="2"/>
      <c r="E4" s="2"/>
      <c r="F4" s="2"/>
      <c r="G4" s="2"/>
      <c r="H4" s="2"/>
      <c r="I4" s="2"/>
      <c r="J4" s="73"/>
      <c r="K4" s="73"/>
      <c r="L4" s="73"/>
      <c r="M4" s="73"/>
      <c r="N4" s="73"/>
      <c r="O4" s="7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35">
      <c r="A5" s="209" t="s">
        <v>251</v>
      </c>
      <c r="B5" s="185"/>
      <c r="C5" s="185"/>
      <c r="D5" s="185"/>
      <c r="E5" s="185"/>
      <c r="F5" s="185"/>
      <c r="G5" s="185"/>
      <c r="H5" s="185"/>
      <c r="I5" s="185"/>
      <c r="J5" s="185"/>
      <c r="K5" s="73"/>
      <c r="L5" s="73"/>
      <c r="M5" s="73"/>
      <c r="N5" s="73"/>
      <c r="O5" s="7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35">
      <c r="A6" s="2"/>
      <c r="B6" s="6"/>
      <c r="C6" s="6"/>
      <c r="D6" s="2"/>
      <c r="E6" s="2"/>
      <c r="F6" s="2"/>
      <c r="G6" s="2"/>
      <c r="H6" s="2"/>
      <c r="I6" s="2"/>
      <c r="J6" s="73"/>
      <c r="K6" s="73"/>
      <c r="L6" s="73"/>
      <c r="M6" s="73"/>
      <c r="N6" s="73"/>
      <c r="O6" s="7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35">
      <c r="A7" s="7" t="s">
        <v>16</v>
      </c>
      <c r="B7" s="8" t="s">
        <v>17</v>
      </c>
      <c r="C7" s="8" t="s">
        <v>18</v>
      </c>
      <c r="D7" s="147" t="s">
        <v>19</v>
      </c>
      <c r="E7" s="7" t="s">
        <v>261</v>
      </c>
      <c r="F7" s="7" t="s">
        <v>20</v>
      </c>
      <c r="G7" s="7" t="s">
        <v>21</v>
      </c>
      <c r="H7" s="120" t="s">
        <v>189</v>
      </c>
      <c r="I7" s="7" t="s">
        <v>72</v>
      </c>
      <c r="J7" s="74" t="s">
        <v>22</v>
      </c>
      <c r="K7" s="74" t="s">
        <v>23</v>
      </c>
      <c r="L7" s="74" t="s">
        <v>24</v>
      </c>
      <c r="M7" s="73" t="s">
        <v>276</v>
      </c>
      <c r="N7" s="73" t="s">
        <v>277</v>
      </c>
      <c r="O7" s="73" t="s">
        <v>38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35">
      <c r="A8" s="9">
        <v>1</v>
      </c>
      <c r="B8" s="10">
        <v>46023</v>
      </c>
      <c r="C8" s="11">
        <f t="shared" ref="C8" si="0">MONTH(B8)</f>
        <v>1</v>
      </c>
      <c r="D8" s="11">
        <v>5</v>
      </c>
      <c r="E8" s="68"/>
      <c r="F8" s="9"/>
      <c r="G8" s="12" t="s">
        <v>25</v>
      </c>
      <c r="H8" s="12"/>
      <c r="I8" s="12"/>
      <c r="J8" s="75"/>
      <c r="K8" s="76"/>
      <c r="L8" s="150">
        <f>8450500-190000</f>
        <v>8260500</v>
      </c>
      <c r="M8" s="73"/>
      <c r="N8" s="73"/>
      <c r="O8" s="7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35">
      <c r="A9" s="9">
        <v>1</v>
      </c>
      <c r="B9" s="15">
        <v>46023</v>
      </c>
      <c r="C9" s="11">
        <f t="shared" ref="C9:C74" si="1">MONTH(B9)</f>
        <v>1</v>
      </c>
      <c r="D9" s="11">
        <v>5</v>
      </c>
      <c r="E9" s="13">
        <v>1</v>
      </c>
      <c r="F9" s="11">
        <v>40</v>
      </c>
      <c r="G9" s="89" t="str">
        <f>IFERROR(VLOOKUP(F9,COA!$A$1:$K$26,2,FALSE),0)</f>
        <v>Penerimaan Iuran Warga</v>
      </c>
      <c r="H9" s="89" t="s">
        <v>278</v>
      </c>
      <c r="I9" s="13" t="s">
        <v>102</v>
      </c>
      <c r="J9" s="78">
        <v>100000</v>
      </c>
      <c r="K9" s="79"/>
      <c r="L9" s="146">
        <f>L8+J9-K9</f>
        <v>8360500</v>
      </c>
      <c r="M9" s="73"/>
      <c r="N9" s="73"/>
      <c r="O9" s="7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35">
      <c r="A10" s="9">
        <f>A9+1</f>
        <v>2</v>
      </c>
      <c r="B10" s="15">
        <v>46023</v>
      </c>
      <c r="C10" s="11">
        <f t="shared" si="1"/>
        <v>1</v>
      </c>
      <c r="D10" s="11">
        <v>5</v>
      </c>
      <c r="E10" s="13">
        <v>1</v>
      </c>
      <c r="F10" s="14">
        <v>40</v>
      </c>
      <c r="G10" s="89" t="str">
        <f>IFERROR(VLOOKUP(F10,COA!$A$1:$K$26,2,FALSE),0)</f>
        <v>Penerimaan Iuran Warga</v>
      </c>
      <c r="H10" s="89" t="s">
        <v>257</v>
      </c>
      <c r="I10" s="13" t="s">
        <v>180</v>
      </c>
      <c r="J10" s="78">
        <v>100000</v>
      </c>
      <c r="K10" s="79"/>
      <c r="L10" s="146">
        <f t="shared" ref="L10:L73" si="2">L9+J10-K10</f>
        <v>8460500</v>
      </c>
      <c r="M10" s="73"/>
      <c r="N10" s="73"/>
      <c r="O10" s="7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35">
      <c r="A11" s="9">
        <f t="shared" ref="A11:A75" si="3">A10+1</f>
        <v>3</v>
      </c>
      <c r="B11" s="15">
        <v>46023</v>
      </c>
      <c r="C11" s="11">
        <f t="shared" si="1"/>
        <v>1</v>
      </c>
      <c r="D11" s="11">
        <v>5</v>
      </c>
      <c r="E11" s="13">
        <v>1</v>
      </c>
      <c r="F11" s="14">
        <v>40</v>
      </c>
      <c r="G11" s="89" t="str">
        <f>IFERROR(VLOOKUP(F11,COA!$A$1:$K$26,2,FALSE),0)</f>
        <v>Penerimaan Iuran Warga</v>
      </c>
      <c r="H11" s="13"/>
      <c r="I11" s="96" t="s">
        <v>89</v>
      </c>
      <c r="J11" s="82">
        <v>100000</v>
      </c>
      <c r="K11" s="79"/>
      <c r="L11" s="146">
        <f t="shared" si="2"/>
        <v>8560500</v>
      </c>
      <c r="M11" s="73"/>
      <c r="N11" s="73"/>
      <c r="O11" s="7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 x14ac:dyDescent="0.35">
      <c r="A12" s="9">
        <f t="shared" si="3"/>
        <v>4</v>
      </c>
      <c r="B12" s="15">
        <v>46023</v>
      </c>
      <c r="C12" s="11">
        <f t="shared" si="1"/>
        <v>1</v>
      </c>
      <c r="D12" s="11">
        <v>5</v>
      </c>
      <c r="E12" s="13">
        <v>1</v>
      </c>
      <c r="F12" s="14">
        <v>40</v>
      </c>
      <c r="G12" s="89" t="str">
        <f>IFERROR(VLOOKUP(F12,COA!$A$1:$K$26,2,FALSE),0)</f>
        <v>Penerimaan Iuran Warga</v>
      </c>
      <c r="H12" s="13"/>
      <c r="I12" s="96" t="s">
        <v>91</v>
      </c>
      <c r="J12" s="82">
        <v>100000</v>
      </c>
      <c r="K12" s="136"/>
      <c r="L12" s="146">
        <f t="shared" si="2"/>
        <v>8660500</v>
      </c>
      <c r="M12" s="73"/>
      <c r="N12" s="73"/>
      <c r="O12" s="7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 x14ac:dyDescent="0.35">
      <c r="A13" s="9">
        <f t="shared" si="3"/>
        <v>5</v>
      </c>
      <c r="B13" s="15">
        <v>46026</v>
      </c>
      <c r="C13" s="11">
        <f t="shared" si="1"/>
        <v>1</v>
      </c>
      <c r="D13" s="11">
        <v>5</v>
      </c>
      <c r="E13" s="13">
        <v>1</v>
      </c>
      <c r="F13" s="14">
        <v>40</v>
      </c>
      <c r="G13" s="89" t="str">
        <f>IFERROR(VLOOKUP(F13,COA!$A$1:$K$26,2,FALSE),0)</f>
        <v>Penerimaan Iuran Warga</v>
      </c>
      <c r="H13" s="13"/>
      <c r="I13" s="96" t="s">
        <v>181</v>
      </c>
      <c r="J13" s="78">
        <v>100000</v>
      </c>
      <c r="K13" s="79"/>
      <c r="L13" s="146">
        <f t="shared" si="2"/>
        <v>8760500</v>
      </c>
      <c r="M13" s="73"/>
      <c r="N13" s="73"/>
      <c r="O13" s="7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 x14ac:dyDescent="0.35">
      <c r="A14" s="9">
        <f t="shared" si="3"/>
        <v>6</v>
      </c>
      <c r="B14" s="15">
        <v>46026</v>
      </c>
      <c r="C14" s="11">
        <f t="shared" si="1"/>
        <v>1</v>
      </c>
      <c r="D14" s="11">
        <v>5</v>
      </c>
      <c r="E14" s="13">
        <v>2</v>
      </c>
      <c r="F14" s="14">
        <v>40</v>
      </c>
      <c r="G14" s="89" t="str">
        <f>IFERROR(VLOOKUP(F14,COA!$A$1:$K$26,2,FALSE),0)</f>
        <v>Penerimaan Iuran Warga</v>
      </c>
      <c r="H14" s="13"/>
      <c r="I14" s="96" t="s">
        <v>181</v>
      </c>
      <c r="J14" s="78">
        <v>100000</v>
      </c>
      <c r="K14" s="79"/>
      <c r="L14" s="146">
        <f t="shared" si="2"/>
        <v>8860500</v>
      </c>
      <c r="M14" s="73"/>
      <c r="N14" s="73"/>
      <c r="O14" s="7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 x14ac:dyDescent="0.35">
      <c r="A15" s="9">
        <f t="shared" si="3"/>
        <v>7</v>
      </c>
      <c r="B15" s="15">
        <v>46026</v>
      </c>
      <c r="C15" s="11">
        <f t="shared" si="1"/>
        <v>1</v>
      </c>
      <c r="D15" s="11">
        <v>5</v>
      </c>
      <c r="E15" s="13">
        <v>3</v>
      </c>
      <c r="F15" s="14">
        <v>40</v>
      </c>
      <c r="G15" s="89" t="str">
        <f>IFERROR(VLOOKUP(F15,COA!$A$1:$K$26,2,FALSE),0)</f>
        <v>Penerimaan Iuran Warga</v>
      </c>
      <c r="H15" s="13"/>
      <c r="I15" s="96" t="s">
        <v>181</v>
      </c>
      <c r="J15" s="78">
        <v>100000</v>
      </c>
      <c r="K15" s="79"/>
      <c r="L15" s="146">
        <f t="shared" si="2"/>
        <v>8960500</v>
      </c>
      <c r="M15" s="73"/>
      <c r="N15" s="73"/>
      <c r="O15" s="7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 x14ac:dyDescent="0.35">
      <c r="A16" s="9">
        <f t="shared" si="3"/>
        <v>8</v>
      </c>
      <c r="B16" s="15">
        <v>46026</v>
      </c>
      <c r="C16" s="11">
        <f t="shared" si="1"/>
        <v>1</v>
      </c>
      <c r="D16" s="11">
        <v>5</v>
      </c>
      <c r="E16" s="13">
        <v>4</v>
      </c>
      <c r="F16" s="14">
        <v>40</v>
      </c>
      <c r="G16" s="89" t="str">
        <f>IFERROR(VLOOKUP(F16,COA!$A$1:$K$26,2,FALSE),0)</f>
        <v>Penerimaan Iuran Warga</v>
      </c>
      <c r="H16" s="13"/>
      <c r="I16" s="96" t="s">
        <v>181</v>
      </c>
      <c r="J16" s="78">
        <v>100000</v>
      </c>
      <c r="K16" s="79"/>
      <c r="L16" s="146">
        <f t="shared" si="2"/>
        <v>9060500</v>
      </c>
      <c r="M16" s="73"/>
      <c r="N16" s="73"/>
      <c r="O16" s="7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 x14ac:dyDescent="0.35">
      <c r="A17" s="9">
        <f t="shared" si="3"/>
        <v>9</v>
      </c>
      <c r="B17" s="15">
        <v>46026</v>
      </c>
      <c r="C17" s="11">
        <f t="shared" si="1"/>
        <v>1</v>
      </c>
      <c r="D17" s="11">
        <v>5</v>
      </c>
      <c r="E17" s="13">
        <v>5</v>
      </c>
      <c r="F17" s="14">
        <v>40</v>
      </c>
      <c r="G17" s="89" t="str">
        <f>IFERROR(VLOOKUP(F17,COA!$A$1:$K$26,2,FALSE),0)</f>
        <v>Penerimaan Iuran Warga</v>
      </c>
      <c r="H17" s="13"/>
      <c r="I17" s="96" t="s">
        <v>181</v>
      </c>
      <c r="J17" s="78">
        <v>100000</v>
      </c>
      <c r="K17" s="78"/>
      <c r="L17" s="146">
        <f t="shared" si="2"/>
        <v>9160500</v>
      </c>
      <c r="M17" s="73"/>
      <c r="N17" s="73"/>
      <c r="O17" s="7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 x14ac:dyDescent="0.35">
      <c r="A18" s="9">
        <f t="shared" si="3"/>
        <v>10</v>
      </c>
      <c r="B18" s="15">
        <v>46026</v>
      </c>
      <c r="C18" s="11">
        <f t="shared" si="1"/>
        <v>1</v>
      </c>
      <c r="D18" s="11">
        <v>5</v>
      </c>
      <c r="E18" s="13">
        <v>6</v>
      </c>
      <c r="F18" s="14">
        <v>20</v>
      </c>
      <c r="G18" s="89" t="str">
        <f>IFERROR(VLOOKUP(F18,COA!$A$1:$K$26,2,FALSE),0)</f>
        <v>Iuran Warga Diterima di muka</v>
      </c>
      <c r="H18" s="13"/>
      <c r="I18" s="96" t="s">
        <v>181</v>
      </c>
      <c r="J18" s="78">
        <v>100000</v>
      </c>
      <c r="K18" s="78"/>
      <c r="L18" s="146">
        <f t="shared" si="2"/>
        <v>9260500</v>
      </c>
      <c r="M18" s="73"/>
      <c r="N18" s="73"/>
      <c r="O18" s="7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 x14ac:dyDescent="0.35">
      <c r="A19" s="9">
        <f t="shared" si="3"/>
        <v>11</v>
      </c>
      <c r="B19" s="15">
        <v>46026</v>
      </c>
      <c r="C19" s="11">
        <f t="shared" si="1"/>
        <v>1</v>
      </c>
      <c r="D19" s="11">
        <v>5</v>
      </c>
      <c r="E19" s="13">
        <v>7</v>
      </c>
      <c r="F19" s="14">
        <v>20</v>
      </c>
      <c r="G19" s="89" t="str">
        <f>IFERROR(VLOOKUP(F19,COA!$A$1:$K$26,2,FALSE),0)</f>
        <v>Iuran Warga Diterima di muka</v>
      </c>
      <c r="H19" s="13"/>
      <c r="I19" s="96" t="s">
        <v>181</v>
      </c>
      <c r="J19" s="78">
        <v>100000</v>
      </c>
      <c r="K19" s="79"/>
      <c r="L19" s="146">
        <f t="shared" si="2"/>
        <v>9360500</v>
      </c>
      <c r="M19" s="73"/>
      <c r="N19" s="73"/>
      <c r="O19" s="7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 x14ac:dyDescent="0.35">
      <c r="A20" s="9">
        <f t="shared" si="3"/>
        <v>12</v>
      </c>
      <c r="B20" s="15">
        <v>46026</v>
      </c>
      <c r="C20" s="11">
        <f t="shared" si="1"/>
        <v>1</v>
      </c>
      <c r="D20" s="11">
        <v>5</v>
      </c>
      <c r="E20" s="11">
        <v>8</v>
      </c>
      <c r="F20" s="14">
        <v>20</v>
      </c>
      <c r="G20" s="89" t="str">
        <f>IFERROR(VLOOKUP(F20,COA!$A$1:$K$26,2,FALSE),0)</f>
        <v>Iuran Warga Diterima di muka</v>
      </c>
      <c r="H20" s="11"/>
      <c r="I20" s="95" t="s">
        <v>181</v>
      </c>
      <c r="J20" s="78">
        <v>100000</v>
      </c>
      <c r="K20" s="79"/>
      <c r="L20" s="146">
        <f t="shared" si="2"/>
        <v>9460500</v>
      </c>
      <c r="M20" s="73"/>
      <c r="N20" s="73"/>
      <c r="O20" s="7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 x14ac:dyDescent="0.35">
      <c r="A21" s="9">
        <f t="shared" si="3"/>
        <v>13</v>
      </c>
      <c r="B21" s="15">
        <v>46026</v>
      </c>
      <c r="C21" s="11">
        <f t="shared" si="1"/>
        <v>1</v>
      </c>
      <c r="D21" s="11">
        <v>5</v>
      </c>
      <c r="E21" s="11">
        <v>9</v>
      </c>
      <c r="F21" s="14">
        <v>20</v>
      </c>
      <c r="G21" s="89" t="str">
        <f>IFERROR(VLOOKUP(F21,COA!$A$1:$K$26,2,FALSE),0)</f>
        <v>Iuran Warga Diterima di muka</v>
      </c>
      <c r="H21" s="11"/>
      <c r="I21" s="95" t="s">
        <v>181</v>
      </c>
      <c r="J21" s="78">
        <v>100000</v>
      </c>
      <c r="K21" s="79"/>
      <c r="L21" s="146">
        <f t="shared" si="2"/>
        <v>9560500</v>
      </c>
      <c r="M21" s="73"/>
      <c r="N21" s="73"/>
      <c r="O21" s="7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 x14ac:dyDescent="0.35">
      <c r="A22" s="9">
        <f t="shared" si="3"/>
        <v>14</v>
      </c>
      <c r="B22" s="15">
        <v>46026</v>
      </c>
      <c r="C22" s="11">
        <f t="shared" si="1"/>
        <v>1</v>
      </c>
      <c r="D22" s="11">
        <v>5</v>
      </c>
      <c r="E22" s="11">
        <v>10</v>
      </c>
      <c r="F22" s="14">
        <v>20</v>
      </c>
      <c r="G22" s="89" t="str">
        <f>IFERROR(VLOOKUP(F22,COA!$A$1:$K$26,2,FALSE),0)</f>
        <v>Iuran Warga Diterima di muka</v>
      </c>
      <c r="H22" s="11"/>
      <c r="I22" s="95" t="s">
        <v>181</v>
      </c>
      <c r="J22" s="78">
        <v>100000</v>
      </c>
      <c r="K22" s="79"/>
      <c r="L22" s="146">
        <f t="shared" si="2"/>
        <v>9660500</v>
      </c>
      <c r="M22" s="73"/>
      <c r="N22" s="73"/>
      <c r="O22" s="7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 x14ac:dyDescent="0.35">
      <c r="A23" s="9">
        <f t="shared" si="3"/>
        <v>15</v>
      </c>
      <c r="B23" s="15">
        <v>46026</v>
      </c>
      <c r="C23" s="11">
        <f t="shared" si="1"/>
        <v>1</v>
      </c>
      <c r="D23" s="11">
        <v>5</v>
      </c>
      <c r="E23" s="13">
        <v>11</v>
      </c>
      <c r="F23" s="14">
        <v>20</v>
      </c>
      <c r="G23" s="89" t="str">
        <f>IFERROR(VLOOKUP(F23,COA!$A$1:$K$26,2,FALSE),0)</f>
        <v>Iuran Warga Diterima di muka</v>
      </c>
      <c r="H23" s="11"/>
      <c r="I23" s="95" t="s">
        <v>181</v>
      </c>
      <c r="J23" s="78">
        <v>100000</v>
      </c>
      <c r="K23" s="78"/>
      <c r="L23" s="146">
        <f t="shared" si="2"/>
        <v>9760500</v>
      </c>
      <c r="M23" s="73"/>
      <c r="N23" s="73"/>
      <c r="O23" s="7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 x14ac:dyDescent="0.35">
      <c r="A24" s="9">
        <f t="shared" si="3"/>
        <v>16</v>
      </c>
      <c r="B24" s="15">
        <v>46026</v>
      </c>
      <c r="C24" s="11">
        <f t="shared" si="1"/>
        <v>1</v>
      </c>
      <c r="D24" s="11">
        <v>5</v>
      </c>
      <c r="E24" s="11">
        <v>12</v>
      </c>
      <c r="F24" s="14">
        <v>20</v>
      </c>
      <c r="G24" s="89" t="str">
        <f>IFERROR(VLOOKUP(F24,COA!$A$1:$K$26,2,FALSE),0)</f>
        <v>Iuran Warga Diterima di muka</v>
      </c>
      <c r="H24" s="11"/>
      <c r="I24" s="95" t="s">
        <v>181</v>
      </c>
      <c r="J24" s="78">
        <v>100000</v>
      </c>
      <c r="K24" s="78"/>
      <c r="L24" s="146">
        <f t="shared" si="2"/>
        <v>9860500</v>
      </c>
      <c r="M24" s="73"/>
      <c r="N24" s="73"/>
      <c r="O24" s="7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 x14ac:dyDescent="0.35">
      <c r="A25" s="9">
        <f t="shared" si="3"/>
        <v>17</v>
      </c>
      <c r="B25" s="10">
        <v>46026</v>
      </c>
      <c r="C25" s="11">
        <f t="shared" si="1"/>
        <v>1</v>
      </c>
      <c r="D25" s="11">
        <v>5</v>
      </c>
      <c r="E25" s="11">
        <v>1</v>
      </c>
      <c r="F25" s="14">
        <v>40</v>
      </c>
      <c r="G25" s="89" t="str">
        <f>IFERROR(VLOOKUP(F25,COA!$A$1:$K$26,2,FALSE),0)</f>
        <v>Penerimaan Iuran Warga</v>
      </c>
      <c r="H25" s="11"/>
      <c r="I25" s="11" t="s">
        <v>120</v>
      </c>
      <c r="J25" s="79">
        <v>100000</v>
      </c>
      <c r="K25" s="78"/>
      <c r="L25" s="146">
        <f t="shared" si="2"/>
        <v>9960500</v>
      </c>
      <c r="M25" s="73"/>
      <c r="N25" s="73"/>
      <c r="O25" s="7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 x14ac:dyDescent="0.35">
      <c r="A26" s="9">
        <f t="shared" si="3"/>
        <v>18</v>
      </c>
      <c r="B26" s="10">
        <v>46026</v>
      </c>
      <c r="C26" s="11">
        <f t="shared" si="1"/>
        <v>1</v>
      </c>
      <c r="D26" s="11">
        <v>5</v>
      </c>
      <c r="E26" s="11">
        <v>2</v>
      </c>
      <c r="F26" s="14">
        <v>40</v>
      </c>
      <c r="G26" s="89" t="str">
        <f>IFERROR(VLOOKUP(F26,COA!$A$1:$K$26,2,FALSE),0)</f>
        <v>Penerimaan Iuran Warga</v>
      </c>
      <c r="H26" s="11"/>
      <c r="I26" s="11" t="s">
        <v>120</v>
      </c>
      <c r="J26" s="79">
        <v>100000</v>
      </c>
      <c r="K26" s="78"/>
      <c r="L26" s="146">
        <f t="shared" si="2"/>
        <v>10060500</v>
      </c>
      <c r="M26" s="73"/>
      <c r="N26" s="73"/>
      <c r="O26" s="7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 x14ac:dyDescent="0.35">
      <c r="A27" s="9">
        <f t="shared" si="3"/>
        <v>19</v>
      </c>
      <c r="B27" s="10">
        <v>46026</v>
      </c>
      <c r="C27" s="11">
        <f t="shared" si="1"/>
        <v>1</v>
      </c>
      <c r="D27" s="11">
        <v>5</v>
      </c>
      <c r="E27" s="11">
        <v>3</v>
      </c>
      <c r="F27" s="14">
        <v>40</v>
      </c>
      <c r="G27" s="89" t="str">
        <f>IFERROR(VLOOKUP(F27,COA!$A$1:$K$26,2,FALSE),0)</f>
        <v>Penerimaan Iuran Warga</v>
      </c>
      <c r="H27" s="11"/>
      <c r="I27" s="11" t="s">
        <v>120</v>
      </c>
      <c r="J27" s="79">
        <v>100000</v>
      </c>
      <c r="K27" s="78"/>
      <c r="L27" s="146">
        <f t="shared" si="2"/>
        <v>10160500</v>
      </c>
      <c r="M27" s="73"/>
      <c r="N27" s="73"/>
      <c r="O27" s="7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 x14ac:dyDescent="0.35">
      <c r="A28" s="9">
        <f t="shared" si="3"/>
        <v>20</v>
      </c>
      <c r="B28" s="10">
        <v>46026</v>
      </c>
      <c r="C28" s="11">
        <f t="shared" si="1"/>
        <v>1</v>
      </c>
      <c r="D28" s="11">
        <v>5</v>
      </c>
      <c r="E28" s="11">
        <v>4</v>
      </c>
      <c r="F28" s="14">
        <v>40</v>
      </c>
      <c r="G28" s="89" t="str">
        <f>IFERROR(VLOOKUP(F28,COA!$A$1:$K$26,2,FALSE),0)</f>
        <v>Penerimaan Iuran Warga</v>
      </c>
      <c r="H28" s="11"/>
      <c r="I28" s="11" t="s">
        <v>120</v>
      </c>
      <c r="J28" s="79">
        <v>100000</v>
      </c>
      <c r="K28" s="79"/>
      <c r="L28" s="146">
        <f t="shared" si="2"/>
        <v>10260500</v>
      </c>
      <c r="M28" s="73"/>
      <c r="N28" s="73"/>
      <c r="O28" s="7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 x14ac:dyDescent="0.35">
      <c r="A29" s="9">
        <f t="shared" si="3"/>
        <v>21</v>
      </c>
      <c r="B29" s="10">
        <v>46026</v>
      </c>
      <c r="C29" s="11">
        <f t="shared" si="1"/>
        <v>1</v>
      </c>
      <c r="D29" s="11">
        <v>5</v>
      </c>
      <c r="E29" s="11">
        <v>5</v>
      </c>
      <c r="F29" s="14">
        <v>40</v>
      </c>
      <c r="G29" s="89" t="str">
        <f>IFERROR(VLOOKUP(F29,COA!$A$1:$K$26,2,FALSE),0)</f>
        <v>Penerimaan Iuran Warga</v>
      </c>
      <c r="H29" s="11"/>
      <c r="I29" s="11" t="s">
        <v>120</v>
      </c>
      <c r="J29" s="79">
        <v>100000</v>
      </c>
      <c r="K29" s="79"/>
      <c r="L29" s="146">
        <f t="shared" si="2"/>
        <v>10360500</v>
      </c>
      <c r="M29" s="73"/>
      <c r="N29" s="73"/>
      <c r="O29" s="7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 x14ac:dyDescent="0.35">
      <c r="A30" s="9">
        <f t="shared" si="3"/>
        <v>22</v>
      </c>
      <c r="B30" s="10">
        <v>46026</v>
      </c>
      <c r="C30" s="11">
        <f t="shared" si="1"/>
        <v>1</v>
      </c>
      <c r="D30" s="11">
        <v>5</v>
      </c>
      <c r="E30" s="11">
        <v>6</v>
      </c>
      <c r="F30" s="14">
        <v>20</v>
      </c>
      <c r="G30" s="89" t="str">
        <f>IFERROR(VLOOKUP(F30,COA!$A$1:$K$26,2,FALSE),0)</f>
        <v>Iuran Warga Diterima di muka</v>
      </c>
      <c r="H30" s="11"/>
      <c r="I30" s="11" t="s">
        <v>120</v>
      </c>
      <c r="J30" s="79">
        <v>100000</v>
      </c>
      <c r="K30" s="79"/>
      <c r="L30" s="146">
        <f t="shared" si="2"/>
        <v>10460500</v>
      </c>
      <c r="M30" s="73"/>
      <c r="N30" s="73"/>
      <c r="O30" s="7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 x14ac:dyDescent="0.35">
      <c r="A31" s="9">
        <f t="shared" si="3"/>
        <v>23</v>
      </c>
      <c r="B31" s="15">
        <v>46026</v>
      </c>
      <c r="C31" s="11">
        <f t="shared" si="1"/>
        <v>1</v>
      </c>
      <c r="D31" s="11">
        <v>5</v>
      </c>
      <c r="E31" s="13">
        <v>1</v>
      </c>
      <c r="F31" s="14">
        <v>40</v>
      </c>
      <c r="G31" s="89" t="str">
        <f>IFERROR(VLOOKUP(F31,COA!$A$1:$K$26,2,FALSE),0)</f>
        <v>Penerimaan Iuran Warga</v>
      </c>
      <c r="H31" s="11"/>
      <c r="I31" s="95" t="s">
        <v>302</v>
      </c>
      <c r="J31" s="79">
        <v>100000</v>
      </c>
      <c r="K31" s="78"/>
      <c r="L31" s="146">
        <f t="shared" si="2"/>
        <v>10560500</v>
      </c>
      <c r="M31" s="73"/>
      <c r="N31" s="73"/>
      <c r="O31" s="7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 x14ac:dyDescent="0.35">
      <c r="A32" s="9">
        <f t="shared" si="3"/>
        <v>24</v>
      </c>
      <c r="B32" s="15">
        <v>46026</v>
      </c>
      <c r="C32" s="11">
        <f t="shared" si="1"/>
        <v>1</v>
      </c>
      <c r="D32" s="11">
        <v>5</v>
      </c>
      <c r="E32" s="11">
        <v>2</v>
      </c>
      <c r="F32" s="14">
        <v>40</v>
      </c>
      <c r="G32" s="89" t="str">
        <f>IFERROR(VLOOKUP(F32,COA!$A$1:$K$26,2,FALSE),0)</f>
        <v>Penerimaan Iuran Warga</v>
      </c>
      <c r="H32" s="11"/>
      <c r="I32" s="95" t="s">
        <v>302</v>
      </c>
      <c r="J32" s="79">
        <v>165000</v>
      </c>
      <c r="K32" s="78"/>
      <c r="L32" s="146">
        <f t="shared" si="2"/>
        <v>10725500</v>
      </c>
      <c r="M32" s="73"/>
      <c r="N32" s="73"/>
      <c r="O32" s="7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 x14ac:dyDescent="0.35">
      <c r="A33" s="9">
        <f t="shared" si="3"/>
        <v>25</v>
      </c>
      <c r="B33" s="15">
        <v>46026</v>
      </c>
      <c r="C33" s="11">
        <f t="shared" si="1"/>
        <v>1</v>
      </c>
      <c r="D33" s="11">
        <v>5</v>
      </c>
      <c r="E33" s="11">
        <v>1</v>
      </c>
      <c r="F33" s="14">
        <v>40</v>
      </c>
      <c r="G33" s="89" t="str">
        <f>IFERROR(VLOOKUP(F33,COA!$A$1:$K$26,2,FALSE),0)</f>
        <v>Penerimaan Iuran Warga</v>
      </c>
      <c r="H33" s="11"/>
      <c r="I33" s="95" t="s">
        <v>158</v>
      </c>
      <c r="J33" s="78">
        <v>100000</v>
      </c>
      <c r="K33" s="79"/>
      <c r="L33" s="146">
        <f t="shared" si="2"/>
        <v>10825500</v>
      </c>
      <c r="M33" s="73"/>
      <c r="N33" s="73"/>
      <c r="O33" s="7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 x14ac:dyDescent="0.35">
      <c r="A34" s="9">
        <f t="shared" si="3"/>
        <v>26</v>
      </c>
      <c r="B34" s="15">
        <v>46026</v>
      </c>
      <c r="C34" s="11">
        <f t="shared" ref="C34" si="4">MONTH(B34)</f>
        <v>1</v>
      </c>
      <c r="D34" s="11">
        <v>5</v>
      </c>
      <c r="E34" s="11">
        <v>1</v>
      </c>
      <c r="F34" s="14">
        <v>40</v>
      </c>
      <c r="G34" s="89" t="str">
        <f>IFERROR(VLOOKUP(F34,COA!$A$1:$K$26,2,FALSE),0)</f>
        <v>Penerimaan Iuran Warga</v>
      </c>
      <c r="H34" s="11"/>
      <c r="I34" s="95" t="s">
        <v>159</v>
      </c>
      <c r="J34" s="78">
        <v>100000</v>
      </c>
      <c r="K34" s="79"/>
      <c r="L34" s="146">
        <f t="shared" si="2"/>
        <v>10925500</v>
      </c>
      <c r="M34" s="73"/>
      <c r="N34" s="73"/>
      <c r="O34" s="7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 x14ac:dyDescent="0.35">
      <c r="A35" s="9">
        <f t="shared" si="3"/>
        <v>27</v>
      </c>
      <c r="B35" s="15">
        <v>46026</v>
      </c>
      <c r="C35" s="11">
        <f t="shared" si="1"/>
        <v>1</v>
      </c>
      <c r="D35" s="11">
        <v>5</v>
      </c>
      <c r="E35" s="11">
        <v>1</v>
      </c>
      <c r="F35" s="14">
        <v>40</v>
      </c>
      <c r="G35" s="89" t="str">
        <f>IFERROR(VLOOKUP(F35,COA!$A$1:$K$26,2,FALSE),0)</f>
        <v>Penerimaan Iuran Warga</v>
      </c>
      <c r="H35" s="11"/>
      <c r="I35" s="95" t="s">
        <v>142</v>
      </c>
      <c r="J35" s="78">
        <v>100000</v>
      </c>
      <c r="K35" s="78"/>
      <c r="L35" s="146">
        <f t="shared" si="2"/>
        <v>11025500</v>
      </c>
      <c r="M35" s="73"/>
      <c r="N35" s="73"/>
      <c r="O35" s="7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 x14ac:dyDescent="0.35">
      <c r="A36" s="9">
        <f t="shared" si="3"/>
        <v>28</v>
      </c>
      <c r="B36" s="15">
        <v>46026</v>
      </c>
      <c r="C36" s="11">
        <f t="shared" si="1"/>
        <v>1</v>
      </c>
      <c r="D36" s="11">
        <v>5</v>
      </c>
      <c r="E36" s="11">
        <v>2</v>
      </c>
      <c r="F36" s="14">
        <v>40</v>
      </c>
      <c r="G36" s="89" t="str">
        <f>IFERROR(VLOOKUP(F36,COA!$A$1:$K$26,2,FALSE),0)</f>
        <v>Penerimaan Iuran Warga</v>
      </c>
      <c r="H36" s="11"/>
      <c r="I36" s="95" t="s">
        <v>95</v>
      </c>
      <c r="J36" s="82">
        <v>100000</v>
      </c>
      <c r="K36" s="79"/>
      <c r="L36" s="146">
        <f t="shared" si="2"/>
        <v>11125500</v>
      </c>
      <c r="M36" s="73"/>
      <c r="N36" s="73"/>
      <c r="O36" s="7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 x14ac:dyDescent="0.35">
      <c r="A37" s="9">
        <f t="shared" si="3"/>
        <v>29</v>
      </c>
      <c r="B37" s="15">
        <v>46027</v>
      </c>
      <c r="C37" s="11">
        <f t="shared" si="1"/>
        <v>1</v>
      </c>
      <c r="D37" s="11">
        <v>5</v>
      </c>
      <c r="E37" s="11">
        <v>1</v>
      </c>
      <c r="F37" s="14">
        <v>40</v>
      </c>
      <c r="G37" s="89" t="str">
        <f>IFERROR(VLOOKUP(F37,COA!$A$1:$K$26,2,FALSE),0)</f>
        <v>Penerimaan Iuran Warga</v>
      </c>
      <c r="H37" s="11"/>
      <c r="I37" s="95" t="s">
        <v>95</v>
      </c>
      <c r="J37" s="82">
        <v>100000</v>
      </c>
      <c r="K37" s="79"/>
      <c r="L37" s="146">
        <f t="shared" si="2"/>
        <v>11225500</v>
      </c>
      <c r="M37" s="73"/>
      <c r="N37" s="73"/>
      <c r="O37" s="7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 x14ac:dyDescent="0.35">
      <c r="A38" s="9">
        <f t="shared" si="3"/>
        <v>30</v>
      </c>
      <c r="B38" s="15">
        <v>46028</v>
      </c>
      <c r="C38" s="11">
        <f t="shared" si="1"/>
        <v>1</v>
      </c>
      <c r="D38" s="11">
        <v>5</v>
      </c>
      <c r="E38" s="11">
        <v>1</v>
      </c>
      <c r="F38" s="14">
        <v>40</v>
      </c>
      <c r="G38" s="89" t="str">
        <f>IFERROR(VLOOKUP(F38,COA!$A$1:$K$26,2,FALSE),0)</f>
        <v>Penerimaan Iuran Warga</v>
      </c>
      <c r="H38" s="11"/>
      <c r="I38" s="95" t="s">
        <v>87</v>
      </c>
      <c r="J38" s="82">
        <v>100000</v>
      </c>
      <c r="K38" s="81"/>
      <c r="L38" s="146">
        <f t="shared" si="2"/>
        <v>11325500</v>
      </c>
      <c r="M38" s="73"/>
      <c r="N38" s="73"/>
      <c r="O38" s="7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 x14ac:dyDescent="0.35">
      <c r="A39" s="9">
        <f t="shared" si="3"/>
        <v>31</v>
      </c>
      <c r="B39" s="15">
        <v>46028</v>
      </c>
      <c r="C39" s="11">
        <f t="shared" si="1"/>
        <v>1</v>
      </c>
      <c r="D39" s="11">
        <v>5</v>
      </c>
      <c r="E39" s="11">
        <v>2</v>
      </c>
      <c r="F39" s="14">
        <v>40</v>
      </c>
      <c r="G39" s="89" t="str">
        <f>IFERROR(VLOOKUP(F39,COA!$A$1:$K$26,2,FALSE),0)</f>
        <v>Penerimaan Iuran Warga</v>
      </c>
      <c r="H39" s="11"/>
      <c r="I39" s="95" t="s">
        <v>87</v>
      </c>
      <c r="J39" s="82">
        <v>100000</v>
      </c>
      <c r="K39" s="79"/>
      <c r="L39" s="146">
        <f t="shared" si="2"/>
        <v>11425500</v>
      </c>
      <c r="M39" s="73"/>
      <c r="N39" s="73"/>
      <c r="O39" s="7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 x14ac:dyDescent="0.35">
      <c r="A40" s="9">
        <f t="shared" si="3"/>
        <v>32</v>
      </c>
      <c r="B40" s="15">
        <v>46028</v>
      </c>
      <c r="C40" s="11">
        <f t="shared" si="1"/>
        <v>1</v>
      </c>
      <c r="D40" s="11">
        <v>5</v>
      </c>
      <c r="E40" s="11">
        <v>3</v>
      </c>
      <c r="F40" s="14">
        <v>40</v>
      </c>
      <c r="G40" s="89" t="str">
        <f>IFERROR(VLOOKUP(F40,COA!$A$1:$K$26,2,FALSE),0)</f>
        <v>Penerimaan Iuran Warga</v>
      </c>
      <c r="H40" s="11"/>
      <c r="I40" s="95" t="s">
        <v>87</v>
      </c>
      <c r="J40" s="82">
        <v>100000</v>
      </c>
      <c r="K40" s="79"/>
      <c r="L40" s="146">
        <f t="shared" si="2"/>
        <v>11525500</v>
      </c>
      <c r="M40" s="73"/>
      <c r="N40" s="73"/>
      <c r="O40" s="7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 x14ac:dyDescent="0.35">
      <c r="A41" s="9">
        <f t="shared" si="3"/>
        <v>33</v>
      </c>
      <c r="B41" s="15">
        <v>46028</v>
      </c>
      <c r="C41" s="11">
        <f t="shared" si="1"/>
        <v>1</v>
      </c>
      <c r="D41" s="11">
        <v>5</v>
      </c>
      <c r="E41" s="11">
        <v>4</v>
      </c>
      <c r="F41" s="14">
        <v>40</v>
      </c>
      <c r="G41" s="89" t="str">
        <f>IFERROR(VLOOKUP(F41,COA!$A$1:$K$26,2,FALSE),0)</f>
        <v>Penerimaan Iuran Warga</v>
      </c>
      <c r="H41" s="11"/>
      <c r="I41" s="95" t="s">
        <v>87</v>
      </c>
      <c r="J41" s="82">
        <v>100000</v>
      </c>
      <c r="K41" s="81"/>
      <c r="L41" s="146">
        <f t="shared" si="2"/>
        <v>11625500</v>
      </c>
      <c r="M41" s="73"/>
      <c r="N41" s="73"/>
      <c r="O41" s="7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 x14ac:dyDescent="0.35">
      <c r="A42" s="9">
        <f t="shared" si="3"/>
        <v>34</v>
      </c>
      <c r="B42" s="15">
        <v>46028</v>
      </c>
      <c r="C42" s="11">
        <f t="shared" si="1"/>
        <v>1</v>
      </c>
      <c r="D42" s="11">
        <v>5</v>
      </c>
      <c r="E42" s="11">
        <v>5</v>
      </c>
      <c r="F42" s="14">
        <v>40</v>
      </c>
      <c r="G42" s="89" t="str">
        <f>IFERROR(VLOOKUP(F42,COA!$A$1:$K$26,2,FALSE),0)</f>
        <v>Penerimaan Iuran Warga</v>
      </c>
      <c r="H42" s="11"/>
      <c r="I42" s="95" t="s">
        <v>87</v>
      </c>
      <c r="J42" s="82">
        <v>100000</v>
      </c>
      <c r="K42" s="81"/>
      <c r="L42" s="146">
        <f t="shared" si="2"/>
        <v>11725500</v>
      </c>
      <c r="M42" s="73"/>
      <c r="N42" s="73"/>
      <c r="O42" s="7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 x14ac:dyDescent="0.35">
      <c r="A43" s="9">
        <f t="shared" si="3"/>
        <v>35</v>
      </c>
      <c r="B43" s="15">
        <v>46028</v>
      </c>
      <c r="C43" s="11">
        <f t="shared" si="1"/>
        <v>1</v>
      </c>
      <c r="D43" s="11">
        <v>5</v>
      </c>
      <c r="E43" s="11">
        <v>6</v>
      </c>
      <c r="F43" s="14">
        <v>20</v>
      </c>
      <c r="G43" s="89" t="str">
        <f>IFERROR(VLOOKUP(F43,COA!$A$1:$K$26,2,FALSE),0)</f>
        <v>Iuran Warga Diterima di muka</v>
      </c>
      <c r="H43" s="11"/>
      <c r="I43" s="95" t="s">
        <v>87</v>
      </c>
      <c r="J43" s="82">
        <v>100000</v>
      </c>
      <c r="K43" s="79"/>
      <c r="L43" s="146">
        <f t="shared" si="2"/>
        <v>11825500</v>
      </c>
      <c r="M43" s="73"/>
      <c r="N43" s="73"/>
      <c r="O43" s="7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 x14ac:dyDescent="0.35">
      <c r="A44" s="9">
        <f t="shared" si="3"/>
        <v>36</v>
      </c>
      <c r="B44" s="15">
        <v>46030</v>
      </c>
      <c r="C44" s="11">
        <f t="shared" si="1"/>
        <v>1</v>
      </c>
      <c r="D44" s="11">
        <v>5</v>
      </c>
      <c r="E44" s="11">
        <v>1</v>
      </c>
      <c r="F44" s="14">
        <v>40</v>
      </c>
      <c r="G44" s="89" t="str">
        <f>IFERROR(VLOOKUP(F44,COA!$A$1:$K$26,2,FALSE),0)</f>
        <v>Penerimaan Iuran Warga</v>
      </c>
      <c r="H44" s="11"/>
      <c r="I44" s="95" t="s">
        <v>182</v>
      </c>
      <c r="J44" s="78">
        <v>190000</v>
      </c>
      <c r="K44" s="81"/>
      <c r="L44" s="146">
        <f t="shared" si="2"/>
        <v>12015500</v>
      </c>
      <c r="M44" s="73"/>
      <c r="N44" s="73"/>
      <c r="O44" s="7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 x14ac:dyDescent="0.35">
      <c r="A45" s="9">
        <f t="shared" si="3"/>
        <v>37</v>
      </c>
      <c r="B45" s="15">
        <v>46031</v>
      </c>
      <c r="C45" s="11">
        <f t="shared" si="1"/>
        <v>1</v>
      </c>
      <c r="D45" s="11">
        <v>5</v>
      </c>
      <c r="E45" s="11">
        <v>1</v>
      </c>
      <c r="F45" s="14">
        <v>40</v>
      </c>
      <c r="G45" s="89" t="str">
        <f>IFERROR(VLOOKUP(F45,COA!$A$1:$K$26,2,FALSE),0)</f>
        <v>Penerimaan Iuran Warga</v>
      </c>
      <c r="H45" s="11"/>
      <c r="I45" s="95" t="s">
        <v>169</v>
      </c>
      <c r="J45" s="78">
        <v>100000</v>
      </c>
      <c r="K45" s="81"/>
      <c r="L45" s="146">
        <f t="shared" si="2"/>
        <v>12115500</v>
      </c>
      <c r="M45" s="73"/>
      <c r="N45" s="73"/>
      <c r="O45" s="7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 x14ac:dyDescent="0.35">
      <c r="A46" s="9">
        <f t="shared" si="3"/>
        <v>38</v>
      </c>
      <c r="B46" s="15">
        <v>46037</v>
      </c>
      <c r="C46" s="11">
        <f t="shared" si="1"/>
        <v>1</v>
      </c>
      <c r="D46" s="11">
        <v>5</v>
      </c>
      <c r="E46" s="11">
        <v>1</v>
      </c>
      <c r="F46" s="14">
        <v>40</v>
      </c>
      <c r="G46" s="89" t="str">
        <f>IFERROR(VLOOKUP(F46,COA!$A$1:$K$26,2,FALSE),0)</f>
        <v>Penerimaan Iuran Warga</v>
      </c>
      <c r="H46" s="11"/>
      <c r="I46" s="95" t="s">
        <v>79</v>
      </c>
      <c r="J46" s="78">
        <v>100000</v>
      </c>
      <c r="K46" s="79"/>
      <c r="L46" s="146">
        <f t="shared" si="2"/>
        <v>12215500</v>
      </c>
      <c r="M46" s="73"/>
      <c r="N46" s="73"/>
      <c r="O46" s="7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 x14ac:dyDescent="0.35">
      <c r="A47" s="9">
        <f t="shared" si="3"/>
        <v>39</v>
      </c>
      <c r="B47" s="16">
        <v>46041</v>
      </c>
      <c r="C47" s="11">
        <f t="shared" si="1"/>
        <v>1</v>
      </c>
      <c r="D47" s="11">
        <v>5</v>
      </c>
      <c r="E47" s="11">
        <v>1</v>
      </c>
      <c r="F47" s="14">
        <v>40</v>
      </c>
      <c r="G47" s="89" t="str">
        <f>IFERROR(VLOOKUP(F47,COA!$A$1:$K$26,2,FALSE),0)</f>
        <v>Penerimaan Iuran Warga</v>
      </c>
      <c r="H47" s="11"/>
      <c r="I47" s="11" t="s">
        <v>178</v>
      </c>
      <c r="J47" s="78">
        <v>100000</v>
      </c>
      <c r="K47" s="78"/>
      <c r="L47" s="146">
        <f t="shared" si="2"/>
        <v>12315500</v>
      </c>
      <c r="M47" s="73"/>
      <c r="N47" s="73"/>
      <c r="O47" s="7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 x14ac:dyDescent="0.35">
      <c r="A48" s="9">
        <f t="shared" si="3"/>
        <v>40</v>
      </c>
      <c r="B48" s="16">
        <v>46041</v>
      </c>
      <c r="C48" s="11">
        <f t="shared" si="1"/>
        <v>1</v>
      </c>
      <c r="D48" s="11">
        <v>5</v>
      </c>
      <c r="E48" s="11">
        <v>2</v>
      </c>
      <c r="F48" s="14">
        <v>40</v>
      </c>
      <c r="G48" s="89" t="str">
        <f>IFERROR(VLOOKUP(F48,COA!$A$1:$K$26,2,FALSE),0)</f>
        <v>Penerimaan Iuran Warga</v>
      </c>
      <c r="H48" s="11"/>
      <c r="I48" s="11" t="s">
        <v>178</v>
      </c>
      <c r="J48" s="78">
        <v>100000</v>
      </c>
      <c r="K48" s="79"/>
      <c r="L48" s="146">
        <f t="shared" si="2"/>
        <v>12415500</v>
      </c>
      <c r="M48" s="73"/>
      <c r="N48" s="73"/>
      <c r="O48" s="7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 x14ac:dyDescent="0.35">
      <c r="A49" s="9">
        <f t="shared" si="3"/>
        <v>41</v>
      </c>
      <c r="B49" s="15">
        <v>46042</v>
      </c>
      <c r="C49" s="11">
        <f t="shared" si="1"/>
        <v>1</v>
      </c>
      <c r="D49" s="11">
        <v>5</v>
      </c>
      <c r="E49" s="11">
        <v>1</v>
      </c>
      <c r="F49" s="14">
        <v>40</v>
      </c>
      <c r="G49" s="89" t="str">
        <f>IFERROR(VLOOKUP(F49,COA!$A$1:$K$26,2,FALSE),0)</f>
        <v>Penerimaan Iuran Warga</v>
      </c>
      <c r="H49" s="11"/>
      <c r="I49" s="95" t="s">
        <v>81</v>
      </c>
      <c r="J49" s="78">
        <v>100000</v>
      </c>
      <c r="K49" s="81"/>
      <c r="L49" s="146">
        <f t="shared" si="2"/>
        <v>12515500</v>
      </c>
      <c r="M49" s="73"/>
      <c r="N49" s="73"/>
      <c r="O49" s="7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 x14ac:dyDescent="0.35">
      <c r="A50" s="9">
        <f t="shared" si="3"/>
        <v>42</v>
      </c>
      <c r="B50" s="10">
        <v>46043</v>
      </c>
      <c r="C50" s="11">
        <f t="shared" si="1"/>
        <v>1</v>
      </c>
      <c r="D50" s="11">
        <v>5</v>
      </c>
      <c r="E50" s="11">
        <v>1</v>
      </c>
      <c r="F50" s="11">
        <v>40</v>
      </c>
      <c r="G50" s="89" t="str">
        <f>IFERROR(VLOOKUP(F50,COA!$A$1:$K$26,2,FALSE),0)</f>
        <v>Penerimaan Iuran Warga</v>
      </c>
      <c r="H50" s="11"/>
      <c r="I50" s="11" t="s">
        <v>123</v>
      </c>
      <c r="J50" s="77">
        <v>100000</v>
      </c>
      <c r="K50" s="78"/>
      <c r="L50" s="146">
        <f t="shared" si="2"/>
        <v>12615500</v>
      </c>
      <c r="M50" s="73"/>
      <c r="N50" s="73"/>
      <c r="O50" s="7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 x14ac:dyDescent="0.35">
      <c r="A51" s="9">
        <f t="shared" si="3"/>
        <v>43</v>
      </c>
      <c r="B51" s="10">
        <v>46045</v>
      </c>
      <c r="C51" s="11">
        <f t="shared" si="1"/>
        <v>1</v>
      </c>
      <c r="D51" s="11">
        <v>5</v>
      </c>
      <c r="E51" s="11">
        <v>1</v>
      </c>
      <c r="F51" s="14">
        <v>40</v>
      </c>
      <c r="G51" s="89" t="str">
        <f>IFERROR(VLOOKUP(F51,COA!$A$1:$K$26,2,FALSE),0)</f>
        <v>Penerimaan Iuran Warga</v>
      </c>
      <c r="H51" s="11"/>
      <c r="I51" s="11" t="s">
        <v>119</v>
      </c>
      <c r="J51" s="78">
        <v>100000</v>
      </c>
      <c r="K51" s="79"/>
      <c r="L51" s="146">
        <f t="shared" si="2"/>
        <v>12715500</v>
      </c>
      <c r="M51" s="73"/>
      <c r="N51" s="73"/>
      <c r="O51" s="7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 x14ac:dyDescent="0.35">
      <c r="A52" s="9">
        <f t="shared" si="3"/>
        <v>44</v>
      </c>
      <c r="B52" s="10">
        <v>46045</v>
      </c>
      <c r="C52" s="11">
        <f t="shared" si="1"/>
        <v>1</v>
      </c>
      <c r="D52" s="11">
        <v>5</v>
      </c>
      <c r="E52" s="11">
        <v>2</v>
      </c>
      <c r="F52" s="14">
        <v>40</v>
      </c>
      <c r="G52" s="89" t="str">
        <f>IFERROR(VLOOKUP(F52,COA!$A$1:$K$26,2,FALSE),0)</f>
        <v>Penerimaan Iuran Warga</v>
      </c>
      <c r="H52" s="11"/>
      <c r="I52" s="11" t="s">
        <v>119</v>
      </c>
      <c r="J52" s="79">
        <v>100000</v>
      </c>
      <c r="K52" s="78"/>
      <c r="L52" s="146">
        <f t="shared" si="2"/>
        <v>12815500</v>
      </c>
      <c r="M52" s="73"/>
      <c r="N52" s="73"/>
      <c r="O52" s="7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 x14ac:dyDescent="0.35">
      <c r="A53" s="9">
        <f t="shared" si="3"/>
        <v>45</v>
      </c>
      <c r="B53" s="16">
        <v>46051</v>
      </c>
      <c r="C53" s="11">
        <f t="shared" si="1"/>
        <v>1</v>
      </c>
      <c r="D53" s="11">
        <v>5</v>
      </c>
      <c r="E53" s="11">
        <v>1</v>
      </c>
      <c r="F53" s="14">
        <v>40</v>
      </c>
      <c r="G53" s="89" t="str">
        <f>IFERROR(VLOOKUP(F53,COA!$A$1:$K$26,2,FALSE),0)</f>
        <v>Penerimaan Iuran Warga</v>
      </c>
      <c r="H53" s="11"/>
      <c r="I53" s="11" t="s">
        <v>118</v>
      </c>
      <c r="J53" s="79">
        <v>100000</v>
      </c>
      <c r="K53" s="78"/>
      <c r="L53" s="146">
        <f t="shared" si="2"/>
        <v>12915500</v>
      </c>
      <c r="M53" s="73"/>
      <c r="N53" s="73"/>
      <c r="O53" s="7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 x14ac:dyDescent="0.35">
      <c r="A54" s="9">
        <f t="shared" si="3"/>
        <v>46</v>
      </c>
      <c r="B54" s="16">
        <v>46051</v>
      </c>
      <c r="C54" s="11">
        <f t="shared" si="1"/>
        <v>1</v>
      </c>
      <c r="D54" s="11">
        <v>5</v>
      </c>
      <c r="E54" s="11">
        <v>2</v>
      </c>
      <c r="F54" s="14">
        <v>40</v>
      </c>
      <c r="G54" s="89" t="str">
        <f>IFERROR(VLOOKUP(F54,COA!$A$1:$K$26,2,FALSE),0)</f>
        <v>Penerimaan Iuran Warga</v>
      </c>
      <c r="H54" s="11"/>
      <c r="I54" s="11" t="s">
        <v>118</v>
      </c>
      <c r="J54" s="78">
        <v>100000</v>
      </c>
      <c r="K54" s="79"/>
      <c r="L54" s="146">
        <f t="shared" si="2"/>
        <v>13015500</v>
      </c>
      <c r="M54" s="73"/>
      <c r="N54" s="73"/>
      <c r="O54" s="7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 x14ac:dyDescent="0.35">
      <c r="A55" s="9">
        <f t="shared" si="3"/>
        <v>47</v>
      </c>
      <c r="B55" s="15">
        <v>46053</v>
      </c>
      <c r="C55" s="11">
        <f t="shared" si="1"/>
        <v>1</v>
      </c>
      <c r="D55" s="11">
        <v>5</v>
      </c>
      <c r="E55" s="11">
        <v>1</v>
      </c>
      <c r="F55" s="11">
        <v>40</v>
      </c>
      <c r="G55" s="89" t="str">
        <f>IFERROR(VLOOKUP(F55,COA!$A$1:$K$26,2,FALSE),0)</f>
        <v>Penerimaan Iuran Warga</v>
      </c>
      <c r="H55" s="11"/>
      <c r="I55" s="11" t="s">
        <v>110</v>
      </c>
      <c r="J55" s="78">
        <v>100000</v>
      </c>
      <c r="K55" s="78"/>
      <c r="L55" s="146">
        <f t="shared" si="2"/>
        <v>13115500</v>
      </c>
      <c r="M55" s="73"/>
      <c r="N55" s="73"/>
      <c r="O55" s="7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 x14ac:dyDescent="0.35">
      <c r="A56" s="9">
        <f t="shared" si="3"/>
        <v>48</v>
      </c>
      <c r="B56" s="15">
        <v>46053</v>
      </c>
      <c r="C56" s="11">
        <f t="shared" si="1"/>
        <v>1</v>
      </c>
      <c r="D56" s="11">
        <v>5</v>
      </c>
      <c r="E56" s="11">
        <v>1</v>
      </c>
      <c r="F56" s="14">
        <v>40</v>
      </c>
      <c r="G56" s="89" t="str">
        <f>IFERROR(VLOOKUP(F56,COA!$A$1:$K$26,2,FALSE),0)</f>
        <v>Penerimaan Iuran Warga</v>
      </c>
      <c r="H56" s="11"/>
      <c r="I56" s="95" t="s">
        <v>106</v>
      </c>
      <c r="J56" s="82">
        <v>100000</v>
      </c>
      <c r="K56" s="81"/>
      <c r="L56" s="146">
        <f t="shared" si="2"/>
        <v>13215500</v>
      </c>
      <c r="M56" s="73"/>
      <c r="N56" s="73"/>
      <c r="O56" s="7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x14ac:dyDescent="0.35">
      <c r="A57" s="9">
        <f t="shared" si="3"/>
        <v>49</v>
      </c>
      <c r="B57" s="15">
        <v>46053</v>
      </c>
      <c r="C57" s="11">
        <f t="shared" si="1"/>
        <v>1</v>
      </c>
      <c r="D57" s="11">
        <v>5</v>
      </c>
      <c r="E57" s="11">
        <v>1</v>
      </c>
      <c r="F57" s="14">
        <v>50</v>
      </c>
      <c r="G57" s="89" t="str">
        <f>IFERROR(VLOOKUP(F57,COA!$A$1:$K$26,2,FALSE),0)</f>
        <v>Biaya Gaji Satpam</v>
      </c>
      <c r="H57" s="11" t="s">
        <v>192</v>
      </c>
      <c r="I57" s="95"/>
      <c r="J57" s="82"/>
      <c r="K57" s="81">
        <f>1115500+500000</f>
        <v>1615500</v>
      </c>
      <c r="L57" s="146">
        <f t="shared" si="2"/>
        <v>11600000</v>
      </c>
      <c r="M57" s="73"/>
      <c r="N57" s="73"/>
      <c r="O57" s="7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 x14ac:dyDescent="0.35">
      <c r="A58" s="9">
        <f t="shared" si="3"/>
        <v>50</v>
      </c>
      <c r="B58" s="15">
        <v>46053</v>
      </c>
      <c r="C58" s="11">
        <f t="shared" si="1"/>
        <v>1</v>
      </c>
      <c r="D58" s="11">
        <v>5</v>
      </c>
      <c r="E58" s="11">
        <v>1</v>
      </c>
      <c r="F58" s="14">
        <v>50</v>
      </c>
      <c r="G58" s="89" t="str">
        <f>IFERROR(VLOOKUP(F58,COA!$A$1:$K$26,2,FALSE),0)</f>
        <v>Biaya Gaji Satpam</v>
      </c>
      <c r="H58" s="11" t="s">
        <v>193</v>
      </c>
      <c r="I58" s="95"/>
      <c r="J58" s="82"/>
      <c r="K58" s="81">
        <f>716000+500000</f>
        <v>1216000</v>
      </c>
      <c r="L58" s="146">
        <f t="shared" si="2"/>
        <v>10384000</v>
      </c>
      <c r="M58" s="73"/>
      <c r="N58" s="73"/>
      <c r="O58" s="7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 x14ac:dyDescent="0.35">
      <c r="A59" s="9">
        <f t="shared" si="3"/>
        <v>51</v>
      </c>
      <c r="B59" s="15">
        <v>46053</v>
      </c>
      <c r="C59" s="11">
        <f t="shared" si="1"/>
        <v>1</v>
      </c>
      <c r="D59" s="11">
        <v>5</v>
      </c>
      <c r="E59" s="11">
        <v>1</v>
      </c>
      <c r="F59" s="14">
        <v>50</v>
      </c>
      <c r="G59" s="89" t="str">
        <f>IFERROR(VLOOKUP(F59,COA!$A$1:$K$26,2,FALSE),0)</f>
        <v>Biaya Gaji Satpam</v>
      </c>
      <c r="H59" s="11" t="s">
        <v>270</v>
      </c>
      <c r="I59" s="95"/>
      <c r="J59" s="82"/>
      <c r="K59" s="81">
        <f>189000+500000</f>
        <v>689000</v>
      </c>
      <c r="L59" s="146">
        <f t="shared" si="2"/>
        <v>9695000</v>
      </c>
      <c r="M59" s="73"/>
      <c r="N59" s="73"/>
      <c r="O59" s="7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 x14ac:dyDescent="0.35">
      <c r="A60" s="9">
        <f t="shared" si="3"/>
        <v>52</v>
      </c>
      <c r="B60" s="15">
        <v>46053</v>
      </c>
      <c r="C60" s="11">
        <f t="shared" si="1"/>
        <v>1</v>
      </c>
      <c r="D60" s="11">
        <v>5</v>
      </c>
      <c r="E60" s="11">
        <v>1</v>
      </c>
      <c r="F60" s="14">
        <v>51</v>
      </c>
      <c r="G60" s="89" t="str">
        <f>IFERROR(VLOOKUP(F60,COA!$A$1:$K$26,2,FALSE),0)</f>
        <v>Biaya Gaji Sampah</v>
      </c>
      <c r="H60" s="11" t="s">
        <v>207</v>
      </c>
      <c r="I60" s="95"/>
      <c r="J60" s="82"/>
      <c r="K60" s="81">
        <v>850000</v>
      </c>
      <c r="L60" s="146">
        <f t="shared" si="2"/>
        <v>8845000</v>
      </c>
      <c r="M60" s="73"/>
      <c r="N60" s="73"/>
      <c r="O60" s="7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 x14ac:dyDescent="0.35">
      <c r="A61" s="9">
        <f t="shared" si="3"/>
        <v>53</v>
      </c>
      <c r="B61" s="15">
        <v>46053</v>
      </c>
      <c r="C61" s="11">
        <f t="shared" si="1"/>
        <v>1</v>
      </c>
      <c r="D61" s="11">
        <v>5</v>
      </c>
      <c r="E61" s="11">
        <v>1</v>
      </c>
      <c r="F61" s="14">
        <v>52</v>
      </c>
      <c r="G61" s="89" t="str">
        <f>IFERROR(VLOOKUP(F61,COA!$A$1:$K$26,2,FALSE),0)</f>
        <v>Biaya Gaji Marbot</v>
      </c>
      <c r="H61" s="11" t="s">
        <v>199</v>
      </c>
      <c r="I61" s="95"/>
      <c r="J61" s="82"/>
      <c r="K61" s="81">
        <v>750000</v>
      </c>
      <c r="L61" s="146">
        <f t="shared" si="2"/>
        <v>8095000</v>
      </c>
      <c r="M61" s="73"/>
      <c r="N61" s="73"/>
      <c r="O61" s="7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 x14ac:dyDescent="0.35">
      <c r="A62" s="9">
        <f t="shared" si="3"/>
        <v>54</v>
      </c>
      <c r="B62" s="15">
        <v>46053</v>
      </c>
      <c r="C62" s="11">
        <f t="shared" si="1"/>
        <v>1</v>
      </c>
      <c r="D62" s="11">
        <v>5</v>
      </c>
      <c r="E62" s="11">
        <v>2</v>
      </c>
      <c r="F62" s="11">
        <v>40</v>
      </c>
      <c r="G62" s="89" t="str">
        <f>IFERROR(VLOOKUP(F62,COA!$A$1:$K$26,2,FALSE),0)</f>
        <v>Penerimaan Iuran Warga</v>
      </c>
      <c r="H62" s="11"/>
      <c r="I62" s="11" t="s">
        <v>110</v>
      </c>
      <c r="J62" s="78">
        <v>100000</v>
      </c>
      <c r="K62" s="78"/>
      <c r="L62" s="146">
        <f t="shared" si="2"/>
        <v>8195000</v>
      </c>
      <c r="M62" s="73"/>
      <c r="N62" s="73"/>
      <c r="O62" s="7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 x14ac:dyDescent="0.35">
      <c r="A63" s="9">
        <f t="shared" si="3"/>
        <v>55</v>
      </c>
      <c r="B63" s="15">
        <v>46054</v>
      </c>
      <c r="C63" s="11">
        <f t="shared" si="1"/>
        <v>2</v>
      </c>
      <c r="D63" s="11">
        <v>5</v>
      </c>
      <c r="E63" s="11">
        <v>1</v>
      </c>
      <c r="F63" s="14">
        <v>40</v>
      </c>
      <c r="G63" s="89" t="str">
        <f>IFERROR(VLOOKUP(F63,COA!$A$1:$K$26,2,FALSE),0)</f>
        <v>Penerimaan Iuran Warga</v>
      </c>
      <c r="H63" s="11"/>
      <c r="I63" s="11" t="s">
        <v>127</v>
      </c>
      <c r="J63" s="78">
        <v>100000</v>
      </c>
      <c r="K63" s="78"/>
      <c r="L63" s="146">
        <f t="shared" si="2"/>
        <v>8295000</v>
      </c>
      <c r="M63" s="73"/>
      <c r="N63" s="73"/>
      <c r="O63" s="7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 x14ac:dyDescent="0.35">
      <c r="A64" s="9">
        <f t="shared" si="3"/>
        <v>56</v>
      </c>
      <c r="B64" s="15">
        <v>46054</v>
      </c>
      <c r="C64" s="11">
        <f t="shared" si="1"/>
        <v>2</v>
      </c>
      <c r="D64" s="11">
        <v>5</v>
      </c>
      <c r="E64" s="11">
        <v>2</v>
      </c>
      <c r="F64" s="14">
        <v>40</v>
      </c>
      <c r="G64" s="89" t="str">
        <f>IFERROR(VLOOKUP(F64,COA!$A$1:$K$26,2,FALSE),0)</f>
        <v>Penerimaan Iuran Warga</v>
      </c>
      <c r="H64" s="11"/>
      <c r="I64" s="11" t="s">
        <v>127</v>
      </c>
      <c r="J64" s="78">
        <v>100000</v>
      </c>
      <c r="K64" s="79"/>
      <c r="L64" s="146">
        <f t="shared" si="2"/>
        <v>8395000</v>
      </c>
      <c r="M64" s="73"/>
      <c r="N64" s="73"/>
      <c r="O64" s="7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 x14ac:dyDescent="0.35">
      <c r="A65" s="9">
        <f t="shared" si="3"/>
        <v>57</v>
      </c>
      <c r="B65" s="15">
        <v>46054</v>
      </c>
      <c r="C65" s="11">
        <f t="shared" si="1"/>
        <v>2</v>
      </c>
      <c r="D65" s="11">
        <v>5</v>
      </c>
      <c r="E65" s="11">
        <v>3</v>
      </c>
      <c r="F65" s="14">
        <v>40</v>
      </c>
      <c r="G65" s="89" t="str">
        <f>IFERROR(VLOOKUP(F65,COA!$A$1:$K$26,2,FALSE),0)</f>
        <v>Penerimaan Iuran Warga</v>
      </c>
      <c r="H65" s="11"/>
      <c r="I65" s="11" t="s">
        <v>127</v>
      </c>
      <c r="J65" s="78">
        <v>100000</v>
      </c>
      <c r="K65" s="79"/>
      <c r="L65" s="146">
        <f t="shared" si="2"/>
        <v>8495000</v>
      </c>
      <c r="M65" s="73"/>
      <c r="N65" s="73"/>
      <c r="O65" s="7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 x14ac:dyDescent="0.35">
      <c r="A66" s="9">
        <f t="shared" si="3"/>
        <v>58</v>
      </c>
      <c r="B66" s="15">
        <v>46054</v>
      </c>
      <c r="C66" s="11">
        <f t="shared" si="1"/>
        <v>2</v>
      </c>
      <c r="D66" s="11">
        <v>5</v>
      </c>
      <c r="E66" s="11">
        <v>2</v>
      </c>
      <c r="F66" s="14">
        <v>40</v>
      </c>
      <c r="G66" s="89" t="str">
        <f>IFERROR(VLOOKUP(F66,COA!$A$1:$K$26,2,FALSE),0)</f>
        <v>Penerimaan Iuran Warga</v>
      </c>
      <c r="H66" s="89" t="s">
        <v>257</v>
      </c>
      <c r="I66" s="11" t="s">
        <v>180</v>
      </c>
      <c r="J66" s="78">
        <v>100000</v>
      </c>
      <c r="K66" s="79"/>
      <c r="L66" s="146">
        <f t="shared" si="2"/>
        <v>8595000</v>
      </c>
      <c r="M66" s="73"/>
      <c r="N66" s="73"/>
      <c r="O66" s="7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 x14ac:dyDescent="0.35">
      <c r="A67" s="9">
        <f t="shared" si="3"/>
        <v>59</v>
      </c>
      <c r="B67" s="15">
        <v>46054</v>
      </c>
      <c r="C67" s="11">
        <f t="shared" si="1"/>
        <v>2</v>
      </c>
      <c r="D67" s="11">
        <v>5</v>
      </c>
      <c r="E67" s="11">
        <v>2</v>
      </c>
      <c r="F67" s="14">
        <v>40</v>
      </c>
      <c r="G67" s="89" t="str">
        <f>IFERROR(VLOOKUP(F67,COA!$A$1:$K$26,2,FALSE),0)</f>
        <v>Penerimaan Iuran Warga</v>
      </c>
      <c r="H67" s="11"/>
      <c r="I67" s="95" t="s">
        <v>89</v>
      </c>
      <c r="J67" s="82">
        <v>100000</v>
      </c>
      <c r="K67" s="81"/>
      <c r="L67" s="146">
        <f t="shared" si="2"/>
        <v>8695000</v>
      </c>
      <c r="M67" s="73"/>
      <c r="N67" s="73"/>
      <c r="O67" s="7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 x14ac:dyDescent="0.35">
      <c r="A68" s="9">
        <f t="shared" si="3"/>
        <v>60</v>
      </c>
      <c r="B68" s="15">
        <v>46055</v>
      </c>
      <c r="C68" s="11">
        <f t="shared" si="1"/>
        <v>2</v>
      </c>
      <c r="D68" s="11">
        <v>5</v>
      </c>
      <c r="E68" s="11">
        <v>2</v>
      </c>
      <c r="F68" s="11">
        <v>40</v>
      </c>
      <c r="G68" s="89" t="str">
        <f>IFERROR(VLOOKUP(F68,COA!$A$1:$K$26,2,FALSE),0)</f>
        <v>Penerimaan Iuran Warga</v>
      </c>
      <c r="H68" s="89" t="s">
        <v>278</v>
      </c>
      <c r="I68" s="11" t="s">
        <v>102</v>
      </c>
      <c r="J68" s="78">
        <v>100000</v>
      </c>
      <c r="K68" s="79"/>
      <c r="L68" s="146">
        <f t="shared" si="2"/>
        <v>8795000</v>
      </c>
      <c r="M68" s="73"/>
      <c r="N68" s="73"/>
      <c r="O68" s="7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 x14ac:dyDescent="0.35">
      <c r="A69" s="9">
        <f t="shared" si="3"/>
        <v>61</v>
      </c>
      <c r="B69" s="15">
        <v>46055</v>
      </c>
      <c r="C69" s="11">
        <f t="shared" si="1"/>
        <v>2</v>
      </c>
      <c r="D69" s="11">
        <v>5</v>
      </c>
      <c r="E69" s="11">
        <v>1</v>
      </c>
      <c r="F69" s="14">
        <v>40</v>
      </c>
      <c r="G69" s="89" t="str">
        <f>IFERROR(VLOOKUP(F69,COA!$A$1:$K$26,2,FALSE),0)</f>
        <v>Penerimaan Iuran Warga</v>
      </c>
      <c r="H69" s="11"/>
      <c r="I69" s="95" t="s">
        <v>80</v>
      </c>
      <c r="J69" s="78">
        <v>100000</v>
      </c>
      <c r="K69" s="78"/>
      <c r="L69" s="146">
        <f t="shared" si="2"/>
        <v>8895000</v>
      </c>
      <c r="M69" s="73"/>
      <c r="N69" s="73"/>
      <c r="O69" s="7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 x14ac:dyDescent="0.35">
      <c r="A70" s="9">
        <f t="shared" si="3"/>
        <v>62</v>
      </c>
      <c r="B70" s="15">
        <v>46055</v>
      </c>
      <c r="C70" s="11">
        <f t="shared" si="1"/>
        <v>2</v>
      </c>
      <c r="D70" s="11">
        <v>5</v>
      </c>
      <c r="E70" s="11">
        <v>2</v>
      </c>
      <c r="F70" s="14">
        <v>40</v>
      </c>
      <c r="G70" s="89" t="str">
        <f>IFERROR(VLOOKUP(F70,COA!$A$1:$K$26,2,FALSE),0)</f>
        <v>Penerimaan Iuran Warga</v>
      </c>
      <c r="H70" s="11"/>
      <c r="I70" s="95" t="s">
        <v>80</v>
      </c>
      <c r="J70" s="78">
        <v>100000</v>
      </c>
      <c r="K70" s="78"/>
      <c r="L70" s="146">
        <f t="shared" si="2"/>
        <v>8995000</v>
      </c>
      <c r="M70" s="73"/>
      <c r="N70" s="73"/>
      <c r="O70" s="7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 x14ac:dyDescent="0.35">
      <c r="A71" s="9">
        <f t="shared" si="3"/>
        <v>63</v>
      </c>
      <c r="B71" s="15">
        <v>46055</v>
      </c>
      <c r="C71" s="11">
        <f t="shared" si="1"/>
        <v>2</v>
      </c>
      <c r="D71" s="11">
        <v>5</v>
      </c>
      <c r="E71" s="11">
        <v>3</v>
      </c>
      <c r="F71" s="14">
        <v>40</v>
      </c>
      <c r="G71" s="89" t="str">
        <f>IFERROR(VLOOKUP(F71,COA!$A$1:$K$26,2,FALSE),0)</f>
        <v>Penerimaan Iuran Warga</v>
      </c>
      <c r="H71" s="11"/>
      <c r="I71" s="95" t="s">
        <v>80</v>
      </c>
      <c r="J71" s="78">
        <v>100000</v>
      </c>
      <c r="K71" s="79"/>
      <c r="L71" s="146">
        <f t="shared" si="2"/>
        <v>9095000</v>
      </c>
      <c r="M71" s="73"/>
      <c r="N71" s="73"/>
      <c r="O71" s="7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 x14ac:dyDescent="0.35">
      <c r="A72" s="9">
        <f t="shared" si="3"/>
        <v>64</v>
      </c>
      <c r="B72" s="15">
        <v>46055</v>
      </c>
      <c r="C72" s="11">
        <f t="shared" si="1"/>
        <v>2</v>
      </c>
      <c r="D72" s="11">
        <v>5</v>
      </c>
      <c r="E72" s="11">
        <v>4</v>
      </c>
      <c r="F72" s="14">
        <v>40</v>
      </c>
      <c r="G72" s="89" t="str">
        <f>IFERROR(VLOOKUP(F72,COA!$A$1:$K$26,2,FALSE),0)</f>
        <v>Penerimaan Iuran Warga</v>
      </c>
      <c r="H72" s="11"/>
      <c r="I72" s="95" t="s">
        <v>80</v>
      </c>
      <c r="J72" s="78">
        <v>100000</v>
      </c>
      <c r="K72" s="79"/>
      <c r="L72" s="146">
        <f t="shared" si="2"/>
        <v>9195000</v>
      </c>
      <c r="M72" s="73"/>
      <c r="N72" s="73"/>
      <c r="O72" s="7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 x14ac:dyDescent="0.35">
      <c r="A73" s="9">
        <f t="shared" si="3"/>
        <v>65</v>
      </c>
      <c r="B73" s="15">
        <v>46055</v>
      </c>
      <c r="C73" s="11">
        <f t="shared" si="1"/>
        <v>2</v>
      </c>
      <c r="D73" s="11">
        <v>5</v>
      </c>
      <c r="E73" s="11">
        <v>5</v>
      </c>
      <c r="F73" s="14">
        <v>40</v>
      </c>
      <c r="G73" s="89" t="str">
        <f>IFERROR(VLOOKUP(F73,COA!$A$1:$K$26,2,FALSE),0)</f>
        <v>Penerimaan Iuran Warga</v>
      </c>
      <c r="H73" s="11"/>
      <c r="I73" s="95" t="s">
        <v>80</v>
      </c>
      <c r="J73" s="78">
        <v>100000</v>
      </c>
      <c r="K73" s="79"/>
      <c r="L73" s="146">
        <f t="shared" si="2"/>
        <v>9295000</v>
      </c>
      <c r="M73" s="73"/>
      <c r="N73" s="73"/>
      <c r="O73" s="7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 x14ac:dyDescent="0.35">
      <c r="A74" s="9">
        <f t="shared" si="3"/>
        <v>66</v>
      </c>
      <c r="B74" s="15">
        <v>46055</v>
      </c>
      <c r="C74" s="11">
        <f t="shared" si="1"/>
        <v>2</v>
      </c>
      <c r="D74" s="11">
        <v>5</v>
      </c>
      <c r="E74" s="11">
        <v>6</v>
      </c>
      <c r="F74" s="14">
        <v>20</v>
      </c>
      <c r="G74" s="89" t="str">
        <f>IFERROR(VLOOKUP(F74,COA!$A$1:$K$26,2,FALSE),0)</f>
        <v>Iuran Warga Diterima di muka</v>
      </c>
      <c r="H74" s="11"/>
      <c r="I74" s="95" t="s">
        <v>80</v>
      </c>
      <c r="J74" s="78">
        <v>100000</v>
      </c>
      <c r="K74" s="78"/>
      <c r="L74" s="146">
        <f t="shared" ref="L74:L137" si="5">L73+J74-K74</f>
        <v>9395000</v>
      </c>
      <c r="M74" s="73"/>
      <c r="N74" s="73"/>
      <c r="O74" s="7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 x14ac:dyDescent="0.35">
      <c r="A75" s="9">
        <f t="shared" si="3"/>
        <v>67</v>
      </c>
      <c r="B75" s="15">
        <v>46055</v>
      </c>
      <c r="C75" s="11">
        <f t="shared" ref="C75:C140" si="6">MONTH(B75)</f>
        <v>2</v>
      </c>
      <c r="D75" s="11">
        <v>5</v>
      </c>
      <c r="E75" s="11">
        <v>7</v>
      </c>
      <c r="F75" s="14">
        <v>20</v>
      </c>
      <c r="G75" s="89" t="str">
        <f>IFERROR(VLOOKUP(F75,COA!$A$1:$K$26,2,FALSE),0)</f>
        <v>Iuran Warga Diterima di muka</v>
      </c>
      <c r="H75" s="11"/>
      <c r="I75" s="95" t="s">
        <v>80</v>
      </c>
      <c r="J75" s="78">
        <v>100000</v>
      </c>
      <c r="K75" s="79"/>
      <c r="L75" s="146">
        <f t="shared" si="5"/>
        <v>9495000</v>
      </c>
      <c r="M75" s="73"/>
      <c r="N75" s="73"/>
      <c r="O75" s="7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 x14ac:dyDescent="0.35">
      <c r="A76" s="9">
        <f t="shared" ref="A76:A139" si="7">A75+1</f>
        <v>68</v>
      </c>
      <c r="B76" s="15">
        <v>46055</v>
      </c>
      <c r="C76" s="11">
        <f t="shared" si="6"/>
        <v>2</v>
      </c>
      <c r="D76" s="11">
        <v>5</v>
      </c>
      <c r="E76" s="11">
        <v>8</v>
      </c>
      <c r="F76" s="14">
        <v>20</v>
      </c>
      <c r="G76" s="89" t="str">
        <f>IFERROR(VLOOKUP(F76,COA!$A$1:$K$26,2,FALSE),0)</f>
        <v>Iuran Warga Diterima di muka</v>
      </c>
      <c r="H76" s="11"/>
      <c r="I76" s="95" t="s">
        <v>80</v>
      </c>
      <c r="J76" s="78">
        <v>100000</v>
      </c>
      <c r="K76" s="81"/>
      <c r="L76" s="146">
        <f t="shared" si="5"/>
        <v>9595000</v>
      </c>
      <c r="M76" s="73"/>
      <c r="N76" s="73"/>
      <c r="O76" s="7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 x14ac:dyDescent="0.35">
      <c r="A77" s="9">
        <f t="shared" si="7"/>
        <v>69</v>
      </c>
      <c r="B77" s="15">
        <v>46055</v>
      </c>
      <c r="C77" s="11">
        <f t="shared" si="6"/>
        <v>2</v>
      </c>
      <c r="D77" s="11">
        <v>5</v>
      </c>
      <c r="E77" s="11">
        <v>9</v>
      </c>
      <c r="F77" s="14">
        <v>20</v>
      </c>
      <c r="G77" s="89" t="str">
        <f>IFERROR(VLOOKUP(F77,COA!$A$1:$K$26,2,FALSE),0)</f>
        <v>Iuran Warga Diterima di muka</v>
      </c>
      <c r="H77" s="11"/>
      <c r="I77" s="95" t="s">
        <v>80</v>
      </c>
      <c r="J77" s="78">
        <v>100000</v>
      </c>
      <c r="K77" s="81"/>
      <c r="L77" s="146">
        <f t="shared" si="5"/>
        <v>9695000</v>
      </c>
      <c r="M77" s="73"/>
      <c r="N77" s="73"/>
      <c r="O77" s="7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 x14ac:dyDescent="0.35">
      <c r="A78" s="9">
        <f t="shared" si="7"/>
        <v>70</v>
      </c>
      <c r="B78" s="15">
        <v>46055</v>
      </c>
      <c r="C78" s="11">
        <f t="shared" si="6"/>
        <v>2</v>
      </c>
      <c r="D78" s="11">
        <v>5</v>
      </c>
      <c r="E78" s="11">
        <v>10</v>
      </c>
      <c r="F78" s="14">
        <v>20</v>
      </c>
      <c r="G78" s="89" t="str">
        <f>IFERROR(VLOOKUP(F78,COA!$A$1:$K$26,2,FALSE),0)</f>
        <v>Iuran Warga Diterima di muka</v>
      </c>
      <c r="H78" s="11"/>
      <c r="I78" s="95" t="s">
        <v>80</v>
      </c>
      <c r="J78" s="78">
        <v>100000</v>
      </c>
      <c r="K78" s="79"/>
      <c r="L78" s="146">
        <f t="shared" si="5"/>
        <v>9795000</v>
      </c>
      <c r="M78" s="73"/>
      <c r="N78" s="73"/>
      <c r="O78" s="7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 x14ac:dyDescent="0.35">
      <c r="A79" s="9">
        <f t="shared" si="7"/>
        <v>71</v>
      </c>
      <c r="B79" s="15">
        <v>46055</v>
      </c>
      <c r="C79" s="11">
        <f t="shared" si="6"/>
        <v>2</v>
      </c>
      <c r="D79" s="11">
        <v>5</v>
      </c>
      <c r="E79" s="11">
        <v>11</v>
      </c>
      <c r="F79" s="14">
        <v>20</v>
      </c>
      <c r="G79" s="89" t="str">
        <f>IFERROR(VLOOKUP(F79,COA!$A$1:$K$26,2,FALSE),0)</f>
        <v>Iuran Warga Diterima di muka</v>
      </c>
      <c r="H79" s="11"/>
      <c r="I79" s="95" t="s">
        <v>80</v>
      </c>
      <c r="J79" s="78">
        <v>100000</v>
      </c>
      <c r="K79" s="79"/>
      <c r="L79" s="146">
        <f t="shared" si="5"/>
        <v>9895000</v>
      </c>
      <c r="M79" s="73"/>
      <c r="N79" s="73"/>
      <c r="O79" s="7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 x14ac:dyDescent="0.35">
      <c r="A80" s="9">
        <f t="shared" si="7"/>
        <v>72</v>
      </c>
      <c r="B80" s="15">
        <v>46055</v>
      </c>
      <c r="C80" s="11">
        <f t="shared" si="6"/>
        <v>2</v>
      </c>
      <c r="D80" s="11">
        <v>5</v>
      </c>
      <c r="E80" s="11">
        <v>12</v>
      </c>
      <c r="F80" s="14">
        <v>20</v>
      </c>
      <c r="G80" s="89" t="str">
        <f>IFERROR(VLOOKUP(F80,COA!$A$1:$K$26,2,FALSE),0)</f>
        <v>Iuran Warga Diterima di muka</v>
      </c>
      <c r="H80" s="11"/>
      <c r="I80" s="95" t="s">
        <v>80</v>
      </c>
      <c r="J80" s="78">
        <v>100000</v>
      </c>
      <c r="K80" s="81"/>
      <c r="L80" s="146">
        <f t="shared" si="5"/>
        <v>9995000</v>
      </c>
      <c r="M80" s="73"/>
      <c r="N80" s="73"/>
      <c r="O80" s="7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 x14ac:dyDescent="0.35">
      <c r="A81" s="9">
        <f t="shared" si="7"/>
        <v>73</v>
      </c>
      <c r="B81" s="15">
        <v>46055</v>
      </c>
      <c r="C81" s="11">
        <f t="shared" ref="C81" si="8">MONTH(B81)</f>
        <v>2</v>
      </c>
      <c r="D81" s="11">
        <v>5</v>
      </c>
      <c r="E81" s="11">
        <v>2</v>
      </c>
      <c r="F81" s="14">
        <v>40</v>
      </c>
      <c r="G81" s="89" t="str">
        <f>IFERROR(VLOOKUP(F81,COA!$A$1:$K$26,2,FALSE),0)</f>
        <v>Penerimaan Iuran Warga</v>
      </c>
      <c r="H81" s="11"/>
      <c r="I81" s="95" t="s">
        <v>159</v>
      </c>
      <c r="J81" s="78">
        <v>100000</v>
      </c>
      <c r="K81" s="81"/>
      <c r="L81" s="146">
        <f t="shared" si="5"/>
        <v>10095000</v>
      </c>
      <c r="M81" s="73"/>
      <c r="N81" s="73"/>
      <c r="O81" s="7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 x14ac:dyDescent="0.35">
      <c r="A82" s="9">
        <f t="shared" si="7"/>
        <v>74</v>
      </c>
      <c r="B82" s="15">
        <v>46055</v>
      </c>
      <c r="C82" s="11">
        <f t="shared" si="6"/>
        <v>2</v>
      </c>
      <c r="D82" s="11">
        <v>5</v>
      </c>
      <c r="E82" s="11">
        <v>1</v>
      </c>
      <c r="F82" s="14">
        <v>40</v>
      </c>
      <c r="G82" s="89" t="str">
        <f>IFERROR(VLOOKUP(F82,COA!$A$1:$K$26,2,FALSE),0)</f>
        <v>Penerimaan Iuran Warga</v>
      </c>
      <c r="H82" s="11"/>
      <c r="I82" s="95" t="s">
        <v>90</v>
      </c>
      <c r="J82" s="82">
        <v>100000</v>
      </c>
      <c r="K82" s="81"/>
      <c r="L82" s="146">
        <f t="shared" si="5"/>
        <v>10195000</v>
      </c>
      <c r="M82" s="73"/>
      <c r="N82" s="73"/>
      <c r="O82" s="7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 x14ac:dyDescent="0.35">
      <c r="A83" s="9">
        <f t="shared" si="7"/>
        <v>75</v>
      </c>
      <c r="B83" s="15">
        <v>46055</v>
      </c>
      <c r="C83" s="11">
        <f t="shared" si="6"/>
        <v>2</v>
      </c>
      <c r="D83" s="11">
        <v>5</v>
      </c>
      <c r="E83" s="11">
        <v>2</v>
      </c>
      <c r="F83" s="14">
        <v>40</v>
      </c>
      <c r="G83" s="89" t="str">
        <f>IFERROR(VLOOKUP(F83,COA!$A$1:$K$26,2,FALSE),0)</f>
        <v>Penerimaan Iuran Warga</v>
      </c>
      <c r="H83" s="11"/>
      <c r="I83" s="95" t="s">
        <v>90</v>
      </c>
      <c r="J83" s="82">
        <v>100000</v>
      </c>
      <c r="K83" s="79"/>
      <c r="L83" s="146">
        <f t="shared" si="5"/>
        <v>10295000</v>
      </c>
      <c r="M83" s="73"/>
      <c r="N83" s="73"/>
      <c r="O83" s="7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 x14ac:dyDescent="0.35">
      <c r="A84" s="9">
        <f t="shared" si="7"/>
        <v>76</v>
      </c>
      <c r="B84" s="15">
        <v>46055</v>
      </c>
      <c r="C84" s="11">
        <f t="shared" si="6"/>
        <v>2</v>
      </c>
      <c r="D84" s="11">
        <v>5</v>
      </c>
      <c r="E84" s="11">
        <v>3</v>
      </c>
      <c r="F84" s="14">
        <v>40</v>
      </c>
      <c r="G84" s="89" t="str">
        <f>IFERROR(VLOOKUP(F84,COA!$A$1:$K$26,2,FALSE),0)</f>
        <v>Penerimaan Iuran Warga</v>
      </c>
      <c r="H84" s="11"/>
      <c r="I84" s="95" t="s">
        <v>90</v>
      </c>
      <c r="J84" s="82">
        <v>100000</v>
      </c>
      <c r="K84" s="79"/>
      <c r="L84" s="146">
        <f t="shared" si="5"/>
        <v>10395000</v>
      </c>
      <c r="M84" s="73"/>
      <c r="N84" s="73"/>
      <c r="O84" s="7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 x14ac:dyDescent="0.35">
      <c r="A85" s="9">
        <f t="shared" si="7"/>
        <v>77</v>
      </c>
      <c r="B85" s="15">
        <v>46055</v>
      </c>
      <c r="C85" s="11">
        <f t="shared" si="6"/>
        <v>2</v>
      </c>
      <c r="D85" s="11">
        <v>5</v>
      </c>
      <c r="E85" s="11">
        <v>2</v>
      </c>
      <c r="F85" s="14">
        <v>40</v>
      </c>
      <c r="G85" s="89" t="str">
        <f>IFERROR(VLOOKUP(F85,COA!$A$1:$K$26,2,FALSE),0)</f>
        <v>Penerimaan Iuran Warga</v>
      </c>
      <c r="H85" s="11"/>
      <c r="I85" s="95" t="s">
        <v>91</v>
      </c>
      <c r="J85" s="82">
        <v>100000</v>
      </c>
      <c r="K85" s="81"/>
      <c r="L85" s="146">
        <f t="shared" si="5"/>
        <v>10495000</v>
      </c>
      <c r="M85" s="73"/>
      <c r="N85" s="73"/>
      <c r="O85" s="7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 x14ac:dyDescent="0.35">
      <c r="A86" s="9">
        <f t="shared" si="7"/>
        <v>78</v>
      </c>
      <c r="B86" s="15">
        <v>46056</v>
      </c>
      <c r="C86" s="11">
        <f t="shared" si="6"/>
        <v>2</v>
      </c>
      <c r="D86" s="11">
        <v>5</v>
      </c>
      <c r="E86" s="11">
        <v>2</v>
      </c>
      <c r="F86" s="14">
        <v>40</v>
      </c>
      <c r="G86" s="89" t="str">
        <f>IFERROR(VLOOKUP(F86,COA!$A$1:$K$26,2,FALSE),0)</f>
        <v>Penerimaan Iuran Warga</v>
      </c>
      <c r="H86" s="11"/>
      <c r="I86" s="95" t="s">
        <v>182</v>
      </c>
      <c r="J86" s="78">
        <v>190000</v>
      </c>
      <c r="K86" s="81"/>
      <c r="L86" s="146">
        <f t="shared" si="5"/>
        <v>10685000</v>
      </c>
      <c r="M86" s="73"/>
      <c r="N86" s="73"/>
      <c r="O86" s="7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 x14ac:dyDescent="0.35">
      <c r="A87" s="9">
        <f t="shared" si="7"/>
        <v>79</v>
      </c>
      <c r="B87" s="15">
        <v>46056</v>
      </c>
      <c r="C87" s="11">
        <f t="shared" si="6"/>
        <v>2</v>
      </c>
      <c r="D87" s="11">
        <v>5</v>
      </c>
      <c r="E87" s="11">
        <v>3</v>
      </c>
      <c r="F87" s="14">
        <v>40</v>
      </c>
      <c r="G87" s="89" t="str">
        <f>IFERROR(VLOOKUP(F87,COA!$A$1:$K$26,2,FALSE),0)</f>
        <v>Penerimaan Iuran Warga</v>
      </c>
      <c r="H87" s="11"/>
      <c r="I87" s="95" t="s">
        <v>302</v>
      </c>
      <c r="J87" s="79">
        <v>165000</v>
      </c>
      <c r="K87" s="78"/>
      <c r="L87" s="146">
        <f t="shared" si="5"/>
        <v>10850000</v>
      </c>
      <c r="M87" s="73"/>
      <c r="N87" s="73"/>
      <c r="O87" s="7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 x14ac:dyDescent="0.35">
      <c r="A88" s="9">
        <f t="shared" si="7"/>
        <v>80</v>
      </c>
      <c r="B88" s="15">
        <v>46056</v>
      </c>
      <c r="C88" s="11">
        <f t="shared" si="6"/>
        <v>2</v>
      </c>
      <c r="D88" s="11">
        <v>5</v>
      </c>
      <c r="E88" s="11">
        <v>4</v>
      </c>
      <c r="F88" s="14">
        <v>40</v>
      </c>
      <c r="G88" s="89" t="str">
        <f>IFERROR(VLOOKUP(F88,COA!$A$1:$K$26,2,FALSE),0)</f>
        <v>Penerimaan Iuran Warga</v>
      </c>
      <c r="H88" s="11"/>
      <c r="I88" s="95" t="s">
        <v>302</v>
      </c>
      <c r="J88" s="79">
        <v>160000</v>
      </c>
      <c r="K88" s="78"/>
      <c r="L88" s="146">
        <f t="shared" si="5"/>
        <v>11010000</v>
      </c>
      <c r="M88" s="73"/>
      <c r="N88" s="73"/>
      <c r="O88" s="7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 x14ac:dyDescent="0.35">
      <c r="A89" s="9">
        <f t="shared" si="7"/>
        <v>81</v>
      </c>
      <c r="B89" s="15">
        <v>46056</v>
      </c>
      <c r="C89" s="11">
        <f t="shared" si="6"/>
        <v>2</v>
      </c>
      <c r="D89" s="11">
        <v>5</v>
      </c>
      <c r="E89" s="11">
        <v>2</v>
      </c>
      <c r="F89" s="14">
        <v>40</v>
      </c>
      <c r="G89" s="89" t="str">
        <f>IFERROR(VLOOKUP(F89,COA!$A$1:$K$26,2,FALSE),0)</f>
        <v>Penerimaan Iuran Warga</v>
      </c>
      <c r="H89" s="11"/>
      <c r="I89" s="95" t="s">
        <v>158</v>
      </c>
      <c r="J89" s="78">
        <v>100000</v>
      </c>
      <c r="K89" s="79"/>
      <c r="L89" s="146">
        <f t="shared" si="5"/>
        <v>11110000</v>
      </c>
      <c r="M89" s="73"/>
      <c r="N89" s="73"/>
      <c r="O89" s="7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 x14ac:dyDescent="0.35">
      <c r="A90" s="9">
        <f t="shared" si="7"/>
        <v>82</v>
      </c>
      <c r="B90" s="15">
        <v>46056</v>
      </c>
      <c r="C90" s="11">
        <f t="shared" si="6"/>
        <v>2</v>
      </c>
      <c r="D90" s="11">
        <v>5</v>
      </c>
      <c r="E90" s="11">
        <v>2</v>
      </c>
      <c r="F90" s="14">
        <v>40</v>
      </c>
      <c r="G90" s="89" t="str">
        <f>IFERROR(VLOOKUP(F90,COA!$A$1:$K$26,2,FALSE),0)</f>
        <v>Penerimaan Iuran Warga</v>
      </c>
      <c r="H90" s="11"/>
      <c r="I90" s="95" t="s">
        <v>142</v>
      </c>
      <c r="J90" s="78">
        <v>100000</v>
      </c>
      <c r="K90" s="78"/>
      <c r="L90" s="146">
        <f t="shared" si="5"/>
        <v>11210000</v>
      </c>
      <c r="M90" s="73"/>
      <c r="N90" s="73"/>
      <c r="O90" s="7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 x14ac:dyDescent="0.35">
      <c r="A91" s="9">
        <f t="shared" si="7"/>
        <v>83</v>
      </c>
      <c r="B91" s="15">
        <v>46056</v>
      </c>
      <c r="C91" s="11">
        <f t="shared" si="6"/>
        <v>2</v>
      </c>
      <c r="D91" s="11">
        <v>5</v>
      </c>
      <c r="E91" s="11">
        <v>1</v>
      </c>
      <c r="F91" s="14">
        <v>40</v>
      </c>
      <c r="G91" s="89" t="str">
        <f>IFERROR(VLOOKUP(F91,COA!$A$1:$K$26,2,FALSE),0)</f>
        <v>Penerimaan Iuran Warga</v>
      </c>
      <c r="H91" s="11"/>
      <c r="I91" s="95" t="s">
        <v>75</v>
      </c>
      <c r="J91" s="78">
        <v>100000</v>
      </c>
      <c r="K91" s="79"/>
      <c r="L91" s="146">
        <f t="shared" si="5"/>
        <v>11310000</v>
      </c>
      <c r="M91" s="73"/>
      <c r="N91" s="73"/>
      <c r="O91" s="7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 x14ac:dyDescent="0.35">
      <c r="A92" s="9">
        <f t="shared" si="7"/>
        <v>84</v>
      </c>
      <c r="B92" s="10">
        <v>46057</v>
      </c>
      <c r="C92" s="11">
        <f t="shared" si="6"/>
        <v>2</v>
      </c>
      <c r="D92" s="11">
        <v>5</v>
      </c>
      <c r="E92" s="11">
        <v>1</v>
      </c>
      <c r="F92" s="14">
        <v>40</v>
      </c>
      <c r="G92" s="89" t="str">
        <f>IFERROR(VLOOKUP(F92,COA!$A$1:$K$26,2,FALSE),0)</f>
        <v>Penerimaan Iuran Warga</v>
      </c>
      <c r="H92" s="89" t="s">
        <v>256</v>
      </c>
      <c r="I92" s="11" t="s">
        <v>99</v>
      </c>
      <c r="J92" s="78">
        <v>100000</v>
      </c>
      <c r="K92" s="79"/>
      <c r="L92" s="146">
        <f t="shared" si="5"/>
        <v>11410000</v>
      </c>
      <c r="M92" s="73"/>
      <c r="N92" s="73"/>
      <c r="O92" s="7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 x14ac:dyDescent="0.35">
      <c r="A93" s="9">
        <f t="shared" si="7"/>
        <v>85</v>
      </c>
      <c r="B93" s="10">
        <v>46057</v>
      </c>
      <c r="C93" s="11">
        <f t="shared" si="6"/>
        <v>2</v>
      </c>
      <c r="D93" s="11">
        <v>5</v>
      </c>
      <c r="E93" s="11">
        <v>2</v>
      </c>
      <c r="F93" s="14">
        <v>40</v>
      </c>
      <c r="G93" s="89" t="str">
        <f>IFERROR(VLOOKUP(F93,COA!$A$1:$K$26,2,FALSE),0)</f>
        <v>Penerimaan Iuran Warga</v>
      </c>
      <c r="H93" s="89" t="s">
        <v>256</v>
      </c>
      <c r="I93" s="11" t="s">
        <v>99</v>
      </c>
      <c r="J93" s="79">
        <v>100000</v>
      </c>
      <c r="K93" s="78"/>
      <c r="L93" s="146">
        <f t="shared" si="5"/>
        <v>11510000</v>
      </c>
      <c r="M93" s="73"/>
      <c r="N93" s="73"/>
      <c r="O93" s="7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 x14ac:dyDescent="0.35">
      <c r="A94" s="9">
        <f t="shared" si="7"/>
        <v>86</v>
      </c>
      <c r="B94" s="15">
        <v>46057</v>
      </c>
      <c r="C94" s="11">
        <f t="shared" si="6"/>
        <v>2</v>
      </c>
      <c r="D94" s="11">
        <v>5</v>
      </c>
      <c r="E94" s="11">
        <v>2</v>
      </c>
      <c r="F94" s="14">
        <v>40</v>
      </c>
      <c r="G94" s="89" t="str">
        <f>IFERROR(VLOOKUP(F94,COA!$A$1:$K$26,2,FALSE),0)</f>
        <v>Penerimaan Iuran Warga</v>
      </c>
      <c r="H94" s="11"/>
      <c r="I94" s="95" t="s">
        <v>79</v>
      </c>
      <c r="J94" s="78">
        <v>100000</v>
      </c>
      <c r="K94" s="79"/>
      <c r="L94" s="146">
        <f t="shared" si="5"/>
        <v>11610000</v>
      </c>
      <c r="M94" s="73"/>
      <c r="N94" s="73"/>
      <c r="O94" s="7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 x14ac:dyDescent="0.35">
      <c r="A95" s="9">
        <f t="shared" si="7"/>
        <v>87</v>
      </c>
      <c r="B95" s="10">
        <v>46058</v>
      </c>
      <c r="C95" s="11">
        <f t="shared" si="6"/>
        <v>2</v>
      </c>
      <c r="D95" s="11">
        <v>5</v>
      </c>
      <c r="E95" s="11">
        <v>1</v>
      </c>
      <c r="F95" s="11">
        <v>40</v>
      </c>
      <c r="G95" s="89" t="str">
        <f>IFERROR(VLOOKUP(F95,COA!$A$1:$K$26,2,FALSE),0)</f>
        <v>Penerimaan Iuran Warga</v>
      </c>
      <c r="H95" s="11"/>
      <c r="I95" s="11" t="s">
        <v>115</v>
      </c>
      <c r="J95" s="78">
        <v>100000</v>
      </c>
      <c r="K95" s="78"/>
      <c r="L95" s="146">
        <f t="shared" si="5"/>
        <v>11710000</v>
      </c>
      <c r="M95" s="73"/>
      <c r="N95" s="73"/>
      <c r="O95" s="7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 x14ac:dyDescent="0.35">
      <c r="A96" s="9">
        <f t="shared" si="7"/>
        <v>88</v>
      </c>
      <c r="B96" s="10">
        <v>46058</v>
      </c>
      <c r="C96" s="11">
        <f t="shared" si="6"/>
        <v>2</v>
      </c>
      <c r="D96" s="11">
        <v>5</v>
      </c>
      <c r="E96" s="11">
        <v>2</v>
      </c>
      <c r="F96" s="11">
        <v>40</v>
      </c>
      <c r="G96" s="89" t="str">
        <f>IFERROR(VLOOKUP(F96,COA!$A$1:$K$26,2,FALSE),0)</f>
        <v>Penerimaan Iuran Warga</v>
      </c>
      <c r="H96" s="11"/>
      <c r="I96" s="11" t="s">
        <v>115</v>
      </c>
      <c r="J96" s="78">
        <v>100000</v>
      </c>
      <c r="K96" s="78"/>
      <c r="L96" s="146">
        <f t="shared" si="5"/>
        <v>11810000</v>
      </c>
      <c r="M96" s="73"/>
      <c r="N96" s="73"/>
      <c r="O96" s="7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 x14ac:dyDescent="0.35">
      <c r="A97" s="9">
        <f t="shared" si="7"/>
        <v>89</v>
      </c>
      <c r="B97" s="10">
        <v>46058</v>
      </c>
      <c r="C97" s="11">
        <f t="shared" si="6"/>
        <v>2</v>
      </c>
      <c r="D97" s="11">
        <v>5</v>
      </c>
      <c r="E97" s="11">
        <v>1</v>
      </c>
      <c r="F97" s="11">
        <v>40</v>
      </c>
      <c r="G97" s="89" t="str">
        <f>IFERROR(VLOOKUP(F97,COA!$A$1:$K$26,2,FALSE),0)</f>
        <v>Penerimaan Iuran Warga</v>
      </c>
      <c r="H97" s="11"/>
      <c r="I97" s="11" t="s">
        <v>101</v>
      </c>
      <c r="J97" s="78">
        <v>100000</v>
      </c>
      <c r="K97" s="78"/>
      <c r="L97" s="146">
        <f t="shared" si="5"/>
        <v>11910000</v>
      </c>
      <c r="M97" s="73"/>
      <c r="N97" s="73"/>
      <c r="O97" s="7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 x14ac:dyDescent="0.35">
      <c r="A98" s="9">
        <f t="shared" si="7"/>
        <v>90</v>
      </c>
      <c r="B98" s="10">
        <v>46058</v>
      </c>
      <c r="C98" s="11">
        <f t="shared" si="6"/>
        <v>2</v>
      </c>
      <c r="D98" s="11">
        <v>5</v>
      </c>
      <c r="E98" s="11">
        <v>2</v>
      </c>
      <c r="F98" s="11">
        <v>40</v>
      </c>
      <c r="G98" s="89" t="str">
        <f>IFERROR(VLOOKUP(F98,COA!$A$1:$K$26,2,FALSE),0)</f>
        <v>Penerimaan Iuran Warga</v>
      </c>
      <c r="H98" s="11"/>
      <c r="I98" s="11" t="s">
        <v>101</v>
      </c>
      <c r="J98" s="78">
        <v>100000</v>
      </c>
      <c r="K98" s="78"/>
      <c r="L98" s="146">
        <f t="shared" si="5"/>
        <v>12010000</v>
      </c>
      <c r="M98" s="73"/>
      <c r="N98" s="73"/>
      <c r="O98" s="7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 x14ac:dyDescent="0.35">
      <c r="A99" s="9">
        <f t="shared" si="7"/>
        <v>91</v>
      </c>
      <c r="B99" s="10">
        <v>46058</v>
      </c>
      <c r="C99" s="11">
        <f t="shared" si="6"/>
        <v>2</v>
      </c>
      <c r="D99" s="11">
        <v>5</v>
      </c>
      <c r="E99" s="11">
        <v>3</v>
      </c>
      <c r="F99" s="11">
        <v>40</v>
      </c>
      <c r="G99" s="89" t="str">
        <f>IFERROR(VLOOKUP(F99,COA!$A$1:$K$26,2,FALSE),0)</f>
        <v>Penerimaan Iuran Warga</v>
      </c>
      <c r="H99" s="11"/>
      <c r="I99" s="11" t="s">
        <v>101</v>
      </c>
      <c r="J99" s="78">
        <v>100000</v>
      </c>
      <c r="K99" s="79"/>
      <c r="L99" s="146">
        <f t="shared" si="5"/>
        <v>12110000</v>
      </c>
      <c r="M99" s="73"/>
      <c r="N99" s="73"/>
      <c r="O99" s="7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 x14ac:dyDescent="0.35">
      <c r="A100" s="9">
        <f t="shared" si="7"/>
        <v>92</v>
      </c>
      <c r="B100" s="10">
        <v>46058</v>
      </c>
      <c r="C100" s="11">
        <f t="shared" si="6"/>
        <v>2</v>
      </c>
      <c r="D100" s="11">
        <v>5</v>
      </c>
      <c r="E100" s="11">
        <v>4</v>
      </c>
      <c r="F100" s="11">
        <v>40</v>
      </c>
      <c r="G100" s="89" t="str">
        <f>IFERROR(VLOOKUP(F100,COA!$A$1:$K$26,2,FALSE),0)</f>
        <v>Penerimaan Iuran Warga</v>
      </c>
      <c r="H100" s="11"/>
      <c r="I100" s="11" t="s">
        <v>101</v>
      </c>
      <c r="J100" s="78">
        <v>100000</v>
      </c>
      <c r="K100" s="79"/>
      <c r="L100" s="146">
        <f t="shared" si="5"/>
        <v>12210000</v>
      </c>
      <c r="M100" s="73"/>
      <c r="N100" s="73"/>
      <c r="O100" s="7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 x14ac:dyDescent="0.35">
      <c r="A101" s="9">
        <f t="shared" si="7"/>
        <v>93</v>
      </c>
      <c r="B101" s="10">
        <v>46058</v>
      </c>
      <c r="C101" s="11">
        <f t="shared" si="6"/>
        <v>2</v>
      </c>
      <c r="D101" s="11">
        <v>5</v>
      </c>
      <c r="E101" s="11">
        <v>5</v>
      </c>
      <c r="F101" s="11">
        <v>40</v>
      </c>
      <c r="G101" s="89" t="str">
        <f>IFERROR(VLOOKUP(F101,COA!$A$1:$K$26,2,FALSE),0)</f>
        <v>Penerimaan Iuran Warga</v>
      </c>
      <c r="H101" s="11"/>
      <c r="I101" s="11" t="s">
        <v>101</v>
      </c>
      <c r="J101" s="78">
        <v>100000</v>
      </c>
      <c r="K101" s="79"/>
      <c r="L101" s="146">
        <f t="shared" si="5"/>
        <v>12310000</v>
      </c>
      <c r="M101" s="73"/>
      <c r="N101" s="73"/>
      <c r="O101" s="7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 x14ac:dyDescent="0.35">
      <c r="A102" s="9">
        <f t="shared" si="7"/>
        <v>94</v>
      </c>
      <c r="B102" s="10">
        <v>46058</v>
      </c>
      <c r="C102" s="11">
        <f t="shared" si="6"/>
        <v>2</v>
      </c>
      <c r="D102" s="11">
        <v>5</v>
      </c>
      <c r="E102" s="11">
        <v>6</v>
      </c>
      <c r="F102" s="11">
        <v>20</v>
      </c>
      <c r="G102" s="89" t="str">
        <f>IFERROR(VLOOKUP(F102,COA!$A$1:$K$26,2,FALSE),0)</f>
        <v>Iuran Warga Diterima di muka</v>
      </c>
      <c r="H102" s="11"/>
      <c r="I102" s="11" t="s">
        <v>101</v>
      </c>
      <c r="J102" s="78">
        <v>100000</v>
      </c>
      <c r="K102" s="79"/>
      <c r="L102" s="146">
        <f t="shared" si="5"/>
        <v>12410000</v>
      </c>
      <c r="M102" s="73"/>
      <c r="N102" s="73"/>
      <c r="O102" s="7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 x14ac:dyDescent="0.35">
      <c r="A103" s="9">
        <f t="shared" si="7"/>
        <v>95</v>
      </c>
      <c r="B103" s="10">
        <v>46058</v>
      </c>
      <c r="C103" s="11">
        <f t="shared" si="6"/>
        <v>2</v>
      </c>
      <c r="D103" s="11">
        <v>5</v>
      </c>
      <c r="E103" s="11">
        <v>7</v>
      </c>
      <c r="F103" s="11">
        <v>20</v>
      </c>
      <c r="G103" s="89" t="str">
        <f>IFERROR(VLOOKUP(F103,COA!$A$1:$K$26,2,FALSE),0)</f>
        <v>Iuran Warga Diterima di muka</v>
      </c>
      <c r="H103" s="11"/>
      <c r="I103" s="11" t="s">
        <v>101</v>
      </c>
      <c r="J103" s="78">
        <v>100000</v>
      </c>
      <c r="K103" s="79"/>
      <c r="L103" s="146">
        <f t="shared" si="5"/>
        <v>12510000</v>
      </c>
      <c r="M103" s="73"/>
      <c r="N103" s="73"/>
      <c r="O103" s="7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 x14ac:dyDescent="0.35">
      <c r="A104" s="9">
        <f t="shared" si="7"/>
        <v>96</v>
      </c>
      <c r="B104" s="10">
        <v>46058</v>
      </c>
      <c r="C104" s="11">
        <f t="shared" si="6"/>
        <v>2</v>
      </c>
      <c r="D104" s="11">
        <v>5</v>
      </c>
      <c r="E104" s="11">
        <v>8</v>
      </c>
      <c r="F104" s="11">
        <v>20</v>
      </c>
      <c r="G104" s="89" t="str">
        <f>IFERROR(VLOOKUP(F104,COA!$A$1:$K$26,2,FALSE),0)</f>
        <v>Iuran Warga Diterima di muka</v>
      </c>
      <c r="H104" s="11"/>
      <c r="I104" s="11" t="s">
        <v>101</v>
      </c>
      <c r="J104" s="78">
        <v>100000</v>
      </c>
      <c r="K104" s="78"/>
      <c r="L104" s="146">
        <f t="shared" si="5"/>
        <v>12610000</v>
      </c>
      <c r="M104" s="73"/>
      <c r="N104" s="73"/>
      <c r="O104" s="7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 x14ac:dyDescent="0.35">
      <c r="A105" s="9">
        <f t="shared" si="7"/>
        <v>97</v>
      </c>
      <c r="B105" s="10">
        <v>46058</v>
      </c>
      <c r="C105" s="11">
        <f t="shared" si="6"/>
        <v>2</v>
      </c>
      <c r="D105" s="11">
        <v>5</v>
      </c>
      <c r="E105" s="11">
        <v>9</v>
      </c>
      <c r="F105" s="11">
        <v>20</v>
      </c>
      <c r="G105" s="89" t="str">
        <f>IFERROR(VLOOKUP(F105,COA!$A$1:$K$26,2,FALSE),0)</f>
        <v>Iuran Warga Diterima di muka</v>
      </c>
      <c r="H105" s="11"/>
      <c r="I105" s="11" t="s">
        <v>101</v>
      </c>
      <c r="J105" s="78">
        <v>100000</v>
      </c>
      <c r="K105" s="78"/>
      <c r="L105" s="146">
        <f t="shared" si="5"/>
        <v>12710000</v>
      </c>
      <c r="M105" s="73"/>
      <c r="N105" s="73"/>
      <c r="O105" s="7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 x14ac:dyDescent="0.35">
      <c r="A106" s="9">
        <f t="shared" si="7"/>
        <v>98</v>
      </c>
      <c r="B106" s="10">
        <v>46058</v>
      </c>
      <c r="C106" s="11">
        <f t="shared" si="6"/>
        <v>2</v>
      </c>
      <c r="D106" s="11">
        <v>5</v>
      </c>
      <c r="E106" s="11">
        <v>10</v>
      </c>
      <c r="F106" s="11">
        <v>20</v>
      </c>
      <c r="G106" s="89" t="str">
        <f>IFERROR(VLOOKUP(F106,COA!$A$1:$K$26,2,FALSE),0)</f>
        <v>Iuran Warga Diterima di muka</v>
      </c>
      <c r="H106" s="11"/>
      <c r="I106" s="11" t="s">
        <v>101</v>
      </c>
      <c r="J106" s="78">
        <v>100000</v>
      </c>
      <c r="K106" s="79"/>
      <c r="L106" s="146">
        <f t="shared" si="5"/>
        <v>12810000</v>
      </c>
      <c r="M106" s="73"/>
      <c r="N106" s="73"/>
      <c r="O106" s="7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 x14ac:dyDescent="0.35">
      <c r="A107" s="9">
        <f t="shared" si="7"/>
        <v>99</v>
      </c>
      <c r="B107" s="10">
        <v>46058</v>
      </c>
      <c r="C107" s="11">
        <f t="shared" si="6"/>
        <v>2</v>
      </c>
      <c r="D107" s="11">
        <v>5</v>
      </c>
      <c r="E107" s="11">
        <v>11</v>
      </c>
      <c r="F107" s="11">
        <v>20</v>
      </c>
      <c r="G107" s="89" t="str">
        <f>IFERROR(VLOOKUP(F107,COA!$A$1:$K$26,2,FALSE),0)</f>
        <v>Iuran Warga Diterima di muka</v>
      </c>
      <c r="H107" s="11"/>
      <c r="I107" s="11" t="s">
        <v>101</v>
      </c>
      <c r="J107" s="78">
        <v>100000</v>
      </c>
      <c r="K107" s="79"/>
      <c r="L107" s="146">
        <f t="shared" si="5"/>
        <v>12910000</v>
      </c>
      <c r="M107" s="73"/>
      <c r="N107" s="73"/>
      <c r="O107" s="7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 x14ac:dyDescent="0.35">
      <c r="A108" s="9">
        <f t="shared" si="7"/>
        <v>100</v>
      </c>
      <c r="B108" s="10">
        <v>46058</v>
      </c>
      <c r="C108" s="11">
        <f t="shared" si="6"/>
        <v>2</v>
      </c>
      <c r="D108" s="11">
        <v>5</v>
      </c>
      <c r="E108" s="11">
        <v>12</v>
      </c>
      <c r="F108" s="11">
        <v>20</v>
      </c>
      <c r="G108" s="89" t="str">
        <f>IFERROR(VLOOKUP(F108,COA!$A$1:$K$26,2,FALSE),0)</f>
        <v>Iuran Warga Diterima di muka</v>
      </c>
      <c r="H108" s="11"/>
      <c r="I108" s="11" t="s">
        <v>101</v>
      </c>
      <c r="J108" s="78">
        <v>100000</v>
      </c>
      <c r="K108" s="79"/>
      <c r="L108" s="146">
        <f t="shared" si="5"/>
        <v>13010000</v>
      </c>
      <c r="M108" s="73"/>
      <c r="N108" s="73"/>
      <c r="O108" s="7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 x14ac:dyDescent="0.35">
      <c r="A109" s="9">
        <f t="shared" si="7"/>
        <v>101</v>
      </c>
      <c r="B109" s="15">
        <v>46058</v>
      </c>
      <c r="C109" s="11">
        <f t="shared" si="6"/>
        <v>2</v>
      </c>
      <c r="D109" s="11">
        <v>5</v>
      </c>
      <c r="E109" s="11">
        <v>1</v>
      </c>
      <c r="F109" s="14">
        <v>40</v>
      </c>
      <c r="G109" s="89" t="str">
        <f>IFERROR(VLOOKUP(F109,COA!$A$1:$K$26,2,FALSE),0)</f>
        <v>Penerimaan Iuran Warga</v>
      </c>
      <c r="H109" s="11"/>
      <c r="I109" s="95" t="s">
        <v>92</v>
      </c>
      <c r="J109" s="78">
        <v>100000</v>
      </c>
      <c r="K109" s="78"/>
      <c r="L109" s="146">
        <f t="shared" si="5"/>
        <v>13110000</v>
      </c>
      <c r="M109" s="73"/>
      <c r="N109" s="73"/>
      <c r="O109" s="7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 x14ac:dyDescent="0.35">
      <c r="A110" s="9">
        <f t="shared" si="7"/>
        <v>102</v>
      </c>
      <c r="B110" s="15">
        <v>46058</v>
      </c>
      <c r="C110" s="11">
        <f t="shared" si="6"/>
        <v>2</v>
      </c>
      <c r="D110" s="11">
        <v>5</v>
      </c>
      <c r="E110" s="11">
        <v>2</v>
      </c>
      <c r="F110" s="14">
        <v>40</v>
      </c>
      <c r="G110" s="89" t="str">
        <f>IFERROR(VLOOKUP(F110,COA!$A$1:$K$26,2,FALSE),0)</f>
        <v>Penerimaan Iuran Warga</v>
      </c>
      <c r="H110" s="11"/>
      <c r="I110" s="95" t="s">
        <v>92</v>
      </c>
      <c r="J110" s="78">
        <v>100000</v>
      </c>
      <c r="K110" s="78"/>
      <c r="L110" s="146">
        <f t="shared" si="5"/>
        <v>13210000</v>
      </c>
      <c r="M110" s="73"/>
      <c r="N110" s="73"/>
      <c r="O110" s="7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 x14ac:dyDescent="0.35">
      <c r="A111" s="9">
        <f t="shared" si="7"/>
        <v>103</v>
      </c>
      <c r="B111" s="15">
        <v>46058</v>
      </c>
      <c r="C111" s="11">
        <f t="shared" si="6"/>
        <v>2</v>
      </c>
      <c r="D111" s="11">
        <v>5</v>
      </c>
      <c r="E111" s="11">
        <v>3</v>
      </c>
      <c r="F111" s="14">
        <v>40</v>
      </c>
      <c r="G111" s="89" t="str">
        <f>IFERROR(VLOOKUP(F111,COA!$A$1:$K$26,2,FALSE),0)</f>
        <v>Penerimaan Iuran Warga</v>
      </c>
      <c r="H111" s="11"/>
      <c r="I111" s="95" t="s">
        <v>92</v>
      </c>
      <c r="J111" s="78">
        <v>100000</v>
      </c>
      <c r="K111" s="78"/>
      <c r="L111" s="146">
        <f t="shared" si="5"/>
        <v>13310000</v>
      </c>
      <c r="M111" s="73"/>
      <c r="N111" s="73"/>
      <c r="O111" s="7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 x14ac:dyDescent="0.35">
      <c r="A112" s="9">
        <f t="shared" si="7"/>
        <v>104</v>
      </c>
      <c r="B112" s="15">
        <v>46058</v>
      </c>
      <c r="C112" s="11">
        <f t="shared" si="6"/>
        <v>2</v>
      </c>
      <c r="D112" s="11">
        <v>5</v>
      </c>
      <c r="E112" s="11">
        <v>4</v>
      </c>
      <c r="F112" s="14">
        <v>40</v>
      </c>
      <c r="G112" s="89" t="str">
        <f>IFERROR(VLOOKUP(F112,COA!$A$1:$K$26,2,FALSE),0)</f>
        <v>Penerimaan Iuran Warga</v>
      </c>
      <c r="H112" s="11"/>
      <c r="I112" s="95" t="s">
        <v>92</v>
      </c>
      <c r="J112" s="78">
        <v>100000</v>
      </c>
      <c r="K112" s="81"/>
      <c r="L112" s="146">
        <f t="shared" si="5"/>
        <v>13410000</v>
      </c>
      <c r="M112" s="73"/>
      <c r="N112" s="73"/>
      <c r="O112" s="7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 x14ac:dyDescent="0.35">
      <c r="A113" s="9">
        <f t="shared" si="7"/>
        <v>105</v>
      </c>
      <c r="B113" s="15">
        <v>46058</v>
      </c>
      <c r="C113" s="11">
        <f t="shared" si="6"/>
        <v>2</v>
      </c>
      <c r="D113" s="11">
        <v>5</v>
      </c>
      <c r="E113" s="11">
        <v>5</v>
      </c>
      <c r="F113" s="14">
        <v>40</v>
      </c>
      <c r="G113" s="89" t="str">
        <f>IFERROR(VLOOKUP(F113,COA!$A$1:$K$26,2,FALSE),0)</f>
        <v>Penerimaan Iuran Warga</v>
      </c>
      <c r="H113" s="11"/>
      <c r="I113" s="95" t="s">
        <v>92</v>
      </c>
      <c r="J113" s="78">
        <v>100000</v>
      </c>
      <c r="K113" s="81"/>
      <c r="L113" s="146">
        <f t="shared" si="5"/>
        <v>13510000</v>
      </c>
      <c r="M113" s="73"/>
      <c r="N113" s="73"/>
      <c r="O113" s="7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 x14ac:dyDescent="0.35">
      <c r="A114" s="9">
        <f t="shared" si="7"/>
        <v>106</v>
      </c>
      <c r="B114" s="15">
        <v>46058</v>
      </c>
      <c r="C114" s="11">
        <f t="shared" si="6"/>
        <v>2</v>
      </c>
      <c r="D114" s="11">
        <v>5</v>
      </c>
      <c r="E114" s="11">
        <v>6</v>
      </c>
      <c r="F114" s="14">
        <v>20</v>
      </c>
      <c r="G114" s="89" t="str">
        <f>IFERROR(VLOOKUP(F114,COA!$A$1:$K$26,2,FALSE),0)</f>
        <v>Iuran Warga Diterima di muka</v>
      </c>
      <c r="H114" s="11"/>
      <c r="I114" s="95" t="s">
        <v>92</v>
      </c>
      <c r="J114" s="78">
        <v>100000</v>
      </c>
      <c r="K114" s="81"/>
      <c r="L114" s="146">
        <f t="shared" si="5"/>
        <v>13610000</v>
      </c>
      <c r="M114" s="73"/>
      <c r="N114" s="73"/>
      <c r="O114" s="7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 x14ac:dyDescent="0.35">
      <c r="A115" s="9">
        <f t="shared" si="7"/>
        <v>107</v>
      </c>
      <c r="B115" s="15">
        <v>46058</v>
      </c>
      <c r="C115" s="11">
        <f t="shared" si="6"/>
        <v>2</v>
      </c>
      <c r="D115" s="11">
        <v>5</v>
      </c>
      <c r="E115" s="11">
        <v>7</v>
      </c>
      <c r="F115" s="14">
        <v>20</v>
      </c>
      <c r="G115" s="89" t="str">
        <f>IFERROR(VLOOKUP(F115,COA!$A$1:$K$26,2,FALSE),0)</f>
        <v>Iuran Warga Diterima di muka</v>
      </c>
      <c r="H115" s="11"/>
      <c r="I115" s="95" t="s">
        <v>92</v>
      </c>
      <c r="J115" s="78">
        <v>100000</v>
      </c>
      <c r="K115" s="81"/>
      <c r="L115" s="146">
        <f t="shared" si="5"/>
        <v>13710000</v>
      </c>
      <c r="M115" s="73"/>
      <c r="N115" s="73"/>
      <c r="O115" s="7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4.25" customHeight="1" x14ac:dyDescent="0.35">
      <c r="A116" s="9">
        <f t="shared" si="7"/>
        <v>108</v>
      </c>
      <c r="B116" s="15">
        <v>46058</v>
      </c>
      <c r="C116" s="11">
        <f t="shared" si="6"/>
        <v>2</v>
      </c>
      <c r="D116" s="11">
        <v>5</v>
      </c>
      <c r="E116" s="11">
        <v>8</v>
      </c>
      <c r="F116" s="14">
        <v>20</v>
      </c>
      <c r="G116" s="89" t="str">
        <f>IFERROR(VLOOKUP(F116,COA!$A$1:$K$26,2,FALSE),0)</f>
        <v>Iuran Warga Diterima di muka</v>
      </c>
      <c r="H116" s="11"/>
      <c r="I116" s="95" t="s">
        <v>92</v>
      </c>
      <c r="J116" s="78">
        <v>100000</v>
      </c>
      <c r="K116" s="81"/>
      <c r="L116" s="146">
        <f t="shared" si="5"/>
        <v>13810000</v>
      </c>
      <c r="M116" s="73"/>
      <c r="N116" s="73"/>
      <c r="O116" s="7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 x14ac:dyDescent="0.35">
      <c r="A117" s="9">
        <f t="shared" si="7"/>
        <v>109</v>
      </c>
      <c r="B117" s="15">
        <v>46058</v>
      </c>
      <c r="C117" s="11">
        <f t="shared" si="6"/>
        <v>2</v>
      </c>
      <c r="D117" s="11">
        <v>5</v>
      </c>
      <c r="E117" s="11">
        <v>9</v>
      </c>
      <c r="F117" s="14">
        <v>20</v>
      </c>
      <c r="G117" s="89" t="str">
        <f>IFERROR(VLOOKUP(F117,COA!$A$1:$K$26,2,FALSE),0)</f>
        <v>Iuran Warga Diterima di muka</v>
      </c>
      <c r="H117" s="11"/>
      <c r="I117" s="95" t="s">
        <v>92</v>
      </c>
      <c r="J117" s="78">
        <v>100000</v>
      </c>
      <c r="K117" s="81"/>
      <c r="L117" s="146">
        <f t="shared" si="5"/>
        <v>13910000</v>
      </c>
      <c r="M117" s="73"/>
      <c r="N117" s="73"/>
      <c r="O117" s="7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 x14ac:dyDescent="0.35">
      <c r="A118" s="9">
        <f t="shared" si="7"/>
        <v>110</v>
      </c>
      <c r="B118" s="15">
        <v>46058</v>
      </c>
      <c r="C118" s="11">
        <f t="shared" si="6"/>
        <v>2</v>
      </c>
      <c r="D118" s="11">
        <v>5</v>
      </c>
      <c r="E118" s="11">
        <v>10</v>
      </c>
      <c r="F118" s="14">
        <v>20</v>
      </c>
      <c r="G118" s="89" t="str">
        <f>IFERROR(VLOOKUP(F118,COA!$A$1:$K$26,2,FALSE),0)</f>
        <v>Iuran Warga Diterima di muka</v>
      </c>
      <c r="H118" s="11"/>
      <c r="I118" s="95" t="s">
        <v>92</v>
      </c>
      <c r="J118" s="78">
        <v>100000</v>
      </c>
      <c r="K118" s="81"/>
      <c r="L118" s="146">
        <f t="shared" si="5"/>
        <v>14010000</v>
      </c>
      <c r="M118" s="137"/>
      <c r="N118" s="137"/>
      <c r="O118" s="137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spans="1:29" ht="14.25" customHeight="1" x14ac:dyDescent="0.35">
      <c r="A119" s="9">
        <f t="shared" si="7"/>
        <v>111</v>
      </c>
      <c r="B119" s="15">
        <v>46058</v>
      </c>
      <c r="C119" s="11">
        <f t="shared" si="6"/>
        <v>2</v>
      </c>
      <c r="D119" s="11">
        <v>5</v>
      </c>
      <c r="E119" s="11">
        <v>11</v>
      </c>
      <c r="F119" s="14">
        <v>20</v>
      </c>
      <c r="G119" s="89" t="str">
        <f>IFERROR(VLOOKUP(F119,COA!$A$1:$K$26,2,FALSE),0)</f>
        <v>Iuran Warga Diterima di muka</v>
      </c>
      <c r="H119" s="11"/>
      <c r="I119" s="95" t="s">
        <v>92</v>
      </c>
      <c r="J119" s="78">
        <v>100000</v>
      </c>
      <c r="K119" s="81"/>
      <c r="L119" s="146">
        <f t="shared" si="5"/>
        <v>14110000</v>
      </c>
      <c r="M119" s="73"/>
      <c r="N119" s="73"/>
      <c r="O119" s="7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 x14ac:dyDescent="0.35">
      <c r="A120" s="9">
        <f t="shared" si="7"/>
        <v>112</v>
      </c>
      <c r="B120" s="15">
        <v>46058</v>
      </c>
      <c r="C120" s="11">
        <f t="shared" si="6"/>
        <v>2</v>
      </c>
      <c r="D120" s="11">
        <v>5</v>
      </c>
      <c r="E120" s="11">
        <v>12</v>
      </c>
      <c r="F120" s="14">
        <v>20</v>
      </c>
      <c r="G120" s="89" t="str">
        <f>IFERROR(VLOOKUP(F120,COA!$A$1:$K$26,2,FALSE),0)</f>
        <v>Iuran Warga Diterima di muka</v>
      </c>
      <c r="H120" s="11"/>
      <c r="I120" s="95" t="s">
        <v>92</v>
      </c>
      <c r="J120" s="78">
        <v>100000</v>
      </c>
      <c r="K120" s="81"/>
      <c r="L120" s="146">
        <f t="shared" si="5"/>
        <v>14210000</v>
      </c>
      <c r="M120" s="73"/>
      <c r="N120" s="73"/>
      <c r="O120" s="7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 x14ac:dyDescent="0.35">
      <c r="A121" s="9">
        <f t="shared" si="7"/>
        <v>113</v>
      </c>
      <c r="B121" s="15">
        <v>46059</v>
      </c>
      <c r="C121" s="11">
        <f t="shared" si="6"/>
        <v>2</v>
      </c>
      <c r="D121" s="11">
        <v>5</v>
      </c>
      <c r="E121" s="11">
        <v>1</v>
      </c>
      <c r="F121" s="14">
        <v>40</v>
      </c>
      <c r="G121" s="89" t="str">
        <f>IFERROR(VLOOKUP(F121,COA!$A$1:$K$26,2,FALSE),0)</f>
        <v>Penerimaan Iuran Warga</v>
      </c>
      <c r="H121" s="11"/>
      <c r="I121" s="95" t="s">
        <v>77</v>
      </c>
      <c r="J121" s="78">
        <v>100000</v>
      </c>
      <c r="K121" s="81"/>
      <c r="L121" s="146">
        <f t="shared" si="5"/>
        <v>14310000</v>
      </c>
      <c r="M121" s="73"/>
      <c r="N121" s="73"/>
      <c r="O121" s="7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 x14ac:dyDescent="0.35">
      <c r="A122" s="9">
        <f t="shared" si="7"/>
        <v>114</v>
      </c>
      <c r="B122" s="15">
        <v>46059</v>
      </c>
      <c r="C122" s="11">
        <f t="shared" si="6"/>
        <v>2</v>
      </c>
      <c r="D122" s="11">
        <v>5</v>
      </c>
      <c r="E122" s="11">
        <v>2</v>
      </c>
      <c r="F122" s="14">
        <v>40</v>
      </c>
      <c r="G122" s="89" t="str">
        <f>IFERROR(VLOOKUP(F122,COA!$A$1:$K$26,2,FALSE),0)</f>
        <v>Penerimaan Iuran Warga</v>
      </c>
      <c r="H122" s="11"/>
      <c r="I122" s="95" t="s">
        <v>77</v>
      </c>
      <c r="J122" s="78">
        <v>100000</v>
      </c>
      <c r="K122" s="81"/>
      <c r="L122" s="146">
        <f t="shared" si="5"/>
        <v>14410000</v>
      </c>
      <c r="M122" s="73"/>
      <c r="N122" s="73"/>
      <c r="O122" s="7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 x14ac:dyDescent="0.35">
      <c r="A123" s="9">
        <f t="shared" si="7"/>
        <v>115</v>
      </c>
      <c r="B123" s="15">
        <v>46059</v>
      </c>
      <c r="C123" s="11">
        <f t="shared" si="6"/>
        <v>2</v>
      </c>
      <c r="D123" s="11">
        <v>5</v>
      </c>
      <c r="E123" s="11">
        <v>3</v>
      </c>
      <c r="F123" s="14">
        <v>40</v>
      </c>
      <c r="G123" s="89" t="str">
        <f>IFERROR(VLOOKUP(F123,COA!$A$1:$K$26,2,FALSE),0)</f>
        <v>Penerimaan Iuran Warga</v>
      </c>
      <c r="H123" s="11"/>
      <c r="I123" s="95" t="s">
        <v>77</v>
      </c>
      <c r="J123" s="78">
        <v>100000</v>
      </c>
      <c r="K123" s="81"/>
      <c r="L123" s="146">
        <f t="shared" si="5"/>
        <v>14510000</v>
      </c>
      <c r="M123" s="73"/>
      <c r="N123" s="73"/>
      <c r="O123" s="7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 x14ac:dyDescent="0.35">
      <c r="A124" s="9">
        <f t="shared" si="7"/>
        <v>116</v>
      </c>
      <c r="B124" s="15">
        <v>46059</v>
      </c>
      <c r="C124" s="11">
        <f t="shared" si="6"/>
        <v>2</v>
      </c>
      <c r="D124" s="11">
        <v>5</v>
      </c>
      <c r="E124" s="11">
        <v>2</v>
      </c>
      <c r="F124" s="14">
        <v>40</v>
      </c>
      <c r="G124" s="89" t="str">
        <f>IFERROR(VLOOKUP(F124,COA!$A$1:$K$26,2,FALSE),0)</f>
        <v>Penerimaan Iuran Warga</v>
      </c>
      <c r="H124" s="11"/>
      <c r="I124" s="95" t="s">
        <v>169</v>
      </c>
      <c r="J124" s="78">
        <v>100000</v>
      </c>
      <c r="K124" s="81"/>
      <c r="L124" s="146">
        <f t="shared" si="5"/>
        <v>14610000</v>
      </c>
      <c r="M124" s="73"/>
      <c r="N124" s="73"/>
      <c r="O124" s="7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 x14ac:dyDescent="0.35">
      <c r="A125" s="9">
        <f t="shared" si="7"/>
        <v>117</v>
      </c>
      <c r="B125" s="15">
        <v>46063</v>
      </c>
      <c r="C125" s="11">
        <f t="shared" si="6"/>
        <v>2</v>
      </c>
      <c r="D125" s="11">
        <v>5</v>
      </c>
      <c r="E125" s="11">
        <v>1</v>
      </c>
      <c r="F125" s="14">
        <v>40</v>
      </c>
      <c r="G125" s="89" t="str">
        <f>IFERROR(VLOOKUP(F125,COA!$A$1:$K$26,2,FALSE),0)</f>
        <v>Penerimaan Iuran Warga</v>
      </c>
      <c r="H125" s="11"/>
      <c r="I125" s="95" t="s">
        <v>138</v>
      </c>
      <c r="J125" s="78">
        <v>100000</v>
      </c>
      <c r="K125" s="79"/>
      <c r="L125" s="146">
        <f t="shared" si="5"/>
        <v>14710000</v>
      </c>
      <c r="M125" s="73"/>
      <c r="N125" s="73"/>
      <c r="O125" s="7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 x14ac:dyDescent="0.35">
      <c r="A126" s="9">
        <f t="shared" si="7"/>
        <v>118</v>
      </c>
      <c r="B126" s="15">
        <v>46063</v>
      </c>
      <c r="C126" s="11">
        <f t="shared" si="6"/>
        <v>2</v>
      </c>
      <c r="D126" s="11">
        <v>5</v>
      </c>
      <c r="E126" s="11">
        <v>2</v>
      </c>
      <c r="F126" s="14">
        <v>40</v>
      </c>
      <c r="G126" s="89" t="str">
        <f>IFERROR(VLOOKUP(F126,COA!$A$1:$K$26,2,FALSE),0)</f>
        <v>Penerimaan Iuran Warga</v>
      </c>
      <c r="H126" s="11"/>
      <c r="I126" s="95" t="s">
        <v>138</v>
      </c>
      <c r="J126" s="78">
        <v>100000</v>
      </c>
      <c r="K126" s="79"/>
      <c r="L126" s="146">
        <f t="shared" si="5"/>
        <v>14810000</v>
      </c>
      <c r="M126" s="73"/>
      <c r="N126" s="73"/>
      <c r="O126" s="7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 x14ac:dyDescent="0.35">
      <c r="A127" s="9">
        <f t="shared" si="7"/>
        <v>119</v>
      </c>
      <c r="B127" s="10">
        <v>46070</v>
      </c>
      <c r="C127" s="11">
        <f t="shared" si="6"/>
        <v>2</v>
      </c>
      <c r="D127" s="11">
        <v>5</v>
      </c>
      <c r="E127" s="11">
        <v>1</v>
      </c>
      <c r="F127" s="11">
        <v>40</v>
      </c>
      <c r="G127" s="89" t="str">
        <f>IFERROR(VLOOKUP(F127,COA!$A$1:$K$26,2,FALSE),0)</f>
        <v>Penerimaan Iuran Warga</v>
      </c>
      <c r="H127" s="11"/>
      <c r="I127" s="11" t="s">
        <v>116</v>
      </c>
      <c r="J127" s="77">
        <v>100000</v>
      </c>
      <c r="K127" s="78"/>
      <c r="L127" s="146">
        <f t="shared" si="5"/>
        <v>14910000</v>
      </c>
      <c r="M127" s="73"/>
      <c r="N127" s="73"/>
      <c r="O127" s="7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 x14ac:dyDescent="0.35">
      <c r="A128" s="9">
        <f t="shared" si="7"/>
        <v>120</v>
      </c>
      <c r="B128" s="10">
        <v>46070</v>
      </c>
      <c r="C128" s="11">
        <f t="shared" si="6"/>
        <v>2</v>
      </c>
      <c r="D128" s="11">
        <v>5</v>
      </c>
      <c r="E128" s="11">
        <v>2</v>
      </c>
      <c r="F128" s="11">
        <v>40</v>
      </c>
      <c r="G128" s="89" t="str">
        <f>IFERROR(VLOOKUP(F128,COA!$A$1:$K$26,2,FALSE),0)</f>
        <v>Penerimaan Iuran Warga</v>
      </c>
      <c r="H128" s="11"/>
      <c r="I128" s="11" t="s">
        <v>116</v>
      </c>
      <c r="J128" s="78">
        <v>100000</v>
      </c>
      <c r="K128" s="78"/>
      <c r="L128" s="146">
        <f t="shared" si="5"/>
        <v>15010000</v>
      </c>
      <c r="M128" s="73"/>
      <c r="N128" s="73"/>
      <c r="O128" s="7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 x14ac:dyDescent="0.35">
      <c r="A129" s="9">
        <f t="shared" si="7"/>
        <v>121</v>
      </c>
      <c r="B129" s="10">
        <v>46070</v>
      </c>
      <c r="C129" s="11">
        <f t="shared" si="6"/>
        <v>2</v>
      </c>
      <c r="D129" s="11">
        <v>5</v>
      </c>
      <c r="E129" s="11">
        <v>1</v>
      </c>
      <c r="F129" s="11">
        <v>40</v>
      </c>
      <c r="G129" s="89" t="str">
        <f>IFERROR(VLOOKUP(F129,COA!$A$1:$K$26,2,FALSE),0)</f>
        <v>Penerimaan Iuran Warga</v>
      </c>
      <c r="H129" s="11"/>
      <c r="I129" s="11" t="s">
        <v>111</v>
      </c>
      <c r="J129" s="78">
        <v>100000</v>
      </c>
      <c r="K129" s="78"/>
      <c r="L129" s="146">
        <f t="shared" si="5"/>
        <v>15110000</v>
      </c>
      <c r="M129" s="73"/>
      <c r="N129" s="73"/>
      <c r="O129" s="7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 x14ac:dyDescent="0.35">
      <c r="A130" s="9">
        <f t="shared" si="7"/>
        <v>122</v>
      </c>
      <c r="B130" s="10">
        <v>46070</v>
      </c>
      <c r="C130" s="11">
        <f t="shared" si="6"/>
        <v>2</v>
      </c>
      <c r="D130" s="11">
        <v>5</v>
      </c>
      <c r="E130" s="11">
        <v>2</v>
      </c>
      <c r="F130" s="11">
        <v>40</v>
      </c>
      <c r="G130" s="89" t="str">
        <f>IFERROR(VLOOKUP(F130,COA!$A$1:$K$26,2,FALSE),0)</f>
        <v>Penerimaan Iuran Warga</v>
      </c>
      <c r="H130" s="11"/>
      <c r="I130" s="11" t="s">
        <v>111</v>
      </c>
      <c r="J130" s="78">
        <v>100000</v>
      </c>
      <c r="K130" s="78"/>
      <c r="L130" s="146">
        <f t="shared" si="5"/>
        <v>15210000</v>
      </c>
      <c r="M130" s="73"/>
      <c r="N130" s="73"/>
      <c r="O130" s="7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 x14ac:dyDescent="0.35">
      <c r="A131" s="9">
        <f t="shared" si="7"/>
        <v>123</v>
      </c>
      <c r="B131" s="10">
        <v>46070</v>
      </c>
      <c r="C131" s="11">
        <f t="shared" si="6"/>
        <v>2</v>
      </c>
      <c r="D131" s="11">
        <v>5</v>
      </c>
      <c r="E131" s="11">
        <v>3</v>
      </c>
      <c r="F131" s="11">
        <v>40</v>
      </c>
      <c r="G131" s="89" t="str">
        <f>IFERROR(VLOOKUP(F131,COA!$A$1:$K$26,2,FALSE),0)</f>
        <v>Penerimaan Iuran Warga</v>
      </c>
      <c r="H131" s="11"/>
      <c r="I131" s="11" t="s">
        <v>111</v>
      </c>
      <c r="J131" s="78">
        <v>100000</v>
      </c>
      <c r="K131" s="78"/>
      <c r="L131" s="146">
        <f t="shared" si="5"/>
        <v>15310000</v>
      </c>
      <c r="M131" s="73"/>
      <c r="N131" s="73"/>
      <c r="O131" s="7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 x14ac:dyDescent="0.35">
      <c r="A132" s="9">
        <f t="shared" si="7"/>
        <v>124</v>
      </c>
      <c r="B132" s="10">
        <v>46070</v>
      </c>
      <c r="C132" s="11">
        <f t="shared" si="6"/>
        <v>2</v>
      </c>
      <c r="D132" s="11">
        <v>5</v>
      </c>
      <c r="E132" s="11">
        <v>4</v>
      </c>
      <c r="F132" s="11">
        <v>40</v>
      </c>
      <c r="G132" s="89" t="str">
        <f>IFERROR(VLOOKUP(F132,COA!$A$1:$K$26,2,FALSE),0)</f>
        <v>Penerimaan Iuran Warga</v>
      </c>
      <c r="H132" s="11"/>
      <c r="I132" s="11" t="s">
        <v>111</v>
      </c>
      <c r="J132" s="78">
        <v>100000</v>
      </c>
      <c r="K132" s="78"/>
      <c r="L132" s="146">
        <f t="shared" si="5"/>
        <v>15410000</v>
      </c>
      <c r="M132" s="73"/>
      <c r="N132" s="73"/>
      <c r="O132" s="7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 x14ac:dyDescent="0.35">
      <c r="A133" s="9">
        <f t="shared" si="7"/>
        <v>125</v>
      </c>
      <c r="B133" s="10">
        <v>46070</v>
      </c>
      <c r="C133" s="11">
        <f t="shared" si="6"/>
        <v>2</v>
      </c>
      <c r="D133" s="11">
        <v>5</v>
      </c>
      <c r="E133" s="11">
        <v>5</v>
      </c>
      <c r="F133" s="11">
        <v>40</v>
      </c>
      <c r="G133" s="89" t="str">
        <f>IFERROR(VLOOKUP(F133,COA!$A$1:$K$26,2,FALSE),0)</f>
        <v>Penerimaan Iuran Warga</v>
      </c>
      <c r="H133" s="11"/>
      <c r="I133" s="11" t="s">
        <v>111</v>
      </c>
      <c r="J133" s="78">
        <v>100000</v>
      </c>
      <c r="K133" s="78"/>
      <c r="L133" s="146">
        <f t="shared" si="5"/>
        <v>15510000</v>
      </c>
      <c r="M133" s="73"/>
      <c r="N133" s="73"/>
      <c r="O133" s="7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 x14ac:dyDescent="0.35">
      <c r="A134" s="9">
        <f t="shared" si="7"/>
        <v>126</v>
      </c>
      <c r="B134" s="10">
        <v>46070</v>
      </c>
      <c r="C134" s="11">
        <f t="shared" si="6"/>
        <v>2</v>
      </c>
      <c r="D134" s="11">
        <v>5</v>
      </c>
      <c r="E134" s="11">
        <v>6</v>
      </c>
      <c r="F134" s="11">
        <v>40</v>
      </c>
      <c r="G134" s="89" t="str">
        <f>IFERROR(VLOOKUP(F134,COA!$A$1:$K$26,2,FALSE),0)</f>
        <v>Penerimaan Iuran Warga</v>
      </c>
      <c r="H134" s="11"/>
      <c r="I134" s="11" t="s">
        <v>111</v>
      </c>
      <c r="J134" s="78">
        <v>100000</v>
      </c>
      <c r="K134" s="78"/>
      <c r="L134" s="146">
        <f t="shared" si="5"/>
        <v>15610000</v>
      </c>
      <c r="M134" s="73"/>
      <c r="N134" s="73"/>
      <c r="O134" s="7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 x14ac:dyDescent="0.35">
      <c r="A135" s="9">
        <f t="shared" si="7"/>
        <v>127</v>
      </c>
      <c r="B135" s="10">
        <v>46070</v>
      </c>
      <c r="C135" s="11">
        <f t="shared" si="6"/>
        <v>2</v>
      </c>
      <c r="D135" s="11">
        <v>5</v>
      </c>
      <c r="E135" s="11">
        <v>7</v>
      </c>
      <c r="F135" s="11">
        <v>20</v>
      </c>
      <c r="G135" s="89" t="str">
        <f>IFERROR(VLOOKUP(F135,COA!$A$1:$K$26,2,FALSE),0)</f>
        <v>Iuran Warga Diterima di muka</v>
      </c>
      <c r="H135" s="11"/>
      <c r="I135" s="11" t="s">
        <v>111</v>
      </c>
      <c r="J135" s="78">
        <v>100000</v>
      </c>
      <c r="K135" s="79"/>
      <c r="L135" s="146">
        <f t="shared" si="5"/>
        <v>15710000</v>
      </c>
      <c r="M135" s="73"/>
      <c r="N135" s="73"/>
      <c r="O135" s="7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 x14ac:dyDescent="0.35">
      <c r="A136" s="9">
        <f t="shared" si="7"/>
        <v>128</v>
      </c>
      <c r="B136" s="10">
        <v>46070</v>
      </c>
      <c r="C136" s="11">
        <f t="shared" si="6"/>
        <v>2</v>
      </c>
      <c r="D136" s="11">
        <v>5</v>
      </c>
      <c r="E136" s="11">
        <v>8</v>
      </c>
      <c r="F136" s="11">
        <v>20</v>
      </c>
      <c r="G136" s="89" t="str">
        <f>IFERROR(VLOOKUP(F136,COA!$A$1:$K$26,2,FALSE),0)</f>
        <v>Iuran Warga Diterima di muka</v>
      </c>
      <c r="H136" s="11"/>
      <c r="I136" s="11" t="s">
        <v>111</v>
      </c>
      <c r="J136" s="78">
        <v>100000</v>
      </c>
      <c r="K136" s="79"/>
      <c r="L136" s="146">
        <f t="shared" si="5"/>
        <v>15810000</v>
      </c>
      <c r="M136" s="73"/>
      <c r="N136" s="73"/>
      <c r="O136" s="7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 x14ac:dyDescent="0.35">
      <c r="A137" s="9">
        <f t="shared" si="7"/>
        <v>129</v>
      </c>
      <c r="B137" s="10">
        <v>46070</v>
      </c>
      <c r="C137" s="11">
        <f t="shared" si="6"/>
        <v>2</v>
      </c>
      <c r="D137" s="11">
        <v>5</v>
      </c>
      <c r="E137" s="11">
        <v>9</v>
      </c>
      <c r="F137" s="11">
        <v>20</v>
      </c>
      <c r="G137" s="89" t="str">
        <f>IFERROR(VLOOKUP(F137,COA!$A$1:$K$26,2,FALSE),0)</f>
        <v>Iuran Warga Diterima di muka</v>
      </c>
      <c r="H137" s="11"/>
      <c r="I137" s="11" t="s">
        <v>111</v>
      </c>
      <c r="J137" s="78">
        <v>100000</v>
      </c>
      <c r="K137" s="79"/>
      <c r="L137" s="146">
        <f t="shared" si="5"/>
        <v>15910000</v>
      </c>
      <c r="M137" s="73"/>
      <c r="N137" s="73"/>
      <c r="O137" s="7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 x14ac:dyDescent="0.35">
      <c r="A138" s="9">
        <f t="shared" si="7"/>
        <v>130</v>
      </c>
      <c r="B138" s="10">
        <v>46070</v>
      </c>
      <c r="C138" s="11">
        <f t="shared" si="6"/>
        <v>2</v>
      </c>
      <c r="D138" s="11">
        <v>5</v>
      </c>
      <c r="E138" s="11">
        <v>10</v>
      </c>
      <c r="F138" s="11">
        <v>20</v>
      </c>
      <c r="G138" s="89" t="str">
        <f>IFERROR(VLOOKUP(F138,COA!$A$1:$K$26,2,FALSE),0)</f>
        <v>Iuran Warga Diterima di muka</v>
      </c>
      <c r="H138" s="11"/>
      <c r="I138" s="11" t="s">
        <v>111</v>
      </c>
      <c r="J138" s="78">
        <v>100000</v>
      </c>
      <c r="K138" s="79"/>
      <c r="L138" s="146">
        <f t="shared" ref="L138:L201" si="9">L137+J138-K138</f>
        <v>16010000</v>
      </c>
      <c r="M138" s="73"/>
      <c r="N138" s="73"/>
      <c r="O138" s="7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 x14ac:dyDescent="0.35">
      <c r="A139" s="9">
        <f t="shared" si="7"/>
        <v>131</v>
      </c>
      <c r="B139" s="10">
        <v>46070</v>
      </c>
      <c r="C139" s="11">
        <f t="shared" si="6"/>
        <v>2</v>
      </c>
      <c r="D139" s="11">
        <v>5</v>
      </c>
      <c r="E139" s="11">
        <v>11</v>
      </c>
      <c r="F139" s="11">
        <v>20</v>
      </c>
      <c r="G139" s="89" t="str">
        <f>IFERROR(VLOOKUP(F139,COA!$A$1:$K$26,2,FALSE),0)</f>
        <v>Iuran Warga Diterima di muka</v>
      </c>
      <c r="H139" s="11"/>
      <c r="I139" s="11" t="s">
        <v>111</v>
      </c>
      <c r="J139" s="78">
        <v>100000</v>
      </c>
      <c r="K139" s="78"/>
      <c r="L139" s="146">
        <f t="shared" si="9"/>
        <v>16110000</v>
      </c>
      <c r="M139" s="73"/>
      <c r="N139" s="73"/>
      <c r="O139" s="7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 x14ac:dyDescent="0.35">
      <c r="A140" s="9">
        <f t="shared" ref="A140:A203" si="10">A139+1</f>
        <v>132</v>
      </c>
      <c r="B140" s="10">
        <v>46070</v>
      </c>
      <c r="C140" s="11">
        <f t="shared" si="6"/>
        <v>2</v>
      </c>
      <c r="D140" s="11">
        <v>5</v>
      </c>
      <c r="E140" s="11">
        <v>12</v>
      </c>
      <c r="F140" s="11">
        <v>20</v>
      </c>
      <c r="G140" s="89" t="str">
        <f>IFERROR(VLOOKUP(F140,COA!$A$1:$K$26,2,FALSE),0)</f>
        <v>Iuran Warga Diterima di muka</v>
      </c>
      <c r="H140" s="11"/>
      <c r="I140" s="11" t="s">
        <v>111</v>
      </c>
      <c r="J140" s="78">
        <v>100000</v>
      </c>
      <c r="K140" s="78"/>
      <c r="L140" s="146">
        <f t="shared" si="9"/>
        <v>16210000</v>
      </c>
      <c r="M140" s="73"/>
      <c r="N140" s="73"/>
      <c r="O140" s="7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 x14ac:dyDescent="0.35">
      <c r="A141" s="9">
        <f t="shared" si="10"/>
        <v>133</v>
      </c>
      <c r="B141" s="10">
        <v>46073</v>
      </c>
      <c r="C141" s="11">
        <f t="shared" ref="C141:C205" si="11">MONTH(B141)</f>
        <v>2</v>
      </c>
      <c r="D141" s="11">
        <v>5</v>
      </c>
      <c r="E141" s="11">
        <v>2</v>
      </c>
      <c r="F141" s="11">
        <v>60</v>
      </c>
      <c r="G141" s="89" t="str">
        <f>IFERROR(VLOOKUP(F141,COA!$A$1:$K$26,2,FALSE),0)</f>
        <v>Biaya Logistik Satpam dan Musholla</v>
      </c>
      <c r="H141" s="11"/>
      <c r="I141" s="11"/>
      <c r="J141" s="78"/>
      <c r="K141" s="78">
        <f>15000*3*10</f>
        <v>450000</v>
      </c>
      <c r="L141" s="146">
        <f t="shared" si="9"/>
        <v>15760000</v>
      </c>
      <c r="M141" s="73"/>
      <c r="N141" s="73"/>
      <c r="O141" s="7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 x14ac:dyDescent="0.35">
      <c r="A142" s="9">
        <f t="shared" si="10"/>
        <v>134</v>
      </c>
      <c r="B142" s="15">
        <v>46073</v>
      </c>
      <c r="C142" s="11">
        <f t="shared" si="11"/>
        <v>2</v>
      </c>
      <c r="D142" s="11">
        <v>5</v>
      </c>
      <c r="E142" s="11">
        <v>2</v>
      </c>
      <c r="F142" s="14">
        <v>40</v>
      </c>
      <c r="G142" s="89" t="str">
        <f>IFERROR(VLOOKUP(F142,COA!$A$1:$K$26,2,FALSE),0)</f>
        <v>Penerimaan Iuran Warga</v>
      </c>
      <c r="H142" s="11"/>
      <c r="I142" s="95" t="s">
        <v>81</v>
      </c>
      <c r="J142" s="78">
        <v>100000</v>
      </c>
      <c r="K142" s="79"/>
      <c r="L142" s="146">
        <f t="shared" si="9"/>
        <v>15860000</v>
      </c>
      <c r="M142" s="73"/>
      <c r="N142" s="73"/>
      <c r="O142" s="7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 x14ac:dyDescent="0.35">
      <c r="A143" s="9">
        <f t="shared" si="10"/>
        <v>135</v>
      </c>
      <c r="B143" s="10">
        <v>46076</v>
      </c>
      <c r="C143" s="11">
        <f t="shared" si="11"/>
        <v>2</v>
      </c>
      <c r="D143" s="11">
        <v>5</v>
      </c>
      <c r="E143" s="11">
        <v>2</v>
      </c>
      <c r="F143" s="11">
        <v>40</v>
      </c>
      <c r="G143" s="89" t="str">
        <f>IFERROR(VLOOKUP(F143,COA!$A$1:$K$26,2,FALSE),0)</f>
        <v>Penerimaan Iuran Warga</v>
      </c>
      <c r="H143" s="11"/>
      <c r="I143" s="11" t="s">
        <v>123</v>
      </c>
      <c r="J143" s="77">
        <v>100000</v>
      </c>
      <c r="K143" s="78"/>
      <c r="L143" s="146">
        <f t="shared" si="9"/>
        <v>15960000</v>
      </c>
      <c r="M143" s="73"/>
      <c r="N143" s="73"/>
      <c r="O143" s="7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 x14ac:dyDescent="0.35">
      <c r="A144" s="9">
        <f t="shared" si="10"/>
        <v>136</v>
      </c>
      <c r="B144" s="15">
        <v>46081</v>
      </c>
      <c r="C144" s="11">
        <f t="shared" si="11"/>
        <v>2</v>
      </c>
      <c r="D144" s="11">
        <v>5</v>
      </c>
      <c r="E144" s="11">
        <v>1</v>
      </c>
      <c r="F144" s="14">
        <v>40</v>
      </c>
      <c r="G144" s="89" t="str">
        <f>IFERROR(VLOOKUP(F144,COA!$A$1:$K$26,2,FALSE),0)</f>
        <v>Penerimaan Iuran Warga</v>
      </c>
      <c r="H144" s="11"/>
      <c r="I144" s="95" t="s">
        <v>131</v>
      </c>
      <c r="J144" s="78">
        <v>100000</v>
      </c>
      <c r="K144" s="78"/>
      <c r="L144" s="146">
        <f t="shared" si="9"/>
        <v>16060000</v>
      </c>
      <c r="M144" s="73"/>
      <c r="N144" s="73"/>
      <c r="O144" s="7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 x14ac:dyDescent="0.35">
      <c r="A145" s="9">
        <f t="shared" si="10"/>
        <v>137</v>
      </c>
      <c r="B145" s="15">
        <v>46081</v>
      </c>
      <c r="C145" s="11">
        <f t="shared" si="11"/>
        <v>2</v>
      </c>
      <c r="D145" s="11">
        <v>5</v>
      </c>
      <c r="E145" s="11">
        <v>2</v>
      </c>
      <c r="F145" s="14">
        <v>40</v>
      </c>
      <c r="G145" s="89" t="str">
        <f>IFERROR(VLOOKUP(F145,COA!$A$1:$K$26,2,FALSE),0)</f>
        <v>Penerimaan Iuran Warga</v>
      </c>
      <c r="H145" s="11"/>
      <c r="I145" s="95" t="s">
        <v>131</v>
      </c>
      <c r="J145" s="78">
        <v>100000</v>
      </c>
      <c r="K145" s="78"/>
      <c r="L145" s="146">
        <f t="shared" si="9"/>
        <v>16160000</v>
      </c>
      <c r="M145" s="73"/>
      <c r="N145" s="73"/>
      <c r="O145" s="7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 x14ac:dyDescent="0.35">
      <c r="A146" s="9">
        <f t="shared" si="10"/>
        <v>138</v>
      </c>
      <c r="B146" s="15">
        <v>46081</v>
      </c>
      <c r="C146" s="11">
        <f t="shared" si="11"/>
        <v>2</v>
      </c>
      <c r="D146" s="11">
        <v>5</v>
      </c>
      <c r="E146" s="11">
        <v>3</v>
      </c>
      <c r="F146" s="14">
        <v>40</v>
      </c>
      <c r="G146" s="89" t="str">
        <f>IFERROR(VLOOKUP(F146,COA!$A$1:$K$26,2,FALSE),0)</f>
        <v>Penerimaan Iuran Warga</v>
      </c>
      <c r="H146" s="11"/>
      <c r="I146" s="95" t="s">
        <v>131</v>
      </c>
      <c r="J146" s="78">
        <v>100000</v>
      </c>
      <c r="K146" s="79"/>
      <c r="L146" s="146">
        <f t="shared" si="9"/>
        <v>16260000</v>
      </c>
      <c r="M146" s="73"/>
      <c r="N146" s="73"/>
      <c r="O146" s="7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 x14ac:dyDescent="0.35">
      <c r="A147" s="9">
        <f t="shared" si="10"/>
        <v>139</v>
      </c>
      <c r="B147" s="15">
        <v>46081</v>
      </c>
      <c r="C147" s="11">
        <f t="shared" si="11"/>
        <v>2</v>
      </c>
      <c r="D147" s="11">
        <v>5</v>
      </c>
      <c r="E147" s="11">
        <v>4</v>
      </c>
      <c r="F147" s="14">
        <v>40</v>
      </c>
      <c r="G147" s="89" t="str">
        <f>IFERROR(VLOOKUP(F147,COA!$A$1:$K$26,2,FALSE),0)</f>
        <v>Penerimaan Iuran Warga</v>
      </c>
      <c r="H147" s="11"/>
      <c r="I147" s="95" t="s">
        <v>131</v>
      </c>
      <c r="J147" s="78">
        <v>100000</v>
      </c>
      <c r="K147" s="79"/>
      <c r="L147" s="146">
        <f t="shared" si="9"/>
        <v>16360000</v>
      </c>
      <c r="M147" s="73"/>
      <c r="N147" s="73"/>
      <c r="O147" s="7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 x14ac:dyDescent="0.35">
      <c r="A148" s="9">
        <f t="shared" si="10"/>
        <v>140</v>
      </c>
      <c r="B148" s="15">
        <v>46081</v>
      </c>
      <c r="C148" s="11">
        <f t="shared" si="11"/>
        <v>2</v>
      </c>
      <c r="D148" s="11">
        <v>5</v>
      </c>
      <c r="E148" s="11">
        <v>2</v>
      </c>
      <c r="F148" s="14">
        <v>50</v>
      </c>
      <c r="G148" s="89" t="str">
        <f>IFERROR(VLOOKUP(F148,COA!$A$1:$K$26,2,FALSE),0)</f>
        <v>Biaya Gaji Satpam</v>
      </c>
      <c r="H148" s="11" t="s">
        <v>192</v>
      </c>
      <c r="I148" s="95"/>
      <c r="J148" s="78"/>
      <c r="K148" s="79">
        <f>1093000+500000</f>
        <v>1593000</v>
      </c>
      <c r="L148" s="146">
        <f t="shared" si="9"/>
        <v>14767000</v>
      </c>
      <c r="M148" s="73"/>
      <c r="N148" s="73"/>
      <c r="O148" s="7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 x14ac:dyDescent="0.35">
      <c r="A149" s="9">
        <f t="shared" si="10"/>
        <v>141</v>
      </c>
      <c r="B149" s="15">
        <v>46081</v>
      </c>
      <c r="C149" s="11">
        <f t="shared" si="11"/>
        <v>2</v>
      </c>
      <c r="D149" s="11">
        <v>5</v>
      </c>
      <c r="E149" s="11">
        <v>2</v>
      </c>
      <c r="F149" s="14">
        <v>50</v>
      </c>
      <c r="G149" s="89" t="str">
        <f>IFERROR(VLOOKUP(F149,COA!$A$1:$K$26,2,FALSE),0)</f>
        <v>Biaya Gaji Satpam</v>
      </c>
      <c r="H149" s="11" t="s">
        <v>193</v>
      </c>
      <c r="I149" s="95"/>
      <c r="J149" s="78"/>
      <c r="K149" s="79">
        <f>1109000+500000</f>
        <v>1609000</v>
      </c>
      <c r="L149" s="146">
        <f t="shared" si="9"/>
        <v>13158000</v>
      </c>
      <c r="M149" s="73"/>
      <c r="N149" s="73"/>
      <c r="O149" s="7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 x14ac:dyDescent="0.35">
      <c r="A150" s="9">
        <f t="shared" si="10"/>
        <v>142</v>
      </c>
      <c r="B150" s="15">
        <v>46081</v>
      </c>
      <c r="C150" s="11">
        <f t="shared" si="11"/>
        <v>2</v>
      </c>
      <c r="D150" s="11">
        <v>5</v>
      </c>
      <c r="E150" s="11">
        <v>2</v>
      </c>
      <c r="F150" s="14">
        <v>51</v>
      </c>
      <c r="G150" s="89" t="str">
        <f>IFERROR(VLOOKUP(F150,COA!$A$1:$K$26,2,FALSE),0)</f>
        <v>Biaya Gaji Sampah</v>
      </c>
      <c r="H150" s="11" t="s">
        <v>207</v>
      </c>
      <c r="I150" s="95"/>
      <c r="J150" s="78"/>
      <c r="K150" s="79">
        <v>850000</v>
      </c>
      <c r="L150" s="146">
        <f t="shared" si="9"/>
        <v>12308000</v>
      </c>
      <c r="M150" s="73"/>
      <c r="N150" s="73"/>
      <c r="O150" s="7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 x14ac:dyDescent="0.35">
      <c r="A151" s="9">
        <f t="shared" si="10"/>
        <v>143</v>
      </c>
      <c r="B151" s="15">
        <v>46081</v>
      </c>
      <c r="C151" s="11">
        <f t="shared" si="11"/>
        <v>2</v>
      </c>
      <c r="D151" s="11">
        <v>5</v>
      </c>
      <c r="E151" s="11">
        <v>2</v>
      </c>
      <c r="F151" s="14">
        <v>52</v>
      </c>
      <c r="G151" s="89" t="str">
        <f>IFERROR(VLOOKUP(F151,COA!$A$1:$K$26,2,FALSE),0)</f>
        <v>Biaya Gaji Marbot</v>
      </c>
      <c r="H151" s="11" t="s">
        <v>199</v>
      </c>
      <c r="I151" s="95"/>
      <c r="J151" s="78"/>
      <c r="K151" s="79">
        <v>750000</v>
      </c>
      <c r="L151" s="146">
        <f t="shared" si="9"/>
        <v>11558000</v>
      </c>
      <c r="M151" s="73"/>
      <c r="N151" s="73"/>
      <c r="O151" s="7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 x14ac:dyDescent="0.35">
      <c r="A152" s="9">
        <f t="shared" si="10"/>
        <v>144</v>
      </c>
      <c r="B152" s="15">
        <v>46082</v>
      </c>
      <c r="C152" s="11">
        <f t="shared" si="11"/>
        <v>3</v>
      </c>
      <c r="D152" s="11">
        <v>5</v>
      </c>
      <c r="E152" s="11">
        <v>3</v>
      </c>
      <c r="F152" s="14">
        <v>60</v>
      </c>
      <c r="G152" s="89" t="str">
        <f>IFERROR(VLOOKUP(F152,COA!$A$1:$K$26,2,FALSE),0)</f>
        <v>Biaya Logistik Satpam dan Musholla</v>
      </c>
      <c r="H152" s="11" t="s">
        <v>304</v>
      </c>
      <c r="I152" s="95"/>
      <c r="J152" s="78"/>
      <c r="K152" s="79">
        <v>450000</v>
      </c>
      <c r="L152" s="146">
        <f t="shared" si="9"/>
        <v>11108000</v>
      </c>
      <c r="M152" s="73"/>
      <c r="N152" s="73"/>
      <c r="O152" s="7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 x14ac:dyDescent="0.35">
      <c r="A153" s="9">
        <f t="shared" si="10"/>
        <v>145</v>
      </c>
      <c r="B153" s="15">
        <v>46082</v>
      </c>
      <c r="C153" s="11">
        <f t="shared" si="11"/>
        <v>3</v>
      </c>
      <c r="D153" s="11">
        <v>5</v>
      </c>
      <c r="E153" s="11">
        <v>3</v>
      </c>
      <c r="F153" s="11">
        <v>40</v>
      </c>
      <c r="G153" s="89" t="str">
        <f>IFERROR(VLOOKUP(F153,COA!$A$1:$K$26,2,FALSE),0)</f>
        <v>Penerimaan Iuran Warga</v>
      </c>
      <c r="H153" s="89" t="s">
        <v>278</v>
      </c>
      <c r="I153" s="11" t="s">
        <v>102</v>
      </c>
      <c r="J153" s="78">
        <v>100000</v>
      </c>
      <c r="K153" s="79"/>
      <c r="L153" s="146">
        <f t="shared" si="9"/>
        <v>11208000</v>
      </c>
      <c r="M153" s="73"/>
      <c r="N153" s="73"/>
      <c r="O153" s="7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 x14ac:dyDescent="0.35">
      <c r="A154" s="9">
        <f t="shared" si="10"/>
        <v>146</v>
      </c>
      <c r="B154" s="15">
        <v>46082</v>
      </c>
      <c r="C154" s="11">
        <f t="shared" si="11"/>
        <v>3</v>
      </c>
      <c r="D154" s="11">
        <v>5</v>
      </c>
      <c r="E154" s="11">
        <v>3</v>
      </c>
      <c r="F154" s="14">
        <v>40</v>
      </c>
      <c r="G154" s="89" t="str">
        <f>IFERROR(VLOOKUP(F154,COA!$A$1:$K$26,2,FALSE),0)</f>
        <v>Penerimaan Iuran Warga</v>
      </c>
      <c r="H154" s="89" t="s">
        <v>257</v>
      </c>
      <c r="I154" s="11" t="s">
        <v>180</v>
      </c>
      <c r="J154" s="78">
        <v>100000</v>
      </c>
      <c r="K154" s="78"/>
      <c r="L154" s="146">
        <f t="shared" si="9"/>
        <v>11308000</v>
      </c>
      <c r="M154" s="73"/>
      <c r="N154" s="73"/>
      <c r="O154" s="7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 x14ac:dyDescent="0.35">
      <c r="A155" s="9">
        <f t="shared" si="10"/>
        <v>147</v>
      </c>
      <c r="B155" s="15">
        <v>46082</v>
      </c>
      <c r="C155" s="11">
        <f t="shared" si="11"/>
        <v>3</v>
      </c>
      <c r="D155" s="11">
        <v>5</v>
      </c>
      <c r="E155" s="11">
        <v>2</v>
      </c>
      <c r="F155" s="14">
        <v>40</v>
      </c>
      <c r="G155" s="89" t="str">
        <f>IFERROR(VLOOKUP(F155,COA!$A$1:$K$26,2,FALSE),0)</f>
        <v>Penerimaan Iuran Warga</v>
      </c>
      <c r="H155" s="11"/>
      <c r="I155" s="95" t="s">
        <v>137</v>
      </c>
      <c r="J155" s="78">
        <v>100000</v>
      </c>
      <c r="K155" s="79"/>
      <c r="L155" s="146">
        <f t="shared" si="9"/>
        <v>11408000</v>
      </c>
      <c r="M155" s="73"/>
      <c r="N155" s="73"/>
      <c r="O155" s="7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 x14ac:dyDescent="0.35">
      <c r="A156" s="9">
        <f t="shared" si="10"/>
        <v>148</v>
      </c>
      <c r="B156" s="15">
        <v>46082</v>
      </c>
      <c r="C156" s="11">
        <f t="shared" si="11"/>
        <v>3</v>
      </c>
      <c r="D156" s="11">
        <v>5</v>
      </c>
      <c r="E156" s="11">
        <v>3</v>
      </c>
      <c r="F156" s="14">
        <v>40</v>
      </c>
      <c r="G156" s="89" t="str">
        <f>IFERROR(VLOOKUP(F156,COA!$A$1:$K$26,2,FALSE),0)</f>
        <v>Penerimaan Iuran Warga</v>
      </c>
      <c r="H156" s="11"/>
      <c r="I156" s="95" t="s">
        <v>137</v>
      </c>
      <c r="J156" s="78">
        <v>100000</v>
      </c>
      <c r="K156" s="79"/>
      <c r="L156" s="146">
        <f t="shared" si="9"/>
        <v>11508000</v>
      </c>
      <c r="M156" s="73"/>
      <c r="N156" s="73"/>
      <c r="O156" s="7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35">
      <c r="A157" s="9">
        <f t="shared" si="10"/>
        <v>149</v>
      </c>
      <c r="B157" s="15">
        <v>46082</v>
      </c>
      <c r="C157" s="11">
        <f t="shared" si="11"/>
        <v>3</v>
      </c>
      <c r="D157" s="11">
        <v>5</v>
      </c>
      <c r="E157" s="11">
        <v>3</v>
      </c>
      <c r="F157" s="11">
        <v>40</v>
      </c>
      <c r="G157" s="89" t="str">
        <f>IFERROR(VLOOKUP(F157,COA!$A$1:$K$26,2,FALSE),0)</f>
        <v>Penerimaan Iuran Warga</v>
      </c>
      <c r="H157" s="11"/>
      <c r="I157" s="11" t="s">
        <v>110</v>
      </c>
      <c r="J157" s="78">
        <v>100000</v>
      </c>
      <c r="K157" s="78"/>
      <c r="L157" s="146">
        <f t="shared" si="9"/>
        <v>11608000</v>
      </c>
      <c r="M157" s="73"/>
      <c r="N157" s="73"/>
      <c r="O157" s="7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 x14ac:dyDescent="0.35">
      <c r="A158" s="9">
        <f t="shared" si="10"/>
        <v>150</v>
      </c>
      <c r="B158" s="15">
        <v>46082</v>
      </c>
      <c r="C158" s="11">
        <f t="shared" si="11"/>
        <v>3</v>
      </c>
      <c r="D158" s="11">
        <v>5</v>
      </c>
      <c r="E158" s="11">
        <v>3</v>
      </c>
      <c r="F158" s="14">
        <v>50</v>
      </c>
      <c r="G158" s="89" t="str">
        <f>IFERROR(VLOOKUP(F158,COA!$A$1:$K$26,2,FALSE),0)</f>
        <v>Biaya Gaji Satpam</v>
      </c>
      <c r="H158" s="95" t="s">
        <v>192</v>
      </c>
      <c r="I158" s="11"/>
      <c r="J158" s="78"/>
      <c r="K158" s="78">
        <v>944000</v>
      </c>
      <c r="L158" s="146">
        <f t="shared" si="9"/>
        <v>10664000</v>
      </c>
      <c r="M158" s="73"/>
      <c r="N158" s="73"/>
      <c r="O158" s="7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 x14ac:dyDescent="0.35">
      <c r="A159" s="9">
        <f t="shared" si="10"/>
        <v>151</v>
      </c>
      <c r="B159" s="15">
        <v>46082</v>
      </c>
      <c r="C159" s="11">
        <f t="shared" si="11"/>
        <v>3</v>
      </c>
      <c r="D159" s="11">
        <v>5</v>
      </c>
      <c r="E159" s="11">
        <v>3</v>
      </c>
      <c r="F159" s="14">
        <v>50</v>
      </c>
      <c r="G159" s="89" t="str">
        <f>IFERROR(VLOOKUP(F159,COA!$A$1:$K$26,2,FALSE),0)</f>
        <v>Biaya Gaji Satpam</v>
      </c>
      <c r="H159" s="89" t="s">
        <v>193</v>
      </c>
      <c r="I159" s="11"/>
      <c r="J159" s="78"/>
      <c r="K159" s="78">
        <v>1732000</v>
      </c>
      <c r="L159" s="146">
        <f t="shared" si="9"/>
        <v>8932000</v>
      </c>
      <c r="M159" s="73"/>
      <c r="N159" s="73"/>
      <c r="O159" s="7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 x14ac:dyDescent="0.35">
      <c r="A160" s="9">
        <f t="shared" si="10"/>
        <v>152</v>
      </c>
      <c r="B160" s="15">
        <v>46082</v>
      </c>
      <c r="C160" s="11">
        <f t="shared" si="11"/>
        <v>3</v>
      </c>
      <c r="D160" s="11">
        <v>5</v>
      </c>
      <c r="E160" s="11">
        <v>3</v>
      </c>
      <c r="F160" s="11">
        <v>50</v>
      </c>
      <c r="G160" s="89" t="str">
        <f>IFERROR(VLOOKUP(F160,COA!$A$1:$K$26,2,FALSE),0)</f>
        <v>Biaya Gaji Satpam</v>
      </c>
      <c r="H160" s="89" t="s">
        <v>199</v>
      </c>
      <c r="I160" s="11"/>
      <c r="J160" s="78"/>
      <c r="K160" s="78">
        <v>600000</v>
      </c>
      <c r="L160" s="146">
        <f t="shared" si="9"/>
        <v>8332000</v>
      </c>
      <c r="M160" s="73"/>
      <c r="N160" s="73"/>
      <c r="O160" s="7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 x14ac:dyDescent="0.35">
      <c r="A161" s="9">
        <f t="shared" si="10"/>
        <v>153</v>
      </c>
      <c r="B161" s="15">
        <v>46082</v>
      </c>
      <c r="C161" s="11">
        <f t="shared" si="11"/>
        <v>3</v>
      </c>
      <c r="D161" s="11">
        <v>5</v>
      </c>
      <c r="E161" s="13">
        <v>3</v>
      </c>
      <c r="F161" s="11">
        <v>52</v>
      </c>
      <c r="G161" s="89" t="str">
        <f>IFERROR(VLOOKUP(F161,COA!$A$1:$K$26,2,FALSE),0)</f>
        <v>Biaya Gaji Marbot</v>
      </c>
      <c r="H161" s="89" t="s">
        <v>248</v>
      </c>
      <c r="I161" s="11"/>
      <c r="J161" s="78"/>
      <c r="K161" s="78">
        <v>750000</v>
      </c>
      <c r="L161" s="146">
        <f t="shared" si="9"/>
        <v>7582000</v>
      </c>
      <c r="M161" s="73"/>
      <c r="N161" s="73"/>
      <c r="O161" s="7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 x14ac:dyDescent="0.35">
      <c r="A162" s="9">
        <f t="shared" si="10"/>
        <v>154</v>
      </c>
      <c r="B162" s="15">
        <v>46082</v>
      </c>
      <c r="C162" s="11">
        <f t="shared" si="11"/>
        <v>3</v>
      </c>
      <c r="D162" s="11">
        <v>5</v>
      </c>
      <c r="E162" s="11">
        <v>3</v>
      </c>
      <c r="F162" s="11">
        <v>51</v>
      </c>
      <c r="G162" s="89" t="str">
        <f>IFERROR(VLOOKUP(F162,COA!$A$1:$K$26,2,FALSE),0)</f>
        <v>Biaya Gaji Sampah</v>
      </c>
      <c r="H162" s="89" t="s">
        <v>207</v>
      </c>
      <c r="I162" s="11"/>
      <c r="J162" s="78"/>
      <c r="K162" s="78">
        <v>850000</v>
      </c>
      <c r="L162" s="146">
        <f t="shared" si="9"/>
        <v>6732000</v>
      </c>
      <c r="M162" s="73"/>
      <c r="N162" s="73"/>
      <c r="O162" s="7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 x14ac:dyDescent="0.35">
      <c r="A163" s="9">
        <f t="shared" si="10"/>
        <v>155</v>
      </c>
      <c r="B163" s="15">
        <v>46082</v>
      </c>
      <c r="C163" s="11">
        <f t="shared" si="11"/>
        <v>3</v>
      </c>
      <c r="D163" s="11">
        <v>5</v>
      </c>
      <c r="E163" s="11">
        <v>4</v>
      </c>
      <c r="F163" s="11">
        <v>40</v>
      </c>
      <c r="G163" s="89" t="str">
        <f>IFERROR(VLOOKUP(F163,COA!$A$1:$K$26,2,FALSE),0)</f>
        <v>Penerimaan Iuran Warga</v>
      </c>
      <c r="H163" s="11"/>
      <c r="I163" s="11" t="s">
        <v>110</v>
      </c>
      <c r="J163" s="78">
        <v>100000</v>
      </c>
      <c r="K163" s="79"/>
      <c r="L163" s="146">
        <f t="shared" si="9"/>
        <v>6832000</v>
      </c>
      <c r="M163" s="73"/>
      <c r="N163" s="73"/>
      <c r="O163" s="7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 x14ac:dyDescent="0.35">
      <c r="A164" s="9">
        <f t="shared" si="10"/>
        <v>156</v>
      </c>
      <c r="B164" s="15">
        <v>46083</v>
      </c>
      <c r="C164" s="11">
        <f t="shared" si="11"/>
        <v>3</v>
      </c>
      <c r="D164" s="11">
        <v>5</v>
      </c>
      <c r="E164" s="11">
        <v>1</v>
      </c>
      <c r="F164" s="14">
        <v>40</v>
      </c>
      <c r="G164" s="89" t="str">
        <f>IFERROR(VLOOKUP(F164,COA!$A$1:$K$26,2,FALSE),0)</f>
        <v>Penerimaan Iuran Warga</v>
      </c>
      <c r="H164" s="11"/>
      <c r="I164" s="95" t="s">
        <v>98</v>
      </c>
      <c r="J164" s="82">
        <v>100000</v>
      </c>
      <c r="K164" s="79"/>
      <c r="L164" s="146">
        <f t="shared" si="9"/>
        <v>6932000</v>
      </c>
      <c r="M164" s="73"/>
      <c r="N164" s="73"/>
      <c r="O164" s="7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 x14ac:dyDescent="0.35">
      <c r="A165" s="9">
        <f t="shared" si="10"/>
        <v>157</v>
      </c>
      <c r="B165" s="15">
        <v>46083</v>
      </c>
      <c r="C165" s="11">
        <f t="shared" si="11"/>
        <v>3</v>
      </c>
      <c r="D165" s="11">
        <v>5</v>
      </c>
      <c r="E165" s="11">
        <v>2</v>
      </c>
      <c r="F165" s="14">
        <v>40</v>
      </c>
      <c r="G165" s="89" t="str">
        <f>IFERROR(VLOOKUP(F165,COA!$A$1:$K$26,2,FALSE),0)</f>
        <v>Penerimaan Iuran Warga</v>
      </c>
      <c r="H165" s="11"/>
      <c r="I165" s="95" t="s">
        <v>98</v>
      </c>
      <c r="J165" s="82">
        <v>100000</v>
      </c>
      <c r="K165" s="81"/>
      <c r="L165" s="146">
        <f t="shared" si="9"/>
        <v>7032000</v>
      </c>
      <c r="M165" s="73"/>
      <c r="N165" s="73"/>
      <c r="O165" s="7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 x14ac:dyDescent="0.35">
      <c r="A166" s="9">
        <f t="shared" si="10"/>
        <v>158</v>
      </c>
      <c r="B166" s="15">
        <v>46083</v>
      </c>
      <c r="C166" s="11">
        <f t="shared" si="11"/>
        <v>3</v>
      </c>
      <c r="D166" s="11">
        <v>5</v>
      </c>
      <c r="E166" s="11">
        <v>3</v>
      </c>
      <c r="F166" s="14">
        <v>40</v>
      </c>
      <c r="G166" s="89" t="str">
        <f>IFERROR(VLOOKUP(F166,COA!$A$1:$K$26,2,FALSE),0)</f>
        <v>Penerimaan Iuran Warga</v>
      </c>
      <c r="H166" s="11"/>
      <c r="I166" s="95" t="s">
        <v>98</v>
      </c>
      <c r="J166" s="82">
        <v>100000</v>
      </c>
      <c r="K166" s="79"/>
      <c r="L166" s="146">
        <f t="shared" si="9"/>
        <v>7132000</v>
      </c>
      <c r="M166" s="73"/>
      <c r="N166" s="73"/>
      <c r="O166" s="7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 x14ac:dyDescent="0.35">
      <c r="A167" s="9">
        <f t="shared" si="10"/>
        <v>159</v>
      </c>
      <c r="B167" s="15">
        <v>46083</v>
      </c>
      <c r="C167" s="11">
        <f t="shared" si="11"/>
        <v>3</v>
      </c>
      <c r="D167" s="11">
        <v>5</v>
      </c>
      <c r="E167" s="11">
        <v>4</v>
      </c>
      <c r="F167" s="14">
        <v>40</v>
      </c>
      <c r="G167" s="89" t="str">
        <f>IFERROR(VLOOKUP(F167,COA!$A$1:$K$26,2,FALSE),0)</f>
        <v>Penerimaan Iuran Warga</v>
      </c>
      <c r="H167" s="11"/>
      <c r="I167" s="95" t="s">
        <v>98</v>
      </c>
      <c r="J167" s="82">
        <v>100000</v>
      </c>
      <c r="K167" s="79"/>
      <c r="L167" s="146">
        <f t="shared" si="9"/>
        <v>7232000</v>
      </c>
      <c r="M167" s="73"/>
      <c r="N167" s="73"/>
      <c r="O167" s="7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 x14ac:dyDescent="0.35">
      <c r="A168" s="9">
        <f t="shared" si="10"/>
        <v>160</v>
      </c>
      <c r="B168" s="15">
        <v>46083</v>
      </c>
      <c r="C168" s="11">
        <f t="shared" si="11"/>
        <v>3</v>
      </c>
      <c r="D168" s="11">
        <v>5</v>
      </c>
      <c r="E168" s="11">
        <v>5</v>
      </c>
      <c r="F168" s="14">
        <v>40</v>
      </c>
      <c r="G168" s="89" t="str">
        <f>IFERROR(VLOOKUP(F168,COA!$A$1:$K$26,2,FALSE),0)</f>
        <v>Penerimaan Iuran Warga</v>
      </c>
      <c r="H168" s="11"/>
      <c r="I168" s="95" t="s">
        <v>98</v>
      </c>
      <c r="J168" s="82">
        <v>100000</v>
      </c>
      <c r="K168" s="79"/>
      <c r="L168" s="146">
        <f t="shared" si="9"/>
        <v>7332000</v>
      </c>
      <c r="M168" s="73"/>
      <c r="N168" s="73"/>
      <c r="O168" s="7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 x14ac:dyDescent="0.35">
      <c r="A169" s="9">
        <f t="shared" si="10"/>
        <v>161</v>
      </c>
      <c r="B169" s="15">
        <v>46083</v>
      </c>
      <c r="C169" s="11">
        <f t="shared" si="11"/>
        <v>3</v>
      </c>
      <c r="D169" s="11">
        <v>5</v>
      </c>
      <c r="E169" s="11">
        <v>6</v>
      </c>
      <c r="F169" s="14">
        <v>20</v>
      </c>
      <c r="G169" s="89" t="str">
        <f>IFERROR(VLOOKUP(F169,COA!$A$1:$K$26,2,FALSE),0)</f>
        <v>Iuran Warga Diterima di muka</v>
      </c>
      <c r="H169" s="11"/>
      <c r="I169" s="95" t="s">
        <v>98</v>
      </c>
      <c r="J169" s="82">
        <v>100000</v>
      </c>
      <c r="K169" s="78"/>
      <c r="L169" s="146">
        <f t="shared" si="9"/>
        <v>7432000</v>
      </c>
      <c r="M169" s="73"/>
      <c r="N169" s="73"/>
      <c r="O169" s="7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 x14ac:dyDescent="0.35">
      <c r="A170" s="9">
        <f t="shared" si="10"/>
        <v>162</v>
      </c>
      <c r="B170" s="15">
        <v>46083</v>
      </c>
      <c r="C170" s="11">
        <f t="shared" si="11"/>
        <v>3</v>
      </c>
      <c r="D170" s="11">
        <v>5</v>
      </c>
      <c r="E170" s="11">
        <v>7</v>
      </c>
      <c r="F170" s="14">
        <v>20</v>
      </c>
      <c r="G170" s="89" t="str">
        <f>IFERROR(VLOOKUP(F170,COA!$A$1:$K$26,2,FALSE),0)</f>
        <v>Iuran Warga Diterima di muka</v>
      </c>
      <c r="H170" s="11"/>
      <c r="I170" s="95" t="s">
        <v>98</v>
      </c>
      <c r="J170" s="82">
        <v>100000</v>
      </c>
      <c r="K170" s="78"/>
      <c r="L170" s="146">
        <f t="shared" si="9"/>
        <v>7532000</v>
      </c>
      <c r="M170" s="73"/>
      <c r="N170" s="73"/>
      <c r="O170" s="7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 x14ac:dyDescent="0.35">
      <c r="A171" s="9">
        <f t="shared" si="10"/>
        <v>163</v>
      </c>
      <c r="B171" s="15">
        <v>46083</v>
      </c>
      <c r="C171" s="11">
        <f t="shared" si="11"/>
        <v>3</v>
      </c>
      <c r="D171" s="11">
        <v>5</v>
      </c>
      <c r="E171" s="13">
        <v>8</v>
      </c>
      <c r="F171" s="14">
        <v>20</v>
      </c>
      <c r="G171" s="89" t="str">
        <f>IFERROR(VLOOKUP(F171,COA!$A$1:$K$26,2,FALSE),0)</f>
        <v>Iuran Warga Diterima di muka</v>
      </c>
      <c r="H171" s="11"/>
      <c r="I171" s="95" t="s">
        <v>98</v>
      </c>
      <c r="J171" s="82">
        <v>100000</v>
      </c>
      <c r="K171" s="78"/>
      <c r="L171" s="146">
        <f t="shared" si="9"/>
        <v>7632000</v>
      </c>
      <c r="M171" s="73"/>
      <c r="N171" s="73"/>
      <c r="O171" s="7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 x14ac:dyDescent="0.35">
      <c r="A172" s="9">
        <f t="shared" si="10"/>
        <v>164</v>
      </c>
      <c r="B172" s="15">
        <v>46083</v>
      </c>
      <c r="C172" s="11">
        <f t="shared" si="11"/>
        <v>3</v>
      </c>
      <c r="D172" s="11">
        <v>5</v>
      </c>
      <c r="E172" s="11">
        <v>9</v>
      </c>
      <c r="F172" s="14">
        <v>20</v>
      </c>
      <c r="G172" s="89" t="str">
        <f>IFERROR(VLOOKUP(F172,COA!$A$1:$K$26,2,FALSE),0)</f>
        <v>Iuran Warga Diterima di muka</v>
      </c>
      <c r="H172" s="11"/>
      <c r="I172" s="95" t="s">
        <v>98</v>
      </c>
      <c r="J172" s="82">
        <v>100000</v>
      </c>
      <c r="K172" s="78"/>
      <c r="L172" s="146">
        <f t="shared" si="9"/>
        <v>7732000</v>
      </c>
      <c r="M172" s="73"/>
      <c r="N172" s="73"/>
      <c r="O172" s="7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 x14ac:dyDescent="0.35">
      <c r="A173" s="9">
        <f t="shared" si="10"/>
        <v>165</v>
      </c>
      <c r="B173" s="15">
        <v>46083</v>
      </c>
      <c r="C173" s="11">
        <f t="shared" si="11"/>
        <v>3</v>
      </c>
      <c r="D173" s="11">
        <v>5</v>
      </c>
      <c r="E173" s="11">
        <v>10</v>
      </c>
      <c r="F173" s="14">
        <v>20</v>
      </c>
      <c r="G173" s="89" t="str">
        <f>IFERROR(VLOOKUP(F173,COA!$A$1:$K$26,2,FALSE),0)</f>
        <v>Iuran Warga Diterima di muka</v>
      </c>
      <c r="H173" s="11"/>
      <c r="I173" s="95" t="s">
        <v>98</v>
      </c>
      <c r="J173" s="82">
        <v>100000</v>
      </c>
      <c r="K173" s="78"/>
      <c r="L173" s="146">
        <f t="shared" si="9"/>
        <v>7832000</v>
      </c>
      <c r="M173" s="73"/>
      <c r="N173" s="73"/>
      <c r="O173" s="7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 x14ac:dyDescent="0.35">
      <c r="A174" s="9">
        <f t="shared" si="10"/>
        <v>166</v>
      </c>
      <c r="B174" s="15">
        <v>46083</v>
      </c>
      <c r="C174" s="11">
        <f t="shared" si="11"/>
        <v>3</v>
      </c>
      <c r="D174" s="11">
        <v>5</v>
      </c>
      <c r="E174" s="11">
        <v>11</v>
      </c>
      <c r="F174" s="14">
        <v>20</v>
      </c>
      <c r="G174" s="89" t="str">
        <f>IFERROR(VLOOKUP(F174,COA!$A$1:$K$26,2,FALSE),0)</f>
        <v>Iuran Warga Diterima di muka</v>
      </c>
      <c r="H174" s="11"/>
      <c r="I174" s="95" t="s">
        <v>98</v>
      </c>
      <c r="J174" s="87">
        <v>100000</v>
      </c>
      <c r="K174" s="78"/>
      <c r="L174" s="146">
        <f t="shared" si="9"/>
        <v>7932000</v>
      </c>
      <c r="M174" s="73"/>
      <c r="N174" s="73"/>
      <c r="O174" s="7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 x14ac:dyDescent="0.35">
      <c r="A175" s="9">
        <f t="shared" si="10"/>
        <v>167</v>
      </c>
      <c r="B175" s="15">
        <v>46083</v>
      </c>
      <c r="C175" s="11">
        <f t="shared" si="11"/>
        <v>3</v>
      </c>
      <c r="D175" s="11">
        <v>5</v>
      </c>
      <c r="E175" s="11">
        <v>12</v>
      </c>
      <c r="F175" s="14">
        <v>20</v>
      </c>
      <c r="G175" s="89" t="str">
        <f>IFERROR(VLOOKUP(F175,COA!$A$1:$K$26,2,FALSE),0)</f>
        <v>Iuran Warga Diterima di muka</v>
      </c>
      <c r="H175" s="11"/>
      <c r="I175" s="95" t="s">
        <v>98</v>
      </c>
      <c r="J175" s="87">
        <v>100000</v>
      </c>
      <c r="K175" s="78"/>
      <c r="L175" s="146">
        <f t="shared" si="9"/>
        <v>8032000</v>
      </c>
      <c r="M175" s="73"/>
      <c r="N175" s="73"/>
      <c r="O175" s="7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 x14ac:dyDescent="0.35">
      <c r="A176" s="9">
        <f t="shared" si="10"/>
        <v>168</v>
      </c>
      <c r="B176" s="15">
        <v>46083</v>
      </c>
      <c r="C176" s="11">
        <f t="shared" si="11"/>
        <v>3</v>
      </c>
      <c r="D176" s="11">
        <v>5</v>
      </c>
      <c r="E176" s="11">
        <v>3</v>
      </c>
      <c r="F176" s="14">
        <v>40</v>
      </c>
      <c r="G176" s="89" t="str">
        <f>IFERROR(VLOOKUP(F176,COA!$A$1:$K$26,2,FALSE),0)</f>
        <v>Penerimaan Iuran Warga</v>
      </c>
      <c r="H176" s="11"/>
      <c r="I176" s="95" t="s">
        <v>95</v>
      </c>
      <c r="J176" s="82">
        <v>100000</v>
      </c>
      <c r="K176" s="79"/>
      <c r="L176" s="146">
        <f t="shared" si="9"/>
        <v>8132000</v>
      </c>
      <c r="M176" s="73"/>
      <c r="N176" s="73"/>
      <c r="O176" s="7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 x14ac:dyDescent="0.35">
      <c r="A177" s="9">
        <f t="shared" si="10"/>
        <v>169</v>
      </c>
      <c r="B177" s="15">
        <v>46084</v>
      </c>
      <c r="C177" s="11">
        <f t="shared" si="11"/>
        <v>3</v>
      </c>
      <c r="D177" s="11">
        <v>5</v>
      </c>
      <c r="E177" s="11">
        <v>3</v>
      </c>
      <c r="F177" s="14">
        <v>40</v>
      </c>
      <c r="G177" s="89" t="str">
        <f>IFERROR(VLOOKUP(F177,COA!$A$1:$K$26,2,FALSE),0)</f>
        <v>Penerimaan Iuran Warga</v>
      </c>
      <c r="H177" s="11"/>
      <c r="I177" s="95" t="s">
        <v>182</v>
      </c>
      <c r="J177" s="78">
        <v>190000</v>
      </c>
      <c r="K177" s="79"/>
      <c r="L177" s="146">
        <f t="shared" si="9"/>
        <v>8322000</v>
      </c>
      <c r="M177" s="73"/>
      <c r="N177" s="73"/>
      <c r="O177" s="7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 x14ac:dyDescent="0.35">
      <c r="A178" s="9">
        <f t="shared" si="10"/>
        <v>170</v>
      </c>
      <c r="B178" s="15">
        <v>46084</v>
      </c>
      <c r="C178" s="11">
        <f t="shared" si="11"/>
        <v>3</v>
      </c>
      <c r="D178" s="11">
        <v>5</v>
      </c>
      <c r="E178" s="11">
        <v>3</v>
      </c>
      <c r="F178" s="14">
        <v>40</v>
      </c>
      <c r="G178" s="89" t="str">
        <f>IFERROR(VLOOKUP(F178,COA!$A$1:$K$26,2,FALSE),0)</f>
        <v>Penerimaan Iuran Warga</v>
      </c>
      <c r="H178" s="11"/>
      <c r="I178" s="96" t="s">
        <v>158</v>
      </c>
      <c r="J178" s="78">
        <v>100000</v>
      </c>
      <c r="K178" s="79"/>
      <c r="L178" s="146">
        <f t="shared" si="9"/>
        <v>8422000</v>
      </c>
      <c r="M178" s="73"/>
      <c r="N178" s="73"/>
      <c r="O178" s="7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35">
      <c r="A179" s="9">
        <f t="shared" si="10"/>
        <v>171</v>
      </c>
      <c r="B179" s="15">
        <v>46084</v>
      </c>
      <c r="C179" s="11">
        <f t="shared" si="11"/>
        <v>3</v>
      </c>
      <c r="D179" s="11">
        <v>5</v>
      </c>
      <c r="E179" s="11">
        <v>3</v>
      </c>
      <c r="F179" s="14">
        <v>40</v>
      </c>
      <c r="G179" s="89" t="str">
        <f>IFERROR(VLOOKUP(F179,COA!$A$1:$K$26,2,FALSE),0)</f>
        <v>Penerimaan Iuran Warga</v>
      </c>
      <c r="H179" s="11"/>
      <c r="I179" s="96" t="s">
        <v>142</v>
      </c>
      <c r="J179" s="78">
        <v>100000</v>
      </c>
      <c r="K179" s="79"/>
      <c r="L179" s="146">
        <f t="shared" si="9"/>
        <v>8522000</v>
      </c>
      <c r="M179" s="73"/>
      <c r="N179" s="73"/>
      <c r="O179" s="7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 x14ac:dyDescent="0.35">
      <c r="A180" s="9">
        <f t="shared" si="10"/>
        <v>172</v>
      </c>
      <c r="B180" s="15">
        <v>46084</v>
      </c>
      <c r="C180" s="11">
        <f t="shared" si="11"/>
        <v>3</v>
      </c>
      <c r="D180" s="11">
        <v>5</v>
      </c>
      <c r="E180" s="11">
        <v>3</v>
      </c>
      <c r="F180" s="14">
        <v>40</v>
      </c>
      <c r="G180" s="89" t="str">
        <f>IFERROR(VLOOKUP(F180,COA!$A$1:$K$26,2,FALSE),0)</f>
        <v>Penerimaan Iuran Warga</v>
      </c>
      <c r="H180" s="11"/>
      <c r="I180" s="96" t="s">
        <v>91</v>
      </c>
      <c r="J180" s="82">
        <v>100000</v>
      </c>
      <c r="K180" s="79"/>
      <c r="L180" s="146">
        <f t="shared" si="9"/>
        <v>8622000</v>
      </c>
      <c r="M180" s="73"/>
      <c r="N180" s="73"/>
      <c r="O180" s="7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 x14ac:dyDescent="0.35">
      <c r="A181" s="9">
        <f t="shared" si="10"/>
        <v>173</v>
      </c>
      <c r="B181" s="10">
        <v>46085</v>
      </c>
      <c r="C181" s="11">
        <f t="shared" si="11"/>
        <v>3</v>
      </c>
      <c r="D181" s="11">
        <v>5</v>
      </c>
      <c r="E181" s="11">
        <v>1</v>
      </c>
      <c r="F181" s="11">
        <v>40</v>
      </c>
      <c r="G181" s="89" t="str">
        <f>IFERROR(VLOOKUP(F181,COA!$A$1:$K$26,2,FALSE),0)</f>
        <v>Penerimaan Iuran Warga</v>
      </c>
      <c r="H181" s="11"/>
      <c r="I181" s="13" t="s">
        <v>117</v>
      </c>
      <c r="J181" s="77">
        <v>100000</v>
      </c>
      <c r="K181" s="78"/>
      <c r="L181" s="146">
        <f t="shared" si="9"/>
        <v>8722000</v>
      </c>
      <c r="M181" s="73"/>
      <c r="N181" s="73"/>
      <c r="O181" s="7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 x14ac:dyDescent="0.35">
      <c r="A182" s="9">
        <f t="shared" si="10"/>
        <v>174</v>
      </c>
      <c r="B182" s="10">
        <v>46085</v>
      </c>
      <c r="C182" s="11">
        <f t="shared" si="11"/>
        <v>3</v>
      </c>
      <c r="D182" s="11">
        <v>5</v>
      </c>
      <c r="E182" s="11">
        <v>2</v>
      </c>
      <c r="F182" s="11">
        <v>40</v>
      </c>
      <c r="G182" s="89" t="str">
        <f>IFERROR(VLOOKUP(F182,COA!$A$1:$K$26,2,FALSE),0)</f>
        <v>Penerimaan Iuran Warga</v>
      </c>
      <c r="H182" s="11"/>
      <c r="I182" s="13" t="s">
        <v>117</v>
      </c>
      <c r="J182" s="77">
        <v>100000</v>
      </c>
      <c r="K182" s="78"/>
      <c r="L182" s="146">
        <f t="shared" si="9"/>
        <v>8822000</v>
      </c>
      <c r="M182" s="73"/>
      <c r="N182" s="73"/>
      <c r="O182" s="7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 x14ac:dyDescent="0.35">
      <c r="A183" s="9">
        <f t="shared" si="10"/>
        <v>175</v>
      </c>
      <c r="B183" s="10">
        <v>46085</v>
      </c>
      <c r="C183" s="11">
        <f t="shared" si="11"/>
        <v>3</v>
      </c>
      <c r="D183" s="11">
        <v>5</v>
      </c>
      <c r="E183" s="11">
        <v>3</v>
      </c>
      <c r="F183" s="11">
        <v>40</v>
      </c>
      <c r="G183" s="89" t="str">
        <f>IFERROR(VLOOKUP(F183,COA!$A$1:$K$26,2,FALSE),0)</f>
        <v>Penerimaan Iuran Warga</v>
      </c>
      <c r="H183" s="13"/>
      <c r="I183" s="13" t="s">
        <v>117</v>
      </c>
      <c r="J183" s="77">
        <v>100000</v>
      </c>
      <c r="K183" s="78"/>
      <c r="L183" s="146">
        <f t="shared" si="9"/>
        <v>8922000</v>
      </c>
      <c r="M183" s="73"/>
      <c r="N183" s="73"/>
      <c r="O183" s="7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 x14ac:dyDescent="0.35">
      <c r="A184" s="9">
        <f t="shared" si="10"/>
        <v>176</v>
      </c>
      <c r="B184" s="15">
        <v>46085</v>
      </c>
      <c r="C184" s="11">
        <f t="shared" si="11"/>
        <v>3</v>
      </c>
      <c r="D184" s="11">
        <v>5</v>
      </c>
      <c r="E184" s="11">
        <v>3</v>
      </c>
      <c r="F184" s="14">
        <v>40</v>
      </c>
      <c r="G184" s="89" t="str">
        <f>IFERROR(VLOOKUP(F184,COA!$A$1:$K$26,2,FALSE),0)</f>
        <v>Penerimaan Iuran Warga</v>
      </c>
      <c r="H184" s="13"/>
      <c r="I184" s="96" t="s">
        <v>89</v>
      </c>
      <c r="J184" s="82">
        <v>100000</v>
      </c>
      <c r="K184" s="81"/>
      <c r="L184" s="146">
        <f t="shared" si="9"/>
        <v>9022000</v>
      </c>
      <c r="M184" s="73"/>
      <c r="N184" s="73"/>
      <c r="O184" s="7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 x14ac:dyDescent="0.35">
      <c r="A185" s="9">
        <f t="shared" si="10"/>
        <v>177</v>
      </c>
      <c r="B185" s="15">
        <v>46085</v>
      </c>
      <c r="C185" s="11">
        <f t="shared" si="11"/>
        <v>3</v>
      </c>
      <c r="D185" s="11">
        <v>5</v>
      </c>
      <c r="E185" s="11">
        <v>2</v>
      </c>
      <c r="F185" s="14">
        <v>40</v>
      </c>
      <c r="G185" s="89" t="str">
        <f>IFERROR(VLOOKUP(F185,COA!$A$1:$K$26,2,FALSE),0)</f>
        <v>Penerimaan Iuran Warga</v>
      </c>
      <c r="H185" s="13"/>
      <c r="I185" s="96" t="s">
        <v>106</v>
      </c>
      <c r="J185" s="82">
        <v>100000</v>
      </c>
      <c r="K185" s="81"/>
      <c r="L185" s="146">
        <f t="shared" si="9"/>
        <v>9122000</v>
      </c>
      <c r="M185" s="73"/>
      <c r="N185" s="73"/>
      <c r="O185" s="7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 x14ac:dyDescent="0.35">
      <c r="A186" s="9">
        <f t="shared" si="10"/>
        <v>178</v>
      </c>
      <c r="B186" s="15">
        <v>46086</v>
      </c>
      <c r="C186" s="11">
        <f t="shared" si="11"/>
        <v>3</v>
      </c>
      <c r="D186" s="11">
        <v>5</v>
      </c>
      <c r="E186" s="11">
        <v>2</v>
      </c>
      <c r="F186" s="14">
        <v>40</v>
      </c>
      <c r="G186" s="89" t="str">
        <f>IFERROR(VLOOKUP(F186,COA!$A$1:$K$26,2,FALSE),0)</f>
        <v>Penerimaan Iuran Warga</v>
      </c>
      <c r="H186" s="13"/>
      <c r="I186" s="96" t="s">
        <v>169</v>
      </c>
      <c r="J186" s="82">
        <v>100000</v>
      </c>
      <c r="K186" s="81"/>
      <c r="L186" s="146">
        <f t="shared" si="9"/>
        <v>9222000</v>
      </c>
      <c r="M186" s="73"/>
      <c r="N186" s="73"/>
      <c r="O186" s="7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 x14ac:dyDescent="0.35">
      <c r="A187" s="9">
        <f t="shared" si="10"/>
        <v>179</v>
      </c>
      <c r="B187" s="15">
        <v>46091</v>
      </c>
      <c r="C187" s="11">
        <f t="shared" si="11"/>
        <v>3</v>
      </c>
      <c r="D187" s="11">
        <v>5</v>
      </c>
      <c r="E187" s="11">
        <v>3</v>
      </c>
      <c r="F187" s="11">
        <v>53</v>
      </c>
      <c r="G187" s="89" t="str">
        <f>IFERROR(VLOOKUP(F187,COA!$A$1:$K$26,2,FALSE),0)</f>
        <v>Biaya THR</v>
      </c>
      <c r="H187" s="13" t="s">
        <v>271</v>
      </c>
      <c r="I187" s="13"/>
      <c r="J187" s="78"/>
      <c r="K187" s="78">
        <v>1100000</v>
      </c>
      <c r="L187" s="146">
        <f t="shared" si="9"/>
        <v>8122000</v>
      </c>
      <c r="M187" s="73"/>
      <c r="N187" s="73"/>
      <c r="O187" s="7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 x14ac:dyDescent="0.35">
      <c r="A188" s="9">
        <f t="shared" si="10"/>
        <v>180</v>
      </c>
      <c r="B188" s="15">
        <v>46091</v>
      </c>
      <c r="C188" s="11">
        <f t="shared" si="11"/>
        <v>3</v>
      </c>
      <c r="D188" s="11">
        <v>5</v>
      </c>
      <c r="E188" s="11">
        <v>3</v>
      </c>
      <c r="F188" s="11">
        <v>53</v>
      </c>
      <c r="G188" s="89" t="str">
        <f>IFERROR(VLOOKUP(F188,COA!$A$1:$K$26,2,FALSE),0)</f>
        <v>Biaya THR</v>
      </c>
      <c r="H188" s="13" t="s">
        <v>272</v>
      </c>
      <c r="I188" s="13"/>
      <c r="J188" s="78"/>
      <c r="K188" s="78">
        <v>1100000</v>
      </c>
      <c r="L188" s="146">
        <f t="shared" si="9"/>
        <v>7022000</v>
      </c>
      <c r="M188" s="73"/>
      <c r="N188" s="73"/>
      <c r="O188" s="7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 x14ac:dyDescent="0.35">
      <c r="A189" s="9">
        <f t="shared" si="10"/>
        <v>181</v>
      </c>
      <c r="B189" s="15">
        <v>46091</v>
      </c>
      <c r="C189" s="11">
        <f t="shared" si="11"/>
        <v>3</v>
      </c>
      <c r="D189" s="11">
        <v>5</v>
      </c>
      <c r="E189" s="11">
        <v>3</v>
      </c>
      <c r="F189" s="11">
        <v>53</v>
      </c>
      <c r="G189" s="89" t="str">
        <f>IFERROR(VLOOKUP(F189,COA!$A$1:$K$26,2,FALSE),0)</f>
        <v>Biaya THR</v>
      </c>
      <c r="H189" s="13" t="s">
        <v>273</v>
      </c>
      <c r="I189" s="13"/>
      <c r="J189" s="78"/>
      <c r="K189" s="78">
        <v>500000</v>
      </c>
      <c r="L189" s="146">
        <f t="shared" si="9"/>
        <v>6522000</v>
      </c>
      <c r="M189" s="73"/>
      <c r="N189" s="73"/>
      <c r="O189" s="7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 x14ac:dyDescent="0.35">
      <c r="A190" s="9">
        <f t="shared" si="10"/>
        <v>182</v>
      </c>
      <c r="B190" s="15">
        <v>46091</v>
      </c>
      <c r="C190" s="11">
        <f t="shared" si="11"/>
        <v>3</v>
      </c>
      <c r="D190" s="11">
        <v>5</v>
      </c>
      <c r="E190" s="11">
        <v>3</v>
      </c>
      <c r="F190" s="11">
        <v>53</v>
      </c>
      <c r="G190" s="89" t="str">
        <f>IFERROR(VLOOKUP(F190,COA!$A$1:$K$26,2,FALSE),0)</f>
        <v>Biaya THR</v>
      </c>
      <c r="H190" s="13" t="s">
        <v>274</v>
      </c>
      <c r="I190" s="13"/>
      <c r="J190" s="78"/>
      <c r="K190" s="78">
        <v>850000</v>
      </c>
      <c r="L190" s="146">
        <f t="shared" si="9"/>
        <v>5672000</v>
      </c>
      <c r="M190" s="73"/>
      <c r="N190" s="73"/>
      <c r="O190" s="7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 x14ac:dyDescent="0.35">
      <c r="A191" s="9">
        <f t="shared" si="10"/>
        <v>183</v>
      </c>
      <c r="B191" s="15">
        <v>46091</v>
      </c>
      <c r="C191" s="11">
        <f t="shared" si="11"/>
        <v>3</v>
      </c>
      <c r="D191" s="11">
        <v>5</v>
      </c>
      <c r="E191" s="11">
        <v>3</v>
      </c>
      <c r="F191" s="11">
        <v>60</v>
      </c>
      <c r="G191" s="89" t="str">
        <f>IFERROR(VLOOKUP(F191,COA!$A$1:$K$26,2,FALSE),0)</f>
        <v>Biaya Logistik Satpam dan Musholla</v>
      </c>
      <c r="H191" s="13" t="s">
        <v>304</v>
      </c>
      <c r="I191" s="13"/>
      <c r="J191" s="78"/>
      <c r="K191" s="78">
        <v>450000</v>
      </c>
      <c r="L191" s="146">
        <f t="shared" si="9"/>
        <v>5222000</v>
      </c>
      <c r="M191" s="73"/>
      <c r="N191" s="73"/>
      <c r="O191" s="7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 x14ac:dyDescent="0.35">
      <c r="A192" s="9">
        <f t="shared" si="10"/>
        <v>184</v>
      </c>
      <c r="B192" s="15">
        <v>46099</v>
      </c>
      <c r="C192" s="11">
        <f t="shared" si="11"/>
        <v>3</v>
      </c>
      <c r="D192" s="11">
        <v>5</v>
      </c>
      <c r="E192" s="11">
        <v>1</v>
      </c>
      <c r="F192" s="14">
        <v>40</v>
      </c>
      <c r="G192" s="89" t="str">
        <f>IFERROR(VLOOKUP(F192,COA!$A$1:$K$26,2,FALSE),0)</f>
        <v>Penerimaan Iuran Warga</v>
      </c>
      <c r="H192" s="13"/>
      <c r="I192" s="13" t="s">
        <v>94</v>
      </c>
      <c r="J192" s="78">
        <v>100000</v>
      </c>
      <c r="K192" s="78"/>
      <c r="L192" s="146">
        <f t="shared" si="9"/>
        <v>5322000</v>
      </c>
      <c r="M192" s="73"/>
      <c r="N192" s="73"/>
      <c r="O192" s="7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 x14ac:dyDescent="0.35">
      <c r="A193" s="9">
        <f t="shared" si="10"/>
        <v>185</v>
      </c>
      <c r="B193" s="15">
        <v>46099</v>
      </c>
      <c r="C193" s="11">
        <f t="shared" si="11"/>
        <v>3</v>
      </c>
      <c r="D193" s="11">
        <v>5</v>
      </c>
      <c r="E193" s="11">
        <v>2</v>
      </c>
      <c r="F193" s="14">
        <v>40</v>
      </c>
      <c r="G193" s="89" t="str">
        <f>IFERROR(VLOOKUP(F193,COA!$A$1:$K$26,2,FALSE),0)</f>
        <v>Penerimaan Iuran Warga</v>
      </c>
      <c r="H193" s="13"/>
      <c r="I193" s="13" t="s">
        <v>94</v>
      </c>
      <c r="J193" s="78">
        <v>100000</v>
      </c>
      <c r="K193" s="78"/>
      <c r="L193" s="146">
        <f t="shared" si="9"/>
        <v>5422000</v>
      </c>
      <c r="M193" s="73"/>
      <c r="N193" s="73"/>
      <c r="O193" s="7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 x14ac:dyDescent="0.35">
      <c r="A194" s="9">
        <f t="shared" si="10"/>
        <v>186</v>
      </c>
      <c r="B194" s="15">
        <v>46099</v>
      </c>
      <c r="C194" s="11">
        <f t="shared" si="11"/>
        <v>3</v>
      </c>
      <c r="D194" s="11">
        <v>5</v>
      </c>
      <c r="E194" s="11">
        <v>3</v>
      </c>
      <c r="F194" s="14">
        <v>40</v>
      </c>
      <c r="G194" s="89" t="str">
        <f>IFERROR(VLOOKUP(F194,COA!$A$1:$K$26,2,FALSE),0)</f>
        <v>Penerimaan Iuran Warga</v>
      </c>
      <c r="H194" s="13"/>
      <c r="I194" s="13" t="s">
        <v>94</v>
      </c>
      <c r="J194" s="78">
        <v>100000</v>
      </c>
      <c r="K194" s="78"/>
      <c r="L194" s="146">
        <f t="shared" si="9"/>
        <v>5522000</v>
      </c>
      <c r="M194" s="73"/>
      <c r="N194" s="73"/>
      <c r="O194" s="7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 x14ac:dyDescent="0.35">
      <c r="A195" s="9">
        <f t="shared" si="10"/>
        <v>187</v>
      </c>
      <c r="B195" s="15">
        <v>46099</v>
      </c>
      <c r="C195" s="11">
        <f t="shared" si="11"/>
        <v>3</v>
      </c>
      <c r="D195" s="11">
        <v>5</v>
      </c>
      <c r="E195" s="13">
        <v>4</v>
      </c>
      <c r="F195" s="14">
        <v>40</v>
      </c>
      <c r="G195" s="89" t="str">
        <f>IFERROR(VLOOKUP(F195,COA!$A$1:$K$26,2,FALSE),0)</f>
        <v>Penerimaan Iuran Warga</v>
      </c>
      <c r="H195" s="13"/>
      <c r="I195" s="13" t="s">
        <v>94</v>
      </c>
      <c r="J195" s="78">
        <v>100000</v>
      </c>
      <c r="K195" s="78"/>
      <c r="L195" s="146">
        <f t="shared" si="9"/>
        <v>5622000</v>
      </c>
      <c r="M195" s="73"/>
      <c r="N195" s="73"/>
      <c r="O195" s="7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 x14ac:dyDescent="0.35">
      <c r="A196" s="9">
        <f t="shared" si="10"/>
        <v>188</v>
      </c>
      <c r="B196" s="15">
        <v>46099</v>
      </c>
      <c r="C196" s="11">
        <f t="shared" si="11"/>
        <v>3</v>
      </c>
      <c r="D196" s="11">
        <v>5</v>
      </c>
      <c r="E196" s="13">
        <v>5</v>
      </c>
      <c r="F196" s="14">
        <v>40</v>
      </c>
      <c r="G196" s="89" t="str">
        <f>IFERROR(VLOOKUP(F196,COA!$A$1:$K$26,2,FALSE),0)</f>
        <v>Penerimaan Iuran Warga</v>
      </c>
      <c r="H196" s="13"/>
      <c r="I196" s="13" t="s">
        <v>94</v>
      </c>
      <c r="J196" s="78">
        <v>100000</v>
      </c>
      <c r="K196" s="78"/>
      <c r="L196" s="146">
        <f t="shared" si="9"/>
        <v>5722000</v>
      </c>
      <c r="M196" s="73"/>
      <c r="N196" s="73"/>
      <c r="O196" s="7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 x14ac:dyDescent="0.35">
      <c r="A197" s="9">
        <f t="shared" si="10"/>
        <v>189</v>
      </c>
      <c r="B197" s="15">
        <v>46101</v>
      </c>
      <c r="C197" s="11">
        <f t="shared" si="11"/>
        <v>3</v>
      </c>
      <c r="D197" s="11">
        <v>5</v>
      </c>
      <c r="E197" s="13">
        <v>3</v>
      </c>
      <c r="F197" s="14">
        <v>40</v>
      </c>
      <c r="G197" s="89" t="str">
        <f>IFERROR(VLOOKUP(F197,COA!$A$1:$K$26,2,FALSE),0)</f>
        <v>Penerimaan Iuran Warga</v>
      </c>
      <c r="H197" s="13"/>
      <c r="I197" s="96" t="s">
        <v>81</v>
      </c>
      <c r="J197" s="78">
        <v>100000</v>
      </c>
      <c r="K197" s="79"/>
      <c r="L197" s="146">
        <f t="shared" si="9"/>
        <v>5822000</v>
      </c>
      <c r="M197" s="73"/>
      <c r="N197" s="73"/>
      <c r="O197" s="7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 x14ac:dyDescent="0.35">
      <c r="A198" s="9">
        <f t="shared" si="10"/>
        <v>190</v>
      </c>
      <c r="B198" s="15">
        <v>46101</v>
      </c>
      <c r="C198" s="11">
        <f t="shared" si="11"/>
        <v>3</v>
      </c>
      <c r="D198" s="11">
        <v>5</v>
      </c>
      <c r="E198" s="13">
        <v>4</v>
      </c>
      <c r="F198" s="14">
        <v>40</v>
      </c>
      <c r="G198" s="89" t="str">
        <f>IFERROR(VLOOKUP(F198,COA!$A$1:$K$26,2,FALSE),0)</f>
        <v>Penerimaan Iuran Warga</v>
      </c>
      <c r="H198" s="13"/>
      <c r="I198" s="96" t="s">
        <v>81</v>
      </c>
      <c r="J198" s="82">
        <v>150000</v>
      </c>
      <c r="K198" s="81"/>
      <c r="L198" s="146">
        <f t="shared" si="9"/>
        <v>5972000</v>
      </c>
      <c r="M198" s="73"/>
      <c r="N198" s="73"/>
      <c r="O198" s="7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 x14ac:dyDescent="0.35">
      <c r="A199" s="9">
        <f t="shared" si="10"/>
        <v>191</v>
      </c>
      <c r="B199" s="15">
        <v>46101</v>
      </c>
      <c r="C199" s="11">
        <f t="shared" si="11"/>
        <v>3</v>
      </c>
      <c r="D199" s="11">
        <v>5</v>
      </c>
      <c r="E199" s="13">
        <v>3</v>
      </c>
      <c r="F199" s="14">
        <v>41</v>
      </c>
      <c r="G199" s="89" t="str">
        <f>IFERROR(VLOOKUP(F199,COA!$A$1:$K$26,2,FALSE),0)</f>
        <v>Penerimaan Lain-Lain</v>
      </c>
      <c r="H199" s="96" t="s">
        <v>290</v>
      </c>
      <c r="I199" s="96"/>
      <c r="J199" s="82">
        <v>300000</v>
      </c>
      <c r="K199" s="81"/>
      <c r="L199" s="146">
        <f t="shared" si="9"/>
        <v>6272000</v>
      </c>
      <c r="M199" s="73"/>
      <c r="N199" s="73"/>
      <c r="O199" s="7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 x14ac:dyDescent="0.35">
      <c r="A200" s="9">
        <f t="shared" si="10"/>
        <v>192</v>
      </c>
      <c r="B200" s="15">
        <v>46101</v>
      </c>
      <c r="C200" s="11">
        <f t="shared" si="11"/>
        <v>3</v>
      </c>
      <c r="D200" s="11">
        <v>5</v>
      </c>
      <c r="E200" s="13">
        <v>3</v>
      </c>
      <c r="F200" s="14">
        <v>60</v>
      </c>
      <c r="G200" s="89" t="str">
        <f>IFERROR(VLOOKUP(F200,COA!$A$1:$K$26,2,FALSE),0)</f>
        <v>Biaya Logistik Satpam dan Musholla</v>
      </c>
      <c r="H200" s="96" t="s">
        <v>291</v>
      </c>
      <c r="I200" s="96"/>
      <c r="J200" s="82"/>
      <c r="K200" s="81">
        <v>20000</v>
      </c>
      <c r="L200" s="146">
        <f t="shared" si="9"/>
        <v>6252000</v>
      </c>
      <c r="M200" s="73"/>
      <c r="N200" s="73"/>
      <c r="O200" s="7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35">
      <c r="A201" s="9">
        <f t="shared" si="10"/>
        <v>193</v>
      </c>
      <c r="B201" s="15">
        <v>46101</v>
      </c>
      <c r="C201" s="11">
        <f t="shared" si="11"/>
        <v>3</v>
      </c>
      <c r="D201" s="11">
        <v>5</v>
      </c>
      <c r="E201" s="13">
        <v>3</v>
      </c>
      <c r="F201" s="14">
        <v>60</v>
      </c>
      <c r="G201" s="89" t="str">
        <f>IFERROR(VLOOKUP(F201,COA!$A$1:$K$26,2,FALSE),0)</f>
        <v>Biaya Logistik Satpam dan Musholla</v>
      </c>
      <c r="H201" s="96" t="s">
        <v>292</v>
      </c>
      <c r="I201" s="96"/>
      <c r="J201" s="82"/>
      <c r="K201" s="81">
        <v>24000</v>
      </c>
      <c r="L201" s="146">
        <f t="shared" si="9"/>
        <v>6228000</v>
      </c>
      <c r="M201" s="73"/>
      <c r="N201" s="73"/>
      <c r="O201" s="7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 x14ac:dyDescent="0.35">
      <c r="A202" s="9">
        <f t="shared" si="10"/>
        <v>194</v>
      </c>
      <c r="B202" s="15">
        <v>46101</v>
      </c>
      <c r="C202" s="11">
        <f t="shared" si="11"/>
        <v>3</v>
      </c>
      <c r="D202" s="11">
        <v>5</v>
      </c>
      <c r="E202" s="13">
        <v>3</v>
      </c>
      <c r="F202" s="14">
        <v>60</v>
      </c>
      <c r="G202" s="89" t="str">
        <f>IFERROR(VLOOKUP(F202,COA!$A$1:$K$26,2,FALSE),0)</f>
        <v>Biaya Logistik Satpam dan Musholla</v>
      </c>
      <c r="H202" s="96" t="s">
        <v>292</v>
      </c>
      <c r="I202" s="96"/>
      <c r="J202" s="82"/>
      <c r="K202" s="81">
        <v>24000</v>
      </c>
      <c r="L202" s="146">
        <f t="shared" ref="L202:L265" si="12">L201+J202-K202</f>
        <v>6204000</v>
      </c>
      <c r="M202" s="73"/>
      <c r="N202" s="73"/>
      <c r="O202" s="7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 x14ac:dyDescent="0.35">
      <c r="A203" s="9">
        <f t="shared" si="10"/>
        <v>195</v>
      </c>
      <c r="B203" s="15">
        <v>46101</v>
      </c>
      <c r="C203" s="11">
        <f t="shared" si="11"/>
        <v>3</v>
      </c>
      <c r="D203" s="11">
        <v>5</v>
      </c>
      <c r="E203" s="13">
        <v>3</v>
      </c>
      <c r="F203" s="14">
        <v>60</v>
      </c>
      <c r="G203" s="89" t="str">
        <f>IFERROR(VLOOKUP(F203,COA!$A$1:$K$26,2,FALSE),0)</f>
        <v>Biaya Logistik Satpam dan Musholla</v>
      </c>
      <c r="H203" s="96" t="s">
        <v>294</v>
      </c>
      <c r="I203" s="96"/>
      <c r="J203" s="82"/>
      <c r="K203" s="81">
        <v>20000</v>
      </c>
      <c r="L203" s="146">
        <f t="shared" si="12"/>
        <v>6184000</v>
      </c>
      <c r="M203" s="73"/>
      <c r="N203" s="73"/>
      <c r="O203" s="7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 x14ac:dyDescent="0.35">
      <c r="A204" s="9">
        <f t="shared" ref="A204:A267" si="13">A203+1</f>
        <v>196</v>
      </c>
      <c r="B204" s="15">
        <v>46101</v>
      </c>
      <c r="C204" s="11">
        <f t="shared" si="11"/>
        <v>3</v>
      </c>
      <c r="D204" s="11">
        <v>5</v>
      </c>
      <c r="E204" s="13">
        <v>3</v>
      </c>
      <c r="F204" s="14">
        <v>60</v>
      </c>
      <c r="G204" s="89" t="str">
        <f>IFERROR(VLOOKUP(F204,COA!$A$1:$K$26,2,FALSE),0)</f>
        <v>Biaya Logistik Satpam dan Musholla</v>
      </c>
      <c r="H204" s="96" t="s">
        <v>293</v>
      </c>
      <c r="I204" s="96"/>
      <c r="J204" s="82"/>
      <c r="K204" s="81">
        <v>75000</v>
      </c>
      <c r="L204" s="146">
        <f t="shared" si="12"/>
        <v>6109000</v>
      </c>
      <c r="M204" s="73"/>
      <c r="N204" s="73"/>
      <c r="O204" s="7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 x14ac:dyDescent="0.35">
      <c r="A205" s="9">
        <f t="shared" si="13"/>
        <v>197</v>
      </c>
      <c r="B205" s="15">
        <v>46101</v>
      </c>
      <c r="C205" s="11">
        <f t="shared" si="11"/>
        <v>3</v>
      </c>
      <c r="D205" s="11">
        <v>5</v>
      </c>
      <c r="E205" s="13">
        <v>3</v>
      </c>
      <c r="F205" s="14">
        <v>60</v>
      </c>
      <c r="G205" s="89" t="str">
        <f>IFERROR(VLOOKUP(F205,COA!$A$1:$K$26,2,FALSE),0)</f>
        <v>Biaya Logistik Satpam dan Musholla</v>
      </c>
      <c r="H205" s="96" t="s">
        <v>292</v>
      </c>
      <c r="I205" s="96"/>
      <c r="J205" s="82"/>
      <c r="K205" s="81">
        <v>24000</v>
      </c>
      <c r="L205" s="146">
        <f t="shared" si="12"/>
        <v>6085000</v>
      </c>
      <c r="M205" s="73"/>
      <c r="N205" s="73"/>
      <c r="O205" s="7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 x14ac:dyDescent="0.35">
      <c r="A206" s="9">
        <f t="shared" si="13"/>
        <v>198</v>
      </c>
      <c r="B206" s="15">
        <v>46101</v>
      </c>
      <c r="C206" s="11">
        <f t="shared" ref="C206:C271" si="14">MONTH(B206)</f>
        <v>3</v>
      </c>
      <c r="D206" s="11">
        <v>5</v>
      </c>
      <c r="E206" s="13">
        <v>3</v>
      </c>
      <c r="F206" s="14">
        <v>60</v>
      </c>
      <c r="G206" s="89" t="str">
        <f>IFERROR(VLOOKUP(F206,COA!$A$1:$K$26,2,FALSE),0)</f>
        <v>Biaya Logistik Satpam dan Musholla</v>
      </c>
      <c r="H206" s="96" t="s">
        <v>292</v>
      </c>
      <c r="I206" s="96"/>
      <c r="J206" s="82"/>
      <c r="K206" s="81">
        <v>24000</v>
      </c>
      <c r="L206" s="146">
        <f t="shared" si="12"/>
        <v>6061000</v>
      </c>
      <c r="M206" s="73"/>
      <c r="N206" s="73"/>
      <c r="O206" s="7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 x14ac:dyDescent="0.35">
      <c r="A207" s="9">
        <f t="shared" si="13"/>
        <v>199</v>
      </c>
      <c r="B207" s="15">
        <v>46101</v>
      </c>
      <c r="C207" s="11">
        <f t="shared" si="14"/>
        <v>3</v>
      </c>
      <c r="D207" s="11">
        <v>5</v>
      </c>
      <c r="E207" s="13">
        <v>3</v>
      </c>
      <c r="F207" s="14">
        <v>60</v>
      </c>
      <c r="G207" s="89" t="str">
        <f>IFERROR(VLOOKUP(F207,COA!$A$1:$K$26,2,FALSE),0)</f>
        <v>Biaya Logistik Satpam dan Musholla</v>
      </c>
      <c r="H207" s="96" t="s">
        <v>291</v>
      </c>
      <c r="I207" s="96"/>
      <c r="J207" s="82"/>
      <c r="K207" s="81">
        <v>20000</v>
      </c>
      <c r="L207" s="146">
        <f t="shared" si="12"/>
        <v>6041000</v>
      </c>
      <c r="M207" s="73"/>
      <c r="N207" s="73"/>
      <c r="O207" s="7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 x14ac:dyDescent="0.35">
      <c r="A208" s="9">
        <f t="shared" si="13"/>
        <v>200</v>
      </c>
      <c r="B208" s="15">
        <v>46101</v>
      </c>
      <c r="C208" s="11">
        <f t="shared" si="14"/>
        <v>3</v>
      </c>
      <c r="D208" s="11">
        <v>5</v>
      </c>
      <c r="E208" s="13">
        <v>3</v>
      </c>
      <c r="F208" s="14">
        <v>60</v>
      </c>
      <c r="G208" s="89" t="str">
        <f>IFERROR(VLOOKUP(F208,COA!$A$1:$K$26,2,FALSE),0)</f>
        <v>Biaya Logistik Satpam dan Musholla</v>
      </c>
      <c r="H208" s="96" t="s">
        <v>291</v>
      </c>
      <c r="I208" s="96"/>
      <c r="J208" s="82"/>
      <c r="K208" s="81">
        <v>20000</v>
      </c>
      <c r="L208" s="146">
        <f t="shared" si="12"/>
        <v>6021000</v>
      </c>
      <c r="M208" s="73"/>
      <c r="N208" s="73"/>
      <c r="O208" s="7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 x14ac:dyDescent="0.35">
      <c r="A209" s="9">
        <f t="shared" si="13"/>
        <v>201</v>
      </c>
      <c r="B209" s="15">
        <v>46101</v>
      </c>
      <c r="C209" s="11">
        <f t="shared" si="14"/>
        <v>3</v>
      </c>
      <c r="D209" s="11">
        <v>5</v>
      </c>
      <c r="E209" s="13">
        <v>3</v>
      </c>
      <c r="F209" s="14">
        <v>60</v>
      </c>
      <c r="G209" s="89" t="str">
        <f>IFERROR(VLOOKUP(F209,COA!$A$1:$K$26,2,FALSE),0)</f>
        <v>Biaya Logistik Satpam dan Musholla</v>
      </c>
      <c r="H209" s="96" t="s">
        <v>292</v>
      </c>
      <c r="I209" s="96"/>
      <c r="J209" s="82"/>
      <c r="K209" s="81">
        <v>20000</v>
      </c>
      <c r="L209" s="146">
        <f t="shared" si="12"/>
        <v>6001000</v>
      </c>
      <c r="M209" s="73"/>
      <c r="N209" s="73"/>
      <c r="O209" s="7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 x14ac:dyDescent="0.35">
      <c r="A210" s="9">
        <f t="shared" si="13"/>
        <v>202</v>
      </c>
      <c r="B210" s="15">
        <v>46101</v>
      </c>
      <c r="C210" s="11">
        <f t="shared" si="14"/>
        <v>3</v>
      </c>
      <c r="D210" s="11">
        <v>5</v>
      </c>
      <c r="E210" s="13">
        <v>3</v>
      </c>
      <c r="F210" s="14">
        <v>60</v>
      </c>
      <c r="G210" s="89" t="str">
        <f>IFERROR(VLOOKUP(F210,COA!$A$1:$K$26,2,FALSE),0)</f>
        <v>Biaya Logistik Satpam dan Musholla</v>
      </c>
      <c r="H210" s="96" t="s">
        <v>295</v>
      </c>
      <c r="I210" s="96"/>
      <c r="J210" s="82"/>
      <c r="K210" s="81">
        <v>30000</v>
      </c>
      <c r="L210" s="146">
        <f t="shared" si="12"/>
        <v>5971000</v>
      </c>
      <c r="M210" s="73"/>
      <c r="N210" s="73"/>
      <c r="O210" s="7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 x14ac:dyDescent="0.35">
      <c r="A211" s="9">
        <f t="shared" si="13"/>
        <v>203</v>
      </c>
      <c r="B211" s="15">
        <v>46101</v>
      </c>
      <c r="C211" s="11">
        <f t="shared" si="14"/>
        <v>3</v>
      </c>
      <c r="D211" s="11">
        <v>5</v>
      </c>
      <c r="E211" s="13">
        <v>3</v>
      </c>
      <c r="F211" s="14">
        <v>60</v>
      </c>
      <c r="G211" s="89" t="str">
        <f>IFERROR(VLOOKUP(F211,COA!$A$1:$K$26,2,FALSE),0)</f>
        <v>Biaya Logistik Satpam dan Musholla</v>
      </c>
      <c r="H211" s="96" t="s">
        <v>292</v>
      </c>
      <c r="I211" s="96"/>
      <c r="J211" s="82"/>
      <c r="K211" s="81">
        <v>24000</v>
      </c>
      <c r="L211" s="146">
        <f t="shared" si="12"/>
        <v>5947000</v>
      </c>
      <c r="M211" s="73"/>
      <c r="N211" s="73"/>
      <c r="O211" s="7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 x14ac:dyDescent="0.35">
      <c r="A212" s="9">
        <f t="shared" si="13"/>
        <v>204</v>
      </c>
      <c r="B212" s="15">
        <v>46101</v>
      </c>
      <c r="C212" s="11">
        <f t="shared" si="14"/>
        <v>3</v>
      </c>
      <c r="D212" s="11">
        <v>5</v>
      </c>
      <c r="E212" s="13">
        <v>3</v>
      </c>
      <c r="F212" s="14">
        <v>60</v>
      </c>
      <c r="G212" s="89" t="str">
        <f>IFERROR(VLOOKUP(F212,COA!$A$1:$K$26,2,FALSE),0)</f>
        <v>Biaya Logistik Satpam dan Musholla</v>
      </c>
      <c r="H212" s="96" t="s">
        <v>296</v>
      </c>
      <c r="I212" s="96"/>
      <c r="J212" s="82"/>
      <c r="K212" s="81">
        <v>50000</v>
      </c>
      <c r="L212" s="146">
        <f t="shared" si="12"/>
        <v>5897000</v>
      </c>
      <c r="M212" s="73"/>
      <c r="N212" s="73"/>
      <c r="O212" s="7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 x14ac:dyDescent="0.35">
      <c r="A213" s="9">
        <f t="shared" si="13"/>
        <v>205</v>
      </c>
      <c r="B213" s="15">
        <v>46101</v>
      </c>
      <c r="C213" s="11">
        <f t="shared" si="14"/>
        <v>3</v>
      </c>
      <c r="D213" s="11">
        <v>5</v>
      </c>
      <c r="E213" s="13">
        <v>3</v>
      </c>
      <c r="F213" s="14">
        <v>60</v>
      </c>
      <c r="G213" s="89" t="str">
        <f>IFERROR(VLOOKUP(F213,COA!$A$1:$K$26,2,FALSE),0)</f>
        <v>Biaya Logistik Satpam dan Musholla</v>
      </c>
      <c r="H213" s="96" t="s">
        <v>292</v>
      </c>
      <c r="I213" s="96"/>
      <c r="J213" s="82"/>
      <c r="K213" s="81">
        <v>24000</v>
      </c>
      <c r="L213" s="146">
        <f t="shared" si="12"/>
        <v>5873000</v>
      </c>
      <c r="M213" s="73"/>
      <c r="N213" s="73"/>
      <c r="O213" s="7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 x14ac:dyDescent="0.35">
      <c r="A214" s="9">
        <f t="shared" si="13"/>
        <v>206</v>
      </c>
      <c r="B214" s="15">
        <v>46113</v>
      </c>
      <c r="C214" s="11">
        <f t="shared" si="14"/>
        <v>4</v>
      </c>
      <c r="D214" s="11">
        <v>5</v>
      </c>
      <c r="E214" s="13">
        <v>4</v>
      </c>
      <c r="F214" s="14">
        <v>40</v>
      </c>
      <c r="G214" s="89" t="str">
        <f>IFERROR(VLOOKUP(F214,COA!$A$1:$K$26,2,FALSE),0)</f>
        <v>Penerimaan Iuran Warga</v>
      </c>
      <c r="H214" s="96" t="s">
        <v>301</v>
      </c>
      <c r="I214" s="96" t="s">
        <v>180</v>
      </c>
      <c r="J214" s="82">
        <v>100000</v>
      </c>
      <c r="K214" s="81"/>
      <c r="L214" s="146">
        <f t="shared" si="12"/>
        <v>5973000</v>
      </c>
      <c r="M214" s="73"/>
      <c r="N214" s="73"/>
      <c r="O214" s="7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 x14ac:dyDescent="0.35">
      <c r="A215" s="9">
        <f t="shared" si="13"/>
        <v>207</v>
      </c>
      <c r="B215" s="15">
        <v>46113</v>
      </c>
      <c r="C215" s="11">
        <f t="shared" si="14"/>
        <v>4</v>
      </c>
      <c r="D215" s="11">
        <v>5</v>
      </c>
      <c r="E215" s="13">
        <v>4</v>
      </c>
      <c r="F215" s="14">
        <v>40</v>
      </c>
      <c r="G215" s="89" t="str">
        <f>IFERROR(VLOOKUP(F215,COA!$A$1:$K$26,2,FALSE),0)</f>
        <v>Penerimaan Iuran Warga</v>
      </c>
      <c r="H215" s="96"/>
      <c r="I215" s="96" t="s">
        <v>89</v>
      </c>
      <c r="J215" s="82">
        <v>100000</v>
      </c>
      <c r="K215" s="81"/>
      <c r="L215" s="146">
        <f t="shared" si="12"/>
        <v>6073000</v>
      </c>
      <c r="M215" s="73"/>
      <c r="N215" s="73"/>
      <c r="O215" s="7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 x14ac:dyDescent="0.35">
      <c r="A216" s="9">
        <f t="shared" si="13"/>
        <v>208</v>
      </c>
      <c r="B216" s="15">
        <v>46113</v>
      </c>
      <c r="C216" s="11">
        <f t="shared" si="14"/>
        <v>4</v>
      </c>
      <c r="D216" s="11">
        <v>5</v>
      </c>
      <c r="E216" s="91">
        <v>4</v>
      </c>
      <c r="F216" s="11">
        <v>56</v>
      </c>
      <c r="G216" s="89" t="str">
        <f>IFERROR(VLOOKUP(F216,COA!$A$1:$K$26,2,FALSE),0)</f>
        <v>Biaya WIFI Pos Jaga</v>
      </c>
      <c r="H216" s="91" t="s">
        <v>250</v>
      </c>
      <c r="I216" s="91"/>
      <c r="J216" s="90"/>
      <c r="K216" s="78">
        <v>230000</v>
      </c>
      <c r="L216" s="146">
        <f t="shared" si="12"/>
        <v>5843000</v>
      </c>
      <c r="M216" s="73"/>
      <c r="N216" s="73"/>
      <c r="O216" s="7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 x14ac:dyDescent="0.35">
      <c r="A217" s="9">
        <f t="shared" si="13"/>
        <v>209</v>
      </c>
      <c r="B217" s="15">
        <v>46113</v>
      </c>
      <c r="C217" s="11">
        <f t="shared" si="14"/>
        <v>4</v>
      </c>
      <c r="D217" s="11">
        <v>5</v>
      </c>
      <c r="E217" s="91">
        <v>4</v>
      </c>
      <c r="F217" s="11">
        <v>59</v>
      </c>
      <c r="G217" s="89" t="str">
        <f>IFERROR(VLOOKUP(F217,COA!$A$1:$K$26,2,FALSE),0)</f>
        <v>Biaya iuran RT</v>
      </c>
      <c r="H217" s="91" t="s">
        <v>201</v>
      </c>
      <c r="I217" s="91"/>
      <c r="J217" s="90"/>
      <c r="K217" s="78">
        <f>375000*4</f>
        <v>1500000</v>
      </c>
      <c r="L217" s="146">
        <f t="shared" si="12"/>
        <v>4343000</v>
      </c>
      <c r="M217" s="73"/>
      <c r="N217" s="73"/>
      <c r="O217" s="7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 x14ac:dyDescent="0.35">
      <c r="A218" s="9">
        <f t="shared" si="13"/>
        <v>210</v>
      </c>
      <c r="B218" s="15">
        <v>46113</v>
      </c>
      <c r="C218" s="11">
        <f t="shared" si="14"/>
        <v>4</v>
      </c>
      <c r="D218" s="11">
        <v>5</v>
      </c>
      <c r="E218" s="91">
        <v>4</v>
      </c>
      <c r="F218" s="14">
        <v>60</v>
      </c>
      <c r="G218" s="89" t="str">
        <f>IFERROR(VLOOKUP(F218,COA!$A$1:$K$26,2,FALSE),0)</f>
        <v>Biaya Logistik Satpam dan Musholla</v>
      </c>
      <c r="H218" s="89" t="s">
        <v>202</v>
      </c>
      <c r="I218" s="91"/>
      <c r="J218" s="93"/>
      <c r="K218" s="78">
        <v>2000000</v>
      </c>
      <c r="L218" s="146">
        <f t="shared" si="12"/>
        <v>2343000</v>
      </c>
      <c r="M218" s="73"/>
      <c r="N218" s="73"/>
      <c r="O218" s="7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 x14ac:dyDescent="0.35">
      <c r="A219" s="9">
        <f t="shared" si="13"/>
        <v>211</v>
      </c>
      <c r="B219" s="15">
        <v>46113</v>
      </c>
      <c r="C219" s="11">
        <f t="shared" si="14"/>
        <v>4</v>
      </c>
      <c r="D219" s="11">
        <v>5</v>
      </c>
      <c r="E219" s="91">
        <v>3</v>
      </c>
      <c r="F219" s="11">
        <v>40</v>
      </c>
      <c r="G219" s="89" t="str">
        <f>IFERROR(VLOOKUP(F219,COA!$A$1:$K$26,2,FALSE),0)</f>
        <v>Penerimaan Iuran Warga</v>
      </c>
      <c r="H219" s="91"/>
      <c r="I219" s="91" t="s">
        <v>79</v>
      </c>
      <c r="J219" s="93">
        <v>100000</v>
      </c>
      <c r="K219" s="78"/>
      <c r="L219" s="146">
        <f t="shared" si="12"/>
        <v>2443000</v>
      </c>
      <c r="M219" s="73"/>
      <c r="N219" s="73"/>
      <c r="O219" s="7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 x14ac:dyDescent="0.35">
      <c r="A220" s="9">
        <f t="shared" si="13"/>
        <v>212</v>
      </c>
      <c r="B220" s="15">
        <v>46114</v>
      </c>
      <c r="C220" s="11">
        <f t="shared" si="14"/>
        <v>4</v>
      </c>
      <c r="D220" s="11">
        <v>5</v>
      </c>
      <c r="E220" s="91">
        <v>4</v>
      </c>
      <c r="F220" s="14">
        <v>40</v>
      </c>
      <c r="G220" s="89" t="str">
        <f>IFERROR(VLOOKUP(F220,COA!$A$1:$K$26,2,FALSE),0)</f>
        <v>Penerimaan Iuran Warga</v>
      </c>
      <c r="H220" s="91" t="s">
        <v>278</v>
      </c>
      <c r="I220" s="91" t="s">
        <v>102</v>
      </c>
      <c r="J220" s="93">
        <v>100000</v>
      </c>
      <c r="K220" s="78"/>
      <c r="L220" s="146">
        <f t="shared" si="12"/>
        <v>2543000</v>
      </c>
      <c r="M220" s="73"/>
      <c r="N220" s="73"/>
      <c r="O220" s="7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 x14ac:dyDescent="0.35">
      <c r="A221" s="9">
        <f t="shared" si="13"/>
        <v>213</v>
      </c>
      <c r="B221" s="15">
        <v>46114</v>
      </c>
      <c r="C221" s="11">
        <f t="shared" si="14"/>
        <v>4</v>
      </c>
      <c r="D221" s="11">
        <v>5</v>
      </c>
      <c r="E221" s="91">
        <v>4</v>
      </c>
      <c r="F221" s="14">
        <v>40</v>
      </c>
      <c r="G221" s="89" t="str">
        <f>IFERROR(VLOOKUP(F221,COA!$A$1:$K$26,2,FALSE),0)</f>
        <v>Penerimaan Iuran Warga</v>
      </c>
      <c r="H221" s="91"/>
      <c r="I221" s="91" t="s">
        <v>137</v>
      </c>
      <c r="J221" s="93">
        <v>100000</v>
      </c>
      <c r="K221" s="78"/>
      <c r="L221" s="146">
        <f t="shared" si="12"/>
        <v>2643000</v>
      </c>
      <c r="M221" s="73"/>
      <c r="N221" s="73"/>
      <c r="O221" s="7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 x14ac:dyDescent="0.35">
      <c r="A222" s="9">
        <f t="shared" si="13"/>
        <v>214</v>
      </c>
      <c r="B222" s="15">
        <v>46116</v>
      </c>
      <c r="C222" s="11">
        <f t="shared" si="14"/>
        <v>4</v>
      </c>
      <c r="D222" s="11">
        <v>5</v>
      </c>
      <c r="E222" s="91">
        <v>4</v>
      </c>
      <c r="F222" s="11">
        <v>40</v>
      </c>
      <c r="G222" s="89" t="str">
        <f>IFERROR(VLOOKUP(F222,COA!$A$1:$K$26,2,FALSE),0)</f>
        <v>Penerimaan Iuran Warga</v>
      </c>
      <c r="H222" s="91"/>
      <c r="I222" s="91" t="s">
        <v>182</v>
      </c>
      <c r="J222" s="93">
        <v>190000</v>
      </c>
      <c r="K222" s="78"/>
      <c r="L222" s="146">
        <f t="shared" si="12"/>
        <v>2833000</v>
      </c>
      <c r="M222" s="73"/>
      <c r="N222" s="73"/>
      <c r="O222" s="7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 x14ac:dyDescent="0.35">
      <c r="A223" s="9">
        <f t="shared" si="13"/>
        <v>215</v>
      </c>
      <c r="B223" s="15">
        <v>46118</v>
      </c>
      <c r="C223" s="11">
        <f t="shared" si="14"/>
        <v>4</v>
      </c>
      <c r="D223" s="11">
        <v>5</v>
      </c>
      <c r="E223" s="91">
        <v>4</v>
      </c>
      <c r="F223" s="11">
        <v>40</v>
      </c>
      <c r="G223" s="89" t="str">
        <f>IFERROR(VLOOKUP(F223,COA!$A$1:$K$26,2,FALSE),0)</f>
        <v>Penerimaan Iuran Warga</v>
      </c>
      <c r="H223" s="91"/>
      <c r="I223" s="91" t="s">
        <v>142</v>
      </c>
      <c r="J223" s="93">
        <v>100000</v>
      </c>
      <c r="K223" s="78"/>
      <c r="L223" s="146">
        <f t="shared" si="12"/>
        <v>2933000</v>
      </c>
      <c r="M223" s="73"/>
      <c r="N223" s="73"/>
      <c r="O223" s="7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 x14ac:dyDescent="0.35">
      <c r="A224" s="9">
        <f t="shared" si="13"/>
        <v>216</v>
      </c>
      <c r="B224" s="15">
        <v>46119</v>
      </c>
      <c r="C224" s="11">
        <f t="shared" si="14"/>
        <v>4</v>
      </c>
      <c r="D224" s="11">
        <v>5</v>
      </c>
      <c r="E224" s="91">
        <v>4</v>
      </c>
      <c r="F224" s="11">
        <v>40</v>
      </c>
      <c r="G224" s="89" t="str">
        <f>IFERROR(VLOOKUP(F224,COA!$A$1:$K$26,2,FALSE),0)</f>
        <v>Penerimaan Iuran Warga</v>
      </c>
      <c r="H224" s="91"/>
      <c r="I224" s="91" t="s">
        <v>158</v>
      </c>
      <c r="J224" s="93">
        <v>100000</v>
      </c>
      <c r="K224" s="78"/>
      <c r="L224" s="146">
        <f t="shared" si="12"/>
        <v>3033000</v>
      </c>
      <c r="M224" s="73"/>
      <c r="N224" s="73"/>
      <c r="O224" s="7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 x14ac:dyDescent="0.35">
      <c r="A225" s="9">
        <f t="shared" si="13"/>
        <v>217</v>
      </c>
      <c r="B225" s="15">
        <v>46120</v>
      </c>
      <c r="C225" s="11">
        <f t="shared" si="14"/>
        <v>4</v>
      </c>
      <c r="D225" s="11">
        <v>5</v>
      </c>
      <c r="E225" s="91">
        <v>4</v>
      </c>
      <c r="F225" s="11">
        <v>40</v>
      </c>
      <c r="G225" s="89" t="str">
        <f>IFERROR(VLOOKUP(F225,COA!$A$1:$K$26,2,FALSE),0)</f>
        <v>Penerimaan Iuran Warga</v>
      </c>
      <c r="H225" s="91"/>
      <c r="I225" s="91" t="s">
        <v>169</v>
      </c>
      <c r="J225" s="93">
        <v>100000</v>
      </c>
      <c r="K225" s="78"/>
      <c r="L225" s="146">
        <f t="shared" si="12"/>
        <v>3133000</v>
      </c>
      <c r="M225" s="73"/>
      <c r="N225" s="73"/>
      <c r="O225" s="7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 x14ac:dyDescent="0.35">
      <c r="A226" s="9">
        <f t="shared" si="13"/>
        <v>218</v>
      </c>
      <c r="B226" s="15">
        <v>46120</v>
      </c>
      <c r="C226" s="11">
        <f t="shared" si="14"/>
        <v>4</v>
      </c>
      <c r="D226" s="11">
        <v>5</v>
      </c>
      <c r="E226" s="91">
        <v>4</v>
      </c>
      <c r="F226" s="11">
        <v>40</v>
      </c>
      <c r="G226" s="89" t="str">
        <f>IFERROR(VLOOKUP(F226,COA!$A$1:$K$26,2,FALSE),0)</f>
        <v>Penerimaan Iuran Warga</v>
      </c>
      <c r="H226" s="91"/>
      <c r="I226" s="91" t="s">
        <v>95</v>
      </c>
      <c r="J226" s="93">
        <v>100000</v>
      </c>
      <c r="K226" s="78"/>
      <c r="L226" s="146">
        <f t="shared" si="12"/>
        <v>3233000</v>
      </c>
      <c r="M226" s="73"/>
      <c r="N226" s="73"/>
      <c r="O226" s="7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 x14ac:dyDescent="0.35">
      <c r="A227" s="9">
        <f t="shared" si="13"/>
        <v>219</v>
      </c>
      <c r="B227" s="15">
        <v>46120</v>
      </c>
      <c r="C227" s="11">
        <f t="shared" si="14"/>
        <v>4</v>
      </c>
      <c r="D227" s="11">
        <v>5</v>
      </c>
      <c r="E227" s="91">
        <v>4</v>
      </c>
      <c r="F227" s="11">
        <v>40</v>
      </c>
      <c r="G227" s="89" t="str">
        <f>IFERROR(VLOOKUP(F227,COA!$A$1:$K$26,2,FALSE),0)</f>
        <v>Penerimaan Iuran Warga</v>
      </c>
      <c r="H227" s="91"/>
      <c r="I227" s="91" t="s">
        <v>79</v>
      </c>
      <c r="J227" s="93">
        <v>100000</v>
      </c>
      <c r="K227" s="78"/>
      <c r="L227" s="146">
        <f t="shared" si="12"/>
        <v>3333000</v>
      </c>
      <c r="M227" s="73"/>
      <c r="N227" s="73"/>
      <c r="O227" s="7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 x14ac:dyDescent="0.35">
      <c r="A228" s="9">
        <f t="shared" si="13"/>
        <v>220</v>
      </c>
      <c r="B228" s="15">
        <v>46130</v>
      </c>
      <c r="C228" s="11">
        <f t="shared" si="14"/>
        <v>4</v>
      </c>
      <c r="D228" s="11">
        <v>5</v>
      </c>
      <c r="E228" s="13">
        <v>4</v>
      </c>
      <c r="F228" s="11">
        <v>40</v>
      </c>
      <c r="G228" s="89" t="str">
        <f>IFERROR(VLOOKUP(F228,COA!$A$1:$K$26,2,FALSE),0)</f>
        <v>Penerimaan Iuran Warga</v>
      </c>
      <c r="H228" s="13"/>
      <c r="I228" s="13" t="s">
        <v>90</v>
      </c>
      <c r="J228" s="78">
        <v>100000</v>
      </c>
      <c r="K228" s="79"/>
      <c r="L228" s="146">
        <f t="shared" si="12"/>
        <v>3433000</v>
      </c>
      <c r="M228" s="73"/>
      <c r="N228" s="73"/>
      <c r="O228" s="7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 x14ac:dyDescent="0.35">
      <c r="A229" s="9">
        <f t="shared" si="13"/>
        <v>221</v>
      </c>
      <c r="B229" s="15">
        <v>46130</v>
      </c>
      <c r="C229" s="11">
        <f t="shared" si="14"/>
        <v>4</v>
      </c>
      <c r="D229" s="11">
        <v>5</v>
      </c>
      <c r="E229" s="13">
        <v>5</v>
      </c>
      <c r="F229" s="11">
        <v>40</v>
      </c>
      <c r="G229" s="89" t="str">
        <f>IFERROR(VLOOKUP(F229,COA!$A$1:$K$26,2,FALSE),0)</f>
        <v>Penerimaan Iuran Warga</v>
      </c>
      <c r="H229" s="13"/>
      <c r="I229" s="13" t="s">
        <v>90</v>
      </c>
      <c r="J229" s="78">
        <v>100000</v>
      </c>
      <c r="K229" s="79"/>
      <c r="L229" s="146">
        <f t="shared" si="12"/>
        <v>3533000</v>
      </c>
      <c r="M229" s="73"/>
      <c r="N229" s="73"/>
      <c r="O229" s="7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 x14ac:dyDescent="0.35">
      <c r="A230" s="9">
        <f t="shared" si="13"/>
        <v>222</v>
      </c>
      <c r="B230" s="15">
        <v>46130</v>
      </c>
      <c r="C230" s="11">
        <f t="shared" si="14"/>
        <v>4</v>
      </c>
      <c r="D230" s="11">
        <v>5</v>
      </c>
      <c r="E230" s="13">
        <v>6</v>
      </c>
      <c r="F230" s="11">
        <v>20</v>
      </c>
      <c r="G230" s="89" t="str">
        <f>IFERROR(VLOOKUP(F230,COA!$A$1:$K$26,2,FALSE),0)</f>
        <v>Iuran Warga Diterima di muka</v>
      </c>
      <c r="H230" s="13"/>
      <c r="I230" s="13" t="s">
        <v>90</v>
      </c>
      <c r="J230" s="78">
        <v>100000</v>
      </c>
      <c r="K230" s="79"/>
      <c r="L230" s="146">
        <f t="shared" si="12"/>
        <v>3633000</v>
      </c>
      <c r="M230" s="73"/>
      <c r="N230" s="73"/>
      <c r="O230" s="7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 x14ac:dyDescent="0.35">
      <c r="A231" s="9">
        <f t="shared" si="13"/>
        <v>223</v>
      </c>
      <c r="B231" s="15">
        <v>46130</v>
      </c>
      <c r="C231" s="11">
        <f t="shared" si="14"/>
        <v>4</v>
      </c>
      <c r="D231" s="11">
        <v>5</v>
      </c>
      <c r="E231" s="13">
        <v>7</v>
      </c>
      <c r="F231" s="11">
        <v>20</v>
      </c>
      <c r="G231" s="89" t="str">
        <f>IFERROR(VLOOKUP(F231,COA!$A$1:$K$26,2,FALSE),0)</f>
        <v>Iuran Warga Diterima di muka</v>
      </c>
      <c r="H231" s="13"/>
      <c r="I231" s="13" t="s">
        <v>90</v>
      </c>
      <c r="J231" s="78">
        <v>100000</v>
      </c>
      <c r="K231" s="79"/>
      <c r="L231" s="146">
        <f t="shared" si="12"/>
        <v>3733000</v>
      </c>
      <c r="M231" s="73"/>
      <c r="N231" s="73"/>
      <c r="O231" s="7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 x14ac:dyDescent="0.35">
      <c r="A232" s="9">
        <f t="shared" si="13"/>
        <v>224</v>
      </c>
      <c r="B232" s="15">
        <v>46130</v>
      </c>
      <c r="C232" s="11">
        <f t="shared" si="14"/>
        <v>4</v>
      </c>
      <c r="D232" s="11">
        <v>5</v>
      </c>
      <c r="E232" s="13">
        <v>8</v>
      </c>
      <c r="F232" s="11">
        <v>20</v>
      </c>
      <c r="G232" s="89" t="str">
        <f>IFERROR(VLOOKUP(F232,COA!$A$1:$K$26,2,FALSE),0)</f>
        <v>Iuran Warga Diterima di muka</v>
      </c>
      <c r="H232" s="13"/>
      <c r="I232" s="13" t="s">
        <v>90</v>
      </c>
      <c r="J232" s="78">
        <v>100000</v>
      </c>
      <c r="K232" s="79"/>
      <c r="L232" s="146">
        <f t="shared" si="12"/>
        <v>3833000</v>
      </c>
      <c r="M232" s="73"/>
      <c r="N232" s="73"/>
      <c r="O232" s="7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 x14ac:dyDescent="0.35">
      <c r="A233" s="9">
        <f t="shared" si="13"/>
        <v>225</v>
      </c>
      <c r="B233" s="15">
        <v>46130</v>
      </c>
      <c r="C233" s="11">
        <f t="shared" si="14"/>
        <v>4</v>
      </c>
      <c r="D233" s="11">
        <v>5</v>
      </c>
      <c r="E233" s="13">
        <v>9</v>
      </c>
      <c r="F233" s="11">
        <v>20</v>
      </c>
      <c r="G233" s="89" t="str">
        <f>IFERROR(VLOOKUP(F233,COA!$A$1:$K$26,2,FALSE),0)</f>
        <v>Iuran Warga Diterima di muka</v>
      </c>
      <c r="H233" s="13"/>
      <c r="I233" s="13" t="s">
        <v>90</v>
      </c>
      <c r="J233" s="78">
        <v>100000</v>
      </c>
      <c r="K233" s="79"/>
      <c r="L233" s="146">
        <f t="shared" si="12"/>
        <v>3933000</v>
      </c>
      <c r="M233" s="73"/>
      <c r="N233" s="73"/>
      <c r="O233" s="7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 x14ac:dyDescent="0.35">
      <c r="A234" s="9">
        <f t="shared" si="13"/>
        <v>226</v>
      </c>
      <c r="B234" s="15">
        <v>46136</v>
      </c>
      <c r="C234" s="11">
        <f t="shared" si="14"/>
        <v>4</v>
      </c>
      <c r="D234" s="11">
        <v>5</v>
      </c>
      <c r="E234" s="13">
        <v>3</v>
      </c>
      <c r="F234" s="14">
        <v>40</v>
      </c>
      <c r="G234" s="89" t="str">
        <f>IFERROR(VLOOKUP(F234,COA!$A$1:$K$26,2,FALSE),0)</f>
        <v>Penerimaan Iuran Warga</v>
      </c>
      <c r="H234" s="13"/>
      <c r="I234" s="96" t="s">
        <v>106</v>
      </c>
      <c r="J234" s="82">
        <v>100000</v>
      </c>
      <c r="K234" s="79"/>
      <c r="L234" s="146">
        <f t="shared" si="12"/>
        <v>4033000</v>
      </c>
      <c r="M234" s="73"/>
      <c r="N234" s="73"/>
      <c r="O234" s="7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 x14ac:dyDescent="0.35">
      <c r="A235" s="9">
        <f t="shared" si="13"/>
        <v>227</v>
      </c>
      <c r="B235" s="15">
        <v>46136</v>
      </c>
      <c r="C235" s="11">
        <f t="shared" si="14"/>
        <v>4</v>
      </c>
      <c r="D235" s="11">
        <v>5</v>
      </c>
      <c r="E235" s="13">
        <v>4</v>
      </c>
      <c r="F235" s="14">
        <v>40</v>
      </c>
      <c r="G235" s="89" t="str">
        <f>IFERROR(VLOOKUP(F235,COA!$A$1:$K$26,2,FALSE),0)</f>
        <v>Penerimaan Iuran Warga</v>
      </c>
      <c r="H235" s="13"/>
      <c r="I235" s="96" t="s">
        <v>106</v>
      </c>
      <c r="J235" s="82">
        <v>100000</v>
      </c>
      <c r="K235" s="79"/>
      <c r="L235" s="146">
        <f t="shared" si="12"/>
        <v>4133000</v>
      </c>
      <c r="M235" s="73"/>
      <c r="N235" s="73"/>
      <c r="O235" s="7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 x14ac:dyDescent="0.35">
      <c r="A236" s="9">
        <f t="shared" si="13"/>
        <v>228</v>
      </c>
      <c r="B236" s="10">
        <v>46137</v>
      </c>
      <c r="C236" s="11">
        <f t="shared" si="14"/>
        <v>4</v>
      </c>
      <c r="D236" s="11">
        <v>5</v>
      </c>
      <c r="E236" s="11">
        <v>3</v>
      </c>
      <c r="F236" s="11">
        <v>40</v>
      </c>
      <c r="G236" s="89" t="str">
        <f>IFERROR(VLOOKUP(F236,COA!$A$1:$K$26,2,FALSE),0)</f>
        <v>Penerimaan Iuran Warga</v>
      </c>
      <c r="H236" s="13"/>
      <c r="I236" s="13" t="s">
        <v>123</v>
      </c>
      <c r="J236" s="77">
        <v>100000</v>
      </c>
      <c r="K236" s="78"/>
      <c r="L236" s="146">
        <f t="shared" si="12"/>
        <v>4233000</v>
      </c>
      <c r="M236" s="73"/>
      <c r="N236" s="73"/>
      <c r="O236" s="7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 x14ac:dyDescent="0.35">
      <c r="A237" s="9">
        <f t="shared" si="13"/>
        <v>229</v>
      </c>
      <c r="B237" s="10">
        <v>46137</v>
      </c>
      <c r="C237" s="11">
        <f t="shared" si="14"/>
        <v>4</v>
      </c>
      <c r="D237" s="11">
        <v>5</v>
      </c>
      <c r="E237" s="11">
        <v>4</v>
      </c>
      <c r="F237" s="11">
        <v>40</v>
      </c>
      <c r="G237" s="89" t="str">
        <f>IFERROR(VLOOKUP(F237,COA!$A$1:$K$26,2,FALSE),0)</f>
        <v>Penerimaan Iuran Warga</v>
      </c>
      <c r="H237" s="13"/>
      <c r="I237" s="13" t="s">
        <v>123</v>
      </c>
      <c r="J237" s="77">
        <v>100000</v>
      </c>
      <c r="K237" s="78"/>
      <c r="L237" s="146">
        <f t="shared" si="12"/>
        <v>4333000</v>
      </c>
      <c r="M237" s="73"/>
      <c r="N237" s="73"/>
      <c r="O237" s="7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 x14ac:dyDescent="0.35">
      <c r="A238" s="9">
        <f t="shared" si="13"/>
        <v>230</v>
      </c>
      <c r="B238" s="16">
        <v>46137</v>
      </c>
      <c r="C238" s="11">
        <f t="shared" si="14"/>
        <v>4</v>
      </c>
      <c r="D238" s="11">
        <v>5</v>
      </c>
      <c r="E238" s="11">
        <v>1</v>
      </c>
      <c r="F238" s="14">
        <v>40</v>
      </c>
      <c r="G238" s="89" t="str">
        <f>IFERROR(VLOOKUP(F238,COA!$A$1:$K$26,2,FALSE),0)</f>
        <v>Penerimaan Iuran Warga</v>
      </c>
      <c r="H238" s="11"/>
      <c r="I238" s="11" t="s">
        <v>97</v>
      </c>
      <c r="J238" s="78">
        <v>100000</v>
      </c>
      <c r="K238" s="79"/>
      <c r="L238" s="146">
        <f t="shared" si="12"/>
        <v>4433000</v>
      </c>
      <c r="M238" s="73"/>
      <c r="N238" s="73"/>
      <c r="O238" s="7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 x14ac:dyDescent="0.35">
      <c r="A239" s="9">
        <f t="shared" si="13"/>
        <v>231</v>
      </c>
      <c r="B239" s="16">
        <v>46137</v>
      </c>
      <c r="C239" s="11">
        <f t="shared" si="14"/>
        <v>4</v>
      </c>
      <c r="D239" s="11">
        <v>5</v>
      </c>
      <c r="E239" s="11">
        <v>2</v>
      </c>
      <c r="F239" s="14">
        <v>40</v>
      </c>
      <c r="G239" s="89" t="str">
        <f>IFERROR(VLOOKUP(F239,COA!$A$1:$K$26,2,FALSE),0)</f>
        <v>Penerimaan Iuran Warga</v>
      </c>
      <c r="H239" s="11"/>
      <c r="I239" s="11" t="s">
        <v>97</v>
      </c>
      <c r="J239" s="78">
        <v>100000</v>
      </c>
      <c r="K239" s="79"/>
      <c r="L239" s="146">
        <f t="shared" si="12"/>
        <v>4533000</v>
      </c>
      <c r="M239" s="73"/>
      <c r="N239" s="73"/>
      <c r="O239" s="7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 x14ac:dyDescent="0.35">
      <c r="A240" s="9">
        <f t="shared" si="13"/>
        <v>232</v>
      </c>
      <c r="B240" s="16">
        <v>46137</v>
      </c>
      <c r="C240" s="11">
        <f t="shared" si="14"/>
        <v>4</v>
      </c>
      <c r="D240" s="11">
        <v>5</v>
      </c>
      <c r="E240" s="11">
        <v>3</v>
      </c>
      <c r="F240" s="14">
        <v>40</v>
      </c>
      <c r="G240" s="89" t="str">
        <f>IFERROR(VLOOKUP(F240,COA!$A$1:$K$26,2,FALSE),0)</f>
        <v>Penerimaan Iuran Warga</v>
      </c>
      <c r="H240" s="11"/>
      <c r="I240" s="11" t="s">
        <v>97</v>
      </c>
      <c r="J240" s="78">
        <v>100000</v>
      </c>
      <c r="K240" s="79"/>
      <c r="L240" s="146">
        <f t="shared" si="12"/>
        <v>4633000</v>
      </c>
      <c r="M240" s="73"/>
      <c r="N240" s="73"/>
      <c r="O240" s="7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 x14ac:dyDescent="0.35">
      <c r="A241" s="9">
        <f t="shared" si="13"/>
        <v>233</v>
      </c>
      <c r="B241" s="16">
        <v>46137</v>
      </c>
      <c r="C241" s="11">
        <f t="shared" si="14"/>
        <v>4</v>
      </c>
      <c r="D241" s="11">
        <v>5</v>
      </c>
      <c r="E241" s="11">
        <v>4</v>
      </c>
      <c r="F241" s="14">
        <v>40</v>
      </c>
      <c r="G241" s="89" t="str">
        <f>IFERROR(VLOOKUP(F241,COA!$A$1:$K$26,2,FALSE),0)</f>
        <v>Penerimaan Iuran Warga</v>
      </c>
      <c r="H241" s="11"/>
      <c r="I241" s="11" t="s">
        <v>97</v>
      </c>
      <c r="J241" s="78">
        <v>100000</v>
      </c>
      <c r="K241" s="78"/>
      <c r="L241" s="146">
        <f t="shared" si="12"/>
        <v>4733000</v>
      </c>
      <c r="M241" s="73"/>
      <c r="N241" s="73"/>
      <c r="O241" s="7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 x14ac:dyDescent="0.35">
      <c r="A242" s="9">
        <f t="shared" si="13"/>
        <v>234</v>
      </c>
      <c r="B242" s="16">
        <v>46137</v>
      </c>
      <c r="C242" s="11">
        <f t="shared" si="14"/>
        <v>4</v>
      </c>
      <c r="D242" s="11">
        <v>5</v>
      </c>
      <c r="E242" s="11">
        <v>1</v>
      </c>
      <c r="F242" s="14">
        <v>40</v>
      </c>
      <c r="G242" s="89" t="str">
        <f>IFERROR(VLOOKUP(F242,COA!$A$1:$K$26,2,FALSE),0)</f>
        <v>Penerimaan Iuran Warga</v>
      </c>
      <c r="H242" s="11"/>
      <c r="I242" s="11" t="s">
        <v>105</v>
      </c>
      <c r="J242" s="78">
        <v>100000</v>
      </c>
      <c r="K242" s="78"/>
      <c r="L242" s="146">
        <f t="shared" si="12"/>
        <v>4833000</v>
      </c>
      <c r="M242" s="73"/>
      <c r="N242" s="73"/>
      <c r="O242" s="7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 x14ac:dyDescent="0.35">
      <c r="A243" s="9">
        <f t="shared" si="13"/>
        <v>235</v>
      </c>
      <c r="B243" s="16">
        <v>46137</v>
      </c>
      <c r="C243" s="11">
        <f t="shared" si="14"/>
        <v>4</v>
      </c>
      <c r="D243" s="11">
        <v>5</v>
      </c>
      <c r="E243" s="11">
        <v>2</v>
      </c>
      <c r="F243" s="14">
        <v>40</v>
      </c>
      <c r="G243" s="89" t="str">
        <f>IFERROR(VLOOKUP(F243,COA!$A$1:$K$26,2,FALSE),0)</f>
        <v>Penerimaan Iuran Warga</v>
      </c>
      <c r="H243" s="11"/>
      <c r="I243" s="11" t="s">
        <v>105</v>
      </c>
      <c r="J243" s="78">
        <v>100000</v>
      </c>
      <c r="K243" s="78"/>
      <c r="L243" s="146">
        <f t="shared" si="12"/>
        <v>4933000</v>
      </c>
      <c r="M243" s="73"/>
      <c r="N243" s="73"/>
      <c r="O243" s="7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 x14ac:dyDescent="0.35">
      <c r="A244" s="9">
        <f t="shared" si="13"/>
        <v>236</v>
      </c>
      <c r="B244" s="16">
        <v>46137</v>
      </c>
      <c r="C244" s="11">
        <f t="shared" si="14"/>
        <v>4</v>
      </c>
      <c r="D244" s="11">
        <v>5</v>
      </c>
      <c r="E244" s="11">
        <v>3</v>
      </c>
      <c r="F244" s="14">
        <v>40</v>
      </c>
      <c r="G244" s="89" t="str">
        <f>IFERROR(VLOOKUP(F244,COA!$A$1:$K$26,2,FALSE),0)</f>
        <v>Penerimaan Iuran Warga</v>
      </c>
      <c r="H244" s="11"/>
      <c r="I244" s="11" t="s">
        <v>105</v>
      </c>
      <c r="J244" s="78">
        <v>100000</v>
      </c>
      <c r="K244" s="78"/>
      <c r="L244" s="146">
        <f t="shared" si="12"/>
        <v>5033000</v>
      </c>
      <c r="M244" s="73"/>
      <c r="N244" s="73"/>
      <c r="O244" s="7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 x14ac:dyDescent="0.35">
      <c r="A245" s="9">
        <f t="shared" si="13"/>
        <v>237</v>
      </c>
      <c r="B245" s="16">
        <v>46137</v>
      </c>
      <c r="C245" s="11">
        <f t="shared" si="14"/>
        <v>4</v>
      </c>
      <c r="D245" s="11">
        <v>5</v>
      </c>
      <c r="E245" s="11">
        <v>4</v>
      </c>
      <c r="F245" s="14">
        <v>40</v>
      </c>
      <c r="G245" s="89" t="str">
        <f>IFERROR(VLOOKUP(F245,COA!$A$1:$K$26,2,FALSE),0)</f>
        <v>Penerimaan Iuran Warga</v>
      </c>
      <c r="H245" s="11"/>
      <c r="I245" s="11" t="s">
        <v>105</v>
      </c>
      <c r="J245" s="78">
        <v>100000</v>
      </c>
      <c r="K245" s="78"/>
      <c r="L245" s="146">
        <f t="shared" si="12"/>
        <v>5133000</v>
      </c>
      <c r="M245" s="73"/>
      <c r="N245" s="73"/>
      <c r="O245" s="7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 x14ac:dyDescent="0.35">
      <c r="A246" s="9">
        <f t="shared" si="13"/>
        <v>238</v>
      </c>
      <c r="B246" s="16">
        <v>46137</v>
      </c>
      <c r="C246" s="11">
        <f t="shared" si="14"/>
        <v>4</v>
      </c>
      <c r="D246" s="11">
        <v>5</v>
      </c>
      <c r="E246" s="11">
        <v>1</v>
      </c>
      <c r="F246" s="14">
        <v>40</v>
      </c>
      <c r="G246" s="89" t="str">
        <f>IFERROR(VLOOKUP(F246,COA!$A$1:$K$26,2,FALSE),0)</f>
        <v>Penerimaan Iuran Warga</v>
      </c>
      <c r="H246" s="11"/>
      <c r="I246" s="11" t="s">
        <v>126</v>
      </c>
      <c r="J246" s="78">
        <v>100000</v>
      </c>
      <c r="K246" s="78"/>
      <c r="L246" s="146">
        <f t="shared" si="12"/>
        <v>5233000</v>
      </c>
      <c r="M246" s="73"/>
      <c r="N246" s="73"/>
      <c r="O246" s="7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 x14ac:dyDescent="0.35">
      <c r="A247" s="9">
        <f t="shared" si="13"/>
        <v>239</v>
      </c>
      <c r="B247" s="16">
        <v>46137</v>
      </c>
      <c r="C247" s="11">
        <f t="shared" si="14"/>
        <v>4</v>
      </c>
      <c r="D247" s="11">
        <v>5</v>
      </c>
      <c r="E247" s="11">
        <v>2</v>
      </c>
      <c r="F247" s="14">
        <v>40</v>
      </c>
      <c r="G247" s="89" t="str">
        <f>IFERROR(VLOOKUP(F247,COA!$A$1:$K$26,2,FALSE),0)</f>
        <v>Penerimaan Iuran Warga</v>
      </c>
      <c r="H247" s="11"/>
      <c r="I247" s="11" t="s">
        <v>126</v>
      </c>
      <c r="J247" s="78">
        <v>100000</v>
      </c>
      <c r="K247" s="79"/>
      <c r="L247" s="146">
        <f t="shared" si="12"/>
        <v>5333000</v>
      </c>
      <c r="M247" s="73"/>
      <c r="N247" s="73"/>
      <c r="O247" s="7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 x14ac:dyDescent="0.35">
      <c r="A248" s="9">
        <f t="shared" si="13"/>
        <v>240</v>
      </c>
      <c r="B248" s="16">
        <v>46137</v>
      </c>
      <c r="C248" s="11">
        <f t="shared" si="14"/>
        <v>4</v>
      </c>
      <c r="D248" s="11">
        <v>5</v>
      </c>
      <c r="E248" s="11">
        <v>3</v>
      </c>
      <c r="F248" s="14">
        <v>40</v>
      </c>
      <c r="G248" s="89" t="str">
        <f>IFERROR(VLOOKUP(F248,COA!$A$1:$K$26,2,FALSE),0)</f>
        <v>Penerimaan Iuran Warga</v>
      </c>
      <c r="H248" s="11"/>
      <c r="I248" s="11" t="s">
        <v>126</v>
      </c>
      <c r="J248" s="78">
        <v>100000</v>
      </c>
      <c r="K248" s="79"/>
      <c r="L248" s="146">
        <f t="shared" si="12"/>
        <v>5433000</v>
      </c>
      <c r="M248" s="73"/>
      <c r="N248" s="73"/>
      <c r="O248" s="7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 x14ac:dyDescent="0.35">
      <c r="A249" s="9">
        <f t="shared" si="13"/>
        <v>241</v>
      </c>
      <c r="B249" s="16">
        <v>46137</v>
      </c>
      <c r="C249" s="11">
        <f t="shared" si="14"/>
        <v>4</v>
      </c>
      <c r="D249" s="11">
        <v>5</v>
      </c>
      <c r="E249" s="11">
        <v>4</v>
      </c>
      <c r="F249" s="14">
        <v>40</v>
      </c>
      <c r="G249" s="89" t="str">
        <f>IFERROR(VLOOKUP(F249,COA!$A$1:$K$26,2,FALSE),0)</f>
        <v>Penerimaan Iuran Warga</v>
      </c>
      <c r="H249" s="11"/>
      <c r="I249" s="11" t="s">
        <v>126</v>
      </c>
      <c r="J249" s="78">
        <v>100000</v>
      </c>
      <c r="K249" s="79"/>
      <c r="L249" s="146">
        <f t="shared" si="12"/>
        <v>5533000</v>
      </c>
      <c r="M249" s="73"/>
      <c r="N249" s="73"/>
      <c r="O249" s="7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 x14ac:dyDescent="0.35">
      <c r="A250" s="9">
        <f t="shared" si="13"/>
        <v>242</v>
      </c>
      <c r="B250" s="16">
        <v>46137</v>
      </c>
      <c r="C250" s="11">
        <f t="shared" si="14"/>
        <v>4</v>
      </c>
      <c r="D250" s="11">
        <v>5</v>
      </c>
      <c r="E250" s="11">
        <v>5</v>
      </c>
      <c r="F250" s="14">
        <v>40</v>
      </c>
      <c r="G250" s="89" t="str">
        <f>IFERROR(VLOOKUP(F250,COA!$A$1:$K$26,2,FALSE),0)</f>
        <v>Penerimaan Iuran Warga</v>
      </c>
      <c r="H250" s="11"/>
      <c r="I250" s="11" t="s">
        <v>126</v>
      </c>
      <c r="J250" s="78">
        <v>100000</v>
      </c>
      <c r="K250" s="79"/>
      <c r="L250" s="146">
        <f t="shared" si="12"/>
        <v>5633000</v>
      </c>
      <c r="M250" s="73"/>
      <c r="N250" s="73"/>
      <c r="O250" s="7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 x14ac:dyDescent="0.35">
      <c r="A251" s="9">
        <f t="shared" si="13"/>
        <v>243</v>
      </c>
      <c r="B251" s="16">
        <v>46137</v>
      </c>
      <c r="C251" s="11">
        <f t="shared" si="14"/>
        <v>4</v>
      </c>
      <c r="D251" s="11">
        <v>5</v>
      </c>
      <c r="E251" s="11">
        <v>6</v>
      </c>
      <c r="F251" s="14">
        <v>20</v>
      </c>
      <c r="G251" s="89" t="str">
        <f>IFERROR(VLOOKUP(F251,COA!$A$1:$K$26,2,FALSE),0)</f>
        <v>Iuran Warga Diterima di muka</v>
      </c>
      <c r="H251" s="11"/>
      <c r="I251" s="11" t="s">
        <v>126</v>
      </c>
      <c r="J251" s="78">
        <v>100000</v>
      </c>
      <c r="K251" s="78"/>
      <c r="L251" s="146">
        <f t="shared" si="12"/>
        <v>5733000</v>
      </c>
      <c r="M251" s="73"/>
      <c r="N251" s="73"/>
      <c r="O251" s="7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 x14ac:dyDescent="0.35">
      <c r="A252" s="9">
        <f t="shared" si="13"/>
        <v>244</v>
      </c>
      <c r="B252" s="16">
        <v>46137</v>
      </c>
      <c r="C252" s="11">
        <f t="shared" si="14"/>
        <v>4</v>
      </c>
      <c r="D252" s="11">
        <v>5</v>
      </c>
      <c r="E252" s="11">
        <v>3</v>
      </c>
      <c r="F252" s="14">
        <v>40</v>
      </c>
      <c r="G252" s="89" t="str">
        <f>IFERROR(VLOOKUP(F252,COA!$A$1:$K$26,2,FALSE),0)</f>
        <v>Penerimaan Iuran Warga</v>
      </c>
      <c r="H252" s="11"/>
      <c r="I252" s="11" t="s">
        <v>178</v>
      </c>
      <c r="J252" s="78">
        <v>100000</v>
      </c>
      <c r="K252" s="79"/>
      <c r="L252" s="146">
        <f t="shared" si="12"/>
        <v>5833000</v>
      </c>
      <c r="M252" s="73"/>
      <c r="N252" s="73"/>
      <c r="O252" s="7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 x14ac:dyDescent="0.35">
      <c r="A253" s="9">
        <f t="shared" si="13"/>
        <v>245</v>
      </c>
      <c r="B253" s="16">
        <v>46137</v>
      </c>
      <c r="C253" s="11">
        <f t="shared" si="14"/>
        <v>4</v>
      </c>
      <c r="D253" s="11">
        <v>5</v>
      </c>
      <c r="E253" s="11">
        <v>4</v>
      </c>
      <c r="F253" s="14">
        <v>40</v>
      </c>
      <c r="G253" s="89" t="str">
        <f>IFERROR(VLOOKUP(F253,COA!$A$1:$K$26,2,FALSE),0)</f>
        <v>Penerimaan Iuran Warga</v>
      </c>
      <c r="H253" s="11"/>
      <c r="I253" s="11" t="s">
        <v>178</v>
      </c>
      <c r="J253" s="78">
        <v>100000</v>
      </c>
      <c r="K253" s="79"/>
      <c r="L253" s="146">
        <f t="shared" si="12"/>
        <v>5933000</v>
      </c>
      <c r="M253" s="73"/>
      <c r="N253" s="73"/>
      <c r="O253" s="7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 x14ac:dyDescent="0.35">
      <c r="A254" s="9">
        <f t="shared" si="13"/>
        <v>246</v>
      </c>
      <c r="B254" s="16">
        <v>46137</v>
      </c>
      <c r="C254" s="11">
        <f t="shared" si="14"/>
        <v>4</v>
      </c>
      <c r="D254" s="11">
        <v>5</v>
      </c>
      <c r="E254" s="11">
        <v>1</v>
      </c>
      <c r="F254" s="14">
        <v>40</v>
      </c>
      <c r="G254" s="89" t="str">
        <f>IFERROR(VLOOKUP(F254,COA!$A$1:$K$26,2,FALSE),0)</f>
        <v>Penerimaan Iuran Warga</v>
      </c>
      <c r="H254" s="11"/>
      <c r="I254" s="11" t="s">
        <v>122</v>
      </c>
      <c r="J254" s="78">
        <v>100000</v>
      </c>
      <c r="K254" s="79"/>
      <c r="L254" s="146">
        <f t="shared" si="12"/>
        <v>6033000</v>
      </c>
      <c r="M254" s="73"/>
      <c r="N254" s="73"/>
      <c r="O254" s="7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 x14ac:dyDescent="0.35">
      <c r="A255" s="9">
        <f t="shared" si="13"/>
        <v>247</v>
      </c>
      <c r="B255" s="16">
        <v>46137</v>
      </c>
      <c r="C255" s="11">
        <f t="shared" si="14"/>
        <v>4</v>
      </c>
      <c r="D255" s="11">
        <v>5</v>
      </c>
      <c r="E255" s="11">
        <v>2</v>
      </c>
      <c r="F255" s="14">
        <v>40</v>
      </c>
      <c r="G255" s="89" t="str">
        <f>IFERROR(VLOOKUP(F255,COA!$A$1:$K$26,2,FALSE),0)</f>
        <v>Penerimaan Iuran Warga</v>
      </c>
      <c r="H255" s="11"/>
      <c r="I255" s="11" t="s">
        <v>122</v>
      </c>
      <c r="J255" s="78">
        <v>100000</v>
      </c>
      <c r="K255" s="78"/>
      <c r="L255" s="146">
        <f t="shared" si="12"/>
        <v>6133000</v>
      </c>
      <c r="M255" s="73"/>
      <c r="N255" s="73"/>
      <c r="O255" s="7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 x14ac:dyDescent="0.35">
      <c r="A256" s="9">
        <f t="shared" si="13"/>
        <v>248</v>
      </c>
      <c r="B256" s="16">
        <v>46137</v>
      </c>
      <c r="C256" s="11">
        <f t="shared" si="14"/>
        <v>4</v>
      </c>
      <c r="D256" s="11">
        <v>5</v>
      </c>
      <c r="E256" s="11">
        <v>3</v>
      </c>
      <c r="F256" s="14">
        <v>40</v>
      </c>
      <c r="G256" s="89" t="str">
        <f>IFERROR(VLOOKUP(F256,COA!$A$1:$K$26,2,FALSE),0)</f>
        <v>Penerimaan Iuran Warga</v>
      </c>
      <c r="H256" s="11"/>
      <c r="I256" s="11" t="s">
        <v>122</v>
      </c>
      <c r="J256" s="78">
        <v>100000</v>
      </c>
      <c r="K256" s="78"/>
      <c r="L256" s="146">
        <f t="shared" si="12"/>
        <v>6233000</v>
      </c>
      <c r="M256" s="73"/>
      <c r="N256" s="73"/>
      <c r="O256" s="7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 x14ac:dyDescent="0.35">
      <c r="A257" s="9">
        <f t="shared" si="13"/>
        <v>249</v>
      </c>
      <c r="B257" s="16">
        <v>46137</v>
      </c>
      <c r="C257" s="11">
        <f t="shared" si="14"/>
        <v>4</v>
      </c>
      <c r="D257" s="11">
        <v>5</v>
      </c>
      <c r="E257" s="11">
        <v>4</v>
      </c>
      <c r="F257" s="14">
        <v>40</v>
      </c>
      <c r="G257" s="89" t="str">
        <f>IFERROR(VLOOKUP(F257,COA!$A$1:$K$26,2,FALSE),0)</f>
        <v>Penerimaan Iuran Warga</v>
      </c>
      <c r="H257" s="11"/>
      <c r="I257" s="11" t="s">
        <v>122</v>
      </c>
      <c r="J257" s="78">
        <v>100000</v>
      </c>
      <c r="K257" s="78"/>
      <c r="L257" s="146">
        <f t="shared" si="12"/>
        <v>6333000</v>
      </c>
      <c r="M257" s="73"/>
      <c r="N257" s="73"/>
      <c r="O257" s="7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 x14ac:dyDescent="0.35">
      <c r="A258" s="9">
        <f t="shared" si="13"/>
        <v>250</v>
      </c>
      <c r="B258" s="16">
        <v>46137</v>
      </c>
      <c r="C258" s="11">
        <f t="shared" si="14"/>
        <v>4</v>
      </c>
      <c r="D258" s="11">
        <v>5</v>
      </c>
      <c r="E258" s="11">
        <v>5</v>
      </c>
      <c r="F258" s="14">
        <v>40</v>
      </c>
      <c r="G258" s="89" t="str">
        <f>IFERROR(VLOOKUP(F258,COA!$A$1:$K$26,2,FALSE),0)</f>
        <v>Penerimaan Iuran Warga</v>
      </c>
      <c r="H258" s="11"/>
      <c r="I258" s="11" t="s">
        <v>122</v>
      </c>
      <c r="J258" s="78">
        <v>100000</v>
      </c>
      <c r="K258" s="78"/>
      <c r="L258" s="146">
        <f t="shared" si="12"/>
        <v>6433000</v>
      </c>
      <c r="M258" s="73"/>
      <c r="N258" s="73"/>
      <c r="O258" s="7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 x14ac:dyDescent="0.35">
      <c r="A259" s="9">
        <f t="shared" si="13"/>
        <v>251</v>
      </c>
      <c r="B259" s="16">
        <v>46137</v>
      </c>
      <c r="C259" s="11">
        <f t="shared" si="14"/>
        <v>4</v>
      </c>
      <c r="D259" s="11">
        <v>5</v>
      </c>
      <c r="E259" s="11">
        <v>6</v>
      </c>
      <c r="F259" s="14">
        <v>20</v>
      </c>
      <c r="G259" s="89" t="str">
        <f>IFERROR(VLOOKUP(F259,COA!$A$1:$K$26,2,FALSE),0)</f>
        <v>Iuran Warga Diterima di muka</v>
      </c>
      <c r="H259" s="11"/>
      <c r="I259" s="11" t="s">
        <v>122</v>
      </c>
      <c r="J259" s="78">
        <v>100000</v>
      </c>
      <c r="K259" s="79"/>
      <c r="L259" s="146">
        <f t="shared" si="12"/>
        <v>6533000</v>
      </c>
      <c r="M259" s="73"/>
      <c r="N259" s="73"/>
      <c r="O259" s="7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 x14ac:dyDescent="0.35">
      <c r="A260" s="9">
        <f t="shared" si="13"/>
        <v>252</v>
      </c>
      <c r="B260" s="16">
        <v>46137</v>
      </c>
      <c r="C260" s="11">
        <f t="shared" si="14"/>
        <v>4</v>
      </c>
      <c r="D260" s="11">
        <v>5</v>
      </c>
      <c r="E260" s="11">
        <v>7</v>
      </c>
      <c r="F260" s="14">
        <v>20</v>
      </c>
      <c r="G260" s="89" t="str">
        <f>IFERROR(VLOOKUP(F260,COA!$A$1:$K$26,2,FALSE),0)</f>
        <v>Iuran Warga Diterima di muka</v>
      </c>
      <c r="H260" s="11"/>
      <c r="I260" s="11" t="s">
        <v>122</v>
      </c>
      <c r="J260" s="78">
        <v>100000</v>
      </c>
      <c r="K260" s="79"/>
      <c r="L260" s="146">
        <f t="shared" si="12"/>
        <v>6633000</v>
      </c>
      <c r="M260" s="73"/>
      <c r="N260" s="73"/>
      <c r="O260" s="7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 x14ac:dyDescent="0.35">
      <c r="A261" s="9">
        <f t="shared" si="13"/>
        <v>253</v>
      </c>
      <c r="B261" s="16">
        <v>46137</v>
      </c>
      <c r="C261" s="11">
        <f t="shared" si="14"/>
        <v>4</v>
      </c>
      <c r="D261" s="11">
        <v>5</v>
      </c>
      <c r="E261" s="11">
        <v>8</v>
      </c>
      <c r="F261" s="14">
        <v>20</v>
      </c>
      <c r="G261" s="89" t="str">
        <f>IFERROR(VLOOKUP(F261,COA!$A$1:$K$26,2,FALSE),0)</f>
        <v>Iuran Warga Diterima di muka</v>
      </c>
      <c r="H261" s="11"/>
      <c r="I261" s="11" t="s">
        <v>122</v>
      </c>
      <c r="J261" s="78">
        <v>100000</v>
      </c>
      <c r="K261" s="79"/>
      <c r="L261" s="146">
        <f t="shared" si="12"/>
        <v>6733000</v>
      </c>
      <c r="M261" s="73"/>
      <c r="N261" s="73"/>
      <c r="O261" s="7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 x14ac:dyDescent="0.35">
      <c r="A262" s="9">
        <f t="shared" si="13"/>
        <v>254</v>
      </c>
      <c r="B262" s="16">
        <v>46137</v>
      </c>
      <c r="C262" s="11">
        <f t="shared" si="14"/>
        <v>4</v>
      </c>
      <c r="D262" s="11">
        <v>5</v>
      </c>
      <c r="E262" s="11">
        <v>9</v>
      </c>
      <c r="F262" s="14">
        <v>20</v>
      </c>
      <c r="G262" s="89" t="str">
        <f>IFERROR(VLOOKUP(F262,COA!$A$1:$K$26,2,FALSE),0)</f>
        <v>Iuran Warga Diterima di muka</v>
      </c>
      <c r="H262" s="11"/>
      <c r="I262" s="11" t="s">
        <v>122</v>
      </c>
      <c r="J262" s="78">
        <v>100000</v>
      </c>
      <c r="K262" s="79"/>
      <c r="L262" s="146">
        <f t="shared" si="12"/>
        <v>6833000</v>
      </c>
      <c r="M262" s="73"/>
      <c r="N262" s="73"/>
      <c r="O262" s="7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 x14ac:dyDescent="0.35">
      <c r="A263" s="9">
        <f t="shared" si="13"/>
        <v>255</v>
      </c>
      <c r="B263" s="16">
        <v>46137</v>
      </c>
      <c r="C263" s="11">
        <f t="shared" si="14"/>
        <v>4</v>
      </c>
      <c r="D263" s="11">
        <v>5</v>
      </c>
      <c r="E263" s="13">
        <v>10</v>
      </c>
      <c r="F263" s="14">
        <v>20</v>
      </c>
      <c r="G263" s="89" t="str">
        <f>IFERROR(VLOOKUP(F263,COA!$A$1:$K$26,2,FALSE),0)</f>
        <v>Iuran Warga Diterima di muka</v>
      </c>
      <c r="H263" s="13"/>
      <c r="I263" s="13" t="s">
        <v>122</v>
      </c>
      <c r="J263" s="78">
        <v>100000</v>
      </c>
      <c r="K263" s="78"/>
      <c r="L263" s="146">
        <f t="shared" si="12"/>
        <v>6933000</v>
      </c>
      <c r="M263" s="73"/>
      <c r="N263" s="73"/>
      <c r="O263" s="7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 x14ac:dyDescent="0.35">
      <c r="A264" s="9">
        <f t="shared" si="13"/>
        <v>256</v>
      </c>
      <c r="B264" s="16">
        <v>46137</v>
      </c>
      <c r="C264" s="11">
        <f t="shared" si="14"/>
        <v>4</v>
      </c>
      <c r="D264" s="11">
        <v>5</v>
      </c>
      <c r="E264" s="13">
        <v>11</v>
      </c>
      <c r="F264" s="14">
        <v>20</v>
      </c>
      <c r="G264" s="89" t="str">
        <f>IFERROR(VLOOKUP(F264,COA!$A$1:$K$26,2,FALSE),0)</f>
        <v>Iuran Warga Diterima di muka</v>
      </c>
      <c r="H264" s="13"/>
      <c r="I264" s="13" t="s">
        <v>122</v>
      </c>
      <c r="J264" s="78">
        <v>100000</v>
      </c>
      <c r="K264" s="78"/>
      <c r="L264" s="146">
        <f t="shared" si="12"/>
        <v>7033000</v>
      </c>
      <c r="M264" s="73"/>
      <c r="N264" s="73"/>
      <c r="O264" s="7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 x14ac:dyDescent="0.35">
      <c r="A265" s="9">
        <f t="shared" si="13"/>
        <v>257</v>
      </c>
      <c r="B265" s="15">
        <v>46137</v>
      </c>
      <c r="C265" s="11">
        <f t="shared" si="14"/>
        <v>4</v>
      </c>
      <c r="D265" s="11">
        <v>5</v>
      </c>
      <c r="E265" s="13">
        <v>5</v>
      </c>
      <c r="F265" s="14">
        <v>40</v>
      </c>
      <c r="G265" s="89" t="str">
        <f>IFERROR(VLOOKUP(F265,COA!$A$1:$K$26,2,FALSE),0)</f>
        <v>Penerimaan Iuran Warga</v>
      </c>
      <c r="H265" s="13"/>
      <c r="I265" s="96" t="s">
        <v>81</v>
      </c>
      <c r="J265" s="78">
        <v>100000</v>
      </c>
      <c r="K265" s="78"/>
      <c r="L265" s="146">
        <f t="shared" si="12"/>
        <v>7133000</v>
      </c>
      <c r="M265" s="73"/>
      <c r="N265" s="73"/>
      <c r="O265" s="7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 x14ac:dyDescent="0.35">
      <c r="A266" s="9">
        <f t="shared" si="13"/>
        <v>258</v>
      </c>
      <c r="B266" s="15">
        <v>46137</v>
      </c>
      <c r="C266" s="11">
        <f t="shared" si="14"/>
        <v>4</v>
      </c>
      <c r="D266" s="11">
        <v>5</v>
      </c>
      <c r="E266" s="13">
        <v>6</v>
      </c>
      <c r="F266" s="14">
        <v>20</v>
      </c>
      <c r="G266" s="89" t="str">
        <f>IFERROR(VLOOKUP(F266,COA!$A$1:$K$26,2,FALSE),0)</f>
        <v>Iuran Warga Diterima di muka</v>
      </c>
      <c r="H266" s="13"/>
      <c r="I266" s="96" t="s">
        <v>81</v>
      </c>
      <c r="J266" s="78">
        <v>100000</v>
      </c>
      <c r="K266" s="78"/>
      <c r="L266" s="146">
        <f t="shared" ref="L266:L329" si="15">L265+J266-K266</f>
        <v>7233000</v>
      </c>
      <c r="M266" s="73"/>
      <c r="N266" s="73"/>
      <c r="O266" s="7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 x14ac:dyDescent="0.35">
      <c r="A267" s="9">
        <f t="shared" si="13"/>
        <v>259</v>
      </c>
      <c r="B267" s="15">
        <v>46137</v>
      </c>
      <c r="C267" s="11">
        <f t="shared" si="14"/>
        <v>4</v>
      </c>
      <c r="D267" s="11">
        <v>5</v>
      </c>
      <c r="E267" s="13">
        <v>7</v>
      </c>
      <c r="F267" s="14">
        <v>20</v>
      </c>
      <c r="G267" s="89" t="str">
        <f>IFERROR(VLOOKUP(F267,COA!$A$1:$K$26,2,FALSE),0)</f>
        <v>Iuran Warga Diterima di muka</v>
      </c>
      <c r="H267" s="13"/>
      <c r="I267" s="96" t="s">
        <v>81</v>
      </c>
      <c r="J267" s="78">
        <v>100000</v>
      </c>
      <c r="K267" s="78"/>
      <c r="L267" s="146">
        <f t="shared" si="15"/>
        <v>7333000</v>
      </c>
      <c r="M267" s="73"/>
      <c r="N267" s="73"/>
      <c r="O267" s="7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 x14ac:dyDescent="0.35">
      <c r="A268" s="9">
        <f t="shared" ref="A268:A331" si="16">A267+1</f>
        <v>260</v>
      </c>
      <c r="B268" s="15">
        <v>46137</v>
      </c>
      <c r="C268" s="11">
        <f t="shared" si="14"/>
        <v>4</v>
      </c>
      <c r="D268" s="11">
        <v>5</v>
      </c>
      <c r="E268" s="13">
        <v>8</v>
      </c>
      <c r="F268" s="14">
        <v>20</v>
      </c>
      <c r="G268" s="89" t="str">
        <f>IFERROR(VLOOKUP(F268,COA!$A$1:$K$26,2,FALSE),0)</f>
        <v>Iuran Warga Diterima di muka</v>
      </c>
      <c r="H268" s="13"/>
      <c r="I268" s="96" t="s">
        <v>81</v>
      </c>
      <c r="J268" s="78">
        <v>100000</v>
      </c>
      <c r="K268" s="78"/>
      <c r="L268" s="146">
        <f t="shared" si="15"/>
        <v>7433000</v>
      </c>
      <c r="M268" s="73"/>
      <c r="N268" s="73"/>
      <c r="O268" s="7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 x14ac:dyDescent="0.35">
      <c r="A269" s="9">
        <f t="shared" si="16"/>
        <v>261</v>
      </c>
      <c r="B269" s="15">
        <v>46137</v>
      </c>
      <c r="C269" s="11">
        <f t="shared" si="14"/>
        <v>4</v>
      </c>
      <c r="D269" s="11">
        <v>5</v>
      </c>
      <c r="E269" s="13">
        <v>9</v>
      </c>
      <c r="F269" s="14">
        <v>20</v>
      </c>
      <c r="G269" s="89" t="str">
        <f>IFERROR(VLOOKUP(F269,COA!$A$1:$K$26,2,FALSE),0)</f>
        <v>Iuran Warga Diterima di muka</v>
      </c>
      <c r="H269" s="13"/>
      <c r="I269" s="96" t="s">
        <v>81</v>
      </c>
      <c r="J269" s="78">
        <v>100000</v>
      </c>
      <c r="K269" s="78"/>
      <c r="L269" s="146">
        <f t="shared" si="15"/>
        <v>7533000</v>
      </c>
      <c r="M269" s="73"/>
      <c r="N269" s="73"/>
      <c r="O269" s="7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 x14ac:dyDescent="0.35">
      <c r="A270" s="9">
        <f t="shared" si="16"/>
        <v>262</v>
      </c>
      <c r="B270" s="15">
        <v>46137</v>
      </c>
      <c r="C270" s="11">
        <f t="shared" si="14"/>
        <v>4</v>
      </c>
      <c r="D270" s="11">
        <v>5</v>
      </c>
      <c r="E270" s="13">
        <v>10</v>
      </c>
      <c r="F270" s="14">
        <v>20</v>
      </c>
      <c r="G270" s="89" t="str">
        <f>IFERROR(VLOOKUP(F270,COA!$A$1:$K$26,2,FALSE),0)</f>
        <v>Iuran Warga Diterima di muka</v>
      </c>
      <c r="H270" s="13"/>
      <c r="I270" s="96" t="s">
        <v>81</v>
      </c>
      <c r="J270" s="78">
        <v>100000</v>
      </c>
      <c r="K270" s="78"/>
      <c r="L270" s="146">
        <f t="shared" si="15"/>
        <v>7633000</v>
      </c>
      <c r="M270" s="73"/>
      <c r="N270" s="73"/>
      <c r="O270" s="7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 x14ac:dyDescent="0.35">
      <c r="A271" s="9">
        <f t="shared" si="16"/>
        <v>263</v>
      </c>
      <c r="B271" s="15">
        <v>46137</v>
      </c>
      <c r="C271" s="11">
        <f t="shared" si="14"/>
        <v>4</v>
      </c>
      <c r="D271" s="11">
        <v>5</v>
      </c>
      <c r="E271" s="13">
        <v>11</v>
      </c>
      <c r="F271" s="14">
        <v>20</v>
      </c>
      <c r="G271" s="89" t="str">
        <f>IFERROR(VLOOKUP(F271,COA!$A$1:$K$26,2,FALSE),0)</f>
        <v>Iuran Warga Diterima di muka</v>
      </c>
      <c r="H271" s="13"/>
      <c r="I271" s="96" t="s">
        <v>81</v>
      </c>
      <c r="J271" s="78">
        <v>100000</v>
      </c>
      <c r="K271" s="78"/>
      <c r="L271" s="146">
        <f t="shared" si="15"/>
        <v>7733000</v>
      </c>
      <c r="M271" s="73"/>
      <c r="N271" s="73"/>
      <c r="O271" s="7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 x14ac:dyDescent="0.35">
      <c r="A272" s="9">
        <f t="shared" si="16"/>
        <v>264</v>
      </c>
      <c r="B272" s="15">
        <v>46137</v>
      </c>
      <c r="C272" s="11">
        <f t="shared" ref="C272:C349" si="17">MONTH(B272)</f>
        <v>4</v>
      </c>
      <c r="D272" s="11">
        <v>5</v>
      </c>
      <c r="E272" s="11">
        <v>12</v>
      </c>
      <c r="F272" s="14">
        <v>20</v>
      </c>
      <c r="G272" s="89" t="str">
        <f>IFERROR(VLOOKUP(F272,COA!$A$1:$K$26,2,FALSE),0)</f>
        <v>Iuran Warga Diterima di muka</v>
      </c>
      <c r="H272" s="11"/>
      <c r="I272" s="95" t="s">
        <v>81</v>
      </c>
      <c r="J272" s="78">
        <v>100000</v>
      </c>
      <c r="K272" s="78"/>
      <c r="L272" s="146">
        <f t="shared" si="15"/>
        <v>7833000</v>
      </c>
      <c r="M272" s="73"/>
      <c r="N272" s="73"/>
      <c r="O272" s="7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 x14ac:dyDescent="0.35">
      <c r="A273" s="9">
        <f t="shared" si="16"/>
        <v>265</v>
      </c>
      <c r="B273" s="16">
        <v>46137</v>
      </c>
      <c r="C273" s="11">
        <f t="shared" si="17"/>
        <v>4</v>
      </c>
      <c r="D273" s="11">
        <v>5</v>
      </c>
      <c r="E273" s="11">
        <v>1</v>
      </c>
      <c r="F273" s="14">
        <v>40</v>
      </c>
      <c r="G273" s="89" t="str">
        <f>IFERROR(VLOOKUP(F273,COA!$A$1:$K$26,2,FALSE),0)</f>
        <v>Penerimaan Iuran Warga</v>
      </c>
      <c r="H273" s="11"/>
      <c r="I273" s="11" t="s">
        <v>84</v>
      </c>
      <c r="J273" s="78">
        <v>100000</v>
      </c>
      <c r="K273" s="79"/>
      <c r="L273" s="146">
        <f t="shared" si="15"/>
        <v>7933000</v>
      </c>
      <c r="M273" s="73"/>
      <c r="N273" s="73"/>
      <c r="O273" s="7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 x14ac:dyDescent="0.35">
      <c r="A274" s="9">
        <f t="shared" si="16"/>
        <v>266</v>
      </c>
      <c r="B274" s="16">
        <v>46137</v>
      </c>
      <c r="C274" s="11">
        <f t="shared" si="17"/>
        <v>4</v>
      </c>
      <c r="D274" s="11">
        <v>5</v>
      </c>
      <c r="E274" s="11">
        <v>2</v>
      </c>
      <c r="F274" s="14">
        <v>40</v>
      </c>
      <c r="G274" s="89" t="str">
        <f>IFERROR(VLOOKUP(F274,COA!$A$1:$K$26,2,FALSE),0)</f>
        <v>Penerimaan Iuran Warga</v>
      </c>
      <c r="H274" s="11"/>
      <c r="I274" s="11" t="s">
        <v>84</v>
      </c>
      <c r="J274" s="78">
        <v>100000</v>
      </c>
      <c r="K274" s="79"/>
      <c r="L274" s="146">
        <f t="shared" si="15"/>
        <v>8033000</v>
      </c>
      <c r="M274" s="73"/>
      <c r="N274" s="73"/>
      <c r="O274" s="7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 x14ac:dyDescent="0.35">
      <c r="A275" s="9">
        <f t="shared" si="16"/>
        <v>267</v>
      </c>
      <c r="B275" s="16">
        <v>46137</v>
      </c>
      <c r="C275" s="11">
        <f t="shared" si="17"/>
        <v>4</v>
      </c>
      <c r="D275" s="11">
        <v>5</v>
      </c>
      <c r="E275" s="11">
        <v>3</v>
      </c>
      <c r="F275" s="14">
        <v>40</v>
      </c>
      <c r="G275" s="89" t="str">
        <f>IFERROR(VLOOKUP(F275,COA!$A$1:$K$26,2,FALSE),0)</f>
        <v>Penerimaan Iuran Warga</v>
      </c>
      <c r="H275" s="11"/>
      <c r="I275" s="11" t="s">
        <v>84</v>
      </c>
      <c r="J275" s="78">
        <v>100000</v>
      </c>
      <c r="K275" s="79"/>
      <c r="L275" s="146">
        <f t="shared" si="15"/>
        <v>8133000</v>
      </c>
      <c r="M275" s="73"/>
      <c r="N275" s="73"/>
      <c r="O275" s="7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 x14ac:dyDescent="0.35">
      <c r="A276" s="9">
        <f t="shared" si="16"/>
        <v>268</v>
      </c>
      <c r="B276" s="16">
        <v>46137</v>
      </c>
      <c r="C276" s="11">
        <f t="shared" si="17"/>
        <v>4</v>
      </c>
      <c r="D276" s="11">
        <v>5</v>
      </c>
      <c r="E276" s="11">
        <v>4</v>
      </c>
      <c r="F276" s="14">
        <v>40</v>
      </c>
      <c r="G276" s="89" t="str">
        <f>IFERROR(VLOOKUP(F276,COA!$A$1:$K$26,2,FALSE),0)</f>
        <v>Penerimaan Iuran Warga</v>
      </c>
      <c r="H276" s="11"/>
      <c r="I276" s="11" t="s">
        <v>84</v>
      </c>
      <c r="J276" s="78">
        <v>100000</v>
      </c>
      <c r="K276" s="79"/>
      <c r="L276" s="146">
        <f t="shared" si="15"/>
        <v>8233000</v>
      </c>
      <c r="M276" s="73"/>
      <c r="N276" s="73"/>
      <c r="O276" s="7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 x14ac:dyDescent="0.35">
      <c r="A277" s="9">
        <f t="shared" si="16"/>
        <v>269</v>
      </c>
      <c r="B277" s="16">
        <v>46137</v>
      </c>
      <c r="C277" s="11">
        <f t="shared" si="17"/>
        <v>4</v>
      </c>
      <c r="D277" s="11">
        <v>5</v>
      </c>
      <c r="E277" s="11">
        <v>3</v>
      </c>
      <c r="F277" s="14">
        <v>40</v>
      </c>
      <c r="G277" s="89" t="str">
        <f>IFERROR(VLOOKUP(F277,COA!$A$1:$K$26,2,FALSE),0)</f>
        <v>Penerimaan Iuran Warga</v>
      </c>
      <c r="H277" s="11"/>
      <c r="I277" s="11" t="s">
        <v>86</v>
      </c>
      <c r="J277" s="78">
        <v>100000</v>
      </c>
      <c r="K277" s="79"/>
      <c r="L277" s="146">
        <f t="shared" si="15"/>
        <v>8333000</v>
      </c>
      <c r="M277" s="73"/>
      <c r="N277" s="73"/>
      <c r="O277" s="7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 x14ac:dyDescent="0.35">
      <c r="A278" s="9">
        <f t="shared" si="16"/>
        <v>270</v>
      </c>
      <c r="B278" s="16">
        <v>46137</v>
      </c>
      <c r="C278" s="11">
        <f t="shared" si="17"/>
        <v>4</v>
      </c>
      <c r="D278" s="11">
        <v>5</v>
      </c>
      <c r="E278" s="11">
        <v>4</v>
      </c>
      <c r="F278" s="14">
        <v>40</v>
      </c>
      <c r="G278" s="89" t="str">
        <f>IFERROR(VLOOKUP(F278,COA!$A$1:$K$26,2,FALSE),0)</f>
        <v>Penerimaan Iuran Warga</v>
      </c>
      <c r="H278" s="11"/>
      <c r="I278" s="11" t="s">
        <v>86</v>
      </c>
      <c r="J278" s="78">
        <v>100000</v>
      </c>
      <c r="K278" s="78"/>
      <c r="L278" s="146">
        <f t="shared" si="15"/>
        <v>8433000</v>
      </c>
      <c r="M278" s="73"/>
      <c r="N278" s="73"/>
      <c r="O278" s="7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 x14ac:dyDescent="0.35">
      <c r="A279" s="9">
        <f t="shared" si="16"/>
        <v>271</v>
      </c>
      <c r="B279" s="16">
        <v>46137</v>
      </c>
      <c r="C279" s="11">
        <f t="shared" si="17"/>
        <v>4</v>
      </c>
      <c r="D279" s="11">
        <v>5</v>
      </c>
      <c r="E279" s="11">
        <v>3</v>
      </c>
      <c r="F279" s="14">
        <v>40</v>
      </c>
      <c r="G279" s="89" t="str">
        <f>IFERROR(VLOOKUP(F279,COA!$A$1:$K$26,2,FALSE),0)</f>
        <v>Penerimaan Iuran Warga</v>
      </c>
      <c r="H279" s="11"/>
      <c r="I279" s="11" t="s">
        <v>118</v>
      </c>
      <c r="J279" s="78">
        <v>100000</v>
      </c>
      <c r="K279" s="78"/>
      <c r="L279" s="146">
        <f t="shared" si="15"/>
        <v>8533000</v>
      </c>
      <c r="M279" s="73"/>
      <c r="N279" s="73"/>
      <c r="O279" s="7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 x14ac:dyDescent="0.35">
      <c r="A280" s="9">
        <f t="shared" si="16"/>
        <v>272</v>
      </c>
      <c r="B280" s="16">
        <v>46137</v>
      </c>
      <c r="C280" s="11">
        <f t="shared" si="17"/>
        <v>4</v>
      </c>
      <c r="D280" s="11">
        <v>5</v>
      </c>
      <c r="E280" s="11">
        <v>4</v>
      </c>
      <c r="F280" s="14">
        <v>40</v>
      </c>
      <c r="G280" s="89" t="str">
        <f>IFERROR(VLOOKUP(F280,COA!$A$1:$K$26,2,FALSE),0)</f>
        <v>Penerimaan Iuran Warga</v>
      </c>
      <c r="H280" s="11"/>
      <c r="I280" s="11" t="s">
        <v>118</v>
      </c>
      <c r="J280" s="78">
        <v>100000</v>
      </c>
      <c r="K280" s="78"/>
      <c r="L280" s="146">
        <f t="shared" si="15"/>
        <v>8633000</v>
      </c>
      <c r="M280" s="73"/>
      <c r="N280" s="73"/>
      <c r="O280" s="7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 x14ac:dyDescent="0.35">
      <c r="A281" s="9">
        <f t="shared" si="16"/>
        <v>273</v>
      </c>
      <c r="B281" s="16">
        <v>46137</v>
      </c>
      <c r="C281" s="11">
        <f t="shared" si="17"/>
        <v>4</v>
      </c>
      <c r="D281" s="11">
        <v>5</v>
      </c>
      <c r="E281" s="11">
        <v>5</v>
      </c>
      <c r="F281" s="14">
        <v>40</v>
      </c>
      <c r="G281" s="89" t="str">
        <f>IFERROR(VLOOKUP(F281,COA!$A$1:$K$26,2,FALSE),0)</f>
        <v>Penerimaan Iuran Warga</v>
      </c>
      <c r="H281" s="11"/>
      <c r="I281" s="11" t="s">
        <v>118</v>
      </c>
      <c r="J281" s="78">
        <v>100000</v>
      </c>
      <c r="K281" s="78"/>
      <c r="L281" s="146">
        <f t="shared" si="15"/>
        <v>8733000</v>
      </c>
      <c r="M281" s="73"/>
      <c r="N281" s="73"/>
      <c r="O281" s="7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 x14ac:dyDescent="0.35">
      <c r="A282" s="9">
        <f t="shared" si="16"/>
        <v>274</v>
      </c>
      <c r="B282" s="16">
        <v>46137</v>
      </c>
      <c r="C282" s="11">
        <f t="shared" si="17"/>
        <v>4</v>
      </c>
      <c r="D282" s="11">
        <v>5</v>
      </c>
      <c r="E282" s="11">
        <v>3</v>
      </c>
      <c r="F282" s="14">
        <v>40</v>
      </c>
      <c r="G282" s="89" t="str">
        <f>IFERROR(VLOOKUP(F282,COA!$A$1:$K$26,2,FALSE),0)</f>
        <v>Penerimaan Iuran Warga</v>
      </c>
      <c r="H282" s="11"/>
      <c r="I282" s="95" t="s">
        <v>119</v>
      </c>
      <c r="J282" s="78">
        <v>100000</v>
      </c>
      <c r="K282" s="78"/>
      <c r="L282" s="146">
        <f t="shared" si="15"/>
        <v>8833000</v>
      </c>
      <c r="M282" s="73"/>
      <c r="N282" s="73"/>
      <c r="O282" s="7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 x14ac:dyDescent="0.35">
      <c r="A283" s="9">
        <f t="shared" si="16"/>
        <v>275</v>
      </c>
      <c r="B283" s="16">
        <v>46137</v>
      </c>
      <c r="C283" s="11">
        <f t="shared" si="17"/>
        <v>4</v>
      </c>
      <c r="D283" s="11">
        <v>5</v>
      </c>
      <c r="E283" s="11">
        <v>4</v>
      </c>
      <c r="F283" s="14">
        <v>40</v>
      </c>
      <c r="G283" s="89" t="str">
        <f>IFERROR(VLOOKUP(F283,COA!$A$1:$K$26,2,FALSE),0)</f>
        <v>Penerimaan Iuran Warga</v>
      </c>
      <c r="H283" s="11"/>
      <c r="I283" s="95" t="s">
        <v>119</v>
      </c>
      <c r="J283" s="78">
        <v>100000</v>
      </c>
      <c r="K283" s="78"/>
      <c r="L283" s="146">
        <f t="shared" si="15"/>
        <v>8933000</v>
      </c>
      <c r="M283" s="73"/>
      <c r="N283" s="73"/>
      <c r="O283" s="7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 x14ac:dyDescent="0.35">
      <c r="A284" s="9">
        <f t="shared" si="16"/>
        <v>276</v>
      </c>
      <c r="B284" s="16">
        <v>46137</v>
      </c>
      <c r="C284" s="11">
        <f t="shared" si="17"/>
        <v>4</v>
      </c>
      <c r="D284" s="11">
        <v>5</v>
      </c>
      <c r="E284" s="11">
        <v>5</v>
      </c>
      <c r="F284" s="14">
        <v>40</v>
      </c>
      <c r="G284" s="89" t="str">
        <f>IFERROR(VLOOKUP(F284,COA!$A$1:$K$26,2,FALSE),0)</f>
        <v>Penerimaan Iuran Warga</v>
      </c>
      <c r="H284" s="11"/>
      <c r="I284" s="95" t="s">
        <v>119</v>
      </c>
      <c r="J284" s="78">
        <v>100000</v>
      </c>
      <c r="K284" s="78"/>
      <c r="L284" s="146">
        <f t="shared" si="15"/>
        <v>9033000</v>
      </c>
      <c r="M284" s="73"/>
      <c r="N284" s="73"/>
      <c r="O284" s="7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 x14ac:dyDescent="0.35">
      <c r="A285" s="9">
        <f t="shared" si="16"/>
        <v>277</v>
      </c>
      <c r="B285" s="16">
        <v>46137</v>
      </c>
      <c r="C285" s="11">
        <f t="shared" si="17"/>
        <v>4</v>
      </c>
      <c r="D285" s="11">
        <v>5</v>
      </c>
      <c r="E285" s="11">
        <v>4</v>
      </c>
      <c r="F285" s="14">
        <v>40</v>
      </c>
      <c r="G285" s="89" t="str">
        <f>IFERROR(VLOOKUP(F285,COA!$A$1:$K$26,2,FALSE),0)</f>
        <v>Penerimaan Iuran Warga</v>
      </c>
      <c r="H285" s="11"/>
      <c r="I285" s="95" t="s">
        <v>127</v>
      </c>
      <c r="J285" s="78">
        <v>100000</v>
      </c>
      <c r="K285" s="78"/>
      <c r="L285" s="146">
        <f t="shared" si="15"/>
        <v>9133000</v>
      </c>
      <c r="M285" s="73"/>
      <c r="N285" s="73"/>
      <c r="O285" s="7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 x14ac:dyDescent="0.35">
      <c r="A286" s="9">
        <f t="shared" si="16"/>
        <v>278</v>
      </c>
      <c r="B286" s="16">
        <v>46137</v>
      </c>
      <c r="C286" s="11">
        <f t="shared" si="17"/>
        <v>4</v>
      </c>
      <c r="D286" s="11">
        <v>5</v>
      </c>
      <c r="E286" s="11">
        <v>5</v>
      </c>
      <c r="F286" s="14">
        <v>40</v>
      </c>
      <c r="G286" s="89" t="str">
        <f>IFERROR(VLOOKUP(F286,COA!$A$1:$K$26,2,FALSE),0)</f>
        <v>Penerimaan Iuran Warga</v>
      </c>
      <c r="H286" s="11"/>
      <c r="I286" s="95" t="s">
        <v>127</v>
      </c>
      <c r="J286" s="78">
        <v>100000</v>
      </c>
      <c r="K286" s="78"/>
      <c r="L286" s="146">
        <f t="shared" si="15"/>
        <v>9233000</v>
      </c>
      <c r="M286" s="73"/>
      <c r="N286" s="73"/>
      <c r="O286" s="7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 x14ac:dyDescent="0.35">
      <c r="A287" s="9">
        <f t="shared" si="16"/>
        <v>279</v>
      </c>
      <c r="B287" s="16">
        <v>46137</v>
      </c>
      <c r="C287" s="11">
        <f t="shared" si="17"/>
        <v>4</v>
      </c>
      <c r="D287" s="11">
        <v>5</v>
      </c>
      <c r="E287" s="11">
        <v>6</v>
      </c>
      <c r="F287" s="14">
        <v>20</v>
      </c>
      <c r="G287" s="89" t="str">
        <f>IFERROR(VLOOKUP(F287,COA!$A$1:$K$26,2,FALSE),0)</f>
        <v>Iuran Warga Diterima di muka</v>
      </c>
      <c r="H287" s="11"/>
      <c r="I287" s="95" t="s">
        <v>127</v>
      </c>
      <c r="J287" s="78">
        <v>100000</v>
      </c>
      <c r="K287" s="78"/>
      <c r="L287" s="146">
        <f t="shared" si="15"/>
        <v>9333000</v>
      </c>
      <c r="M287" s="73"/>
      <c r="N287" s="73"/>
      <c r="O287" s="7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 x14ac:dyDescent="0.35">
      <c r="A288" s="9">
        <f t="shared" si="16"/>
        <v>280</v>
      </c>
      <c r="B288" s="15">
        <v>46137</v>
      </c>
      <c r="C288" s="11">
        <f t="shared" si="17"/>
        <v>4</v>
      </c>
      <c r="D288" s="11">
        <v>5</v>
      </c>
      <c r="E288" s="173" t="s">
        <v>314</v>
      </c>
      <c r="F288" s="11">
        <v>40</v>
      </c>
      <c r="G288" s="89" t="str">
        <f>IFERROR(VLOOKUP(F288,COA!$A$1:$K$26,2,FALSE),0)</f>
        <v>Penerimaan Iuran Warga</v>
      </c>
      <c r="H288" s="89" t="s">
        <v>305</v>
      </c>
      <c r="I288" s="13" t="s">
        <v>140</v>
      </c>
      <c r="J288" s="78">
        <v>100000</v>
      </c>
      <c r="K288" s="78"/>
      <c r="L288" s="146">
        <f t="shared" si="15"/>
        <v>9433000</v>
      </c>
      <c r="M288" s="73"/>
      <c r="N288" s="73"/>
      <c r="O288" s="7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 x14ac:dyDescent="0.35">
      <c r="A289" s="9">
        <f t="shared" si="16"/>
        <v>281</v>
      </c>
      <c r="B289" s="15">
        <v>46137</v>
      </c>
      <c r="C289" s="11">
        <f t="shared" si="17"/>
        <v>4</v>
      </c>
      <c r="D289" s="11">
        <v>5</v>
      </c>
      <c r="E289" s="173" t="s">
        <v>315</v>
      </c>
      <c r="F289" s="14">
        <v>40</v>
      </c>
      <c r="G289" s="89" t="str">
        <f>IFERROR(VLOOKUP(F289,COA!$A$1:$K$26,2,FALSE),0)</f>
        <v>Penerimaan Iuran Warga</v>
      </c>
      <c r="H289" s="89" t="s">
        <v>305</v>
      </c>
      <c r="I289" s="13" t="s">
        <v>140</v>
      </c>
      <c r="J289" s="78">
        <v>100000</v>
      </c>
      <c r="K289" s="78"/>
      <c r="L289" s="146">
        <f t="shared" si="15"/>
        <v>9533000</v>
      </c>
      <c r="M289" s="73"/>
      <c r="N289" s="73"/>
      <c r="O289" s="7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 x14ac:dyDescent="0.35">
      <c r="A290" s="9">
        <f t="shared" si="16"/>
        <v>282</v>
      </c>
      <c r="B290" s="15">
        <v>46137</v>
      </c>
      <c r="C290" s="11">
        <f t="shared" si="17"/>
        <v>4</v>
      </c>
      <c r="D290" s="11">
        <v>5</v>
      </c>
      <c r="E290" s="173" t="s">
        <v>316</v>
      </c>
      <c r="F290" s="14">
        <v>40</v>
      </c>
      <c r="G290" s="89" t="str">
        <f>IFERROR(VLOOKUP(F290,COA!$A$1:$K$26,2,FALSE),0)</f>
        <v>Penerimaan Iuran Warga</v>
      </c>
      <c r="H290" s="89" t="s">
        <v>305</v>
      </c>
      <c r="I290" s="13" t="s">
        <v>140</v>
      </c>
      <c r="J290" s="82">
        <v>100000</v>
      </c>
      <c r="K290" s="78"/>
      <c r="L290" s="146">
        <f t="shared" si="15"/>
        <v>9633000</v>
      </c>
      <c r="M290" s="73"/>
      <c r="N290" s="73"/>
      <c r="O290" s="7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 x14ac:dyDescent="0.35">
      <c r="A291" s="9">
        <f t="shared" si="16"/>
        <v>283</v>
      </c>
      <c r="B291" s="15">
        <v>46137</v>
      </c>
      <c r="C291" s="11">
        <f t="shared" si="17"/>
        <v>4</v>
      </c>
      <c r="D291" s="11">
        <v>5</v>
      </c>
      <c r="E291" s="173" t="s">
        <v>317</v>
      </c>
      <c r="F291" s="14">
        <v>40</v>
      </c>
      <c r="G291" s="89" t="str">
        <f>IFERROR(VLOOKUP(F291,COA!$A$1:$K$26,2,FALSE),0)</f>
        <v>Penerimaan Iuran Warga</v>
      </c>
      <c r="H291" s="89" t="s">
        <v>305</v>
      </c>
      <c r="I291" s="13" t="s">
        <v>140</v>
      </c>
      <c r="J291" s="82">
        <v>100000</v>
      </c>
      <c r="K291" s="78"/>
      <c r="L291" s="146">
        <f t="shared" si="15"/>
        <v>9733000</v>
      </c>
      <c r="M291" s="73"/>
      <c r="N291" s="73"/>
      <c r="O291" s="7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 x14ac:dyDescent="0.35">
      <c r="A292" s="9">
        <f t="shared" si="16"/>
        <v>284</v>
      </c>
      <c r="B292" s="15">
        <v>46137</v>
      </c>
      <c r="C292" s="11">
        <f t="shared" si="17"/>
        <v>4</v>
      </c>
      <c r="D292" s="11">
        <v>5</v>
      </c>
      <c r="E292" s="173" t="s">
        <v>318</v>
      </c>
      <c r="F292" s="14">
        <v>40</v>
      </c>
      <c r="G292" s="89" t="str">
        <f>IFERROR(VLOOKUP(F292,COA!$A$1:$K$26,2,FALSE),0)</f>
        <v>Penerimaan Iuran Warga</v>
      </c>
      <c r="H292" s="89" t="s">
        <v>305</v>
      </c>
      <c r="I292" s="13" t="s">
        <v>140</v>
      </c>
      <c r="J292" s="78">
        <v>100000</v>
      </c>
      <c r="K292" s="78"/>
      <c r="L292" s="146">
        <f t="shared" si="15"/>
        <v>9833000</v>
      </c>
      <c r="M292" s="73"/>
      <c r="N292" s="73"/>
      <c r="O292" s="7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 x14ac:dyDescent="0.35">
      <c r="A293" s="9">
        <f t="shared" si="16"/>
        <v>285</v>
      </c>
      <c r="B293" s="15">
        <v>46137</v>
      </c>
      <c r="C293" s="11">
        <f t="shared" si="17"/>
        <v>4</v>
      </c>
      <c r="D293" s="11">
        <v>5</v>
      </c>
      <c r="E293" s="173" t="s">
        <v>319</v>
      </c>
      <c r="F293" s="14">
        <v>40</v>
      </c>
      <c r="G293" s="89" t="str">
        <f>IFERROR(VLOOKUP(F293,COA!$A$1:$K$26,2,FALSE),0)</f>
        <v>Penerimaan Iuran Warga</v>
      </c>
      <c r="H293" s="89" t="s">
        <v>305</v>
      </c>
      <c r="I293" s="13" t="s">
        <v>140</v>
      </c>
      <c r="J293" s="78">
        <v>100000</v>
      </c>
      <c r="K293" s="78"/>
      <c r="L293" s="146">
        <f t="shared" si="15"/>
        <v>9933000</v>
      </c>
      <c r="M293" s="73"/>
      <c r="N293" s="73"/>
      <c r="O293" s="7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 x14ac:dyDescent="0.35">
      <c r="A294" s="9">
        <f t="shared" si="16"/>
        <v>286</v>
      </c>
      <c r="B294" s="15">
        <v>46137</v>
      </c>
      <c r="C294" s="11">
        <f t="shared" si="17"/>
        <v>4</v>
      </c>
      <c r="D294" s="11">
        <v>5</v>
      </c>
      <c r="E294" s="173" t="s">
        <v>320</v>
      </c>
      <c r="F294" s="14">
        <v>40</v>
      </c>
      <c r="G294" s="89" t="str">
        <f>IFERROR(VLOOKUP(F294,COA!$A$1:$K$26,2,FALSE),0)</f>
        <v>Penerimaan Iuran Warga</v>
      </c>
      <c r="H294" s="89" t="s">
        <v>305</v>
      </c>
      <c r="I294" s="13" t="s">
        <v>140</v>
      </c>
      <c r="J294" s="78">
        <v>100000</v>
      </c>
      <c r="K294" s="78"/>
      <c r="L294" s="146">
        <f t="shared" si="15"/>
        <v>10033000</v>
      </c>
      <c r="M294" s="73"/>
      <c r="N294" s="73"/>
      <c r="O294" s="7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 x14ac:dyDescent="0.35">
      <c r="A295" s="9">
        <f t="shared" si="16"/>
        <v>287</v>
      </c>
      <c r="B295" s="15">
        <v>46137</v>
      </c>
      <c r="C295" s="11">
        <f t="shared" si="17"/>
        <v>4</v>
      </c>
      <c r="D295" s="11">
        <v>5</v>
      </c>
      <c r="E295" s="173" t="s">
        <v>321</v>
      </c>
      <c r="F295" s="14">
        <v>40</v>
      </c>
      <c r="G295" s="89" t="str">
        <f>IFERROR(VLOOKUP(F295,COA!$A$1:$K$26,2,FALSE),0)</f>
        <v>Penerimaan Iuran Warga</v>
      </c>
      <c r="H295" s="89" t="s">
        <v>305</v>
      </c>
      <c r="I295" s="13" t="s">
        <v>140</v>
      </c>
      <c r="J295" s="78">
        <v>100000</v>
      </c>
      <c r="K295" s="78"/>
      <c r="L295" s="146">
        <f t="shared" si="15"/>
        <v>10133000</v>
      </c>
      <c r="M295" s="73"/>
      <c r="N295" s="73"/>
      <c r="O295" s="7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 x14ac:dyDescent="0.35">
      <c r="A296" s="9">
        <f t="shared" si="16"/>
        <v>288</v>
      </c>
      <c r="B296" s="15">
        <v>46137</v>
      </c>
      <c r="C296" s="11">
        <f t="shared" si="17"/>
        <v>4</v>
      </c>
      <c r="D296" s="11">
        <v>5</v>
      </c>
      <c r="E296" s="173" t="s">
        <v>322</v>
      </c>
      <c r="F296" s="14">
        <v>40</v>
      </c>
      <c r="G296" s="89" t="str">
        <f>IFERROR(VLOOKUP(F296,COA!$A$1:$K$26,2,FALSE),0)</f>
        <v>Penerimaan Iuran Warga</v>
      </c>
      <c r="H296" s="89" t="s">
        <v>305</v>
      </c>
      <c r="I296" s="13" t="s">
        <v>140</v>
      </c>
      <c r="J296" s="78">
        <v>100000</v>
      </c>
      <c r="K296" s="78"/>
      <c r="L296" s="146">
        <f t="shared" si="15"/>
        <v>10233000</v>
      </c>
      <c r="M296" s="73"/>
      <c r="N296" s="73"/>
      <c r="O296" s="7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 x14ac:dyDescent="0.35">
      <c r="A297" s="9">
        <f t="shared" si="16"/>
        <v>289</v>
      </c>
      <c r="B297" s="15">
        <v>46137</v>
      </c>
      <c r="C297" s="11">
        <f t="shared" si="17"/>
        <v>4</v>
      </c>
      <c r="D297" s="11">
        <v>5</v>
      </c>
      <c r="E297" s="173" t="s">
        <v>323</v>
      </c>
      <c r="F297" s="14">
        <v>40</v>
      </c>
      <c r="G297" s="89" t="str">
        <f>IFERROR(VLOOKUP(F297,COA!$A$1:$K$26,2,FALSE),0)</f>
        <v>Penerimaan Iuran Warga</v>
      </c>
      <c r="H297" s="89" t="s">
        <v>305</v>
      </c>
      <c r="I297" s="13" t="s">
        <v>140</v>
      </c>
      <c r="J297" s="78">
        <v>100000</v>
      </c>
      <c r="K297" s="78"/>
      <c r="L297" s="146">
        <f t="shared" si="15"/>
        <v>10333000</v>
      </c>
      <c r="M297" s="73"/>
      <c r="N297" s="73"/>
      <c r="O297" s="7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 x14ac:dyDescent="0.35">
      <c r="A298" s="9">
        <f t="shared" si="16"/>
        <v>290</v>
      </c>
      <c r="B298" s="15">
        <v>46137</v>
      </c>
      <c r="C298" s="11">
        <f t="shared" si="17"/>
        <v>4</v>
      </c>
      <c r="D298" s="11">
        <v>5</v>
      </c>
      <c r="E298" s="173" t="s">
        <v>324</v>
      </c>
      <c r="F298" s="14">
        <v>40</v>
      </c>
      <c r="G298" s="89" t="str">
        <f>IFERROR(VLOOKUP(F298,COA!$A$1:$K$26,2,FALSE),0)</f>
        <v>Penerimaan Iuran Warga</v>
      </c>
      <c r="H298" s="89" t="s">
        <v>305</v>
      </c>
      <c r="I298" s="13" t="s">
        <v>140</v>
      </c>
      <c r="J298" s="78">
        <v>100000</v>
      </c>
      <c r="K298" s="78"/>
      <c r="L298" s="146">
        <f t="shared" si="15"/>
        <v>10433000</v>
      </c>
      <c r="M298" s="73"/>
      <c r="N298" s="73"/>
      <c r="O298" s="7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 x14ac:dyDescent="0.35">
      <c r="A299" s="9">
        <f t="shared" si="16"/>
        <v>291</v>
      </c>
      <c r="B299" s="15">
        <v>46137</v>
      </c>
      <c r="C299" s="11">
        <f t="shared" si="17"/>
        <v>4</v>
      </c>
      <c r="D299" s="11">
        <v>5</v>
      </c>
      <c r="E299" s="172" t="s">
        <v>325</v>
      </c>
      <c r="F299" s="14">
        <v>40</v>
      </c>
      <c r="G299" s="89" t="str">
        <f>IFERROR(VLOOKUP(F299,COA!$A$1:$K$26,2,FALSE),0)</f>
        <v>Penerimaan Iuran Warga</v>
      </c>
      <c r="H299" s="89" t="s">
        <v>305</v>
      </c>
      <c r="I299" s="13" t="s">
        <v>140</v>
      </c>
      <c r="J299" s="78">
        <v>100000</v>
      </c>
      <c r="K299" s="78"/>
      <c r="L299" s="146">
        <f t="shared" si="15"/>
        <v>10533000</v>
      </c>
      <c r="M299" s="73"/>
      <c r="N299" s="73"/>
      <c r="O299" s="7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 x14ac:dyDescent="0.35">
      <c r="A300" s="9">
        <f t="shared" si="16"/>
        <v>292</v>
      </c>
      <c r="B300" s="16">
        <v>46138</v>
      </c>
      <c r="C300" s="11">
        <f t="shared" si="17"/>
        <v>4</v>
      </c>
      <c r="D300" s="11">
        <v>5</v>
      </c>
      <c r="E300" s="11">
        <v>1</v>
      </c>
      <c r="F300" s="14">
        <v>40</v>
      </c>
      <c r="G300" s="89" t="str">
        <f>IFERROR(VLOOKUP(F300,COA!$A$1:$K$26,2,FALSE),0)</f>
        <v>Penerimaan Iuran Warga</v>
      </c>
      <c r="H300" s="11"/>
      <c r="I300" s="11" t="s">
        <v>179</v>
      </c>
      <c r="J300" s="78">
        <v>100000</v>
      </c>
      <c r="K300" s="78"/>
      <c r="L300" s="146">
        <f t="shared" si="15"/>
        <v>10633000</v>
      </c>
      <c r="M300" s="73"/>
      <c r="N300" s="73"/>
      <c r="O300" s="7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 x14ac:dyDescent="0.35">
      <c r="A301" s="9">
        <f t="shared" si="16"/>
        <v>293</v>
      </c>
      <c r="B301" s="16">
        <v>46138</v>
      </c>
      <c r="C301" s="11">
        <f t="shared" si="17"/>
        <v>4</v>
      </c>
      <c r="D301" s="11">
        <v>5</v>
      </c>
      <c r="E301" s="11">
        <v>2</v>
      </c>
      <c r="F301" s="14">
        <v>40</v>
      </c>
      <c r="G301" s="89" t="str">
        <f>IFERROR(VLOOKUP(F301,COA!$A$1:$K$26,2,FALSE),0)</f>
        <v>Penerimaan Iuran Warga</v>
      </c>
      <c r="H301" s="11"/>
      <c r="I301" s="11" t="s">
        <v>179</v>
      </c>
      <c r="J301" s="78">
        <v>100000</v>
      </c>
      <c r="K301" s="79"/>
      <c r="L301" s="146">
        <f t="shared" si="15"/>
        <v>10733000</v>
      </c>
      <c r="M301" s="73"/>
      <c r="N301" s="73"/>
      <c r="O301" s="7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 x14ac:dyDescent="0.35">
      <c r="A302" s="9">
        <f t="shared" si="16"/>
        <v>294</v>
      </c>
      <c r="B302" s="16">
        <v>46138</v>
      </c>
      <c r="C302" s="11">
        <f t="shared" si="17"/>
        <v>4</v>
      </c>
      <c r="D302" s="11">
        <v>5</v>
      </c>
      <c r="E302" s="11">
        <v>3</v>
      </c>
      <c r="F302" s="14">
        <v>40</v>
      </c>
      <c r="G302" s="89" t="str">
        <f>IFERROR(VLOOKUP(F302,COA!$A$1:$K$26,2,FALSE),0)</f>
        <v>Penerimaan Iuran Warga</v>
      </c>
      <c r="H302" s="11"/>
      <c r="I302" s="11" t="s">
        <v>179</v>
      </c>
      <c r="J302" s="78">
        <v>100000</v>
      </c>
      <c r="K302" s="79"/>
      <c r="L302" s="146">
        <f t="shared" si="15"/>
        <v>10833000</v>
      </c>
      <c r="M302" s="73"/>
      <c r="N302" s="73"/>
      <c r="O302" s="7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 x14ac:dyDescent="0.35">
      <c r="A303" s="9">
        <f t="shared" si="16"/>
        <v>295</v>
      </c>
      <c r="B303" s="16">
        <v>46138</v>
      </c>
      <c r="C303" s="11">
        <f t="shared" si="17"/>
        <v>4</v>
      </c>
      <c r="D303" s="11">
        <v>5</v>
      </c>
      <c r="E303" s="11">
        <v>4</v>
      </c>
      <c r="F303" s="14">
        <v>40</v>
      </c>
      <c r="G303" s="89" t="str">
        <f>IFERROR(VLOOKUP(F303,COA!$A$1:$K$26,2,FALSE),0)</f>
        <v>Penerimaan Iuran Warga</v>
      </c>
      <c r="H303" s="11"/>
      <c r="I303" s="11" t="s">
        <v>179</v>
      </c>
      <c r="J303" s="78">
        <v>100000</v>
      </c>
      <c r="K303" s="79"/>
      <c r="L303" s="146">
        <f t="shared" si="15"/>
        <v>10933000</v>
      </c>
      <c r="M303" s="73"/>
      <c r="N303" s="73"/>
      <c r="O303" s="7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 x14ac:dyDescent="0.35">
      <c r="A304" s="9">
        <f t="shared" si="16"/>
        <v>296</v>
      </c>
      <c r="B304" s="16">
        <v>46138</v>
      </c>
      <c r="C304" s="11">
        <f t="shared" si="17"/>
        <v>4</v>
      </c>
      <c r="D304" s="11">
        <v>5</v>
      </c>
      <c r="E304" s="11">
        <v>1</v>
      </c>
      <c r="F304" s="14">
        <v>40</v>
      </c>
      <c r="G304" s="89" t="str">
        <f>IFERROR(VLOOKUP(F304,COA!$A$1:$K$26,2,FALSE),0)</f>
        <v>Penerimaan Iuran Warga</v>
      </c>
      <c r="H304" s="11"/>
      <c r="I304" s="11" t="s">
        <v>167</v>
      </c>
      <c r="J304" s="78">
        <v>100000</v>
      </c>
      <c r="K304" s="79"/>
      <c r="L304" s="146">
        <f t="shared" si="15"/>
        <v>11033000</v>
      </c>
      <c r="M304" s="73"/>
      <c r="N304" s="73"/>
      <c r="O304" s="7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 x14ac:dyDescent="0.35">
      <c r="A305" s="9">
        <f t="shared" si="16"/>
        <v>297</v>
      </c>
      <c r="B305" s="16">
        <v>46138</v>
      </c>
      <c r="C305" s="11">
        <f t="shared" si="17"/>
        <v>4</v>
      </c>
      <c r="D305" s="11">
        <v>5</v>
      </c>
      <c r="E305" s="11">
        <v>2</v>
      </c>
      <c r="F305" s="14">
        <v>40</v>
      </c>
      <c r="G305" s="89" t="str">
        <f>IFERROR(VLOOKUP(F305,COA!$A$1:$K$26,2,FALSE),0)</f>
        <v>Penerimaan Iuran Warga</v>
      </c>
      <c r="H305" s="11"/>
      <c r="I305" s="11" t="s">
        <v>167</v>
      </c>
      <c r="J305" s="78">
        <v>100000</v>
      </c>
      <c r="K305" s="78"/>
      <c r="L305" s="146">
        <f t="shared" si="15"/>
        <v>11133000</v>
      </c>
      <c r="M305" s="73"/>
      <c r="N305" s="73"/>
      <c r="O305" s="7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 x14ac:dyDescent="0.35">
      <c r="A306" s="9">
        <f t="shared" si="16"/>
        <v>298</v>
      </c>
      <c r="B306" s="16">
        <v>46138</v>
      </c>
      <c r="C306" s="11">
        <f t="shared" si="17"/>
        <v>4</v>
      </c>
      <c r="D306" s="11">
        <v>5</v>
      </c>
      <c r="E306" s="11">
        <v>3</v>
      </c>
      <c r="F306" s="14">
        <v>40</v>
      </c>
      <c r="G306" s="89" t="str">
        <f>IFERROR(VLOOKUP(F306,COA!$A$1:$K$26,2,FALSE),0)</f>
        <v>Penerimaan Iuran Warga</v>
      </c>
      <c r="H306" s="11"/>
      <c r="I306" s="11" t="s">
        <v>167</v>
      </c>
      <c r="J306" s="78">
        <v>100000</v>
      </c>
      <c r="K306" s="78"/>
      <c r="L306" s="146">
        <f t="shared" si="15"/>
        <v>11233000</v>
      </c>
      <c r="M306" s="73"/>
      <c r="N306" s="73"/>
      <c r="O306" s="7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 x14ac:dyDescent="0.35">
      <c r="A307" s="9">
        <f t="shared" si="16"/>
        <v>299</v>
      </c>
      <c r="B307" s="16">
        <v>46138</v>
      </c>
      <c r="C307" s="11">
        <f t="shared" si="17"/>
        <v>4</v>
      </c>
      <c r="D307" s="11">
        <v>5</v>
      </c>
      <c r="E307" s="11">
        <v>4</v>
      </c>
      <c r="F307" s="14">
        <v>40</v>
      </c>
      <c r="G307" s="89" t="str">
        <f>IFERROR(VLOOKUP(F307,COA!$A$1:$K$26,2,FALSE),0)</f>
        <v>Penerimaan Iuran Warga</v>
      </c>
      <c r="H307" s="11"/>
      <c r="I307" s="11" t="s">
        <v>167</v>
      </c>
      <c r="J307" s="78">
        <v>100000</v>
      </c>
      <c r="K307" s="79"/>
      <c r="L307" s="146">
        <f t="shared" si="15"/>
        <v>11333000</v>
      </c>
      <c r="M307" s="73"/>
      <c r="N307" s="73"/>
      <c r="O307" s="7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 x14ac:dyDescent="0.35">
      <c r="A308" s="9">
        <f t="shared" si="16"/>
        <v>300</v>
      </c>
      <c r="B308" s="15">
        <v>46138</v>
      </c>
      <c r="C308" s="11">
        <f t="shared" si="17"/>
        <v>4</v>
      </c>
      <c r="D308" s="11">
        <v>5</v>
      </c>
      <c r="E308" s="11">
        <v>1</v>
      </c>
      <c r="F308" s="14">
        <v>40</v>
      </c>
      <c r="G308" s="89" t="str">
        <f>IFERROR(VLOOKUP(F308,COA!$A$1:$K$26,2,FALSE),0)</f>
        <v>Penerimaan Iuran Warga</v>
      </c>
      <c r="H308" s="11"/>
      <c r="I308" s="95" t="s">
        <v>135</v>
      </c>
      <c r="J308" s="78">
        <v>100000</v>
      </c>
      <c r="K308" s="79"/>
      <c r="L308" s="146">
        <f t="shared" si="15"/>
        <v>11433000</v>
      </c>
      <c r="M308" s="73"/>
      <c r="N308" s="73"/>
      <c r="O308" s="7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 x14ac:dyDescent="0.35">
      <c r="A309" s="9">
        <f t="shared" si="16"/>
        <v>301</v>
      </c>
      <c r="B309" s="15">
        <v>46138</v>
      </c>
      <c r="C309" s="11">
        <f t="shared" si="17"/>
        <v>4</v>
      </c>
      <c r="D309" s="11">
        <v>5</v>
      </c>
      <c r="E309" s="11">
        <v>2</v>
      </c>
      <c r="F309" s="14">
        <v>40</v>
      </c>
      <c r="G309" s="89" t="str">
        <f>IFERROR(VLOOKUP(F309,COA!$A$1:$K$26,2,FALSE),0)</f>
        <v>Penerimaan Iuran Warga</v>
      </c>
      <c r="H309" s="11"/>
      <c r="I309" s="95" t="s">
        <v>135</v>
      </c>
      <c r="J309" s="78">
        <v>100000</v>
      </c>
      <c r="K309" s="79"/>
      <c r="L309" s="146">
        <f t="shared" si="15"/>
        <v>11533000</v>
      </c>
      <c r="M309" s="73"/>
      <c r="N309" s="73"/>
      <c r="O309" s="7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 x14ac:dyDescent="0.35">
      <c r="A310" s="9">
        <f t="shared" si="16"/>
        <v>302</v>
      </c>
      <c r="B310" s="15">
        <v>46138</v>
      </c>
      <c r="C310" s="11">
        <f t="shared" si="17"/>
        <v>4</v>
      </c>
      <c r="D310" s="11">
        <v>5</v>
      </c>
      <c r="E310" s="11">
        <v>3</v>
      </c>
      <c r="F310" s="14">
        <v>40</v>
      </c>
      <c r="G310" s="89" t="str">
        <f>IFERROR(VLOOKUP(F310,COA!$A$1:$K$26,2,FALSE),0)</f>
        <v>Penerimaan Iuran Warga</v>
      </c>
      <c r="H310" s="11"/>
      <c r="I310" s="95" t="s">
        <v>135</v>
      </c>
      <c r="J310" s="78">
        <v>100000</v>
      </c>
      <c r="K310" s="78"/>
      <c r="L310" s="146">
        <f t="shared" si="15"/>
        <v>11633000</v>
      </c>
      <c r="M310" s="73"/>
      <c r="N310" s="73"/>
      <c r="O310" s="7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 x14ac:dyDescent="0.35">
      <c r="A311" s="9">
        <f t="shared" si="16"/>
        <v>303</v>
      </c>
      <c r="B311" s="15">
        <v>46138</v>
      </c>
      <c r="C311" s="11">
        <f t="shared" si="17"/>
        <v>4</v>
      </c>
      <c r="D311" s="11">
        <v>5</v>
      </c>
      <c r="E311" s="11">
        <v>4</v>
      </c>
      <c r="F311" s="14">
        <v>40</v>
      </c>
      <c r="G311" s="89" t="str">
        <f>IFERROR(VLOOKUP(F311,COA!$A$1:$K$26,2,FALSE),0)</f>
        <v>Penerimaan Iuran Warga</v>
      </c>
      <c r="H311" s="11"/>
      <c r="I311" s="95" t="s">
        <v>135</v>
      </c>
      <c r="J311" s="78">
        <v>100000</v>
      </c>
      <c r="K311" s="78"/>
      <c r="L311" s="146">
        <f t="shared" si="15"/>
        <v>11733000</v>
      </c>
      <c r="M311" s="73"/>
      <c r="N311" s="73"/>
      <c r="O311" s="7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 x14ac:dyDescent="0.35">
      <c r="A312" s="9">
        <f t="shared" si="16"/>
        <v>304</v>
      </c>
      <c r="B312" s="15">
        <v>46138</v>
      </c>
      <c r="C312" s="11">
        <f t="shared" si="17"/>
        <v>4</v>
      </c>
      <c r="D312" s="11">
        <v>5</v>
      </c>
      <c r="E312" s="13">
        <v>5</v>
      </c>
      <c r="F312" s="14">
        <v>40</v>
      </c>
      <c r="G312" s="89" t="str">
        <f>IFERROR(VLOOKUP(F312,COA!$A$1:$K$26,2,FALSE),0)</f>
        <v>Penerimaan Iuran Warga</v>
      </c>
      <c r="H312" s="11"/>
      <c r="I312" s="95" t="s">
        <v>135</v>
      </c>
      <c r="J312" s="78">
        <v>100000</v>
      </c>
      <c r="K312" s="78"/>
      <c r="L312" s="146">
        <f t="shared" si="15"/>
        <v>11833000</v>
      </c>
      <c r="M312" s="73"/>
      <c r="N312" s="73"/>
      <c r="O312" s="7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 x14ac:dyDescent="0.35">
      <c r="A313" s="9">
        <f t="shared" si="16"/>
        <v>305</v>
      </c>
      <c r="B313" s="15">
        <v>46138</v>
      </c>
      <c r="C313" s="11">
        <f t="shared" si="17"/>
        <v>4</v>
      </c>
      <c r="D313" s="11">
        <v>5</v>
      </c>
      <c r="E313" s="13">
        <v>3</v>
      </c>
      <c r="F313" s="14">
        <v>40</v>
      </c>
      <c r="G313" s="89" t="str">
        <f>IFERROR(VLOOKUP(F313,COA!$A$1:$K$26,2,FALSE),0)</f>
        <v>Penerimaan Iuran Warga</v>
      </c>
      <c r="H313" s="11"/>
      <c r="I313" s="95" t="s">
        <v>159</v>
      </c>
      <c r="J313" s="78">
        <v>100000</v>
      </c>
      <c r="K313" s="78"/>
      <c r="L313" s="146">
        <f t="shared" si="15"/>
        <v>11933000</v>
      </c>
      <c r="M313" s="73"/>
      <c r="N313" s="73"/>
      <c r="O313" s="7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 x14ac:dyDescent="0.35">
      <c r="A314" s="9">
        <f t="shared" si="16"/>
        <v>306</v>
      </c>
      <c r="B314" s="15">
        <v>46138</v>
      </c>
      <c r="C314" s="11">
        <f t="shared" ref="C314" si="18">MONTH(B314)</f>
        <v>4</v>
      </c>
      <c r="D314" s="11">
        <v>5</v>
      </c>
      <c r="E314" s="13">
        <v>4</v>
      </c>
      <c r="F314" s="14">
        <v>40</v>
      </c>
      <c r="G314" s="89" t="str">
        <f>IFERROR(VLOOKUP(F314,COA!$A$1:$K$26,2,FALSE),0)</f>
        <v>Penerimaan Iuran Warga</v>
      </c>
      <c r="H314" s="11"/>
      <c r="I314" s="95" t="s">
        <v>159</v>
      </c>
      <c r="J314" s="78">
        <v>100000</v>
      </c>
      <c r="K314" s="78"/>
      <c r="L314" s="146">
        <f t="shared" si="15"/>
        <v>12033000</v>
      </c>
      <c r="M314" s="73"/>
      <c r="N314" s="73"/>
      <c r="O314" s="7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 x14ac:dyDescent="0.35">
      <c r="A315" s="9">
        <f t="shared" si="16"/>
        <v>307</v>
      </c>
      <c r="B315" s="15">
        <v>46138</v>
      </c>
      <c r="C315" s="11">
        <f t="shared" si="17"/>
        <v>4</v>
      </c>
      <c r="D315" s="11">
        <v>5</v>
      </c>
      <c r="E315" s="11">
        <v>1</v>
      </c>
      <c r="F315" s="14">
        <v>40</v>
      </c>
      <c r="G315" s="89" t="str">
        <f>IFERROR(VLOOKUP(F315,COA!$A$1:$K$26,2,FALSE),0)</f>
        <v>Penerimaan Iuran Warga</v>
      </c>
      <c r="H315" s="11" t="s">
        <v>298</v>
      </c>
      <c r="I315" s="95" t="s">
        <v>297</v>
      </c>
      <c r="J315" s="82">
        <v>100000</v>
      </c>
      <c r="K315" s="79"/>
      <c r="L315" s="146">
        <f t="shared" si="15"/>
        <v>12133000</v>
      </c>
      <c r="M315" s="73"/>
      <c r="N315" s="73"/>
      <c r="O315" s="7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 x14ac:dyDescent="0.35">
      <c r="A316" s="9">
        <f t="shared" si="16"/>
        <v>308</v>
      </c>
      <c r="B316" s="15">
        <v>46138</v>
      </c>
      <c r="C316" s="11">
        <f t="shared" si="17"/>
        <v>4</v>
      </c>
      <c r="D316" s="11">
        <v>5</v>
      </c>
      <c r="E316" s="11">
        <v>2</v>
      </c>
      <c r="F316" s="14">
        <v>40</v>
      </c>
      <c r="G316" s="89" t="str">
        <f>IFERROR(VLOOKUP(F316,COA!$A$1:$K$26,2,FALSE),0)</f>
        <v>Penerimaan Iuran Warga</v>
      </c>
      <c r="H316" s="11" t="s">
        <v>298</v>
      </c>
      <c r="I316" s="95" t="s">
        <v>297</v>
      </c>
      <c r="J316" s="82">
        <v>100000</v>
      </c>
      <c r="K316" s="79"/>
      <c r="L316" s="146">
        <f t="shared" si="15"/>
        <v>12233000</v>
      </c>
      <c r="M316" s="73"/>
      <c r="N316" s="73"/>
      <c r="O316" s="7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 x14ac:dyDescent="0.35">
      <c r="A317" s="9">
        <f t="shared" si="16"/>
        <v>309</v>
      </c>
      <c r="B317" s="15">
        <v>46138</v>
      </c>
      <c r="C317" s="11">
        <f t="shared" si="17"/>
        <v>4</v>
      </c>
      <c r="D317" s="11">
        <v>5</v>
      </c>
      <c r="E317" s="11">
        <v>3</v>
      </c>
      <c r="F317" s="14">
        <v>40</v>
      </c>
      <c r="G317" s="89" t="str">
        <f>IFERROR(VLOOKUP(F317,COA!$A$1:$K$26,2,FALSE),0)</f>
        <v>Penerimaan Iuran Warga</v>
      </c>
      <c r="H317" s="11" t="s">
        <v>298</v>
      </c>
      <c r="I317" s="95" t="s">
        <v>297</v>
      </c>
      <c r="J317" s="82">
        <v>100000</v>
      </c>
      <c r="K317" s="79"/>
      <c r="L317" s="146">
        <f t="shared" si="15"/>
        <v>12333000</v>
      </c>
      <c r="M317" s="73"/>
      <c r="N317" s="73"/>
      <c r="O317" s="7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 x14ac:dyDescent="0.35">
      <c r="A318" s="9">
        <f t="shared" si="16"/>
        <v>310</v>
      </c>
      <c r="B318" s="15">
        <v>46138</v>
      </c>
      <c r="C318" s="11">
        <f t="shared" si="17"/>
        <v>4</v>
      </c>
      <c r="D318" s="11">
        <v>5</v>
      </c>
      <c r="E318" s="11">
        <v>4</v>
      </c>
      <c r="F318" s="14">
        <v>40</v>
      </c>
      <c r="G318" s="89" t="str">
        <f>IFERROR(VLOOKUP(F318,COA!$A$1:$K$26,2,FALSE),0)</f>
        <v>Penerimaan Iuran Warga</v>
      </c>
      <c r="H318" s="11" t="s">
        <v>298</v>
      </c>
      <c r="I318" s="95" t="s">
        <v>297</v>
      </c>
      <c r="J318" s="82">
        <v>100000</v>
      </c>
      <c r="K318" s="79"/>
      <c r="L318" s="146">
        <f t="shared" si="15"/>
        <v>12433000</v>
      </c>
      <c r="M318" s="73"/>
      <c r="N318" s="73"/>
      <c r="O318" s="7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 x14ac:dyDescent="0.35">
      <c r="A319" s="9">
        <f t="shared" si="16"/>
        <v>311</v>
      </c>
      <c r="B319" s="15">
        <v>46138</v>
      </c>
      <c r="C319" s="11">
        <f t="shared" si="17"/>
        <v>4</v>
      </c>
      <c r="D319" s="11">
        <v>5</v>
      </c>
      <c r="E319" s="11">
        <v>4</v>
      </c>
      <c r="F319" s="14">
        <v>41</v>
      </c>
      <c r="G319" s="89" t="str">
        <f>IFERROR(VLOOKUP(F319,COA!$A$1:$K$26,2,FALSE),0)</f>
        <v>Penerimaan Lain-Lain</v>
      </c>
      <c r="H319" s="11" t="s">
        <v>275</v>
      </c>
      <c r="I319" s="95"/>
      <c r="J319" s="82">
        <v>20000</v>
      </c>
      <c r="K319" s="79"/>
      <c r="L319" s="146">
        <f t="shared" si="15"/>
        <v>12453000</v>
      </c>
      <c r="M319" s="73"/>
      <c r="N319" s="73"/>
      <c r="O319" s="7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 x14ac:dyDescent="0.35">
      <c r="A320" s="9">
        <f t="shared" si="16"/>
        <v>312</v>
      </c>
      <c r="B320" s="15">
        <v>46142</v>
      </c>
      <c r="C320" s="11">
        <f t="shared" si="17"/>
        <v>4</v>
      </c>
      <c r="D320" s="11">
        <v>5</v>
      </c>
      <c r="E320" s="88">
        <v>4</v>
      </c>
      <c r="F320" s="14">
        <v>12</v>
      </c>
      <c r="G320" s="89" t="str">
        <f>IFERROR(VLOOKUP(F320,COA!$A$1:$K$26,2,FALSE),0)</f>
        <v>Piutang Pembayaran Gaji</v>
      </c>
      <c r="H320" s="95" t="s">
        <v>194</v>
      </c>
      <c r="I320" s="95"/>
      <c r="J320" s="87"/>
      <c r="K320" s="78">
        <v>500000</v>
      </c>
      <c r="L320" s="146">
        <f t="shared" si="15"/>
        <v>11953000</v>
      </c>
      <c r="M320" s="73"/>
      <c r="N320" s="73"/>
      <c r="O320" s="7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 x14ac:dyDescent="0.35">
      <c r="A321" s="9">
        <f t="shared" si="16"/>
        <v>313</v>
      </c>
      <c r="B321" s="15">
        <v>46143</v>
      </c>
      <c r="C321" s="11">
        <f t="shared" si="17"/>
        <v>5</v>
      </c>
      <c r="D321" s="11">
        <v>5</v>
      </c>
      <c r="E321" s="11">
        <v>5</v>
      </c>
      <c r="F321" s="14">
        <v>40</v>
      </c>
      <c r="G321" s="89" t="str">
        <f>IFERROR(VLOOKUP(F321,COA!$A$1:$K$26,2,FALSE),0)</f>
        <v>Penerimaan Iuran Warga</v>
      </c>
      <c r="H321" s="11"/>
      <c r="I321" s="95" t="s">
        <v>89</v>
      </c>
      <c r="J321" s="78">
        <v>100000</v>
      </c>
      <c r="K321" s="78"/>
      <c r="L321" s="146">
        <f t="shared" si="15"/>
        <v>12053000</v>
      </c>
      <c r="M321" s="73"/>
      <c r="N321" s="73"/>
      <c r="O321" s="7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 x14ac:dyDescent="0.35">
      <c r="A322" s="9">
        <f t="shared" si="16"/>
        <v>314</v>
      </c>
      <c r="B322" s="15">
        <v>46143</v>
      </c>
      <c r="C322" s="11">
        <f t="shared" si="17"/>
        <v>5</v>
      </c>
      <c r="D322" s="11">
        <v>5</v>
      </c>
      <c r="E322" s="11">
        <v>2</v>
      </c>
      <c r="F322" s="14">
        <v>40</v>
      </c>
      <c r="G322" s="89" t="str">
        <f>IFERROR(VLOOKUP(F322,COA!$A$1:$K$26,2,FALSE),0)</f>
        <v>Penerimaan Iuran Warga</v>
      </c>
      <c r="H322" s="11"/>
      <c r="I322" s="95" t="s">
        <v>75</v>
      </c>
      <c r="J322" s="87">
        <v>100000</v>
      </c>
      <c r="K322" s="78"/>
      <c r="L322" s="146">
        <f t="shared" si="15"/>
        <v>12153000</v>
      </c>
      <c r="M322" s="73"/>
      <c r="N322" s="73"/>
      <c r="O322" s="7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 x14ac:dyDescent="0.35">
      <c r="A323" s="9">
        <f t="shared" si="16"/>
        <v>315</v>
      </c>
      <c r="B323" s="15">
        <v>46143</v>
      </c>
      <c r="C323" s="11">
        <f t="shared" si="17"/>
        <v>5</v>
      </c>
      <c r="D323" s="11">
        <v>5</v>
      </c>
      <c r="E323" s="88">
        <v>3</v>
      </c>
      <c r="F323" s="14">
        <v>40</v>
      </c>
      <c r="G323" s="89" t="str">
        <f>IFERROR(VLOOKUP(F323,COA!$A$1:$K$26,2,FALSE),0)</f>
        <v>Penerimaan Iuran Warga</v>
      </c>
      <c r="H323" s="11"/>
      <c r="I323" s="95" t="s">
        <v>75</v>
      </c>
      <c r="J323" s="87">
        <v>100000</v>
      </c>
      <c r="K323" s="78"/>
      <c r="L323" s="146">
        <f t="shared" si="15"/>
        <v>12253000</v>
      </c>
      <c r="M323" s="73"/>
      <c r="N323" s="73"/>
      <c r="O323" s="7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 x14ac:dyDescent="0.35">
      <c r="A324" s="9">
        <f t="shared" si="16"/>
        <v>316</v>
      </c>
      <c r="B324" s="15">
        <v>46143</v>
      </c>
      <c r="C324" s="11">
        <f t="shared" si="17"/>
        <v>5</v>
      </c>
      <c r="D324" s="11">
        <v>5</v>
      </c>
      <c r="E324" s="11">
        <v>4</v>
      </c>
      <c r="F324" s="14">
        <v>40</v>
      </c>
      <c r="G324" s="89" t="str">
        <f>IFERROR(VLOOKUP(F324,COA!$A$1:$K$26,2,FALSE),0)</f>
        <v>Penerimaan Iuran Warga</v>
      </c>
      <c r="H324" s="11"/>
      <c r="I324" s="95" t="s">
        <v>75</v>
      </c>
      <c r="J324" s="87">
        <v>100000</v>
      </c>
      <c r="K324" s="78"/>
      <c r="L324" s="146">
        <f t="shared" si="15"/>
        <v>12353000</v>
      </c>
      <c r="M324" s="73"/>
      <c r="N324" s="73"/>
      <c r="O324" s="7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 x14ac:dyDescent="0.35">
      <c r="A325" s="9">
        <f t="shared" si="16"/>
        <v>317</v>
      </c>
      <c r="B325" s="15">
        <v>46143</v>
      </c>
      <c r="C325" s="11">
        <f t="shared" si="17"/>
        <v>5</v>
      </c>
      <c r="D325" s="11">
        <v>5</v>
      </c>
      <c r="E325" s="88">
        <v>5</v>
      </c>
      <c r="F325" s="14">
        <v>40</v>
      </c>
      <c r="G325" s="89" t="str">
        <f>IFERROR(VLOOKUP(F325,COA!$A$1:$K$26,2,FALSE),0)</f>
        <v>Penerimaan Iuran Warga</v>
      </c>
      <c r="H325" s="11"/>
      <c r="I325" s="95" t="s">
        <v>75</v>
      </c>
      <c r="J325" s="87">
        <v>100000</v>
      </c>
      <c r="K325" s="78"/>
      <c r="L325" s="146">
        <f t="shared" si="15"/>
        <v>12453000</v>
      </c>
      <c r="M325" s="73"/>
      <c r="N325" s="73"/>
      <c r="O325" s="7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 x14ac:dyDescent="0.35">
      <c r="A326" s="9">
        <f t="shared" si="16"/>
        <v>318</v>
      </c>
      <c r="B326" s="15">
        <v>46143</v>
      </c>
      <c r="C326" s="11">
        <f t="shared" si="17"/>
        <v>5</v>
      </c>
      <c r="D326" s="11">
        <v>5</v>
      </c>
      <c r="E326" s="11">
        <v>1</v>
      </c>
      <c r="F326" s="14">
        <v>40</v>
      </c>
      <c r="G326" s="89" t="str">
        <f>IFERROR(VLOOKUP(F326,COA!$A$1:$K$26,2,FALSE),0)</f>
        <v>Penerimaan Iuran Warga</v>
      </c>
      <c r="H326" s="11"/>
      <c r="I326" s="95" t="s">
        <v>141</v>
      </c>
      <c r="J326" s="87">
        <v>110000</v>
      </c>
      <c r="K326" s="79"/>
      <c r="L326" s="146">
        <f t="shared" si="15"/>
        <v>12563000</v>
      </c>
      <c r="M326" s="73"/>
      <c r="N326" s="73"/>
      <c r="O326" s="7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 x14ac:dyDescent="0.35">
      <c r="A327" s="9">
        <f t="shared" si="16"/>
        <v>319</v>
      </c>
      <c r="B327" s="15">
        <v>46143</v>
      </c>
      <c r="C327" s="11">
        <f t="shared" si="17"/>
        <v>5</v>
      </c>
      <c r="D327" s="11">
        <v>5</v>
      </c>
      <c r="E327" s="11">
        <v>2</v>
      </c>
      <c r="F327" s="14">
        <v>40</v>
      </c>
      <c r="G327" s="89" t="str">
        <f>IFERROR(VLOOKUP(F327,COA!$A$1:$K$26,2,FALSE),0)</f>
        <v>Penerimaan Iuran Warga</v>
      </c>
      <c r="H327" s="11"/>
      <c r="I327" s="95" t="s">
        <v>141</v>
      </c>
      <c r="J327" s="87">
        <v>110000</v>
      </c>
      <c r="K327" s="81"/>
      <c r="L327" s="146">
        <f t="shared" si="15"/>
        <v>12673000</v>
      </c>
      <c r="M327" s="73"/>
      <c r="N327" s="73"/>
      <c r="O327" s="7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 x14ac:dyDescent="0.35">
      <c r="A328" s="9">
        <f t="shared" si="16"/>
        <v>320</v>
      </c>
      <c r="B328" s="15">
        <v>46143</v>
      </c>
      <c r="C328" s="11">
        <f t="shared" si="17"/>
        <v>5</v>
      </c>
      <c r="D328" s="11">
        <v>5</v>
      </c>
      <c r="E328" s="11">
        <v>3</v>
      </c>
      <c r="F328" s="14">
        <v>40</v>
      </c>
      <c r="G328" s="89" t="str">
        <f>IFERROR(VLOOKUP(F328,COA!$A$1:$K$26,2,FALSE),0)</f>
        <v>Penerimaan Iuran Warga</v>
      </c>
      <c r="H328" s="11"/>
      <c r="I328" s="95" t="s">
        <v>141</v>
      </c>
      <c r="J328" s="87">
        <v>110000</v>
      </c>
      <c r="K328" s="79"/>
      <c r="L328" s="146">
        <f t="shared" si="15"/>
        <v>12783000</v>
      </c>
      <c r="M328" s="73"/>
      <c r="N328" s="73"/>
      <c r="O328" s="7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 x14ac:dyDescent="0.35">
      <c r="A329" s="9">
        <f t="shared" si="16"/>
        <v>321</v>
      </c>
      <c r="B329" s="15">
        <v>46143</v>
      </c>
      <c r="C329" s="11">
        <f t="shared" si="17"/>
        <v>5</v>
      </c>
      <c r="D329" s="11">
        <v>5</v>
      </c>
      <c r="E329" s="11">
        <v>4</v>
      </c>
      <c r="F329" s="14">
        <v>40</v>
      </c>
      <c r="G329" s="89" t="str">
        <f>IFERROR(VLOOKUP(F329,COA!$A$1:$K$26,2,FALSE),0)</f>
        <v>Penerimaan Iuran Warga</v>
      </c>
      <c r="H329" s="11"/>
      <c r="I329" s="95" t="s">
        <v>141</v>
      </c>
      <c r="J329" s="87">
        <v>110000</v>
      </c>
      <c r="K329" s="79"/>
      <c r="L329" s="146">
        <f t="shared" si="15"/>
        <v>12893000</v>
      </c>
      <c r="M329" s="73"/>
      <c r="N329" s="73"/>
      <c r="O329" s="7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4.25" customHeight="1" x14ac:dyDescent="0.35">
      <c r="A330" s="9">
        <f t="shared" si="16"/>
        <v>322</v>
      </c>
      <c r="B330" s="15">
        <v>46143</v>
      </c>
      <c r="C330" s="11">
        <f t="shared" si="17"/>
        <v>5</v>
      </c>
      <c r="D330" s="11">
        <v>5</v>
      </c>
      <c r="E330" s="11">
        <v>5</v>
      </c>
      <c r="F330" s="14">
        <v>40</v>
      </c>
      <c r="G330" s="89" t="str">
        <f>IFERROR(VLOOKUP(F330,COA!$A$1:$K$26,2,FALSE),0)</f>
        <v>Penerimaan Iuran Warga</v>
      </c>
      <c r="H330" s="11"/>
      <c r="I330" s="95" t="s">
        <v>141</v>
      </c>
      <c r="J330" s="87">
        <v>110000</v>
      </c>
      <c r="K330" s="79"/>
      <c r="L330" s="146">
        <f t="shared" ref="L330:L399" si="19">L329+J330-K330</f>
        <v>13003000</v>
      </c>
      <c r="M330" s="73"/>
      <c r="N330" s="73"/>
      <c r="O330" s="7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 x14ac:dyDescent="0.35">
      <c r="A331" s="9">
        <f t="shared" si="16"/>
        <v>323</v>
      </c>
      <c r="B331" s="15">
        <v>46143</v>
      </c>
      <c r="C331" s="11">
        <f t="shared" si="17"/>
        <v>5</v>
      </c>
      <c r="D331" s="11">
        <v>5</v>
      </c>
      <c r="E331" s="11">
        <v>6</v>
      </c>
      <c r="F331" s="14">
        <v>40</v>
      </c>
      <c r="G331" s="89" t="str">
        <f>IFERROR(VLOOKUP(F331,COA!$A$1:$K$26,2,FALSE),0)</f>
        <v>Penerimaan Iuran Warga</v>
      </c>
      <c r="H331" s="11"/>
      <c r="I331" s="95" t="s">
        <v>141</v>
      </c>
      <c r="J331" s="87">
        <v>110000</v>
      </c>
      <c r="K331" s="81"/>
      <c r="L331" s="146">
        <f t="shared" si="19"/>
        <v>13113000</v>
      </c>
      <c r="M331" s="73"/>
      <c r="N331" s="73"/>
      <c r="O331" s="7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 x14ac:dyDescent="0.35">
      <c r="A332" s="9">
        <f t="shared" ref="A332:A401" si="20">A331+1</f>
        <v>324</v>
      </c>
      <c r="B332" s="15">
        <v>46143</v>
      </c>
      <c r="C332" s="11">
        <f t="shared" si="17"/>
        <v>5</v>
      </c>
      <c r="D332" s="11">
        <v>5</v>
      </c>
      <c r="E332" s="11">
        <v>7</v>
      </c>
      <c r="F332" s="14">
        <v>40</v>
      </c>
      <c r="G332" s="89" t="str">
        <f>IFERROR(VLOOKUP(F332,COA!$A$1:$K$26,2,FALSE),0)</f>
        <v>Penerimaan Iuran Warga</v>
      </c>
      <c r="H332" s="11"/>
      <c r="I332" s="95" t="s">
        <v>141</v>
      </c>
      <c r="J332" s="87">
        <v>110000</v>
      </c>
      <c r="K332" s="81"/>
      <c r="L332" s="146">
        <f t="shared" si="19"/>
        <v>13223000</v>
      </c>
      <c r="M332" s="73"/>
      <c r="N332" s="73"/>
      <c r="O332" s="7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 x14ac:dyDescent="0.35">
      <c r="A333" s="9">
        <f t="shared" si="20"/>
        <v>325</v>
      </c>
      <c r="B333" s="15">
        <v>46143</v>
      </c>
      <c r="C333" s="11">
        <f t="shared" si="17"/>
        <v>5</v>
      </c>
      <c r="D333" s="11">
        <v>5</v>
      </c>
      <c r="E333" s="11">
        <v>8</v>
      </c>
      <c r="F333" s="14">
        <v>40</v>
      </c>
      <c r="G333" s="89" t="str">
        <f>IFERROR(VLOOKUP(F333,COA!$A$1:$K$26,2,FALSE),0)</f>
        <v>Penerimaan Iuran Warga</v>
      </c>
      <c r="H333" s="11"/>
      <c r="I333" s="95" t="s">
        <v>141</v>
      </c>
      <c r="J333" s="87">
        <v>110000</v>
      </c>
      <c r="K333" s="79"/>
      <c r="L333" s="146">
        <f t="shared" si="19"/>
        <v>13333000</v>
      </c>
      <c r="M333" s="73"/>
      <c r="N333" s="73"/>
      <c r="O333" s="7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 x14ac:dyDescent="0.35">
      <c r="A334" s="9">
        <f t="shared" si="20"/>
        <v>326</v>
      </c>
      <c r="B334" s="15">
        <v>46143</v>
      </c>
      <c r="C334" s="11">
        <f t="shared" si="17"/>
        <v>5</v>
      </c>
      <c r="D334" s="11">
        <v>5</v>
      </c>
      <c r="E334" s="11">
        <v>9</v>
      </c>
      <c r="F334" s="14">
        <v>40</v>
      </c>
      <c r="G334" s="89" t="str">
        <f>IFERROR(VLOOKUP(F334,COA!$A$1:$K$26,2,FALSE),0)</f>
        <v>Penerimaan Iuran Warga</v>
      </c>
      <c r="H334" s="11"/>
      <c r="I334" s="95" t="s">
        <v>141</v>
      </c>
      <c r="J334" s="87">
        <v>110000</v>
      </c>
      <c r="K334" s="79"/>
      <c r="L334" s="146">
        <f t="shared" si="19"/>
        <v>13443000</v>
      </c>
      <c r="M334" s="73"/>
      <c r="N334" s="73"/>
      <c r="O334" s="7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 x14ac:dyDescent="0.35">
      <c r="A335" s="9">
        <f t="shared" si="20"/>
        <v>327</v>
      </c>
      <c r="B335" s="15">
        <v>46143</v>
      </c>
      <c r="C335" s="11">
        <f t="shared" si="17"/>
        <v>5</v>
      </c>
      <c r="D335" s="11">
        <v>5</v>
      </c>
      <c r="E335" s="11">
        <v>10</v>
      </c>
      <c r="F335" s="14">
        <v>40</v>
      </c>
      <c r="G335" s="89" t="str">
        <f>IFERROR(VLOOKUP(F335,COA!$A$1:$K$26,2,FALSE),0)</f>
        <v>Penerimaan Iuran Warga</v>
      </c>
      <c r="H335" s="13"/>
      <c r="I335" s="95" t="s">
        <v>141</v>
      </c>
      <c r="J335" s="87">
        <v>110000</v>
      </c>
      <c r="K335" s="79"/>
      <c r="L335" s="146">
        <f t="shared" si="19"/>
        <v>13553000</v>
      </c>
      <c r="M335" s="73"/>
      <c r="N335" s="73"/>
      <c r="O335" s="7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 x14ac:dyDescent="0.35">
      <c r="A336" s="9">
        <f t="shared" si="20"/>
        <v>328</v>
      </c>
      <c r="B336" s="15">
        <v>46143</v>
      </c>
      <c r="C336" s="11">
        <f t="shared" si="17"/>
        <v>5</v>
      </c>
      <c r="D336" s="11">
        <v>5</v>
      </c>
      <c r="E336" s="11">
        <v>11</v>
      </c>
      <c r="F336" s="14">
        <v>40</v>
      </c>
      <c r="G336" s="89" t="str">
        <f>IFERROR(VLOOKUP(F336,COA!$A$1:$K$26,2,FALSE),0)</f>
        <v>Penerimaan Iuran Warga</v>
      </c>
      <c r="H336" s="11"/>
      <c r="I336" s="95" t="s">
        <v>141</v>
      </c>
      <c r="J336" s="87">
        <v>110000</v>
      </c>
      <c r="K336" s="81"/>
      <c r="L336" s="146">
        <f t="shared" si="19"/>
        <v>13663000</v>
      </c>
      <c r="M336" s="73"/>
      <c r="N336" s="73"/>
      <c r="O336" s="7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 x14ac:dyDescent="0.35">
      <c r="A337" s="9">
        <f t="shared" si="20"/>
        <v>329</v>
      </c>
      <c r="B337" s="15">
        <v>46143</v>
      </c>
      <c r="C337" s="11">
        <f t="shared" si="17"/>
        <v>5</v>
      </c>
      <c r="D337" s="11">
        <v>5</v>
      </c>
      <c r="E337" s="11">
        <v>12</v>
      </c>
      <c r="F337" s="14">
        <v>40</v>
      </c>
      <c r="G337" s="89" t="str">
        <f>IFERROR(VLOOKUP(F337,COA!$A$1:$K$26,2,FALSE),0)</f>
        <v>Penerimaan Iuran Warga</v>
      </c>
      <c r="H337" s="11"/>
      <c r="I337" s="95" t="s">
        <v>141</v>
      </c>
      <c r="J337" s="87">
        <v>110000</v>
      </c>
      <c r="K337" s="79"/>
      <c r="L337" s="146">
        <f t="shared" si="19"/>
        <v>13773000</v>
      </c>
      <c r="M337" s="73"/>
      <c r="N337" s="73"/>
      <c r="O337" s="7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 x14ac:dyDescent="0.35">
      <c r="A338" s="9">
        <f t="shared" si="20"/>
        <v>330</v>
      </c>
      <c r="B338" s="15">
        <v>46143</v>
      </c>
      <c r="C338" s="11">
        <f t="shared" si="17"/>
        <v>5</v>
      </c>
      <c r="D338" s="11">
        <v>5</v>
      </c>
      <c r="E338" s="11">
        <v>5</v>
      </c>
      <c r="F338" s="14">
        <v>54</v>
      </c>
      <c r="G338" s="89" t="str">
        <f>IFERROR(VLOOKUP(F338,COA!$A$1:$K$26,2,FALSE),0)</f>
        <v>Biaya Listrik</v>
      </c>
      <c r="H338" s="95" t="s">
        <v>190</v>
      </c>
      <c r="I338" s="11"/>
      <c r="J338" s="85"/>
      <c r="K338" s="79">
        <v>39648</v>
      </c>
      <c r="L338" s="146">
        <f t="shared" si="19"/>
        <v>13733352</v>
      </c>
      <c r="M338" s="73"/>
      <c r="N338" s="73"/>
      <c r="O338" s="7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 x14ac:dyDescent="0.35">
      <c r="A339" s="9">
        <f t="shared" si="20"/>
        <v>331</v>
      </c>
      <c r="B339" s="15">
        <v>46143</v>
      </c>
      <c r="C339" s="11">
        <f t="shared" si="17"/>
        <v>5</v>
      </c>
      <c r="D339" s="11">
        <v>5</v>
      </c>
      <c r="E339" s="13">
        <v>5</v>
      </c>
      <c r="F339" s="14">
        <v>58</v>
      </c>
      <c r="G339" s="89" t="str">
        <f>IFERROR(VLOOKUP(F339,COA!$A$1:$K$26,2,FALSE),0)</f>
        <v>Biaya adm bank</v>
      </c>
      <c r="H339" s="96" t="s">
        <v>190</v>
      </c>
      <c r="I339" s="13"/>
      <c r="J339" s="85"/>
      <c r="K339" s="79">
        <v>3500</v>
      </c>
      <c r="L339" s="146">
        <f t="shared" si="19"/>
        <v>13729852</v>
      </c>
      <c r="M339" s="73"/>
      <c r="N339" s="73"/>
      <c r="O339" s="7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 x14ac:dyDescent="0.35">
      <c r="A340" s="9">
        <f t="shared" si="20"/>
        <v>332</v>
      </c>
      <c r="B340" s="15">
        <v>46143</v>
      </c>
      <c r="C340" s="11">
        <f t="shared" si="17"/>
        <v>5</v>
      </c>
      <c r="D340" s="11">
        <v>5</v>
      </c>
      <c r="E340" s="88">
        <v>5</v>
      </c>
      <c r="F340" s="14">
        <v>55</v>
      </c>
      <c r="G340" s="89" t="str">
        <f>IFERROR(VLOOKUP(F340,COA!$A$1:$K$26,2,FALSE),0)</f>
        <v>Biaya PDAM</v>
      </c>
      <c r="H340" s="95" t="s">
        <v>191</v>
      </c>
      <c r="I340" s="88"/>
      <c r="J340" s="85"/>
      <c r="K340" s="78">
        <v>12000</v>
      </c>
      <c r="L340" s="146">
        <f t="shared" si="19"/>
        <v>13717852</v>
      </c>
      <c r="M340" s="73"/>
      <c r="N340" s="73"/>
      <c r="O340" s="7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 x14ac:dyDescent="0.35">
      <c r="A341" s="9">
        <f t="shared" si="20"/>
        <v>333</v>
      </c>
      <c r="B341" s="15">
        <v>46143</v>
      </c>
      <c r="C341" s="11">
        <f t="shared" si="17"/>
        <v>5</v>
      </c>
      <c r="D341" s="11">
        <v>5</v>
      </c>
      <c r="E341" s="11">
        <v>5</v>
      </c>
      <c r="F341" s="14">
        <v>58</v>
      </c>
      <c r="G341" s="89" t="str">
        <f>IFERROR(VLOOKUP(F341,COA!$A$1:$K$26,2,FALSE),0)</f>
        <v>Biaya adm bank</v>
      </c>
      <c r="H341" s="95" t="s">
        <v>191</v>
      </c>
      <c r="I341" s="11"/>
      <c r="J341" s="87"/>
      <c r="K341" s="81">
        <v>2500</v>
      </c>
      <c r="L341" s="146">
        <f t="shared" si="19"/>
        <v>13715352</v>
      </c>
      <c r="M341" s="73"/>
      <c r="N341" s="73"/>
      <c r="O341" s="7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 x14ac:dyDescent="0.35">
      <c r="A342" s="9">
        <f t="shared" si="20"/>
        <v>334</v>
      </c>
      <c r="B342" s="15">
        <v>46143</v>
      </c>
      <c r="C342" s="11">
        <f t="shared" si="17"/>
        <v>5</v>
      </c>
      <c r="D342" s="11">
        <v>5</v>
      </c>
      <c r="E342" s="11">
        <v>4</v>
      </c>
      <c r="F342" s="14">
        <v>50</v>
      </c>
      <c r="G342" s="89" t="str">
        <f>IFERROR(VLOOKUP(F342,COA!$A$1:$K$26,2,FALSE),0)</f>
        <v>Biaya Gaji Satpam</v>
      </c>
      <c r="H342" s="95" t="s">
        <v>192</v>
      </c>
      <c r="I342" s="95"/>
      <c r="J342" s="85"/>
      <c r="K342" s="79">
        <v>1180000</v>
      </c>
      <c r="L342" s="146">
        <f t="shared" si="19"/>
        <v>12535352</v>
      </c>
      <c r="M342" s="73"/>
      <c r="N342" s="73"/>
      <c r="O342" s="7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 x14ac:dyDescent="0.35">
      <c r="A343" s="9">
        <f t="shared" si="20"/>
        <v>335</v>
      </c>
      <c r="B343" s="15">
        <v>46143</v>
      </c>
      <c r="C343" s="11">
        <f t="shared" si="17"/>
        <v>5</v>
      </c>
      <c r="D343" s="11">
        <v>5</v>
      </c>
      <c r="E343" s="11">
        <v>4</v>
      </c>
      <c r="F343" s="14">
        <v>50</v>
      </c>
      <c r="G343" s="89" t="str">
        <f>IFERROR(VLOOKUP(F343,COA!$A$1:$K$26,2,FALSE),0)</f>
        <v>Biaya Gaji Satpam</v>
      </c>
      <c r="H343" s="89" t="s">
        <v>193</v>
      </c>
      <c r="I343" s="11"/>
      <c r="J343" s="87"/>
      <c r="K343" s="81">
        <v>1060000</v>
      </c>
      <c r="L343" s="146">
        <f t="shared" si="19"/>
        <v>11475352</v>
      </c>
      <c r="M343" s="73"/>
      <c r="N343" s="73"/>
      <c r="O343" s="7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 x14ac:dyDescent="0.35">
      <c r="A344" s="9">
        <f t="shared" si="20"/>
        <v>336</v>
      </c>
      <c r="B344" s="15">
        <v>46143</v>
      </c>
      <c r="C344" s="11">
        <f t="shared" si="17"/>
        <v>5</v>
      </c>
      <c r="D344" s="11">
        <v>5</v>
      </c>
      <c r="E344" s="11">
        <v>5</v>
      </c>
      <c r="F344" s="14">
        <v>12</v>
      </c>
      <c r="G344" s="89" t="str">
        <f>IFERROR(VLOOKUP(F344,COA!$A$1:$K$26,2,FALSE),0)</f>
        <v>Piutang Pembayaran Gaji</v>
      </c>
      <c r="H344" s="95" t="s">
        <v>195</v>
      </c>
      <c r="I344" s="11"/>
      <c r="J344" s="81">
        <v>500000</v>
      </c>
      <c r="K344" s="79"/>
      <c r="L344" s="146">
        <f t="shared" si="19"/>
        <v>11975352</v>
      </c>
      <c r="M344" s="73"/>
      <c r="N344" s="73"/>
      <c r="O344" s="7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 x14ac:dyDescent="0.35">
      <c r="A345" s="9">
        <f t="shared" si="20"/>
        <v>337</v>
      </c>
      <c r="B345" s="15">
        <v>46143</v>
      </c>
      <c r="C345" s="11">
        <f t="shared" si="17"/>
        <v>5</v>
      </c>
      <c r="D345" s="11">
        <v>5</v>
      </c>
      <c r="E345" s="89">
        <v>5</v>
      </c>
      <c r="F345" s="14">
        <v>41</v>
      </c>
      <c r="G345" s="89" t="str">
        <f>IFERROR(VLOOKUP(F345,COA!$A$1:$K$26,2,FALSE),0)</f>
        <v>Penerimaan Lain-Lain</v>
      </c>
      <c r="H345" s="89" t="s">
        <v>196</v>
      </c>
      <c r="I345" s="89"/>
      <c r="J345" s="90">
        <v>100000</v>
      </c>
      <c r="K345" s="79"/>
      <c r="L345" s="146">
        <f t="shared" si="19"/>
        <v>12075352</v>
      </c>
      <c r="M345" s="73"/>
      <c r="N345" s="73"/>
      <c r="O345" s="7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 x14ac:dyDescent="0.35">
      <c r="A346" s="9">
        <f t="shared" si="20"/>
        <v>338</v>
      </c>
      <c r="B346" s="15">
        <v>46143</v>
      </c>
      <c r="C346" s="11">
        <f t="shared" si="17"/>
        <v>5</v>
      </c>
      <c r="D346" s="11">
        <v>5</v>
      </c>
      <c r="E346" s="89">
        <v>3</v>
      </c>
      <c r="F346" s="14">
        <v>40</v>
      </c>
      <c r="G346" s="89" t="str">
        <f>IFERROR(VLOOKUP(F346,COA!$A$1:$K$26,2,FALSE),0)</f>
        <v>Penerimaan Iuran Warga</v>
      </c>
      <c r="H346" s="89" t="s">
        <v>256</v>
      </c>
      <c r="I346" s="89" t="s">
        <v>99</v>
      </c>
      <c r="J346" s="90">
        <v>100000</v>
      </c>
      <c r="K346" s="79"/>
      <c r="L346" s="146">
        <f t="shared" si="19"/>
        <v>12175352</v>
      </c>
      <c r="M346" s="73"/>
      <c r="N346" s="73"/>
      <c r="O346" s="7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 x14ac:dyDescent="0.35">
      <c r="A347" s="9">
        <f t="shared" si="20"/>
        <v>339</v>
      </c>
      <c r="B347" s="15">
        <v>46143</v>
      </c>
      <c r="C347" s="11">
        <f t="shared" si="17"/>
        <v>5</v>
      </c>
      <c r="D347" s="11">
        <v>5</v>
      </c>
      <c r="E347" s="89">
        <v>4</v>
      </c>
      <c r="F347" s="14">
        <v>40</v>
      </c>
      <c r="G347" s="89" t="str">
        <f>IFERROR(VLOOKUP(F347,COA!$A$1:$K$26,2,FALSE),0)</f>
        <v>Penerimaan Iuran Warga</v>
      </c>
      <c r="H347" s="89" t="s">
        <v>256</v>
      </c>
      <c r="I347" s="89" t="s">
        <v>99</v>
      </c>
      <c r="J347" s="90">
        <v>100000</v>
      </c>
      <c r="K347" s="79"/>
      <c r="L347" s="146">
        <f t="shared" si="19"/>
        <v>12275352</v>
      </c>
      <c r="M347" s="73"/>
      <c r="N347" s="73"/>
      <c r="O347" s="7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 x14ac:dyDescent="0.35">
      <c r="A348" s="9">
        <f t="shared" si="20"/>
        <v>340</v>
      </c>
      <c r="B348" s="15">
        <v>46143</v>
      </c>
      <c r="C348" s="11">
        <f t="shared" si="17"/>
        <v>5</v>
      </c>
      <c r="D348" s="11">
        <v>5</v>
      </c>
      <c r="E348" s="89">
        <v>5</v>
      </c>
      <c r="F348" s="11">
        <v>40</v>
      </c>
      <c r="G348" s="89" t="str">
        <f>IFERROR(VLOOKUP(F348,COA!$A$1:$K$26,2,FALSE),0)</f>
        <v>Penerimaan Iuran Warga</v>
      </c>
      <c r="H348" s="89" t="s">
        <v>257</v>
      </c>
      <c r="I348" s="89" t="s">
        <v>180</v>
      </c>
      <c r="J348" s="90">
        <v>100000</v>
      </c>
      <c r="K348" s="79"/>
      <c r="L348" s="146">
        <f t="shared" si="19"/>
        <v>12375352</v>
      </c>
      <c r="M348" s="73"/>
      <c r="N348" s="73"/>
      <c r="O348" s="7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 x14ac:dyDescent="0.35">
      <c r="A349" s="9">
        <f t="shared" si="20"/>
        <v>341</v>
      </c>
      <c r="B349" s="15">
        <v>46143</v>
      </c>
      <c r="C349" s="11">
        <f t="shared" si="17"/>
        <v>5</v>
      </c>
      <c r="D349" s="11">
        <v>5</v>
      </c>
      <c r="E349" s="89">
        <v>4</v>
      </c>
      <c r="F349" s="11">
        <v>51</v>
      </c>
      <c r="G349" s="89" t="str">
        <f>IFERROR(VLOOKUP(F349,COA!$A$1:$K$26,2,FALSE),0)</f>
        <v>Biaya Gaji Sampah</v>
      </c>
      <c r="H349" s="89" t="s">
        <v>207</v>
      </c>
      <c r="I349" s="89"/>
      <c r="J349" s="90"/>
      <c r="K349" s="78">
        <v>900000</v>
      </c>
      <c r="L349" s="146">
        <f t="shared" si="19"/>
        <v>11475352</v>
      </c>
      <c r="M349" s="138"/>
      <c r="N349" s="138"/>
      <c r="O349" s="138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4.25" customHeight="1" x14ac:dyDescent="0.35">
      <c r="A350" s="9">
        <f t="shared" si="20"/>
        <v>342</v>
      </c>
      <c r="B350" s="15">
        <v>46143</v>
      </c>
      <c r="C350" s="11">
        <f t="shared" ref="C350:C419" si="21">MONTH(B350)</f>
        <v>5</v>
      </c>
      <c r="D350" s="11">
        <v>5</v>
      </c>
      <c r="E350" s="89">
        <v>4</v>
      </c>
      <c r="F350" s="11">
        <v>50</v>
      </c>
      <c r="G350" s="89" t="str">
        <f>IFERROR(VLOOKUP(F350,COA!$A$1:$K$26,2,FALSE),0)</f>
        <v>Biaya Gaji Satpam</v>
      </c>
      <c r="H350" s="89" t="s">
        <v>199</v>
      </c>
      <c r="I350" s="89"/>
      <c r="J350" s="90"/>
      <c r="K350" s="78">
        <v>750000</v>
      </c>
      <c r="L350" s="146">
        <f t="shared" si="19"/>
        <v>10725352</v>
      </c>
      <c r="M350" s="73"/>
      <c r="N350" s="73"/>
      <c r="O350" s="7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 x14ac:dyDescent="0.35">
      <c r="A351" s="9">
        <f t="shared" si="20"/>
        <v>343</v>
      </c>
      <c r="B351" s="15">
        <v>46143</v>
      </c>
      <c r="C351" s="11">
        <f t="shared" si="21"/>
        <v>5</v>
      </c>
      <c r="D351" s="11">
        <v>5</v>
      </c>
      <c r="E351" s="89">
        <v>4</v>
      </c>
      <c r="F351" s="11">
        <v>52</v>
      </c>
      <c r="G351" s="89" t="str">
        <f>IFERROR(VLOOKUP(F351,COA!$A$1:$K$26,2,FALSE),0)</f>
        <v>Biaya Gaji Marbot</v>
      </c>
      <c r="H351" s="89" t="s">
        <v>248</v>
      </c>
      <c r="I351" s="89"/>
      <c r="J351" s="90"/>
      <c r="K351" s="78">
        <v>750000</v>
      </c>
      <c r="L351" s="146">
        <f t="shared" si="19"/>
        <v>9975352</v>
      </c>
      <c r="M351" s="139"/>
      <c r="N351" s="73"/>
      <c r="O351" s="7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 x14ac:dyDescent="0.35">
      <c r="A352" s="9">
        <f t="shared" si="20"/>
        <v>344</v>
      </c>
      <c r="B352" s="15">
        <v>46143</v>
      </c>
      <c r="C352" s="11">
        <f t="shared" si="21"/>
        <v>5</v>
      </c>
      <c r="D352" s="11">
        <v>5</v>
      </c>
      <c r="E352" s="89">
        <v>1</v>
      </c>
      <c r="F352" s="11">
        <v>40</v>
      </c>
      <c r="G352" s="89" t="str">
        <f>IFERROR(VLOOKUP(F352,COA!$A$1:$K$26,2,FALSE),0)</f>
        <v>Penerimaan Iuran Warga</v>
      </c>
      <c r="H352" s="89" t="s">
        <v>258</v>
      </c>
      <c r="I352" s="89" t="s">
        <v>177</v>
      </c>
      <c r="J352" s="90">
        <v>100000</v>
      </c>
      <c r="K352" s="78"/>
      <c r="L352" s="146">
        <f t="shared" si="19"/>
        <v>10075352</v>
      </c>
      <c r="M352" s="73"/>
      <c r="N352" s="73"/>
      <c r="O352" s="7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4.25" customHeight="1" x14ac:dyDescent="0.35">
      <c r="A353" s="9">
        <f t="shared" si="20"/>
        <v>345</v>
      </c>
      <c r="B353" s="15">
        <v>46143</v>
      </c>
      <c r="C353" s="11">
        <f t="shared" si="21"/>
        <v>5</v>
      </c>
      <c r="D353" s="11">
        <v>5</v>
      </c>
      <c r="E353" s="89">
        <v>2</v>
      </c>
      <c r="F353" s="11">
        <v>40</v>
      </c>
      <c r="G353" s="89" t="str">
        <f>IFERROR(VLOOKUP(F353,COA!$A$1:$K$26,2,FALSE),0)</f>
        <v>Penerimaan Iuran Warga</v>
      </c>
      <c r="H353" s="89" t="s">
        <v>258</v>
      </c>
      <c r="I353" s="89" t="s">
        <v>177</v>
      </c>
      <c r="J353" s="90">
        <v>100000</v>
      </c>
      <c r="K353" s="78"/>
      <c r="L353" s="146">
        <f t="shared" si="19"/>
        <v>10175352</v>
      </c>
      <c r="M353" s="140"/>
      <c r="N353" s="73"/>
      <c r="O353" s="7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 x14ac:dyDescent="0.35">
      <c r="A354" s="9">
        <f t="shared" si="20"/>
        <v>346</v>
      </c>
      <c r="B354" s="15">
        <v>46143</v>
      </c>
      <c r="C354" s="11">
        <f t="shared" si="21"/>
        <v>5</v>
      </c>
      <c r="D354" s="11">
        <v>5</v>
      </c>
      <c r="E354" s="11">
        <v>4</v>
      </c>
      <c r="F354" s="11">
        <v>40</v>
      </c>
      <c r="G354" s="89" t="str">
        <f>IFERROR(VLOOKUP(F354,COA!$A$1:$K$26,2,FALSE),0)</f>
        <v>Penerimaan Iuran Warga</v>
      </c>
      <c r="H354" s="89" t="s">
        <v>268</v>
      </c>
      <c r="I354" s="89" t="s">
        <v>91</v>
      </c>
      <c r="J354" s="93">
        <v>100000</v>
      </c>
      <c r="K354" s="78"/>
      <c r="L354" s="146">
        <f t="shared" si="19"/>
        <v>10275352</v>
      </c>
      <c r="M354" s="73"/>
      <c r="N354" s="73"/>
      <c r="O354" s="7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 x14ac:dyDescent="0.35">
      <c r="A355" s="9">
        <f t="shared" si="20"/>
        <v>347</v>
      </c>
      <c r="B355" s="15">
        <v>46143</v>
      </c>
      <c r="C355" s="11">
        <f t="shared" si="21"/>
        <v>5</v>
      </c>
      <c r="D355" s="11">
        <v>5</v>
      </c>
      <c r="E355" s="11">
        <v>5</v>
      </c>
      <c r="F355" s="11">
        <v>40</v>
      </c>
      <c r="G355" s="89" t="str">
        <f>IFERROR(VLOOKUP(F355,COA!$A$1:$K$26,2,FALSE),0)</f>
        <v>Penerimaan Iuran Warga</v>
      </c>
      <c r="H355" s="89" t="s">
        <v>268</v>
      </c>
      <c r="I355" s="89" t="s">
        <v>91</v>
      </c>
      <c r="J355" s="90">
        <v>100000</v>
      </c>
      <c r="K355" s="79"/>
      <c r="L355" s="146">
        <f t="shared" si="19"/>
        <v>10375352</v>
      </c>
      <c r="M355" s="73"/>
      <c r="N355" s="73"/>
      <c r="O355" s="7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 x14ac:dyDescent="0.35">
      <c r="A356" s="9">
        <f t="shared" si="20"/>
        <v>348</v>
      </c>
      <c r="B356" s="15">
        <v>46143</v>
      </c>
      <c r="C356" s="11">
        <f t="shared" si="21"/>
        <v>5</v>
      </c>
      <c r="D356" s="11">
        <v>5</v>
      </c>
      <c r="E356" s="11">
        <v>5</v>
      </c>
      <c r="F356" s="14">
        <v>60</v>
      </c>
      <c r="G356" s="89" t="str">
        <f>IFERROR(VLOOKUP(F356,COA!$A$1:$K$26,2,FALSE),0)</f>
        <v>Biaya Logistik Satpam dan Musholla</v>
      </c>
      <c r="H356" s="89" t="s">
        <v>269</v>
      </c>
      <c r="I356" s="89"/>
      <c r="J356" s="90"/>
      <c r="K356" s="79">
        <v>19000</v>
      </c>
      <c r="L356" s="146">
        <f t="shared" si="19"/>
        <v>10356352</v>
      </c>
      <c r="M356" s="73"/>
      <c r="N356" s="73"/>
      <c r="O356" s="7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 x14ac:dyDescent="0.35">
      <c r="A357" s="9">
        <f t="shared" si="20"/>
        <v>349</v>
      </c>
      <c r="B357" s="15">
        <v>46143</v>
      </c>
      <c r="C357" s="11">
        <f t="shared" si="21"/>
        <v>5</v>
      </c>
      <c r="D357" s="11">
        <v>5</v>
      </c>
      <c r="E357" s="11">
        <v>5</v>
      </c>
      <c r="F357" s="14">
        <v>40</v>
      </c>
      <c r="G357" s="89" t="str">
        <f>IFERROR(VLOOKUP(F357,COA!$A$1:$K$26,2,FALSE),0)</f>
        <v>Penerimaan Iuran Warga</v>
      </c>
      <c r="H357" s="89" t="s">
        <v>278</v>
      </c>
      <c r="I357" s="89" t="s">
        <v>102</v>
      </c>
      <c r="J357" s="90">
        <v>100000</v>
      </c>
      <c r="K357" s="79"/>
      <c r="L357" s="146">
        <f t="shared" si="19"/>
        <v>10456352</v>
      </c>
      <c r="M357" s="73"/>
      <c r="N357" s="73"/>
      <c r="O357" s="7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 x14ac:dyDescent="0.35">
      <c r="A358" s="9">
        <f t="shared" si="20"/>
        <v>350</v>
      </c>
      <c r="B358" s="15">
        <v>46143</v>
      </c>
      <c r="C358" s="11">
        <f t="shared" si="21"/>
        <v>5</v>
      </c>
      <c r="D358" s="11">
        <v>5</v>
      </c>
      <c r="E358" s="11">
        <v>5</v>
      </c>
      <c r="F358" s="11">
        <v>60</v>
      </c>
      <c r="G358" s="89" t="str">
        <f>IFERROR(VLOOKUP(F358,COA!$A$1:$K$26,2,FALSE),0)</f>
        <v>Biaya Logistik Satpam dan Musholla</v>
      </c>
      <c r="H358" s="89" t="s">
        <v>282</v>
      </c>
      <c r="I358" s="89"/>
      <c r="J358" s="90"/>
      <c r="K358" s="78">
        <v>200000</v>
      </c>
      <c r="L358" s="146">
        <f t="shared" si="19"/>
        <v>10256352</v>
      </c>
      <c r="M358" s="73"/>
      <c r="N358" s="73"/>
      <c r="O358" s="7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 x14ac:dyDescent="0.35">
      <c r="A359" s="9">
        <f t="shared" si="20"/>
        <v>351</v>
      </c>
      <c r="B359" s="15">
        <v>46143</v>
      </c>
      <c r="C359" s="11">
        <f t="shared" si="21"/>
        <v>5</v>
      </c>
      <c r="D359" s="11">
        <v>5</v>
      </c>
      <c r="E359" s="11">
        <v>5</v>
      </c>
      <c r="F359" s="11">
        <v>58</v>
      </c>
      <c r="G359" s="89" t="str">
        <f>IFERROR(VLOOKUP(F359,COA!$A$1:$K$26,2,FALSE),0)</f>
        <v>Biaya adm bank</v>
      </c>
      <c r="H359" s="89" t="s">
        <v>283</v>
      </c>
      <c r="I359" s="89"/>
      <c r="J359" s="90"/>
      <c r="K359" s="78">
        <v>6500</v>
      </c>
      <c r="L359" s="146">
        <f t="shared" si="19"/>
        <v>10249852</v>
      </c>
      <c r="M359" s="73"/>
      <c r="N359" s="73"/>
      <c r="O359" s="7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 x14ac:dyDescent="0.35">
      <c r="A360" s="9">
        <f t="shared" si="20"/>
        <v>352</v>
      </c>
      <c r="B360" s="15">
        <v>46143</v>
      </c>
      <c r="C360" s="11">
        <f t="shared" si="21"/>
        <v>5</v>
      </c>
      <c r="D360" s="11">
        <v>5</v>
      </c>
      <c r="E360" s="11">
        <v>1</v>
      </c>
      <c r="F360" s="11">
        <v>40</v>
      </c>
      <c r="G360" s="89" t="str">
        <f>IFERROR(VLOOKUP(F360,COA!$A$1:$K$26,2,FALSE),0)</f>
        <v>Penerimaan Iuran Warga</v>
      </c>
      <c r="H360" s="89" t="s">
        <v>284</v>
      </c>
      <c r="I360" s="89" t="s">
        <v>113</v>
      </c>
      <c r="J360" s="90">
        <v>100000</v>
      </c>
      <c r="K360" s="78"/>
      <c r="L360" s="146">
        <f t="shared" si="19"/>
        <v>10349852</v>
      </c>
      <c r="M360" s="73"/>
      <c r="N360" s="73"/>
      <c r="O360" s="7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 x14ac:dyDescent="0.35">
      <c r="A361" s="9">
        <f t="shared" si="20"/>
        <v>353</v>
      </c>
      <c r="B361" s="15">
        <v>46143</v>
      </c>
      <c r="C361" s="11">
        <f t="shared" si="21"/>
        <v>5</v>
      </c>
      <c r="D361" s="11">
        <v>5</v>
      </c>
      <c r="E361" s="11">
        <v>2</v>
      </c>
      <c r="F361" s="11">
        <v>40</v>
      </c>
      <c r="G361" s="89" t="str">
        <f>IFERROR(VLOOKUP(F361,COA!$A$1:$K$26,2,FALSE),0)</f>
        <v>Penerimaan Iuran Warga</v>
      </c>
      <c r="H361" s="89" t="s">
        <v>284</v>
      </c>
      <c r="I361" s="89" t="s">
        <v>113</v>
      </c>
      <c r="J361" s="90">
        <v>100000</v>
      </c>
      <c r="K361" s="78"/>
      <c r="L361" s="146">
        <f t="shared" si="19"/>
        <v>10449852</v>
      </c>
      <c r="M361" s="73"/>
      <c r="N361" s="73"/>
      <c r="O361" s="7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 x14ac:dyDescent="0.35">
      <c r="A362" s="9">
        <f t="shared" si="20"/>
        <v>354</v>
      </c>
      <c r="B362" s="15">
        <v>46143</v>
      </c>
      <c r="C362" s="11">
        <f t="shared" si="21"/>
        <v>5</v>
      </c>
      <c r="D362" s="11">
        <v>5</v>
      </c>
      <c r="E362" s="11">
        <v>3</v>
      </c>
      <c r="F362" s="11">
        <v>40</v>
      </c>
      <c r="G362" s="89" t="str">
        <f>IFERROR(VLOOKUP(F362,COA!$A$1:$K$26,2,FALSE),0)</f>
        <v>Penerimaan Iuran Warga</v>
      </c>
      <c r="H362" s="89" t="s">
        <v>284</v>
      </c>
      <c r="I362" s="89" t="s">
        <v>113</v>
      </c>
      <c r="J362" s="90">
        <v>100000</v>
      </c>
      <c r="K362" s="78"/>
      <c r="L362" s="146">
        <f t="shared" si="19"/>
        <v>10549852</v>
      </c>
      <c r="M362" s="73"/>
      <c r="N362" s="73"/>
      <c r="O362" s="7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 x14ac:dyDescent="0.35">
      <c r="A363" s="9">
        <f t="shared" si="20"/>
        <v>355</v>
      </c>
      <c r="B363" s="15">
        <v>46143</v>
      </c>
      <c r="C363" s="11">
        <f t="shared" si="21"/>
        <v>5</v>
      </c>
      <c r="D363" s="11">
        <v>5</v>
      </c>
      <c r="E363" s="11">
        <v>4</v>
      </c>
      <c r="F363" s="11">
        <v>40</v>
      </c>
      <c r="G363" s="89" t="str">
        <f>IFERROR(VLOOKUP(F363,COA!$A$1:$K$26,2,FALSE),0)</f>
        <v>Penerimaan Iuran Warga</v>
      </c>
      <c r="H363" s="89" t="s">
        <v>284</v>
      </c>
      <c r="I363" s="89" t="s">
        <v>113</v>
      </c>
      <c r="J363" s="90">
        <v>100000</v>
      </c>
      <c r="K363" s="79"/>
      <c r="L363" s="146">
        <f t="shared" si="19"/>
        <v>10649852</v>
      </c>
      <c r="M363" s="73"/>
      <c r="N363" s="73"/>
      <c r="O363" s="7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 x14ac:dyDescent="0.35">
      <c r="A364" s="9">
        <f t="shared" si="20"/>
        <v>356</v>
      </c>
      <c r="B364" s="15">
        <v>46143</v>
      </c>
      <c r="C364" s="11">
        <f t="shared" si="21"/>
        <v>5</v>
      </c>
      <c r="D364" s="11">
        <v>5</v>
      </c>
      <c r="E364" s="11">
        <v>5</v>
      </c>
      <c r="F364" s="11">
        <v>40</v>
      </c>
      <c r="G364" s="89" t="str">
        <f>IFERROR(VLOOKUP(F364,COA!$A$1:$K$26,2,FALSE),0)</f>
        <v>Penerimaan Iuran Warga</v>
      </c>
      <c r="H364" s="89" t="s">
        <v>284</v>
      </c>
      <c r="I364" s="89" t="s">
        <v>113</v>
      </c>
      <c r="J364" s="90">
        <v>100000</v>
      </c>
      <c r="K364" s="79"/>
      <c r="L364" s="146">
        <f t="shared" si="19"/>
        <v>10749852</v>
      </c>
      <c r="M364" s="73"/>
      <c r="N364" s="73"/>
      <c r="O364" s="7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 x14ac:dyDescent="0.35">
      <c r="A365" s="9">
        <f t="shared" si="20"/>
        <v>357</v>
      </c>
      <c r="B365" s="15">
        <v>46143</v>
      </c>
      <c r="C365" s="11">
        <f t="shared" ref="C365:C366" si="22">MONTH(B365)</f>
        <v>5</v>
      </c>
      <c r="D365" s="11">
        <v>5</v>
      </c>
      <c r="E365" s="172" t="s">
        <v>324</v>
      </c>
      <c r="F365" s="11">
        <v>40</v>
      </c>
      <c r="G365" s="89" t="str">
        <f>IFERROR(VLOOKUP(F365,COA!$A$1:$K$26,2,FALSE),0)</f>
        <v>Penerimaan Iuran Warga</v>
      </c>
      <c r="H365" s="89" t="s">
        <v>284</v>
      </c>
      <c r="I365" s="89" t="s">
        <v>113</v>
      </c>
      <c r="J365" s="90">
        <v>100000</v>
      </c>
      <c r="K365" s="79"/>
      <c r="L365" s="146">
        <f t="shared" si="19"/>
        <v>10849852</v>
      </c>
      <c r="M365" s="73"/>
      <c r="N365" s="73"/>
      <c r="O365" s="7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 x14ac:dyDescent="0.35">
      <c r="A366" s="9">
        <f t="shared" si="20"/>
        <v>358</v>
      </c>
      <c r="B366" s="15">
        <v>46143</v>
      </c>
      <c r="C366" s="11">
        <f t="shared" si="22"/>
        <v>5</v>
      </c>
      <c r="D366" s="11">
        <v>5</v>
      </c>
      <c r="E366" s="172" t="s">
        <v>325</v>
      </c>
      <c r="F366" s="11">
        <v>40</v>
      </c>
      <c r="G366" s="89" t="str">
        <f>IFERROR(VLOOKUP(F366,COA!$A$1:$K$26,2,FALSE),0)</f>
        <v>Penerimaan Iuran Warga</v>
      </c>
      <c r="H366" s="89" t="s">
        <v>284</v>
      </c>
      <c r="I366" s="89" t="s">
        <v>113</v>
      </c>
      <c r="J366" s="90">
        <v>100000</v>
      </c>
      <c r="K366" s="79"/>
      <c r="L366" s="146">
        <f t="shared" si="19"/>
        <v>10949852</v>
      </c>
      <c r="M366" s="73"/>
      <c r="N366" s="73"/>
      <c r="O366" s="7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 x14ac:dyDescent="0.35">
      <c r="A367" s="9">
        <f t="shared" si="20"/>
        <v>359</v>
      </c>
      <c r="B367" s="15">
        <v>46143</v>
      </c>
      <c r="C367" s="11">
        <f t="shared" si="21"/>
        <v>5</v>
      </c>
      <c r="D367" s="11">
        <v>5</v>
      </c>
      <c r="E367" s="11">
        <v>5</v>
      </c>
      <c r="F367" s="11">
        <v>40</v>
      </c>
      <c r="G367" s="89" t="str">
        <f>IFERROR(VLOOKUP(F367,COA!$A$1:$K$26,2,FALSE),0)</f>
        <v>Penerimaan Iuran Warga</v>
      </c>
      <c r="H367" s="89" t="s">
        <v>285</v>
      </c>
      <c r="I367" s="89" t="s">
        <v>142</v>
      </c>
      <c r="J367" s="90">
        <v>100000</v>
      </c>
      <c r="K367" s="78"/>
      <c r="L367" s="146">
        <f t="shared" si="19"/>
        <v>11049852</v>
      </c>
      <c r="M367" s="73"/>
      <c r="N367" s="73"/>
      <c r="O367" s="7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 x14ac:dyDescent="0.35">
      <c r="A368" s="9">
        <f t="shared" si="20"/>
        <v>360</v>
      </c>
      <c r="B368" s="19">
        <v>46143</v>
      </c>
      <c r="C368" s="11">
        <f t="shared" si="21"/>
        <v>5</v>
      </c>
      <c r="D368" s="11">
        <v>5</v>
      </c>
      <c r="E368" s="11">
        <v>5</v>
      </c>
      <c r="F368" s="11">
        <v>40</v>
      </c>
      <c r="G368" s="89" t="str">
        <f>IFERROR(VLOOKUP(F368,COA!$A$1:$K$26,2,FALSE),0)</f>
        <v>Penerimaan Iuran Warga</v>
      </c>
      <c r="H368" s="89"/>
      <c r="I368" s="89" t="s">
        <v>131</v>
      </c>
      <c r="J368" s="93">
        <v>100000</v>
      </c>
      <c r="K368" s="79"/>
      <c r="L368" s="146">
        <f t="shared" si="19"/>
        <v>11149852</v>
      </c>
      <c r="M368" s="73"/>
      <c r="N368" s="73"/>
      <c r="O368" s="7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 x14ac:dyDescent="0.35">
      <c r="A369" s="9">
        <f t="shared" si="20"/>
        <v>361</v>
      </c>
      <c r="B369" s="19">
        <v>46143</v>
      </c>
      <c r="C369" s="11">
        <f t="shared" si="21"/>
        <v>5</v>
      </c>
      <c r="D369" s="11">
        <v>5</v>
      </c>
      <c r="E369" s="11">
        <v>6</v>
      </c>
      <c r="F369" s="14">
        <v>20</v>
      </c>
      <c r="G369" s="89" t="str">
        <f>IFERROR(VLOOKUP(F369,COA!$A$1:$K$26,2,FALSE),0)</f>
        <v>Iuran Warga Diterima di muka</v>
      </c>
      <c r="H369" s="89"/>
      <c r="I369" s="89" t="s">
        <v>131</v>
      </c>
      <c r="J369" s="93">
        <v>100000</v>
      </c>
      <c r="K369" s="79"/>
      <c r="L369" s="146">
        <f t="shared" si="19"/>
        <v>11249852</v>
      </c>
      <c r="M369" s="73"/>
      <c r="N369" s="73"/>
      <c r="O369" s="7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 x14ac:dyDescent="0.35">
      <c r="A370" s="9">
        <f t="shared" si="20"/>
        <v>362</v>
      </c>
      <c r="B370" s="19">
        <v>46143</v>
      </c>
      <c r="C370" s="11">
        <f t="shared" si="21"/>
        <v>5</v>
      </c>
      <c r="D370" s="11">
        <v>5</v>
      </c>
      <c r="E370" s="11">
        <v>7</v>
      </c>
      <c r="F370" s="14">
        <v>20</v>
      </c>
      <c r="G370" s="89" t="str">
        <f>IFERROR(VLOOKUP(F370,COA!$A$1:$K$26,2,FALSE),0)</f>
        <v>Iuran Warga Diterima di muka</v>
      </c>
      <c r="H370" s="89"/>
      <c r="I370" s="89" t="s">
        <v>131</v>
      </c>
      <c r="J370" s="93">
        <v>100000</v>
      </c>
      <c r="K370" s="78"/>
      <c r="L370" s="146">
        <f t="shared" si="19"/>
        <v>11349852</v>
      </c>
      <c r="M370" s="73"/>
      <c r="N370" s="73"/>
      <c r="O370" s="7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 x14ac:dyDescent="0.35">
      <c r="A371" s="9">
        <f t="shared" si="20"/>
        <v>363</v>
      </c>
      <c r="B371" s="19">
        <v>46143</v>
      </c>
      <c r="C371" s="11">
        <f t="shared" si="21"/>
        <v>5</v>
      </c>
      <c r="D371" s="11">
        <v>5</v>
      </c>
      <c r="E371" s="11">
        <v>5</v>
      </c>
      <c r="F371" s="11">
        <v>40</v>
      </c>
      <c r="G371" s="89" t="str">
        <f>IFERROR(VLOOKUP(F371,COA!$A$1:$K$26,2,FALSE),0)</f>
        <v>Penerimaan Iuran Warga</v>
      </c>
      <c r="H371" s="89"/>
      <c r="I371" s="89" t="s">
        <v>167</v>
      </c>
      <c r="J371" s="93">
        <v>100000</v>
      </c>
      <c r="K371" s="78"/>
      <c r="L371" s="146">
        <f t="shared" si="19"/>
        <v>11449852</v>
      </c>
      <c r="M371" s="73"/>
      <c r="N371" s="73"/>
      <c r="O371" s="7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 x14ac:dyDescent="0.35">
      <c r="A372" s="9">
        <f t="shared" si="20"/>
        <v>364</v>
      </c>
      <c r="B372" s="15">
        <v>46144</v>
      </c>
      <c r="C372" s="11">
        <f t="shared" si="21"/>
        <v>5</v>
      </c>
      <c r="D372" s="11">
        <v>5</v>
      </c>
      <c r="E372" s="11">
        <v>5</v>
      </c>
      <c r="F372" s="11">
        <v>40</v>
      </c>
      <c r="G372" s="89" t="str">
        <f>IFERROR(VLOOKUP(F372,COA!$A$1:$K$26,2,FALSE),0)</f>
        <v>Penerimaan Iuran Warga</v>
      </c>
      <c r="H372" s="89" t="s">
        <v>299</v>
      </c>
      <c r="I372" s="89" t="s">
        <v>110</v>
      </c>
      <c r="J372" s="90">
        <v>100000</v>
      </c>
      <c r="K372" s="78"/>
      <c r="L372" s="146">
        <f t="shared" si="19"/>
        <v>11549852</v>
      </c>
      <c r="M372" s="138"/>
      <c r="N372" s="138"/>
      <c r="O372" s="138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4.25" customHeight="1" x14ac:dyDescent="0.35">
      <c r="A373" s="9">
        <f t="shared" si="20"/>
        <v>365</v>
      </c>
      <c r="B373" s="15">
        <v>46144</v>
      </c>
      <c r="C373" s="11">
        <f t="shared" si="21"/>
        <v>5</v>
      </c>
      <c r="D373" s="11">
        <v>5</v>
      </c>
      <c r="E373" s="11">
        <v>6</v>
      </c>
      <c r="F373" s="14">
        <v>20</v>
      </c>
      <c r="G373" s="89" t="str">
        <f>IFERROR(VLOOKUP(F373,COA!$A$1:$K$26,2,FALSE),0)</f>
        <v>Iuran Warga Diterima di muka</v>
      </c>
      <c r="H373" s="89" t="s">
        <v>299</v>
      </c>
      <c r="I373" s="89" t="s">
        <v>110</v>
      </c>
      <c r="J373" s="90">
        <v>100000</v>
      </c>
      <c r="K373" s="79"/>
      <c r="L373" s="146">
        <f t="shared" si="19"/>
        <v>11649852</v>
      </c>
      <c r="M373" s="73"/>
      <c r="N373" s="73"/>
      <c r="O373" s="7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 x14ac:dyDescent="0.35">
      <c r="A374" s="9">
        <f t="shared" si="20"/>
        <v>366</v>
      </c>
      <c r="B374" s="15">
        <v>46144</v>
      </c>
      <c r="C374" s="11">
        <f t="shared" si="21"/>
        <v>5</v>
      </c>
      <c r="D374" s="11">
        <v>5</v>
      </c>
      <c r="E374" s="11">
        <v>1</v>
      </c>
      <c r="F374" s="11">
        <v>40</v>
      </c>
      <c r="G374" s="89" t="str">
        <f>IFERROR(VLOOKUP(F374,COA!$A$1:$K$26,2,FALSE),0)</f>
        <v>Penerimaan Iuran Warga</v>
      </c>
      <c r="H374" s="89" t="s">
        <v>303</v>
      </c>
      <c r="I374" s="89" t="s">
        <v>139</v>
      </c>
      <c r="J374" s="93">
        <v>100000</v>
      </c>
      <c r="K374" s="79"/>
      <c r="L374" s="146">
        <f t="shared" si="19"/>
        <v>11749852</v>
      </c>
      <c r="M374" s="73"/>
      <c r="N374" s="73"/>
      <c r="O374" s="7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 x14ac:dyDescent="0.35">
      <c r="A375" s="9">
        <f t="shared" si="20"/>
        <v>367</v>
      </c>
      <c r="B375" s="15">
        <v>46144</v>
      </c>
      <c r="C375" s="11">
        <f t="shared" si="21"/>
        <v>5</v>
      </c>
      <c r="D375" s="11">
        <v>5</v>
      </c>
      <c r="E375" s="174" t="s">
        <v>322</v>
      </c>
      <c r="F375" s="11">
        <v>40</v>
      </c>
      <c r="G375" s="89" t="str">
        <f>IFERROR(VLOOKUP(F375,COA!$A$1:$K$26,2,FALSE),0)</f>
        <v>Penerimaan Iuran Warga</v>
      </c>
      <c r="H375" s="89" t="s">
        <v>303</v>
      </c>
      <c r="I375" s="89" t="s">
        <v>139</v>
      </c>
      <c r="J375" s="93">
        <v>100000</v>
      </c>
      <c r="K375" s="79"/>
      <c r="L375" s="146">
        <f t="shared" si="19"/>
        <v>11849852</v>
      </c>
      <c r="M375" s="73"/>
      <c r="N375" s="73"/>
      <c r="O375" s="7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 x14ac:dyDescent="0.35">
      <c r="A376" s="9">
        <f t="shared" si="20"/>
        <v>368</v>
      </c>
      <c r="B376" s="15">
        <v>46144</v>
      </c>
      <c r="C376" s="11">
        <f t="shared" si="21"/>
        <v>5</v>
      </c>
      <c r="D376" s="11">
        <v>5</v>
      </c>
      <c r="E376" s="174" t="s">
        <v>323</v>
      </c>
      <c r="F376" s="11">
        <v>40</v>
      </c>
      <c r="G376" s="89" t="str">
        <f>IFERROR(VLOOKUP(F376,COA!$A$1:$K$26,2,FALSE),0)</f>
        <v>Penerimaan Iuran Warga</v>
      </c>
      <c r="H376" s="89" t="s">
        <v>303</v>
      </c>
      <c r="I376" s="89" t="s">
        <v>139</v>
      </c>
      <c r="J376" s="93">
        <v>100000</v>
      </c>
      <c r="K376" s="83"/>
      <c r="L376" s="146">
        <f t="shared" si="19"/>
        <v>11949852</v>
      </c>
      <c r="M376" s="73"/>
      <c r="N376" s="73"/>
      <c r="O376" s="7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 x14ac:dyDescent="0.35">
      <c r="A377" s="9">
        <f t="shared" si="20"/>
        <v>369</v>
      </c>
      <c r="B377" s="15">
        <v>46144</v>
      </c>
      <c r="C377" s="11">
        <f t="shared" si="21"/>
        <v>5</v>
      </c>
      <c r="D377" s="11">
        <v>5</v>
      </c>
      <c r="E377" s="174" t="s">
        <v>324</v>
      </c>
      <c r="F377" s="11">
        <v>40</v>
      </c>
      <c r="G377" s="89" t="str">
        <f>IFERROR(VLOOKUP(F377,COA!$A$1:$K$26,2,FALSE),0)</f>
        <v>Penerimaan Iuran Warga</v>
      </c>
      <c r="H377" s="91" t="s">
        <v>303</v>
      </c>
      <c r="I377" s="89" t="s">
        <v>139</v>
      </c>
      <c r="J377" s="93">
        <v>100000</v>
      </c>
      <c r="K377" s="78"/>
      <c r="L377" s="146">
        <f t="shared" si="19"/>
        <v>12049852</v>
      </c>
      <c r="M377" s="73"/>
      <c r="N377" s="73"/>
      <c r="O377" s="7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 x14ac:dyDescent="0.35">
      <c r="A378" s="9">
        <f t="shared" si="20"/>
        <v>370</v>
      </c>
      <c r="B378" s="15">
        <v>46144</v>
      </c>
      <c r="C378" s="11">
        <f t="shared" si="21"/>
        <v>5</v>
      </c>
      <c r="D378" s="11">
        <v>5</v>
      </c>
      <c r="E378" s="174" t="s">
        <v>325</v>
      </c>
      <c r="F378" s="11">
        <v>40</v>
      </c>
      <c r="G378" s="89" t="str">
        <f>IFERROR(VLOOKUP(F378,COA!$A$1:$K$26,2,FALSE),0)</f>
        <v>Penerimaan Iuran Warga</v>
      </c>
      <c r="H378" s="89" t="s">
        <v>303</v>
      </c>
      <c r="I378" s="89" t="s">
        <v>139</v>
      </c>
      <c r="J378" s="93">
        <v>100000</v>
      </c>
      <c r="K378" s="79"/>
      <c r="L378" s="146">
        <f t="shared" si="19"/>
        <v>12149852</v>
      </c>
      <c r="M378" s="73"/>
      <c r="N378" s="73"/>
      <c r="O378" s="7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 x14ac:dyDescent="0.35">
      <c r="A379" s="9">
        <f t="shared" si="20"/>
        <v>371</v>
      </c>
      <c r="B379" s="15">
        <v>46144</v>
      </c>
      <c r="C379" s="11">
        <f t="shared" si="21"/>
        <v>5</v>
      </c>
      <c r="D379" s="11">
        <v>5</v>
      </c>
      <c r="E379" s="11">
        <v>5</v>
      </c>
      <c r="F379" s="11">
        <v>40</v>
      </c>
      <c r="G379" s="89" t="str">
        <f>IFERROR(VLOOKUP(F379,COA!$A$1:$K$26,2,FALSE),0)</f>
        <v>Penerimaan Iuran Warga</v>
      </c>
      <c r="H379" s="89"/>
      <c r="I379" s="89" t="s">
        <v>137</v>
      </c>
      <c r="J379" s="93">
        <v>100000</v>
      </c>
      <c r="K379" s="81"/>
      <c r="L379" s="146">
        <f t="shared" si="19"/>
        <v>12249852</v>
      </c>
      <c r="M379" s="73">
        <v>12535852</v>
      </c>
      <c r="N379" s="73">
        <v>304000</v>
      </c>
      <c r="O379" s="73">
        <f>L379-M379-N379</f>
        <v>-590000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 x14ac:dyDescent="0.35">
      <c r="A380" s="9">
        <f t="shared" si="20"/>
        <v>372</v>
      </c>
      <c r="B380" s="15">
        <v>46144</v>
      </c>
      <c r="C380" s="11">
        <f t="shared" ref="C380:C383" si="23">MONTH(B380)</f>
        <v>5</v>
      </c>
      <c r="D380" s="11">
        <v>5</v>
      </c>
      <c r="E380" s="11">
        <v>1</v>
      </c>
      <c r="F380" s="11">
        <v>40</v>
      </c>
      <c r="G380" s="89" t="str">
        <f>IFERROR(VLOOKUP(F380,COA!$A$1:$K$26,2,FALSE),0)</f>
        <v>Penerimaan Iuran Warga</v>
      </c>
      <c r="H380" s="89"/>
      <c r="I380" s="89" t="s">
        <v>153</v>
      </c>
      <c r="J380" s="93">
        <v>100000</v>
      </c>
      <c r="K380" s="81"/>
      <c r="L380" s="146">
        <f t="shared" si="19"/>
        <v>12349852</v>
      </c>
      <c r="M380" s="73"/>
      <c r="N380" s="73"/>
      <c r="O380" s="7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 x14ac:dyDescent="0.35">
      <c r="A381" s="9">
        <f t="shared" si="20"/>
        <v>373</v>
      </c>
      <c r="B381" s="15">
        <v>46144</v>
      </c>
      <c r="C381" s="11">
        <f t="shared" si="23"/>
        <v>5</v>
      </c>
      <c r="D381" s="11">
        <v>5</v>
      </c>
      <c r="E381" s="11">
        <v>2</v>
      </c>
      <c r="F381" s="11">
        <v>40</v>
      </c>
      <c r="G381" s="89" t="str">
        <f>IFERROR(VLOOKUP(F381,COA!$A$1:$K$26,2,FALSE),0)</f>
        <v>Penerimaan Iuran Warga</v>
      </c>
      <c r="H381" s="89"/>
      <c r="I381" s="89" t="s">
        <v>153</v>
      </c>
      <c r="J381" s="93">
        <v>100000</v>
      </c>
      <c r="K381" s="81"/>
      <c r="L381" s="146">
        <f t="shared" si="19"/>
        <v>12449852</v>
      </c>
      <c r="M381" s="73"/>
      <c r="N381" s="73"/>
      <c r="O381" s="7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 x14ac:dyDescent="0.35">
      <c r="A382" s="9">
        <f t="shared" si="20"/>
        <v>374</v>
      </c>
      <c r="B382" s="15">
        <v>46144</v>
      </c>
      <c r="C382" s="11">
        <f t="shared" si="23"/>
        <v>5</v>
      </c>
      <c r="D382" s="11">
        <v>5</v>
      </c>
      <c r="E382" s="11">
        <v>3</v>
      </c>
      <c r="F382" s="11">
        <v>40</v>
      </c>
      <c r="G382" s="89" t="str">
        <f>IFERROR(VLOOKUP(F382,COA!$A$1:$K$26,2,FALSE),0)</f>
        <v>Penerimaan Iuran Warga</v>
      </c>
      <c r="H382" s="89"/>
      <c r="I382" s="89" t="s">
        <v>153</v>
      </c>
      <c r="J382" s="93">
        <v>100000</v>
      </c>
      <c r="K382" s="81"/>
      <c r="L382" s="146">
        <f t="shared" si="19"/>
        <v>12549852</v>
      </c>
      <c r="M382" s="73"/>
      <c r="N382" s="73"/>
      <c r="O382" s="7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 x14ac:dyDescent="0.35">
      <c r="A383" s="9">
        <f t="shared" si="20"/>
        <v>375</v>
      </c>
      <c r="B383" s="15">
        <v>46144</v>
      </c>
      <c r="C383" s="11">
        <f t="shared" si="23"/>
        <v>5</v>
      </c>
      <c r="D383" s="11">
        <v>5</v>
      </c>
      <c r="E383" s="11">
        <v>4</v>
      </c>
      <c r="F383" s="11">
        <v>40</v>
      </c>
      <c r="G383" s="89" t="str">
        <f>IFERROR(VLOOKUP(F383,COA!$A$1:$K$26,2,FALSE),0)</f>
        <v>Penerimaan Iuran Warga</v>
      </c>
      <c r="H383" s="89"/>
      <c r="I383" s="89" t="s">
        <v>153</v>
      </c>
      <c r="J383" s="93">
        <v>100000</v>
      </c>
      <c r="K383" s="81"/>
      <c r="L383" s="146">
        <f t="shared" si="19"/>
        <v>12649852</v>
      </c>
      <c r="M383" s="73"/>
      <c r="N383" s="73"/>
      <c r="O383" s="7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 x14ac:dyDescent="0.35">
      <c r="A384" s="9">
        <f t="shared" si="20"/>
        <v>376</v>
      </c>
      <c r="B384" s="15">
        <v>46145</v>
      </c>
      <c r="C384" s="11">
        <f t="shared" si="21"/>
        <v>5</v>
      </c>
      <c r="D384" s="11">
        <v>5</v>
      </c>
      <c r="E384" s="11">
        <v>5</v>
      </c>
      <c r="F384" s="11">
        <v>56</v>
      </c>
      <c r="G384" s="89" t="str">
        <f>IFERROR(VLOOKUP(F384,COA!$A$1:$K$26,2,FALSE),0)</f>
        <v>Biaya WIFI Pos Jaga</v>
      </c>
      <c r="H384" s="89" t="s">
        <v>309</v>
      </c>
      <c r="I384" s="89"/>
      <c r="J384" s="90"/>
      <c r="K384" s="78">
        <v>840000</v>
      </c>
      <c r="L384" s="146">
        <f t="shared" si="19"/>
        <v>11809852</v>
      </c>
      <c r="M384" s="73"/>
      <c r="N384" s="73"/>
      <c r="O384" s="7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 x14ac:dyDescent="0.35">
      <c r="A385" s="9">
        <f t="shared" si="20"/>
        <v>377</v>
      </c>
      <c r="B385" s="15">
        <v>46145</v>
      </c>
      <c r="C385" s="11">
        <f t="shared" si="21"/>
        <v>5</v>
      </c>
      <c r="D385" s="11">
        <v>5</v>
      </c>
      <c r="E385" s="11">
        <v>5</v>
      </c>
      <c r="F385" s="14">
        <v>58</v>
      </c>
      <c r="G385" s="89" t="str">
        <f>IFERROR(VLOOKUP(F385,COA!$A$1:$K$26,2,FALSE),0)</f>
        <v>Biaya adm bank</v>
      </c>
      <c r="H385" s="89" t="s">
        <v>310</v>
      </c>
      <c r="I385" s="89"/>
      <c r="J385" s="93"/>
      <c r="K385" s="78">
        <v>325</v>
      </c>
      <c r="L385" s="146">
        <f t="shared" si="19"/>
        <v>11809527</v>
      </c>
      <c r="M385" s="73"/>
      <c r="N385" s="73"/>
      <c r="O385" s="7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 x14ac:dyDescent="0.35">
      <c r="A386" s="9">
        <f t="shared" si="20"/>
        <v>378</v>
      </c>
      <c r="B386" s="15">
        <v>46145</v>
      </c>
      <c r="C386" s="11">
        <f t="shared" si="21"/>
        <v>5</v>
      </c>
      <c r="D386" s="11">
        <v>5</v>
      </c>
      <c r="E386" s="11">
        <v>5</v>
      </c>
      <c r="F386" s="14">
        <v>50</v>
      </c>
      <c r="G386" s="89" t="str">
        <f>IFERROR(VLOOKUP(F386,COA!$A$1:$K$26,2,FALSE),0)</f>
        <v>Biaya Gaji Satpam</v>
      </c>
      <c r="H386" s="89" t="s">
        <v>311</v>
      </c>
      <c r="I386" s="89"/>
      <c r="J386" s="90"/>
      <c r="K386" s="79">
        <v>40000</v>
      </c>
      <c r="L386" s="146">
        <f t="shared" si="19"/>
        <v>11769527</v>
      </c>
      <c r="M386" s="73"/>
      <c r="N386" s="73"/>
      <c r="O386" s="7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 x14ac:dyDescent="0.35">
      <c r="A387" s="9">
        <f t="shared" si="20"/>
        <v>379</v>
      </c>
      <c r="B387" s="15">
        <v>46145</v>
      </c>
      <c r="C387" s="11">
        <f t="shared" si="21"/>
        <v>5</v>
      </c>
      <c r="D387" s="11">
        <v>5</v>
      </c>
      <c r="E387" s="11">
        <v>5</v>
      </c>
      <c r="F387" s="14">
        <v>58</v>
      </c>
      <c r="G387" s="89" t="str">
        <f>IFERROR(VLOOKUP(F387,COA!$A$1:$K$26,2,FALSE),0)</f>
        <v>Biaya adm bank</v>
      </c>
      <c r="H387" s="89" t="s">
        <v>310</v>
      </c>
      <c r="I387" s="89"/>
      <c r="J387" s="90"/>
      <c r="K387" s="78">
        <v>327</v>
      </c>
      <c r="L387" s="146">
        <f t="shared" si="19"/>
        <v>11769200</v>
      </c>
      <c r="M387" s="73">
        <v>11655200</v>
      </c>
      <c r="N387" s="73">
        <v>304000</v>
      </c>
      <c r="O387" s="73">
        <f>L387-M387-N387</f>
        <v>-190000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 x14ac:dyDescent="0.35">
      <c r="A388" s="9">
        <f t="shared" si="20"/>
        <v>380</v>
      </c>
      <c r="B388" s="15">
        <v>46146</v>
      </c>
      <c r="C388" s="11">
        <f t="shared" si="21"/>
        <v>5</v>
      </c>
      <c r="D388" s="11">
        <v>5</v>
      </c>
      <c r="E388" s="11">
        <v>4</v>
      </c>
      <c r="F388" s="11">
        <v>40</v>
      </c>
      <c r="G388" s="89" t="str">
        <f>IFERROR(VLOOKUP(F388,COA!$A$1:$K$26,2,FALSE),0)</f>
        <v>Penerimaan Iuran Warga</v>
      </c>
      <c r="H388" s="89" t="s">
        <v>313</v>
      </c>
      <c r="I388" s="89" t="s">
        <v>156</v>
      </c>
      <c r="J388" s="93">
        <v>100000</v>
      </c>
      <c r="K388" s="79"/>
      <c r="L388" s="146">
        <f t="shared" si="19"/>
        <v>11869200</v>
      </c>
      <c r="M388" s="73"/>
      <c r="N388" s="73"/>
      <c r="O388" s="7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 x14ac:dyDescent="0.35">
      <c r="A389" s="9">
        <f t="shared" si="20"/>
        <v>381</v>
      </c>
      <c r="B389" s="15">
        <v>46146</v>
      </c>
      <c r="C389" s="11">
        <f t="shared" si="21"/>
        <v>5</v>
      </c>
      <c r="D389" s="11">
        <v>5</v>
      </c>
      <c r="E389" s="11">
        <v>5</v>
      </c>
      <c r="F389" s="11">
        <v>40</v>
      </c>
      <c r="G389" s="89" t="str">
        <f>IFERROR(VLOOKUP(F389,COA!$A$1:$K$26,2,FALSE),0)</f>
        <v>Penerimaan Iuran Warga</v>
      </c>
      <c r="H389" s="89" t="s">
        <v>313</v>
      </c>
      <c r="I389" s="89" t="s">
        <v>156</v>
      </c>
      <c r="J389" s="93">
        <v>100000</v>
      </c>
      <c r="K389" s="78"/>
      <c r="L389" s="146">
        <f t="shared" si="19"/>
        <v>11969200</v>
      </c>
      <c r="M389" s="73"/>
      <c r="N389" s="73"/>
      <c r="O389" s="7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 x14ac:dyDescent="0.35">
      <c r="A390" s="9">
        <f t="shared" si="20"/>
        <v>382</v>
      </c>
      <c r="B390" s="15">
        <v>46147</v>
      </c>
      <c r="C390" s="11">
        <f t="shared" si="21"/>
        <v>5</v>
      </c>
      <c r="D390" s="11">
        <v>5</v>
      </c>
      <c r="E390" s="11">
        <v>5</v>
      </c>
      <c r="F390" s="11">
        <v>40</v>
      </c>
      <c r="G390" s="89" t="str">
        <f>IFERROR(VLOOKUP(F390,COA!$A$1:$K$26,2,FALSE),0)</f>
        <v>Penerimaan Iuran Warga</v>
      </c>
      <c r="H390" s="89" t="s">
        <v>327</v>
      </c>
      <c r="I390" s="89" t="s">
        <v>169</v>
      </c>
      <c r="J390" s="93">
        <v>100000</v>
      </c>
      <c r="K390" s="79"/>
      <c r="L390" s="146">
        <f t="shared" si="19"/>
        <v>12069200</v>
      </c>
      <c r="M390" s="73">
        <v>11955200</v>
      </c>
      <c r="N390" s="73">
        <v>304000</v>
      </c>
      <c r="O390" s="73">
        <f>L390-M390-N390</f>
        <v>-190000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 x14ac:dyDescent="0.35">
      <c r="A391" s="9">
        <f t="shared" si="20"/>
        <v>383</v>
      </c>
      <c r="B391" s="15">
        <v>46148</v>
      </c>
      <c r="C391" s="11">
        <f t="shared" si="21"/>
        <v>5</v>
      </c>
      <c r="D391" s="11">
        <v>5</v>
      </c>
      <c r="E391" s="11">
        <v>1</v>
      </c>
      <c r="F391" s="11">
        <v>40</v>
      </c>
      <c r="G391" s="89" t="str">
        <f>IFERROR(VLOOKUP(F391,COA!$A$1:$K$26,2,FALSE),0)</f>
        <v>Penerimaan Iuran Warga</v>
      </c>
      <c r="H391" s="89" t="s">
        <v>336</v>
      </c>
      <c r="I391" s="89" t="s">
        <v>112</v>
      </c>
      <c r="J391" s="93">
        <v>100000</v>
      </c>
      <c r="K391" s="79"/>
      <c r="L391" s="146">
        <f t="shared" si="19"/>
        <v>12169200</v>
      </c>
      <c r="M391" s="73"/>
      <c r="N391" s="73"/>
      <c r="O391" s="7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 x14ac:dyDescent="0.35">
      <c r="A392" s="9">
        <f t="shared" si="20"/>
        <v>384</v>
      </c>
      <c r="B392" s="15">
        <v>46148</v>
      </c>
      <c r="C392" s="11">
        <f t="shared" si="21"/>
        <v>5</v>
      </c>
      <c r="D392" s="11">
        <v>5</v>
      </c>
      <c r="E392" s="11">
        <v>2</v>
      </c>
      <c r="F392" s="11">
        <v>40</v>
      </c>
      <c r="G392" s="89" t="str">
        <f>IFERROR(VLOOKUP(F392,COA!$A$1:$K$26,2,FALSE),0)</f>
        <v>Penerimaan Iuran Warga</v>
      </c>
      <c r="H392" s="89" t="s">
        <v>336</v>
      </c>
      <c r="I392" s="89" t="s">
        <v>112</v>
      </c>
      <c r="J392" s="93">
        <v>100000</v>
      </c>
      <c r="K392" s="79"/>
      <c r="L392" s="146">
        <f t="shared" si="19"/>
        <v>12269200</v>
      </c>
      <c r="M392" s="170"/>
      <c r="N392" s="171"/>
      <c r="O392" s="7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 x14ac:dyDescent="0.35">
      <c r="A393" s="9">
        <f t="shared" si="20"/>
        <v>385</v>
      </c>
      <c r="B393" s="15">
        <v>46148</v>
      </c>
      <c r="C393" s="11">
        <f t="shared" si="21"/>
        <v>5</v>
      </c>
      <c r="D393" s="11">
        <v>5</v>
      </c>
      <c r="E393" s="11">
        <v>3</v>
      </c>
      <c r="F393" s="11">
        <v>40</v>
      </c>
      <c r="G393" s="89" t="str">
        <f>IFERROR(VLOOKUP(F393,COA!$A$1:$K$26,2,FALSE),0)</f>
        <v>Penerimaan Iuran Warga</v>
      </c>
      <c r="H393" s="89" t="s">
        <v>336</v>
      </c>
      <c r="I393" s="89" t="s">
        <v>112</v>
      </c>
      <c r="J393" s="93">
        <v>100000</v>
      </c>
      <c r="K393" s="78"/>
      <c r="L393" s="146">
        <f t="shared" si="19"/>
        <v>12369200</v>
      </c>
      <c r="M393" s="170"/>
      <c r="N393" s="171"/>
      <c r="O393" s="7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 x14ac:dyDescent="0.35">
      <c r="A394" s="9">
        <f t="shared" si="20"/>
        <v>386</v>
      </c>
      <c r="B394" s="15">
        <v>46148</v>
      </c>
      <c r="C394" s="11">
        <f t="shared" si="21"/>
        <v>5</v>
      </c>
      <c r="D394" s="11">
        <v>5</v>
      </c>
      <c r="E394" s="11">
        <v>4</v>
      </c>
      <c r="F394" s="11">
        <v>40</v>
      </c>
      <c r="G394" s="89" t="str">
        <f>IFERROR(VLOOKUP(F394,COA!$A$1:$K$26,2,FALSE),0)</f>
        <v>Penerimaan Iuran Warga</v>
      </c>
      <c r="H394" s="89" t="s">
        <v>336</v>
      </c>
      <c r="I394" s="89" t="s">
        <v>112</v>
      </c>
      <c r="J394" s="93">
        <v>100000</v>
      </c>
      <c r="K394" s="79"/>
      <c r="L394" s="146">
        <f t="shared" si="19"/>
        <v>12469200</v>
      </c>
      <c r="M394" s="170"/>
      <c r="N394" s="171"/>
      <c r="O394" s="7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 x14ac:dyDescent="0.35">
      <c r="A395" s="9">
        <f t="shared" si="20"/>
        <v>387</v>
      </c>
      <c r="B395" s="15">
        <v>46148</v>
      </c>
      <c r="C395" s="11">
        <f t="shared" si="21"/>
        <v>5</v>
      </c>
      <c r="D395" s="11">
        <v>5</v>
      </c>
      <c r="E395" s="11">
        <v>5</v>
      </c>
      <c r="F395" s="11">
        <v>40</v>
      </c>
      <c r="G395" s="89" t="str">
        <f>IFERROR(VLOOKUP(F395,COA!$A$1:$K$26,2,FALSE),0)</f>
        <v>Penerimaan Iuran Warga</v>
      </c>
      <c r="H395" s="89" t="s">
        <v>336</v>
      </c>
      <c r="I395" s="89" t="s">
        <v>112</v>
      </c>
      <c r="J395" s="93">
        <v>100000</v>
      </c>
      <c r="K395" s="79"/>
      <c r="L395" s="146">
        <f t="shared" si="19"/>
        <v>12569200</v>
      </c>
      <c r="M395" s="170"/>
      <c r="N395" s="171"/>
      <c r="O395" s="7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 x14ac:dyDescent="0.35">
      <c r="A396" s="9">
        <f t="shared" si="20"/>
        <v>388</v>
      </c>
      <c r="B396" s="15">
        <v>46149</v>
      </c>
      <c r="C396" s="11">
        <f t="shared" ref="C396:C397" si="24">MONTH(B396)</f>
        <v>5</v>
      </c>
      <c r="D396" s="11">
        <v>5</v>
      </c>
      <c r="E396" s="11">
        <v>5</v>
      </c>
      <c r="F396" s="14">
        <v>56</v>
      </c>
      <c r="G396" s="89" t="str">
        <f>IFERROR(VLOOKUP(F396,COA!$A$1:$K$26,2,FALSE),0)</f>
        <v>Biaya WIFI Pos Jaga</v>
      </c>
      <c r="H396" s="89" t="s">
        <v>331</v>
      </c>
      <c r="I396" s="89"/>
      <c r="J396" s="90"/>
      <c r="K396" s="79">
        <v>230000</v>
      </c>
      <c r="L396" s="146">
        <f t="shared" si="19"/>
        <v>12339200</v>
      </c>
      <c r="M396" s="170"/>
      <c r="N396" s="171"/>
      <c r="O396" s="7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 x14ac:dyDescent="0.35">
      <c r="A397" s="9">
        <f t="shared" si="20"/>
        <v>389</v>
      </c>
      <c r="B397" s="15">
        <v>46149</v>
      </c>
      <c r="C397" s="11">
        <f t="shared" si="24"/>
        <v>5</v>
      </c>
      <c r="D397" s="11">
        <v>5</v>
      </c>
      <c r="E397" s="11">
        <v>5</v>
      </c>
      <c r="F397" s="11">
        <v>58</v>
      </c>
      <c r="G397" s="89" t="str">
        <f>IFERROR(VLOOKUP(F397,COA!$A$1:$K$26,2,FALSE),0)</f>
        <v>Biaya adm bank</v>
      </c>
      <c r="H397" s="89" t="s">
        <v>283</v>
      </c>
      <c r="I397" s="89"/>
      <c r="J397" s="92"/>
      <c r="K397" s="81">
        <v>2500</v>
      </c>
      <c r="L397" s="146">
        <f t="shared" si="19"/>
        <v>12336700</v>
      </c>
      <c r="M397" s="170"/>
      <c r="N397" s="171"/>
      <c r="O397" s="7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 x14ac:dyDescent="0.35">
      <c r="A398" s="9">
        <f t="shared" si="20"/>
        <v>390</v>
      </c>
      <c r="B398" s="15">
        <v>46149</v>
      </c>
      <c r="C398" s="11">
        <f t="shared" si="21"/>
        <v>5</v>
      </c>
      <c r="D398" s="11">
        <v>5</v>
      </c>
      <c r="E398" s="11">
        <v>1</v>
      </c>
      <c r="F398" s="11">
        <v>40</v>
      </c>
      <c r="G398" s="89" t="str">
        <f>IFERROR(VLOOKUP(F398,COA!$A$1:$K$26,2,FALSE),0)</f>
        <v>Penerimaan Iuran Warga</v>
      </c>
      <c r="H398" s="89" t="s">
        <v>337</v>
      </c>
      <c r="I398" s="89" t="s">
        <v>78</v>
      </c>
      <c r="J398" s="93">
        <v>100000</v>
      </c>
      <c r="K398" s="79"/>
      <c r="L398" s="146">
        <f t="shared" si="19"/>
        <v>12436700</v>
      </c>
      <c r="M398" s="170"/>
      <c r="N398" s="171"/>
      <c r="O398" s="7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 x14ac:dyDescent="0.35">
      <c r="A399" s="9">
        <f t="shared" si="20"/>
        <v>391</v>
      </c>
      <c r="B399" s="15">
        <v>46149</v>
      </c>
      <c r="C399" s="11">
        <f t="shared" si="21"/>
        <v>5</v>
      </c>
      <c r="D399" s="11">
        <v>5</v>
      </c>
      <c r="E399" s="11">
        <v>2</v>
      </c>
      <c r="F399" s="11">
        <v>40</v>
      </c>
      <c r="G399" s="89" t="str">
        <f>IFERROR(VLOOKUP(F399,COA!$A$1:$K$26,2,FALSE),0)</f>
        <v>Penerimaan Iuran Warga</v>
      </c>
      <c r="H399" s="89" t="s">
        <v>337</v>
      </c>
      <c r="I399" s="89" t="s">
        <v>78</v>
      </c>
      <c r="J399" s="93">
        <v>100000</v>
      </c>
      <c r="K399" s="78"/>
      <c r="L399" s="146">
        <f t="shared" si="19"/>
        <v>12536700</v>
      </c>
      <c r="M399" s="170"/>
      <c r="N399" s="171"/>
      <c r="O399" s="7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 x14ac:dyDescent="0.35">
      <c r="A400" s="9">
        <f t="shared" si="20"/>
        <v>392</v>
      </c>
      <c r="B400" s="15">
        <v>46149</v>
      </c>
      <c r="C400" s="11">
        <f t="shared" si="21"/>
        <v>5</v>
      </c>
      <c r="D400" s="11">
        <v>5</v>
      </c>
      <c r="E400" s="11">
        <v>3</v>
      </c>
      <c r="F400" s="11">
        <v>40</v>
      </c>
      <c r="G400" s="89" t="str">
        <f>IFERROR(VLOOKUP(F400,COA!$A$1:$K$26,2,FALSE),0)</f>
        <v>Penerimaan Iuran Warga</v>
      </c>
      <c r="H400" s="89" t="s">
        <v>337</v>
      </c>
      <c r="I400" s="89" t="s">
        <v>78</v>
      </c>
      <c r="J400" s="93">
        <v>100000</v>
      </c>
      <c r="K400" s="78"/>
      <c r="L400" s="146">
        <f t="shared" ref="L400:L402" si="25">L399+J400-K400</f>
        <v>12636700</v>
      </c>
      <c r="M400" s="170"/>
      <c r="N400" s="171"/>
      <c r="O400" s="7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 x14ac:dyDescent="0.35">
      <c r="A401" s="9">
        <f t="shared" si="20"/>
        <v>393</v>
      </c>
      <c r="B401" s="15">
        <v>46149</v>
      </c>
      <c r="C401" s="11">
        <f t="shared" si="21"/>
        <v>5</v>
      </c>
      <c r="D401" s="11">
        <v>5</v>
      </c>
      <c r="E401" s="11">
        <v>4</v>
      </c>
      <c r="F401" s="11">
        <v>40</v>
      </c>
      <c r="G401" s="89" t="str">
        <f>IFERROR(VLOOKUP(F401,COA!$A$1:$K$26,2,FALSE),0)</f>
        <v>Penerimaan Iuran Warga</v>
      </c>
      <c r="H401" s="89" t="s">
        <v>337</v>
      </c>
      <c r="I401" s="89" t="s">
        <v>78</v>
      </c>
      <c r="J401" s="93">
        <v>100000</v>
      </c>
      <c r="K401" s="79"/>
      <c r="L401" s="146">
        <f t="shared" si="25"/>
        <v>12736700</v>
      </c>
      <c r="M401" s="170"/>
      <c r="N401" s="171"/>
      <c r="O401" s="7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 x14ac:dyDescent="0.35">
      <c r="A402" s="9">
        <f t="shared" ref="A402:A465" si="26">A401+1</f>
        <v>394</v>
      </c>
      <c r="B402" s="15">
        <v>46149</v>
      </c>
      <c r="C402" s="11">
        <f t="shared" si="21"/>
        <v>5</v>
      </c>
      <c r="D402" s="11">
        <v>5</v>
      </c>
      <c r="E402" s="11">
        <v>5</v>
      </c>
      <c r="F402" s="11">
        <v>40</v>
      </c>
      <c r="G402" s="89" t="str">
        <f>IFERROR(VLOOKUP(F402,COA!$A$1:$K$26,2,FALSE),0)</f>
        <v>Penerimaan Iuran Warga</v>
      </c>
      <c r="H402" s="89" t="s">
        <v>337</v>
      </c>
      <c r="I402" s="89" t="s">
        <v>78</v>
      </c>
      <c r="J402" s="93">
        <v>100000</v>
      </c>
      <c r="K402" s="79"/>
      <c r="L402" s="146">
        <f t="shared" si="25"/>
        <v>12836700</v>
      </c>
      <c r="M402" s="170"/>
      <c r="N402" s="171"/>
      <c r="O402" s="7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 x14ac:dyDescent="0.35">
      <c r="A403" s="9">
        <f t="shared" si="26"/>
        <v>395</v>
      </c>
      <c r="B403" s="15">
        <v>46149</v>
      </c>
      <c r="C403" s="11">
        <f t="shared" si="21"/>
        <v>5</v>
      </c>
      <c r="D403" s="11">
        <v>5</v>
      </c>
      <c r="E403" s="11">
        <v>5</v>
      </c>
      <c r="F403" s="14">
        <v>40</v>
      </c>
      <c r="G403" s="89" t="str">
        <f>IFERROR(VLOOKUP(F403,COA!$A$1:$K$26,2,FALSE),0)</f>
        <v>Penerimaan Iuran Warga</v>
      </c>
      <c r="H403" s="89" t="s">
        <v>342</v>
      </c>
      <c r="I403" s="89" t="s">
        <v>182</v>
      </c>
      <c r="J403" s="90">
        <v>190000</v>
      </c>
      <c r="K403" s="79"/>
      <c r="L403" s="146">
        <f t="shared" ref="L403:L463" si="27">L402+J403-K403</f>
        <v>13026700</v>
      </c>
      <c r="M403" s="170"/>
      <c r="N403" s="171"/>
      <c r="O403" s="7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 x14ac:dyDescent="0.35">
      <c r="A404" s="9">
        <f t="shared" si="26"/>
        <v>396</v>
      </c>
      <c r="B404" s="15">
        <v>46149</v>
      </c>
      <c r="C404" s="11">
        <f t="shared" si="21"/>
        <v>5</v>
      </c>
      <c r="D404" s="11">
        <v>5</v>
      </c>
      <c r="E404" s="11">
        <v>5</v>
      </c>
      <c r="F404" s="14">
        <v>40</v>
      </c>
      <c r="G404" s="89" t="str">
        <f>IFERROR(VLOOKUP(F404,COA!$A$1:$K$26,2,FALSE),0)</f>
        <v>Penerimaan Iuran Warga</v>
      </c>
      <c r="H404" s="89" t="s">
        <v>347</v>
      </c>
      <c r="I404" s="89" t="s">
        <v>153</v>
      </c>
      <c r="J404" s="93">
        <v>100000</v>
      </c>
      <c r="K404" s="81"/>
      <c r="L404" s="146">
        <f t="shared" si="27"/>
        <v>13126700</v>
      </c>
      <c r="M404" s="170">
        <v>12622700</v>
      </c>
      <c r="N404" s="171">
        <f>'KAS KECIL'!L10</f>
        <v>504000</v>
      </c>
      <c r="O404" s="73">
        <f>L404-M404-N404</f>
        <v>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 x14ac:dyDescent="0.35">
      <c r="A405" s="9">
        <f t="shared" si="26"/>
        <v>397</v>
      </c>
      <c r="B405" s="15"/>
      <c r="C405" s="11">
        <f t="shared" si="21"/>
        <v>1</v>
      </c>
      <c r="D405" s="11">
        <v>5</v>
      </c>
      <c r="E405" s="11">
        <v>5</v>
      </c>
      <c r="F405" s="14"/>
      <c r="G405" s="89">
        <f>IFERROR(VLOOKUP(F405,COA!$A$1:$K$26,2,FALSE),0)</f>
        <v>0</v>
      </c>
      <c r="H405" s="89"/>
      <c r="I405" s="89"/>
      <c r="J405" s="93"/>
      <c r="K405" s="78"/>
      <c r="L405" s="146">
        <f t="shared" si="27"/>
        <v>13126700</v>
      </c>
      <c r="M405" s="170"/>
      <c r="N405" s="171"/>
      <c r="O405" s="73"/>
      <c r="P405" s="20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 x14ac:dyDescent="0.35">
      <c r="A406" s="9">
        <f t="shared" si="26"/>
        <v>398</v>
      </c>
      <c r="B406" s="15"/>
      <c r="C406" s="11">
        <f t="shared" si="21"/>
        <v>1</v>
      </c>
      <c r="D406" s="11">
        <v>5</v>
      </c>
      <c r="E406" s="11">
        <v>5</v>
      </c>
      <c r="F406" s="14"/>
      <c r="G406" s="89">
        <f>IFERROR(VLOOKUP(F406,COA!$A$1:$K$26,2,FALSE),0)</f>
        <v>0</v>
      </c>
      <c r="H406" s="89"/>
      <c r="I406" s="89"/>
      <c r="J406" s="90"/>
      <c r="K406" s="79"/>
      <c r="L406" s="146">
        <f t="shared" si="27"/>
        <v>13126700</v>
      </c>
      <c r="M406" s="170"/>
      <c r="N406" s="171"/>
      <c r="O406" s="7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 x14ac:dyDescent="0.35">
      <c r="A407" s="9">
        <f t="shared" si="26"/>
        <v>399</v>
      </c>
      <c r="B407" s="15"/>
      <c r="C407" s="11">
        <f t="shared" si="21"/>
        <v>1</v>
      </c>
      <c r="D407" s="11">
        <v>5</v>
      </c>
      <c r="E407" s="11">
        <v>5</v>
      </c>
      <c r="F407" s="14"/>
      <c r="G407" s="89">
        <f>IFERROR(VLOOKUP(F407,COA!$A$1:$K$26,2,FALSE),0)</f>
        <v>0</v>
      </c>
      <c r="H407" s="89"/>
      <c r="I407" s="89"/>
      <c r="J407" s="79"/>
      <c r="K407" s="79"/>
      <c r="L407" s="146">
        <f t="shared" si="27"/>
        <v>13126700</v>
      </c>
      <c r="M407" s="170"/>
      <c r="N407" s="171"/>
      <c r="O407" s="7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 x14ac:dyDescent="0.35">
      <c r="A408" s="9">
        <f t="shared" si="26"/>
        <v>400</v>
      </c>
      <c r="B408" s="15"/>
      <c r="C408" s="11">
        <f t="shared" si="21"/>
        <v>1</v>
      </c>
      <c r="D408" s="11">
        <v>5</v>
      </c>
      <c r="E408" s="11">
        <v>5</v>
      </c>
      <c r="F408" s="14"/>
      <c r="G408" s="89">
        <f>IFERROR(VLOOKUP(F408,COA!$A$1:$K$26,2,FALSE),0)</f>
        <v>0</v>
      </c>
      <c r="H408" s="89"/>
      <c r="I408" s="89"/>
      <c r="J408" s="90"/>
      <c r="K408" s="79"/>
      <c r="L408" s="146">
        <f t="shared" si="27"/>
        <v>13126700</v>
      </c>
      <c r="M408" s="170"/>
      <c r="N408" s="171"/>
      <c r="O408" s="7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 x14ac:dyDescent="0.35">
      <c r="A409" s="9">
        <f t="shared" si="26"/>
        <v>401</v>
      </c>
      <c r="B409" s="15"/>
      <c r="C409" s="11">
        <f t="shared" si="21"/>
        <v>1</v>
      </c>
      <c r="D409" s="11">
        <v>5</v>
      </c>
      <c r="E409" s="11"/>
      <c r="F409" s="14"/>
      <c r="G409" s="89">
        <f>IFERROR(VLOOKUP(F409,COA!$A$1:$K$26,2,FALSE),0)</f>
        <v>0</v>
      </c>
      <c r="H409" s="89"/>
      <c r="I409" s="89"/>
      <c r="J409" s="93"/>
      <c r="K409" s="78"/>
      <c r="L409" s="146">
        <f t="shared" si="27"/>
        <v>13126700</v>
      </c>
      <c r="M409" s="170"/>
      <c r="N409" s="171"/>
      <c r="O409" s="7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 x14ac:dyDescent="0.35">
      <c r="A410" s="9">
        <f t="shared" si="26"/>
        <v>402</v>
      </c>
      <c r="B410" s="15"/>
      <c r="C410" s="11">
        <f t="shared" si="21"/>
        <v>1</v>
      </c>
      <c r="D410" s="11">
        <v>5</v>
      </c>
      <c r="E410" s="11"/>
      <c r="F410" s="14"/>
      <c r="G410" s="89">
        <f>IFERROR(VLOOKUP(F410,COA!$A$1:$K$26,2,FALSE),0)</f>
        <v>0</v>
      </c>
      <c r="H410" s="89"/>
      <c r="I410" s="89"/>
      <c r="J410" s="90"/>
      <c r="K410" s="79"/>
      <c r="L410" s="146">
        <f t="shared" si="27"/>
        <v>13126700</v>
      </c>
      <c r="M410" s="170"/>
      <c r="N410" s="171"/>
      <c r="O410" s="7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 x14ac:dyDescent="0.35">
      <c r="A411" s="9">
        <f t="shared" si="26"/>
        <v>403</v>
      </c>
      <c r="B411" s="15"/>
      <c r="C411" s="11">
        <f t="shared" si="21"/>
        <v>1</v>
      </c>
      <c r="D411" s="11">
        <v>5</v>
      </c>
      <c r="E411" s="11"/>
      <c r="F411" s="14"/>
      <c r="G411" s="89">
        <f>IFERROR(VLOOKUP(F411,COA!$A$1:$K$26,2,FALSE),0)</f>
        <v>0</v>
      </c>
      <c r="H411" s="89"/>
      <c r="I411" s="89"/>
      <c r="J411" s="90"/>
      <c r="K411" s="79"/>
      <c r="L411" s="146">
        <f t="shared" si="27"/>
        <v>13126700</v>
      </c>
      <c r="M411" s="170"/>
      <c r="N411" s="171"/>
      <c r="O411" s="7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 x14ac:dyDescent="0.35">
      <c r="A412" s="9">
        <f t="shared" si="26"/>
        <v>404</v>
      </c>
      <c r="B412" s="15"/>
      <c r="C412" s="11">
        <f t="shared" si="21"/>
        <v>1</v>
      </c>
      <c r="D412" s="11">
        <v>5</v>
      </c>
      <c r="E412" s="11"/>
      <c r="F412" s="14"/>
      <c r="G412" s="89">
        <f>IFERROR(VLOOKUP(F412,COA!$A$1:$K$26,2,FALSE),0)</f>
        <v>0</v>
      </c>
      <c r="H412" s="89"/>
      <c r="I412" s="89"/>
      <c r="J412" s="90"/>
      <c r="K412" s="79"/>
      <c r="L412" s="146">
        <f t="shared" si="27"/>
        <v>13126700</v>
      </c>
      <c r="M412" s="170"/>
      <c r="N412" s="171"/>
      <c r="O412" s="7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 x14ac:dyDescent="0.35">
      <c r="A413" s="9">
        <f t="shared" si="26"/>
        <v>405</v>
      </c>
      <c r="B413" s="15"/>
      <c r="C413" s="11">
        <f t="shared" si="21"/>
        <v>1</v>
      </c>
      <c r="D413" s="11">
        <v>5</v>
      </c>
      <c r="E413" s="11"/>
      <c r="F413" s="14"/>
      <c r="G413" s="89">
        <f>IFERROR(VLOOKUP(F413,COA!$A$1:$K$26,2,FALSE),0)</f>
        <v>0</v>
      </c>
      <c r="H413" s="89"/>
      <c r="I413" s="89"/>
      <c r="J413" s="93"/>
      <c r="K413" s="78"/>
      <c r="L413" s="146">
        <f t="shared" si="27"/>
        <v>13126700</v>
      </c>
      <c r="M413" s="170"/>
      <c r="N413" s="171"/>
      <c r="O413" s="7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 x14ac:dyDescent="0.35">
      <c r="A414" s="9">
        <f t="shared" si="26"/>
        <v>406</v>
      </c>
      <c r="B414" s="15"/>
      <c r="C414" s="11">
        <f t="shared" si="21"/>
        <v>1</v>
      </c>
      <c r="D414" s="11">
        <v>5</v>
      </c>
      <c r="E414" s="11"/>
      <c r="F414" s="14"/>
      <c r="G414" s="89">
        <f>IFERROR(VLOOKUP(F414,COA!$A$1:$K$26,2,FALSE),0)</f>
        <v>0</v>
      </c>
      <c r="H414" s="89"/>
      <c r="I414" s="89"/>
      <c r="J414" s="90"/>
      <c r="K414" s="79"/>
      <c r="L414" s="146">
        <f t="shared" si="27"/>
        <v>13126700</v>
      </c>
      <c r="M414" s="170"/>
      <c r="N414" s="171"/>
      <c r="O414" s="7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 x14ac:dyDescent="0.35">
      <c r="A415" s="9">
        <f t="shared" si="26"/>
        <v>407</v>
      </c>
      <c r="B415" s="15"/>
      <c r="C415" s="11">
        <f t="shared" si="21"/>
        <v>1</v>
      </c>
      <c r="D415" s="11">
        <v>5</v>
      </c>
      <c r="E415" s="11"/>
      <c r="F415" s="14"/>
      <c r="G415" s="89">
        <f>IFERROR(VLOOKUP(F415,COA!$A$1:$K$26,2,FALSE),0)</f>
        <v>0</v>
      </c>
      <c r="H415" s="89"/>
      <c r="I415" s="89"/>
      <c r="J415" s="90"/>
      <c r="K415" s="79"/>
      <c r="L415" s="146">
        <f t="shared" si="27"/>
        <v>13126700</v>
      </c>
      <c r="M415" s="170"/>
      <c r="N415" s="171"/>
      <c r="O415" s="7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 x14ac:dyDescent="0.35">
      <c r="A416" s="9">
        <f t="shared" si="26"/>
        <v>408</v>
      </c>
      <c r="B416" s="15"/>
      <c r="C416" s="11">
        <f t="shared" si="21"/>
        <v>1</v>
      </c>
      <c r="D416" s="11">
        <v>5</v>
      </c>
      <c r="E416" s="11"/>
      <c r="F416" s="14"/>
      <c r="G416" s="89">
        <f>IFERROR(VLOOKUP(F416,COA!$A$1:$K$26,2,FALSE),0)</f>
        <v>0</v>
      </c>
      <c r="H416" s="89"/>
      <c r="I416" s="89"/>
      <c r="J416" s="90"/>
      <c r="K416" s="79"/>
      <c r="L416" s="146">
        <f t="shared" si="27"/>
        <v>13126700</v>
      </c>
      <c r="M416" s="170"/>
      <c r="N416" s="171"/>
      <c r="O416" s="7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 x14ac:dyDescent="0.35">
      <c r="A417" s="9">
        <f t="shared" si="26"/>
        <v>409</v>
      </c>
      <c r="B417" s="15"/>
      <c r="C417" s="11">
        <f t="shared" si="21"/>
        <v>1</v>
      </c>
      <c r="D417" s="11">
        <v>5</v>
      </c>
      <c r="E417" s="11"/>
      <c r="F417" s="11"/>
      <c r="G417" s="89">
        <f>IFERROR(VLOOKUP(F417,COA!$A$1:$K$26,2,FALSE),0)</f>
        <v>0</v>
      </c>
      <c r="H417" s="89"/>
      <c r="I417" s="89"/>
      <c r="J417" s="90"/>
      <c r="K417" s="78"/>
      <c r="L417" s="146">
        <f t="shared" si="27"/>
        <v>13126700</v>
      </c>
      <c r="M417" s="170"/>
      <c r="N417" s="171"/>
      <c r="O417" s="7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 x14ac:dyDescent="0.35">
      <c r="A418" s="9">
        <f t="shared" si="26"/>
        <v>410</v>
      </c>
      <c r="B418" s="15"/>
      <c r="C418" s="11">
        <f t="shared" si="21"/>
        <v>1</v>
      </c>
      <c r="D418" s="11">
        <v>5</v>
      </c>
      <c r="E418" s="11"/>
      <c r="F418" s="11"/>
      <c r="G418" s="89">
        <f>IFERROR(VLOOKUP(F418,COA!$A$1:$K$26,2,FALSE),0)</f>
        <v>0</v>
      </c>
      <c r="H418" s="91"/>
      <c r="I418" s="91"/>
      <c r="J418" s="94"/>
      <c r="K418" s="78"/>
      <c r="L418" s="146">
        <f t="shared" si="27"/>
        <v>13126700</v>
      </c>
      <c r="M418" s="170"/>
      <c r="N418" s="171"/>
      <c r="O418" s="7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 x14ac:dyDescent="0.35">
      <c r="A419" s="9">
        <f t="shared" si="26"/>
        <v>411</v>
      </c>
      <c r="B419" s="15"/>
      <c r="C419" s="11">
        <f t="shared" si="21"/>
        <v>1</v>
      </c>
      <c r="D419" s="11">
        <v>5</v>
      </c>
      <c r="E419" s="11"/>
      <c r="F419" s="11"/>
      <c r="G419" s="89">
        <f>IFERROR(VLOOKUP(F419,COA!$A$1:$K$26,2,FALSE),0)</f>
        <v>0</v>
      </c>
      <c r="H419" s="91"/>
      <c r="I419" s="91"/>
      <c r="J419" s="94"/>
      <c r="K419" s="78"/>
      <c r="L419" s="146">
        <f t="shared" si="27"/>
        <v>13126700</v>
      </c>
      <c r="M419" s="170"/>
      <c r="N419" s="171"/>
      <c r="O419" s="7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 x14ac:dyDescent="0.35">
      <c r="A420" s="9">
        <f t="shared" si="26"/>
        <v>412</v>
      </c>
      <c r="B420" s="15"/>
      <c r="C420" s="11">
        <f t="shared" ref="C420:C483" si="28">MONTH(B420)</f>
        <v>1</v>
      </c>
      <c r="D420" s="11">
        <v>5</v>
      </c>
      <c r="E420" s="11"/>
      <c r="F420" s="11"/>
      <c r="G420" s="89">
        <f>IFERROR(VLOOKUP(F420,COA!$A$1:$K$26,2,FALSE),0)</f>
        <v>0</v>
      </c>
      <c r="H420" s="91"/>
      <c r="I420" s="91"/>
      <c r="J420" s="94"/>
      <c r="K420" s="78"/>
      <c r="L420" s="146">
        <f t="shared" si="27"/>
        <v>13126700</v>
      </c>
      <c r="M420" s="170"/>
      <c r="N420" s="171"/>
      <c r="O420" s="7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 x14ac:dyDescent="0.35">
      <c r="A421" s="9">
        <f t="shared" si="26"/>
        <v>413</v>
      </c>
      <c r="B421" s="15"/>
      <c r="C421" s="11">
        <f t="shared" si="28"/>
        <v>1</v>
      </c>
      <c r="D421" s="11">
        <v>5</v>
      </c>
      <c r="E421" s="11"/>
      <c r="F421" s="11"/>
      <c r="G421" s="89">
        <f>IFERROR(VLOOKUP(F421,COA!$A$1:$K$26,2,FALSE),0)</f>
        <v>0</v>
      </c>
      <c r="H421" s="91"/>
      <c r="I421" s="91"/>
      <c r="J421" s="94"/>
      <c r="K421" s="78"/>
      <c r="L421" s="146">
        <f t="shared" si="27"/>
        <v>13126700</v>
      </c>
      <c r="M421" s="170"/>
      <c r="N421" s="171"/>
      <c r="O421" s="7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 x14ac:dyDescent="0.35">
      <c r="A422" s="9">
        <f t="shared" si="26"/>
        <v>414</v>
      </c>
      <c r="B422" s="15"/>
      <c r="C422" s="11">
        <f t="shared" si="28"/>
        <v>1</v>
      </c>
      <c r="D422" s="11">
        <v>5</v>
      </c>
      <c r="E422" s="11"/>
      <c r="F422" s="11"/>
      <c r="G422" s="89">
        <f>IFERROR(VLOOKUP(F422,COA!$A$1:$K$26,2,FALSE),0)</f>
        <v>0</v>
      </c>
      <c r="H422" s="91"/>
      <c r="I422" s="91"/>
      <c r="J422" s="94"/>
      <c r="K422" s="78"/>
      <c r="L422" s="146">
        <f t="shared" si="27"/>
        <v>13126700</v>
      </c>
      <c r="M422" s="170"/>
      <c r="N422" s="171"/>
      <c r="O422" s="7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 x14ac:dyDescent="0.35">
      <c r="A423" s="9">
        <f t="shared" si="26"/>
        <v>415</v>
      </c>
      <c r="B423" s="15"/>
      <c r="C423" s="11">
        <f t="shared" si="28"/>
        <v>1</v>
      </c>
      <c r="D423" s="11">
        <v>5</v>
      </c>
      <c r="E423" s="11"/>
      <c r="F423" s="11"/>
      <c r="G423" s="89">
        <f>IFERROR(VLOOKUP(F423,COA!$A$1:$K$26,2,FALSE),0)</f>
        <v>0</v>
      </c>
      <c r="H423" s="89"/>
      <c r="I423" s="89"/>
      <c r="J423" s="92"/>
      <c r="K423" s="81"/>
      <c r="L423" s="146">
        <f t="shared" si="27"/>
        <v>13126700</v>
      </c>
      <c r="M423" s="170"/>
      <c r="N423" s="171"/>
      <c r="O423" s="7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 x14ac:dyDescent="0.35">
      <c r="A424" s="9">
        <f t="shared" si="26"/>
        <v>416</v>
      </c>
      <c r="B424" s="15"/>
      <c r="C424" s="11">
        <f t="shared" si="28"/>
        <v>1</v>
      </c>
      <c r="D424" s="11">
        <v>5</v>
      </c>
      <c r="E424" s="11"/>
      <c r="F424" s="11"/>
      <c r="G424" s="89">
        <f>IFERROR(VLOOKUP(F424,COA!$A$1:$K$26,2,FALSE),0)</f>
        <v>0</v>
      </c>
      <c r="H424" s="91"/>
      <c r="I424" s="91"/>
      <c r="J424" s="94"/>
      <c r="K424" s="81"/>
      <c r="L424" s="146">
        <f t="shared" si="27"/>
        <v>13126700</v>
      </c>
      <c r="M424" s="170"/>
      <c r="N424" s="171"/>
      <c r="O424" s="7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 x14ac:dyDescent="0.35">
      <c r="A425" s="9">
        <f t="shared" si="26"/>
        <v>417</v>
      </c>
      <c r="B425" s="15"/>
      <c r="C425" s="11">
        <f t="shared" si="28"/>
        <v>1</v>
      </c>
      <c r="D425" s="11">
        <v>5</v>
      </c>
      <c r="E425" s="11"/>
      <c r="F425" s="11"/>
      <c r="G425" s="89">
        <f>IFERROR(VLOOKUP(F425,COA!$A$1:$K$26,2,FALSE),0)</f>
        <v>0</v>
      </c>
      <c r="H425" s="91"/>
      <c r="I425" s="91"/>
      <c r="J425" s="94"/>
      <c r="K425" s="78"/>
      <c r="L425" s="146">
        <f t="shared" si="27"/>
        <v>13126700</v>
      </c>
      <c r="M425" s="170"/>
      <c r="N425" s="171"/>
      <c r="O425" s="7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 x14ac:dyDescent="0.35">
      <c r="A426" s="9">
        <f t="shared" si="26"/>
        <v>418</v>
      </c>
      <c r="B426" s="15"/>
      <c r="C426" s="11">
        <f t="shared" si="28"/>
        <v>1</v>
      </c>
      <c r="D426" s="11">
        <v>5</v>
      </c>
      <c r="E426" s="11"/>
      <c r="F426" s="11"/>
      <c r="G426" s="89">
        <f>IFERROR(VLOOKUP(F426,COA!$A$1:$K$26,2,FALSE),0)</f>
        <v>0</v>
      </c>
      <c r="H426" s="13"/>
      <c r="I426" s="13"/>
      <c r="J426" s="77"/>
      <c r="K426" s="78"/>
      <c r="L426" s="146">
        <f t="shared" si="27"/>
        <v>13126700</v>
      </c>
      <c r="M426" s="170"/>
      <c r="N426" s="171"/>
      <c r="O426" s="7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 x14ac:dyDescent="0.35">
      <c r="A427" s="9">
        <f t="shared" si="26"/>
        <v>419</v>
      </c>
      <c r="B427" s="15"/>
      <c r="C427" s="11">
        <f t="shared" si="28"/>
        <v>1</v>
      </c>
      <c r="D427" s="11">
        <v>5</v>
      </c>
      <c r="E427" s="11"/>
      <c r="F427" s="11"/>
      <c r="G427" s="89">
        <f>IFERROR(VLOOKUP(F427,COA!$A$1:$K$26,2,FALSE),0)</f>
        <v>0</v>
      </c>
      <c r="H427" s="13"/>
      <c r="I427" s="13"/>
      <c r="J427" s="77"/>
      <c r="K427" s="78"/>
      <c r="L427" s="146">
        <f t="shared" si="27"/>
        <v>13126700</v>
      </c>
      <c r="M427" s="170"/>
      <c r="N427" s="171"/>
      <c r="O427" s="7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 x14ac:dyDescent="0.35">
      <c r="A428" s="9">
        <f t="shared" si="26"/>
        <v>420</v>
      </c>
      <c r="B428" s="15"/>
      <c r="C428" s="11">
        <f t="shared" si="28"/>
        <v>1</v>
      </c>
      <c r="D428" s="11">
        <v>5</v>
      </c>
      <c r="E428" s="11"/>
      <c r="F428" s="11"/>
      <c r="G428" s="89">
        <f>IFERROR(VLOOKUP(F428,COA!$A$1:$K$26,2,FALSE),0)</f>
        <v>0</v>
      </c>
      <c r="H428" s="13"/>
      <c r="I428" s="13"/>
      <c r="J428" s="77"/>
      <c r="K428" s="78"/>
      <c r="L428" s="146">
        <f t="shared" si="27"/>
        <v>13126700</v>
      </c>
      <c r="M428" s="170"/>
      <c r="N428" s="171"/>
      <c r="O428" s="7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 x14ac:dyDescent="0.35">
      <c r="A429" s="9">
        <f t="shared" si="26"/>
        <v>421</v>
      </c>
      <c r="B429" s="15"/>
      <c r="C429" s="11">
        <f t="shared" si="28"/>
        <v>1</v>
      </c>
      <c r="D429" s="11">
        <v>5</v>
      </c>
      <c r="E429" s="11"/>
      <c r="F429" s="11"/>
      <c r="G429" s="89">
        <f>IFERROR(VLOOKUP(F429,COA!$A$1:$K$26,2,FALSE),0)</f>
        <v>0</v>
      </c>
      <c r="H429" s="13"/>
      <c r="I429" s="13"/>
      <c r="J429" s="77"/>
      <c r="K429" s="78"/>
      <c r="L429" s="146">
        <f t="shared" si="27"/>
        <v>13126700</v>
      </c>
      <c r="M429" s="170"/>
      <c r="N429" s="171"/>
      <c r="O429" s="7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 x14ac:dyDescent="0.35">
      <c r="A430" s="9">
        <f t="shared" si="26"/>
        <v>422</v>
      </c>
      <c r="B430" s="15"/>
      <c r="C430" s="11">
        <f t="shared" si="28"/>
        <v>1</v>
      </c>
      <c r="D430" s="11">
        <v>5</v>
      </c>
      <c r="E430" s="11"/>
      <c r="F430" s="14"/>
      <c r="G430" s="89">
        <f>IFERROR(VLOOKUP(F430,COA!$A$1:$K$26,2,FALSE),0)</f>
        <v>0</v>
      </c>
      <c r="H430" s="11"/>
      <c r="I430" s="11"/>
      <c r="J430" s="79"/>
      <c r="K430" s="78"/>
      <c r="L430" s="146">
        <f t="shared" si="27"/>
        <v>13126700</v>
      </c>
      <c r="M430" s="170"/>
      <c r="N430" s="171"/>
      <c r="O430" s="7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 x14ac:dyDescent="0.35">
      <c r="A431" s="9">
        <f t="shared" si="26"/>
        <v>423</v>
      </c>
      <c r="B431" s="15"/>
      <c r="C431" s="11">
        <f t="shared" si="28"/>
        <v>1</v>
      </c>
      <c r="D431" s="11">
        <v>5</v>
      </c>
      <c r="E431" s="11"/>
      <c r="F431" s="14"/>
      <c r="G431" s="89">
        <f>IFERROR(VLOOKUP(F431,COA!$A$1:$K$26,2,FALSE),0)</f>
        <v>0</v>
      </c>
      <c r="H431" s="11"/>
      <c r="I431" s="11"/>
      <c r="J431" s="78"/>
      <c r="K431" s="79"/>
      <c r="L431" s="146">
        <f t="shared" si="27"/>
        <v>13126700</v>
      </c>
      <c r="M431" s="170"/>
      <c r="N431" s="171"/>
      <c r="O431" s="7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 x14ac:dyDescent="0.35">
      <c r="A432" s="9">
        <f t="shared" si="26"/>
        <v>424</v>
      </c>
      <c r="B432" s="15"/>
      <c r="C432" s="11">
        <f t="shared" si="28"/>
        <v>1</v>
      </c>
      <c r="D432" s="11">
        <v>5</v>
      </c>
      <c r="E432" s="11"/>
      <c r="F432" s="14"/>
      <c r="G432" s="89">
        <f>IFERROR(VLOOKUP(F432,COA!$A$1:$K$26,2,FALSE),0)</f>
        <v>0</v>
      </c>
      <c r="H432" s="11"/>
      <c r="I432" s="11"/>
      <c r="J432" s="78"/>
      <c r="K432" s="79"/>
      <c r="L432" s="146">
        <f t="shared" si="27"/>
        <v>13126700</v>
      </c>
      <c r="M432" s="170"/>
      <c r="N432" s="171"/>
      <c r="O432" s="7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 x14ac:dyDescent="0.35">
      <c r="A433" s="9">
        <f t="shared" si="26"/>
        <v>425</v>
      </c>
      <c r="B433" s="15"/>
      <c r="C433" s="11">
        <f t="shared" si="28"/>
        <v>1</v>
      </c>
      <c r="D433" s="11">
        <v>5</v>
      </c>
      <c r="E433" s="11"/>
      <c r="F433" s="14"/>
      <c r="G433" s="89">
        <f>IFERROR(VLOOKUP(F433,COA!$A$1:$K$26,2,FALSE),0)</f>
        <v>0</v>
      </c>
      <c r="H433" s="11"/>
      <c r="I433" s="11"/>
      <c r="J433" s="78"/>
      <c r="K433" s="79"/>
      <c r="L433" s="146">
        <f t="shared" si="27"/>
        <v>13126700</v>
      </c>
      <c r="M433" s="170"/>
      <c r="N433" s="171"/>
      <c r="O433" s="7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 x14ac:dyDescent="0.35">
      <c r="A434" s="9">
        <f t="shared" si="26"/>
        <v>426</v>
      </c>
      <c r="B434" s="15"/>
      <c r="C434" s="11">
        <f t="shared" si="28"/>
        <v>1</v>
      </c>
      <c r="D434" s="11">
        <v>5</v>
      </c>
      <c r="E434" s="11"/>
      <c r="F434" s="11"/>
      <c r="G434" s="89">
        <f>IFERROR(VLOOKUP(F434,COA!$A$1:$K$26,2,FALSE),0)</f>
        <v>0</v>
      </c>
      <c r="H434" s="13"/>
      <c r="I434" s="13"/>
      <c r="J434" s="81"/>
      <c r="K434" s="81"/>
      <c r="L434" s="146">
        <f t="shared" si="27"/>
        <v>13126700</v>
      </c>
      <c r="M434" s="170"/>
      <c r="N434" s="171"/>
      <c r="O434" s="7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 x14ac:dyDescent="0.35">
      <c r="A435" s="9">
        <f t="shared" si="26"/>
        <v>427</v>
      </c>
      <c r="B435" s="15"/>
      <c r="C435" s="11">
        <f t="shared" si="28"/>
        <v>1</v>
      </c>
      <c r="D435" s="11"/>
      <c r="E435" s="11"/>
      <c r="F435" s="14"/>
      <c r="G435" s="89">
        <f>IFERROR(VLOOKUP(F435,COA!$A$1:$K$26,2,FALSE),0)</f>
        <v>0</v>
      </c>
      <c r="H435" s="11"/>
      <c r="I435" s="11"/>
      <c r="J435" s="78"/>
      <c r="K435" s="79"/>
      <c r="L435" s="146">
        <f t="shared" si="27"/>
        <v>13126700</v>
      </c>
      <c r="M435" s="170"/>
      <c r="N435" s="171"/>
      <c r="O435" s="7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 x14ac:dyDescent="0.35">
      <c r="A436" s="9">
        <f t="shared" si="26"/>
        <v>428</v>
      </c>
      <c r="B436" s="15"/>
      <c r="C436" s="11">
        <f t="shared" si="28"/>
        <v>1</v>
      </c>
      <c r="D436" s="11"/>
      <c r="E436" s="11"/>
      <c r="F436" s="14"/>
      <c r="G436" s="89">
        <f>IFERROR(VLOOKUP(F436,COA!$A$1:$K$26,2,FALSE),0)</f>
        <v>0</v>
      </c>
      <c r="H436" s="11"/>
      <c r="I436" s="11"/>
      <c r="J436" s="79"/>
      <c r="K436" s="78"/>
      <c r="L436" s="146">
        <f t="shared" si="27"/>
        <v>13126700</v>
      </c>
      <c r="M436" s="170"/>
      <c r="N436" s="171"/>
      <c r="O436" s="7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 x14ac:dyDescent="0.35">
      <c r="A437" s="9">
        <f t="shared" si="26"/>
        <v>429</v>
      </c>
      <c r="B437" s="15"/>
      <c r="C437" s="11">
        <f t="shared" si="28"/>
        <v>1</v>
      </c>
      <c r="D437" s="11"/>
      <c r="E437" s="11"/>
      <c r="F437" s="14"/>
      <c r="G437" s="89">
        <f>IFERROR(VLOOKUP(F437,COA!$A$1:$K$26,2,FALSE),0)</f>
        <v>0</v>
      </c>
      <c r="H437" s="11"/>
      <c r="I437" s="11"/>
      <c r="J437" s="78"/>
      <c r="K437" s="79"/>
      <c r="L437" s="146">
        <f t="shared" si="27"/>
        <v>13126700</v>
      </c>
      <c r="M437" s="170"/>
      <c r="N437" s="171"/>
      <c r="O437" s="7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 x14ac:dyDescent="0.35">
      <c r="A438" s="9">
        <f t="shared" si="26"/>
        <v>430</v>
      </c>
      <c r="B438" s="15"/>
      <c r="C438" s="11">
        <f t="shared" si="28"/>
        <v>1</v>
      </c>
      <c r="D438" s="11"/>
      <c r="E438" s="11"/>
      <c r="F438" s="14"/>
      <c r="G438" s="89">
        <f>IFERROR(VLOOKUP(F438,COA!$A$1:$K$26,2,FALSE),0)</f>
        <v>0</v>
      </c>
      <c r="H438" s="11"/>
      <c r="I438" s="11"/>
      <c r="J438" s="78"/>
      <c r="K438" s="79"/>
      <c r="L438" s="146">
        <f t="shared" si="27"/>
        <v>13126700</v>
      </c>
      <c r="M438" s="170"/>
      <c r="N438" s="171"/>
      <c r="O438" s="7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 x14ac:dyDescent="0.35">
      <c r="A439" s="9">
        <f t="shared" si="26"/>
        <v>431</v>
      </c>
      <c r="B439" s="15"/>
      <c r="C439" s="11">
        <f t="shared" si="28"/>
        <v>1</v>
      </c>
      <c r="D439" s="11"/>
      <c r="E439" s="11"/>
      <c r="F439" s="14"/>
      <c r="G439" s="89">
        <f>IFERROR(VLOOKUP(F439,COA!$A$1:$K$26,2,FALSE),0)</f>
        <v>0</v>
      </c>
      <c r="H439" s="11"/>
      <c r="I439" s="11"/>
      <c r="J439" s="78"/>
      <c r="K439" s="79"/>
      <c r="L439" s="146">
        <f t="shared" si="27"/>
        <v>13126700</v>
      </c>
      <c r="M439" s="170"/>
      <c r="N439" s="171"/>
      <c r="O439" s="7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 x14ac:dyDescent="0.35">
      <c r="A440" s="9">
        <f t="shared" si="26"/>
        <v>432</v>
      </c>
      <c r="B440" s="15"/>
      <c r="C440" s="11">
        <f t="shared" si="28"/>
        <v>1</v>
      </c>
      <c r="D440" s="11"/>
      <c r="E440" s="11"/>
      <c r="F440" s="11"/>
      <c r="G440" s="89">
        <f>IFERROR(VLOOKUP(F440,COA!$A$1:$K$26,2,FALSE),0)</f>
        <v>0</v>
      </c>
      <c r="H440" s="11"/>
      <c r="I440" s="11"/>
      <c r="J440" s="78"/>
      <c r="K440" s="78"/>
      <c r="L440" s="146">
        <f t="shared" si="27"/>
        <v>13126700</v>
      </c>
      <c r="M440" s="170"/>
      <c r="N440" s="171"/>
      <c r="O440" s="7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 x14ac:dyDescent="0.35">
      <c r="A441" s="9">
        <f t="shared" si="26"/>
        <v>433</v>
      </c>
      <c r="B441" s="15"/>
      <c r="C441" s="11">
        <f t="shared" si="28"/>
        <v>1</v>
      </c>
      <c r="D441" s="11"/>
      <c r="E441" s="11"/>
      <c r="F441" s="11"/>
      <c r="G441" s="89">
        <f>IFERROR(VLOOKUP(F441,COA!$A$1:$K$26,2,FALSE),0)</f>
        <v>0</v>
      </c>
      <c r="H441" s="13"/>
      <c r="I441" s="13"/>
      <c r="J441" s="77"/>
      <c r="K441" s="78"/>
      <c r="L441" s="146">
        <f t="shared" si="27"/>
        <v>13126700</v>
      </c>
      <c r="M441" s="170"/>
      <c r="N441" s="171"/>
      <c r="O441" s="7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 x14ac:dyDescent="0.35">
      <c r="A442" s="9">
        <f t="shared" si="26"/>
        <v>434</v>
      </c>
      <c r="B442" s="15"/>
      <c r="C442" s="11">
        <f t="shared" si="28"/>
        <v>1</v>
      </c>
      <c r="D442" s="11"/>
      <c r="E442" s="11"/>
      <c r="F442" s="11"/>
      <c r="G442" s="89">
        <f>IFERROR(VLOOKUP(F442,COA!$A$1:$K$26,2,FALSE),0)</f>
        <v>0</v>
      </c>
      <c r="H442" s="11"/>
      <c r="I442" s="11"/>
      <c r="J442" s="81"/>
      <c r="K442" s="81"/>
      <c r="L442" s="146">
        <f t="shared" si="27"/>
        <v>13126700</v>
      </c>
      <c r="M442" s="170"/>
      <c r="N442" s="171"/>
      <c r="O442" s="7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 x14ac:dyDescent="0.35">
      <c r="A443" s="9">
        <f t="shared" si="26"/>
        <v>435</v>
      </c>
      <c r="B443" s="15"/>
      <c r="C443" s="11">
        <f t="shared" si="28"/>
        <v>1</v>
      </c>
      <c r="D443" s="11"/>
      <c r="E443" s="11"/>
      <c r="F443" s="14"/>
      <c r="G443" s="89">
        <f>IFERROR(VLOOKUP(F443,COA!$A$1:$K$26,2,FALSE),0)</f>
        <v>0</v>
      </c>
      <c r="H443" s="11"/>
      <c r="I443" s="11"/>
      <c r="J443" s="79"/>
      <c r="K443" s="78"/>
      <c r="L443" s="146">
        <f t="shared" si="27"/>
        <v>13126700</v>
      </c>
      <c r="M443" s="170"/>
      <c r="N443" s="171"/>
      <c r="O443" s="7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 x14ac:dyDescent="0.35">
      <c r="A444" s="9">
        <f t="shared" si="26"/>
        <v>436</v>
      </c>
      <c r="B444" s="15"/>
      <c r="C444" s="11">
        <f t="shared" si="28"/>
        <v>1</v>
      </c>
      <c r="D444" s="11"/>
      <c r="E444" s="11"/>
      <c r="F444" s="14"/>
      <c r="G444" s="89">
        <f>IFERROR(VLOOKUP(F444,COA!$A$1:$K$26,2,FALSE),0)</f>
        <v>0</v>
      </c>
      <c r="H444" s="11"/>
      <c r="I444" s="11"/>
      <c r="J444" s="78"/>
      <c r="K444" s="79"/>
      <c r="L444" s="146">
        <f t="shared" si="27"/>
        <v>13126700</v>
      </c>
      <c r="M444" s="170"/>
      <c r="N444" s="171"/>
      <c r="O444" s="7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 x14ac:dyDescent="0.35">
      <c r="A445" s="9">
        <f t="shared" si="26"/>
        <v>437</v>
      </c>
      <c r="B445" s="15"/>
      <c r="C445" s="11">
        <f t="shared" si="28"/>
        <v>1</v>
      </c>
      <c r="D445" s="11"/>
      <c r="E445" s="11"/>
      <c r="F445" s="14"/>
      <c r="G445" s="89">
        <f>IFERROR(VLOOKUP(F445,COA!$A$1:$K$26,2,FALSE),0)</f>
        <v>0</v>
      </c>
      <c r="H445" s="11"/>
      <c r="I445" s="11"/>
      <c r="J445" s="78"/>
      <c r="K445" s="79"/>
      <c r="L445" s="146">
        <f t="shared" si="27"/>
        <v>13126700</v>
      </c>
      <c r="M445" s="170"/>
      <c r="N445" s="171"/>
      <c r="O445" s="7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 x14ac:dyDescent="0.35">
      <c r="A446" s="9">
        <f t="shared" si="26"/>
        <v>438</v>
      </c>
      <c r="B446" s="15"/>
      <c r="C446" s="11">
        <f t="shared" si="28"/>
        <v>1</v>
      </c>
      <c r="D446" s="11"/>
      <c r="E446" s="11"/>
      <c r="F446" s="14"/>
      <c r="G446" s="89">
        <f>IFERROR(VLOOKUP(F446,COA!$A$1:$K$26,2,FALSE),0)</f>
        <v>0</v>
      </c>
      <c r="H446" s="11"/>
      <c r="I446" s="11"/>
      <c r="J446" s="78"/>
      <c r="K446" s="79"/>
      <c r="L446" s="146">
        <f t="shared" si="27"/>
        <v>13126700</v>
      </c>
      <c r="M446" s="170"/>
      <c r="N446" s="171"/>
      <c r="O446" s="7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 x14ac:dyDescent="0.35">
      <c r="A447" s="9">
        <f t="shared" si="26"/>
        <v>439</v>
      </c>
      <c r="B447" s="15"/>
      <c r="C447" s="11">
        <f t="shared" si="28"/>
        <v>1</v>
      </c>
      <c r="D447" s="11"/>
      <c r="E447" s="11"/>
      <c r="F447" s="11"/>
      <c r="G447" s="89">
        <f>IFERROR(VLOOKUP(F447,COA!$A$1:$K$26,2,FALSE),0)</f>
        <v>0</v>
      </c>
      <c r="H447" s="13"/>
      <c r="I447" s="13"/>
      <c r="J447" s="78"/>
      <c r="K447" s="78"/>
      <c r="L447" s="146">
        <f t="shared" si="27"/>
        <v>13126700</v>
      </c>
      <c r="M447" s="170"/>
      <c r="N447" s="171"/>
      <c r="O447" s="7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 x14ac:dyDescent="0.35">
      <c r="A448" s="9">
        <f t="shared" si="26"/>
        <v>440</v>
      </c>
      <c r="B448" s="15"/>
      <c r="C448" s="11">
        <f t="shared" si="28"/>
        <v>1</v>
      </c>
      <c r="D448" s="11"/>
      <c r="E448" s="11"/>
      <c r="F448" s="14"/>
      <c r="G448" s="89">
        <f>IFERROR(VLOOKUP(F448,COA!$A$1:$K$26,2,FALSE),0)</f>
        <v>0</v>
      </c>
      <c r="H448" s="11"/>
      <c r="I448" s="11"/>
      <c r="J448" s="79"/>
      <c r="K448" s="78"/>
      <c r="L448" s="146">
        <f t="shared" si="27"/>
        <v>13126700</v>
      </c>
      <c r="M448" s="170"/>
      <c r="N448" s="171"/>
      <c r="O448" s="7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 x14ac:dyDescent="0.35">
      <c r="A449" s="9">
        <f t="shared" si="26"/>
        <v>441</v>
      </c>
      <c r="B449" s="15"/>
      <c r="C449" s="11">
        <f t="shared" si="28"/>
        <v>1</v>
      </c>
      <c r="D449" s="11"/>
      <c r="E449" s="11"/>
      <c r="F449" s="14"/>
      <c r="G449" s="89">
        <f>IFERROR(VLOOKUP(F449,COA!$A$1:$K$26,2,FALSE),0)</f>
        <v>0</v>
      </c>
      <c r="H449" s="11"/>
      <c r="I449" s="11"/>
      <c r="J449" s="78"/>
      <c r="K449" s="79"/>
      <c r="L449" s="146">
        <f t="shared" si="27"/>
        <v>13126700</v>
      </c>
      <c r="M449" s="170"/>
      <c r="N449" s="171"/>
      <c r="O449" s="7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 x14ac:dyDescent="0.35">
      <c r="A450" s="9">
        <f t="shared" si="26"/>
        <v>442</v>
      </c>
      <c r="B450" s="15"/>
      <c r="C450" s="11">
        <f t="shared" si="28"/>
        <v>1</v>
      </c>
      <c r="D450" s="11"/>
      <c r="E450" s="11"/>
      <c r="F450" s="14"/>
      <c r="G450" s="89">
        <f>IFERROR(VLOOKUP(F450,COA!$A$1:$K$26,2,FALSE),0)</f>
        <v>0</v>
      </c>
      <c r="H450" s="11"/>
      <c r="I450" s="11"/>
      <c r="J450" s="78"/>
      <c r="K450" s="79"/>
      <c r="L450" s="146">
        <f t="shared" si="27"/>
        <v>13126700</v>
      </c>
      <c r="M450" s="170"/>
      <c r="N450" s="171"/>
      <c r="O450" s="7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 x14ac:dyDescent="0.35">
      <c r="A451" s="9">
        <f t="shared" si="26"/>
        <v>443</v>
      </c>
      <c r="B451" s="15"/>
      <c r="C451" s="11">
        <f t="shared" si="28"/>
        <v>1</v>
      </c>
      <c r="D451" s="11"/>
      <c r="E451" s="11"/>
      <c r="F451" s="14"/>
      <c r="G451" s="89">
        <f>IFERROR(VLOOKUP(F451,COA!$A$1:$K$26,2,FALSE),0)</f>
        <v>0</v>
      </c>
      <c r="H451" s="11"/>
      <c r="I451" s="11"/>
      <c r="J451" s="78"/>
      <c r="K451" s="79"/>
      <c r="L451" s="146">
        <f t="shared" si="27"/>
        <v>13126700</v>
      </c>
      <c r="M451" s="170"/>
      <c r="N451" s="171"/>
      <c r="O451" s="7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 x14ac:dyDescent="0.35">
      <c r="A452" s="9">
        <f t="shared" si="26"/>
        <v>444</v>
      </c>
      <c r="B452" s="15"/>
      <c r="C452" s="11">
        <f t="shared" si="28"/>
        <v>1</v>
      </c>
      <c r="D452" s="11"/>
      <c r="E452" s="11"/>
      <c r="F452" s="14"/>
      <c r="G452" s="89">
        <f>IFERROR(VLOOKUP(F452,COA!$A$1:$K$26,2,FALSE),0)</f>
        <v>0</v>
      </c>
      <c r="H452" s="11"/>
      <c r="I452" s="11"/>
      <c r="J452" s="79"/>
      <c r="K452" s="78"/>
      <c r="L452" s="146">
        <f t="shared" si="27"/>
        <v>13126700</v>
      </c>
      <c r="M452" s="170"/>
      <c r="N452" s="171"/>
      <c r="O452" s="7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 x14ac:dyDescent="0.35">
      <c r="A453" s="9">
        <f t="shared" si="26"/>
        <v>445</v>
      </c>
      <c r="B453" s="15"/>
      <c r="C453" s="11">
        <f t="shared" si="28"/>
        <v>1</v>
      </c>
      <c r="D453" s="11"/>
      <c r="E453" s="11"/>
      <c r="F453" s="14"/>
      <c r="G453" s="89">
        <f>IFERROR(VLOOKUP(F453,COA!$A$1:$K$26,2,FALSE),0)</f>
        <v>0</v>
      </c>
      <c r="H453" s="11"/>
      <c r="I453" s="11"/>
      <c r="J453" s="78"/>
      <c r="K453" s="79"/>
      <c r="L453" s="146">
        <f t="shared" si="27"/>
        <v>13126700</v>
      </c>
      <c r="M453" s="170"/>
      <c r="N453" s="171"/>
      <c r="O453" s="7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 x14ac:dyDescent="0.35">
      <c r="A454" s="9">
        <f t="shared" si="26"/>
        <v>446</v>
      </c>
      <c r="B454" s="15"/>
      <c r="C454" s="11">
        <f t="shared" si="28"/>
        <v>1</v>
      </c>
      <c r="D454" s="11"/>
      <c r="E454" s="11"/>
      <c r="F454" s="14"/>
      <c r="G454" s="89">
        <f>IFERROR(VLOOKUP(F454,COA!$A$1:$K$26,2,FALSE),0)</f>
        <v>0</v>
      </c>
      <c r="H454" s="11"/>
      <c r="I454" s="11"/>
      <c r="J454" s="78"/>
      <c r="K454" s="79"/>
      <c r="L454" s="146">
        <f t="shared" si="27"/>
        <v>13126700</v>
      </c>
      <c r="M454" s="170"/>
      <c r="N454" s="171"/>
      <c r="O454" s="7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 x14ac:dyDescent="0.35">
      <c r="A455" s="9">
        <f t="shared" si="26"/>
        <v>447</v>
      </c>
      <c r="B455" s="15"/>
      <c r="C455" s="11">
        <f t="shared" si="28"/>
        <v>1</v>
      </c>
      <c r="D455" s="11"/>
      <c r="E455" s="11"/>
      <c r="F455" s="14"/>
      <c r="G455" s="89">
        <f>IFERROR(VLOOKUP(F455,COA!$A$1:$K$26,2,FALSE),0)</f>
        <v>0</v>
      </c>
      <c r="H455" s="11"/>
      <c r="I455" s="11"/>
      <c r="J455" s="78"/>
      <c r="K455" s="79"/>
      <c r="L455" s="146">
        <f t="shared" si="27"/>
        <v>13126700</v>
      </c>
      <c r="M455" s="170"/>
      <c r="N455" s="171"/>
      <c r="O455" s="7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 x14ac:dyDescent="0.35">
      <c r="A456" s="9">
        <f t="shared" si="26"/>
        <v>448</v>
      </c>
      <c r="B456" s="15"/>
      <c r="C456" s="11">
        <f t="shared" si="28"/>
        <v>1</v>
      </c>
      <c r="D456" s="11"/>
      <c r="E456" s="11"/>
      <c r="F456" s="14"/>
      <c r="G456" s="89">
        <f>IFERROR(VLOOKUP(F456,COA!$A$1:$K$26,2,FALSE),0)</f>
        <v>0</v>
      </c>
      <c r="H456" s="11"/>
      <c r="I456" s="11"/>
      <c r="J456" s="79"/>
      <c r="K456" s="78"/>
      <c r="L456" s="146">
        <f t="shared" si="27"/>
        <v>13126700</v>
      </c>
      <c r="M456" s="170"/>
      <c r="N456" s="171"/>
      <c r="O456" s="7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 x14ac:dyDescent="0.35">
      <c r="A457" s="9">
        <f t="shared" si="26"/>
        <v>449</v>
      </c>
      <c r="B457" s="15"/>
      <c r="C457" s="11">
        <f t="shared" si="28"/>
        <v>1</v>
      </c>
      <c r="D457" s="11"/>
      <c r="E457" s="11"/>
      <c r="F457" s="14"/>
      <c r="G457" s="89">
        <f>IFERROR(VLOOKUP(F457,COA!$A$1:$K$26,2,FALSE),0)</f>
        <v>0</v>
      </c>
      <c r="H457" s="11"/>
      <c r="I457" s="11"/>
      <c r="J457" s="78"/>
      <c r="K457" s="79"/>
      <c r="L457" s="146">
        <f t="shared" si="27"/>
        <v>13126700</v>
      </c>
      <c r="M457" s="170"/>
      <c r="N457" s="171"/>
      <c r="O457" s="7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 x14ac:dyDescent="0.35">
      <c r="A458" s="9">
        <f t="shared" si="26"/>
        <v>450</v>
      </c>
      <c r="B458" s="15"/>
      <c r="C458" s="11">
        <f t="shared" si="28"/>
        <v>1</v>
      </c>
      <c r="D458" s="11"/>
      <c r="E458" s="11"/>
      <c r="F458" s="14"/>
      <c r="G458" s="89">
        <f>IFERROR(VLOOKUP(F458,COA!$A$1:$K$26,2,FALSE),0)</f>
        <v>0</v>
      </c>
      <c r="H458" s="11"/>
      <c r="I458" s="11"/>
      <c r="J458" s="78"/>
      <c r="K458" s="79"/>
      <c r="L458" s="146">
        <f t="shared" si="27"/>
        <v>13126700</v>
      </c>
      <c r="M458" s="170"/>
      <c r="N458" s="171"/>
      <c r="O458" s="7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 x14ac:dyDescent="0.35">
      <c r="A459" s="9">
        <f t="shared" si="26"/>
        <v>451</v>
      </c>
      <c r="B459" s="15"/>
      <c r="C459" s="11">
        <f t="shared" si="28"/>
        <v>1</v>
      </c>
      <c r="D459" s="11"/>
      <c r="E459" s="11"/>
      <c r="F459" s="14"/>
      <c r="G459" s="89">
        <f>IFERROR(VLOOKUP(F459,COA!$A$1:$K$26,2,FALSE),0)</f>
        <v>0</v>
      </c>
      <c r="H459" s="11"/>
      <c r="I459" s="11"/>
      <c r="J459" s="78"/>
      <c r="K459" s="79"/>
      <c r="L459" s="146">
        <f t="shared" si="27"/>
        <v>13126700</v>
      </c>
      <c r="M459" s="170"/>
      <c r="N459" s="171"/>
      <c r="O459" s="7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 x14ac:dyDescent="0.35">
      <c r="A460" s="9">
        <f t="shared" si="26"/>
        <v>452</v>
      </c>
      <c r="B460" s="15"/>
      <c r="C460" s="11">
        <f t="shared" si="28"/>
        <v>1</v>
      </c>
      <c r="D460" s="11"/>
      <c r="E460" s="11"/>
      <c r="F460" s="14"/>
      <c r="G460" s="89">
        <f>IFERROR(VLOOKUP(F460,COA!$A$1:$K$26,2,FALSE),0)</f>
        <v>0</v>
      </c>
      <c r="H460" s="11"/>
      <c r="I460" s="11"/>
      <c r="J460" s="79"/>
      <c r="K460" s="78"/>
      <c r="L460" s="146">
        <f t="shared" si="27"/>
        <v>13126700</v>
      </c>
      <c r="M460" s="170"/>
      <c r="N460" s="171"/>
      <c r="O460" s="7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 x14ac:dyDescent="0.35">
      <c r="A461" s="9">
        <f t="shared" si="26"/>
        <v>453</v>
      </c>
      <c r="B461" s="15"/>
      <c r="C461" s="11">
        <f t="shared" si="28"/>
        <v>1</v>
      </c>
      <c r="D461" s="11"/>
      <c r="E461" s="11"/>
      <c r="F461" s="14"/>
      <c r="G461" s="89">
        <f>IFERROR(VLOOKUP(F461,COA!$A$1:$K$26,2,FALSE),0)</f>
        <v>0</v>
      </c>
      <c r="H461" s="11"/>
      <c r="I461" s="11"/>
      <c r="J461" s="78"/>
      <c r="K461" s="79"/>
      <c r="L461" s="146">
        <f t="shared" si="27"/>
        <v>13126700</v>
      </c>
      <c r="M461" s="170"/>
      <c r="N461" s="171"/>
      <c r="O461" s="7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 x14ac:dyDescent="0.35">
      <c r="A462" s="9">
        <f t="shared" si="26"/>
        <v>454</v>
      </c>
      <c r="B462" s="15"/>
      <c r="C462" s="11">
        <f t="shared" si="28"/>
        <v>1</v>
      </c>
      <c r="D462" s="11"/>
      <c r="E462" s="11"/>
      <c r="F462" s="14"/>
      <c r="G462" s="89">
        <f>IFERROR(VLOOKUP(F462,COA!$A$1:$K$26,2,FALSE),0)</f>
        <v>0</v>
      </c>
      <c r="H462" s="11"/>
      <c r="I462" s="11"/>
      <c r="J462" s="78"/>
      <c r="K462" s="79"/>
      <c r="L462" s="146">
        <f t="shared" si="27"/>
        <v>13126700</v>
      </c>
      <c r="M462" s="170"/>
      <c r="N462" s="171"/>
      <c r="O462" s="7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 x14ac:dyDescent="0.35">
      <c r="A463" s="9">
        <f t="shared" si="26"/>
        <v>455</v>
      </c>
      <c r="B463" s="15"/>
      <c r="C463" s="11">
        <f t="shared" si="28"/>
        <v>1</v>
      </c>
      <c r="D463" s="11"/>
      <c r="E463" s="11"/>
      <c r="F463" s="14"/>
      <c r="G463" s="89">
        <f>IFERROR(VLOOKUP(F463,COA!$A$1:$K$26,2,FALSE),0)</f>
        <v>0</v>
      </c>
      <c r="H463" s="11"/>
      <c r="I463" s="11"/>
      <c r="J463" s="78"/>
      <c r="K463" s="79"/>
      <c r="L463" s="146">
        <f t="shared" si="27"/>
        <v>13126700</v>
      </c>
      <c r="M463" s="170"/>
      <c r="N463" s="171"/>
      <c r="O463" s="7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 x14ac:dyDescent="0.35">
      <c r="A464" s="9">
        <f t="shared" si="26"/>
        <v>456</v>
      </c>
      <c r="B464" s="15"/>
      <c r="C464" s="11">
        <f t="shared" si="28"/>
        <v>1</v>
      </c>
      <c r="D464" s="11"/>
      <c r="E464" s="11"/>
      <c r="F464" s="11"/>
      <c r="G464" s="89">
        <f>IFERROR(VLOOKUP(F464,COA!$A$1:$K$26,2,FALSE),0)</f>
        <v>0</v>
      </c>
      <c r="H464" s="11"/>
      <c r="I464" s="11"/>
      <c r="J464" s="81"/>
      <c r="K464" s="81"/>
      <c r="L464" s="146">
        <f t="shared" ref="L464:L527" si="29">L463+J464-K464</f>
        <v>13126700</v>
      </c>
      <c r="M464" s="170"/>
      <c r="N464" s="171"/>
      <c r="O464" s="7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 x14ac:dyDescent="0.35">
      <c r="A465" s="9">
        <f t="shared" si="26"/>
        <v>457</v>
      </c>
      <c r="B465" s="15"/>
      <c r="C465" s="11">
        <f t="shared" si="28"/>
        <v>1</v>
      </c>
      <c r="D465" s="11"/>
      <c r="E465" s="11"/>
      <c r="F465" s="14"/>
      <c r="G465" s="89">
        <f>IFERROR(VLOOKUP(F465,COA!$A$1:$K$26,2,FALSE),0)</f>
        <v>0</v>
      </c>
      <c r="H465" s="11"/>
      <c r="I465" s="11"/>
      <c r="J465" s="79"/>
      <c r="K465" s="78"/>
      <c r="L465" s="146">
        <f t="shared" si="29"/>
        <v>13126700</v>
      </c>
      <c r="M465" s="170"/>
      <c r="N465" s="171"/>
      <c r="O465" s="7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 x14ac:dyDescent="0.35">
      <c r="A466" s="9">
        <f t="shared" ref="A466:A529" si="30">A465+1</f>
        <v>458</v>
      </c>
      <c r="B466" s="15"/>
      <c r="C466" s="11">
        <f t="shared" si="28"/>
        <v>1</v>
      </c>
      <c r="D466" s="11"/>
      <c r="E466" s="11"/>
      <c r="F466" s="14"/>
      <c r="G466" s="89">
        <f>IFERROR(VLOOKUP(F466,COA!$A$1:$K$26,2,FALSE),0)</f>
        <v>0</v>
      </c>
      <c r="H466" s="11"/>
      <c r="I466" s="11"/>
      <c r="J466" s="78"/>
      <c r="K466" s="79"/>
      <c r="L466" s="146">
        <f t="shared" si="29"/>
        <v>13126700</v>
      </c>
      <c r="M466" s="170"/>
      <c r="N466" s="171"/>
      <c r="O466" s="7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 x14ac:dyDescent="0.35">
      <c r="A467" s="9">
        <f t="shared" si="30"/>
        <v>459</v>
      </c>
      <c r="B467" s="15"/>
      <c r="C467" s="11">
        <f t="shared" si="28"/>
        <v>1</v>
      </c>
      <c r="D467" s="11"/>
      <c r="E467" s="11"/>
      <c r="F467" s="14"/>
      <c r="G467" s="89">
        <f>IFERROR(VLOOKUP(F467,COA!$A$1:$K$26,2,FALSE),0)</f>
        <v>0</v>
      </c>
      <c r="H467" s="11"/>
      <c r="I467" s="11"/>
      <c r="J467" s="78"/>
      <c r="K467" s="79"/>
      <c r="L467" s="146">
        <f t="shared" si="29"/>
        <v>13126700</v>
      </c>
      <c r="M467" s="170"/>
      <c r="N467" s="171"/>
      <c r="O467" s="7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 x14ac:dyDescent="0.35">
      <c r="A468" s="9">
        <f t="shared" si="30"/>
        <v>460</v>
      </c>
      <c r="B468" s="15"/>
      <c r="C468" s="11">
        <f t="shared" si="28"/>
        <v>1</v>
      </c>
      <c r="D468" s="11"/>
      <c r="E468" s="11"/>
      <c r="F468" s="14"/>
      <c r="G468" s="89">
        <f>IFERROR(VLOOKUP(F468,COA!$A$1:$K$26,2,FALSE),0)</f>
        <v>0</v>
      </c>
      <c r="H468" s="11"/>
      <c r="I468" s="11"/>
      <c r="J468" s="78"/>
      <c r="K468" s="79"/>
      <c r="L468" s="146">
        <f t="shared" si="29"/>
        <v>13126700</v>
      </c>
      <c r="M468" s="170"/>
      <c r="N468" s="171"/>
      <c r="O468" s="7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 x14ac:dyDescent="0.35">
      <c r="A469" s="9">
        <f t="shared" si="30"/>
        <v>461</v>
      </c>
      <c r="B469" s="15"/>
      <c r="C469" s="11">
        <f t="shared" si="28"/>
        <v>1</v>
      </c>
      <c r="D469" s="11"/>
      <c r="E469" s="11"/>
      <c r="F469" s="14"/>
      <c r="G469" s="89">
        <f>IFERROR(VLOOKUP(F469,COA!$A$1:$K$26,2,FALSE),0)</f>
        <v>0</v>
      </c>
      <c r="H469" s="11"/>
      <c r="I469" s="11"/>
      <c r="J469" s="79"/>
      <c r="K469" s="78"/>
      <c r="L469" s="146">
        <f t="shared" si="29"/>
        <v>13126700</v>
      </c>
      <c r="M469" s="170"/>
      <c r="N469" s="171"/>
      <c r="O469" s="7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 x14ac:dyDescent="0.35">
      <c r="A470" s="9">
        <f t="shared" si="30"/>
        <v>462</v>
      </c>
      <c r="B470" s="15"/>
      <c r="C470" s="11">
        <f t="shared" si="28"/>
        <v>1</v>
      </c>
      <c r="D470" s="11"/>
      <c r="E470" s="11"/>
      <c r="F470" s="14"/>
      <c r="G470" s="89">
        <f>IFERROR(VLOOKUP(F470,COA!$A$1:$K$26,2,FALSE),0)</f>
        <v>0</v>
      </c>
      <c r="H470" s="11"/>
      <c r="I470" s="11"/>
      <c r="J470" s="78"/>
      <c r="K470" s="79"/>
      <c r="L470" s="146">
        <f t="shared" si="29"/>
        <v>13126700</v>
      </c>
      <c r="M470" s="170"/>
      <c r="N470" s="171"/>
      <c r="O470" s="7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 x14ac:dyDescent="0.35">
      <c r="A471" s="9">
        <f t="shared" si="30"/>
        <v>463</v>
      </c>
      <c r="B471" s="15"/>
      <c r="C471" s="11">
        <f t="shared" si="28"/>
        <v>1</v>
      </c>
      <c r="D471" s="11"/>
      <c r="E471" s="11"/>
      <c r="F471" s="14"/>
      <c r="G471" s="89">
        <f>IFERROR(VLOOKUP(F471,COA!$A$1:$K$26,2,FALSE),0)</f>
        <v>0</v>
      </c>
      <c r="H471" s="11"/>
      <c r="I471" s="11"/>
      <c r="J471" s="78"/>
      <c r="K471" s="79"/>
      <c r="L471" s="146">
        <f t="shared" si="29"/>
        <v>13126700</v>
      </c>
      <c r="M471" s="170"/>
      <c r="N471" s="171"/>
      <c r="O471" s="7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 x14ac:dyDescent="0.35">
      <c r="A472" s="9">
        <f t="shared" si="30"/>
        <v>464</v>
      </c>
      <c r="B472" s="15"/>
      <c r="C472" s="11">
        <f t="shared" si="28"/>
        <v>1</v>
      </c>
      <c r="D472" s="11"/>
      <c r="E472" s="11"/>
      <c r="F472" s="14"/>
      <c r="G472" s="89">
        <f>IFERROR(VLOOKUP(F472,COA!$A$1:$K$26,2,FALSE),0)</f>
        <v>0</v>
      </c>
      <c r="H472" s="11"/>
      <c r="I472" s="11"/>
      <c r="J472" s="78"/>
      <c r="K472" s="79"/>
      <c r="L472" s="146">
        <f t="shared" si="29"/>
        <v>13126700</v>
      </c>
      <c r="M472" s="170"/>
      <c r="N472" s="171"/>
      <c r="O472" s="7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 x14ac:dyDescent="0.35">
      <c r="A473" s="9">
        <f t="shared" si="30"/>
        <v>465</v>
      </c>
      <c r="B473" s="15"/>
      <c r="C473" s="11">
        <f t="shared" si="28"/>
        <v>1</v>
      </c>
      <c r="D473" s="11"/>
      <c r="E473" s="11"/>
      <c r="F473" s="14"/>
      <c r="G473" s="89">
        <f>IFERROR(VLOOKUP(F473,COA!$A$1:$K$26,2,FALSE),0)</f>
        <v>0</v>
      </c>
      <c r="H473" s="11"/>
      <c r="I473" s="11"/>
      <c r="J473" s="79"/>
      <c r="K473" s="78"/>
      <c r="L473" s="146">
        <f t="shared" si="29"/>
        <v>13126700</v>
      </c>
      <c r="M473" s="170"/>
      <c r="N473" s="171"/>
      <c r="O473" s="7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 x14ac:dyDescent="0.35">
      <c r="A474" s="9">
        <f t="shared" si="30"/>
        <v>466</v>
      </c>
      <c r="B474" s="15"/>
      <c r="C474" s="11">
        <f t="shared" si="28"/>
        <v>1</v>
      </c>
      <c r="D474" s="11"/>
      <c r="E474" s="11"/>
      <c r="F474" s="14"/>
      <c r="G474" s="89">
        <f>IFERROR(VLOOKUP(F474,COA!$A$1:$K$26,2,FALSE),0)</f>
        <v>0</v>
      </c>
      <c r="H474" s="11"/>
      <c r="I474" s="11"/>
      <c r="J474" s="78"/>
      <c r="K474" s="79"/>
      <c r="L474" s="146">
        <f t="shared" si="29"/>
        <v>13126700</v>
      </c>
      <c r="M474" s="170"/>
      <c r="N474" s="171"/>
      <c r="O474" s="7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 x14ac:dyDescent="0.35">
      <c r="A475" s="9">
        <f t="shared" si="30"/>
        <v>467</v>
      </c>
      <c r="B475" s="15"/>
      <c r="C475" s="11">
        <f t="shared" si="28"/>
        <v>1</v>
      </c>
      <c r="D475" s="11"/>
      <c r="E475" s="11"/>
      <c r="F475" s="14"/>
      <c r="G475" s="89">
        <f>IFERROR(VLOOKUP(F475,COA!$A$1:$K$26,2,FALSE),0)</f>
        <v>0</v>
      </c>
      <c r="H475" s="11"/>
      <c r="I475" s="11"/>
      <c r="J475" s="78"/>
      <c r="K475" s="79"/>
      <c r="L475" s="146">
        <f t="shared" si="29"/>
        <v>13126700</v>
      </c>
      <c r="M475" s="170"/>
      <c r="N475" s="171"/>
      <c r="O475" s="7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 x14ac:dyDescent="0.35">
      <c r="A476" s="9">
        <f t="shared" si="30"/>
        <v>468</v>
      </c>
      <c r="B476" s="15"/>
      <c r="C476" s="11">
        <f t="shared" si="28"/>
        <v>1</v>
      </c>
      <c r="D476" s="11"/>
      <c r="E476" s="11"/>
      <c r="F476" s="14"/>
      <c r="G476" s="89">
        <f>IFERROR(VLOOKUP(F476,COA!$A$1:$K$26,2,FALSE),0)</f>
        <v>0</v>
      </c>
      <c r="H476" s="11"/>
      <c r="I476" s="11"/>
      <c r="J476" s="78"/>
      <c r="K476" s="79"/>
      <c r="L476" s="146">
        <f t="shared" si="29"/>
        <v>13126700</v>
      </c>
      <c r="M476" s="170"/>
      <c r="N476" s="171"/>
      <c r="O476" s="7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 x14ac:dyDescent="0.35">
      <c r="A477" s="9">
        <f t="shared" si="30"/>
        <v>469</v>
      </c>
      <c r="B477" s="15"/>
      <c r="C477" s="11">
        <f t="shared" si="28"/>
        <v>1</v>
      </c>
      <c r="D477" s="11"/>
      <c r="E477" s="11"/>
      <c r="F477" s="11"/>
      <c r="G477" s="89">
        <f>IFERROR(VLOOKUP(F477,COA!$A$1:$K$26,2,FALSE),0)</f>
        <v>0</v>
      </c>
      <c r="H477" s="13"/>
      <c r="I477" s="13"/>
      <c r="J477" s="77"/>
      <c r="K477" s="78"/>
      <c r="L477" s="146">
        <f t="shared" si="29"/>
        <v>13126700</v>
      </c>
      <c r="M477" s="170"/>
      <c r="N477" s="171"/>
      <c r="O477" s="7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 x14ac:dyDescent="0.35">
      <c r="A478" s="9">
        <f t="shared" si="30"/>
        <v>470</v>
      </c>
      <c r="B478" s="15"/>
      <c r="C478" s="11">
        <f t="shared" si="28"/>
        <v>1</v>
      </c>
      <c r="D478" s="11"/>
      <c r="E478" s="11"/>
      <c r="F478" s="14"/>
      <c r="G478" s="89">
        <f>IFERROR(VLOOKUP(F478,COA!$A$1:$K$26,2,FALSE),0)</f>
        <v>0</v>
      </c>
      <c r="H478" s="11"/>
      <c r="I478" s="11"/>
      <c r="J478" s="79"/>
      <c r="K478" s="78"/>
      <c r="L478" s="146">
        <f t="shared" si="29"/>
        <v>13126700</v>
      </c>
      <c r="M478" s="170"/>
      <c r="N478" s="171"/>
      <c r="O478" s="7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 x14ac:dyDescent="0.35">
      <c r="A479" s="9">
        <f t="shared" si="30"/>
        <v>471</v>
      </c>
      <c r="B479" s="15"/>
      <c r="C479" s="11">
        <f t="shared" si="28"/>
        <v>1</v>
      </c>
      <c r="D479" s="11"/>
      <c r="E479" s="11"/>
      <c r="F479" s="14"/>
      <c r="G479" s="89">
        <f>IFERROR(VLOOKUP(F479,COA!$A$1:$K$26,2,FALSE),0)</f>
        <v>0</v>
      </c>
      <c r="H479" s="11"/>
      <c r="I479" s="11"/>
      <c r="J479" s="78"/>
      <c r="K479" s="79"/>
      <c r="L479" s="146">
        <f t="shared" si="29"/>
        <v>13126700</v>
      </c>
      <c r="M479" s="170"/>
      <c r="N479" s="171"/>
      <c r="O479" s="7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 x14ac:dyDescent="0.35">
      <c r="A480" s="9">
        <f t="shared" si="30"/>
        <v>472</v>
      </c>
      <c r="B480" s="15"/>
      <c r="C480" s="11">
        <f t="shared" si="28"/>
        <v>1</v>
      </c>
      <c r="D480" s="11"/>
      <c r="E480" s="11"/>
      <c r="F480" s="14"/>
      <c r="G480" s="89">
        <f>IFERROR(VLOOKUP(F480,COA!$A$1:$K$26,2,FALSE),0)</f>
        <v>0</v>
      </c>
      <c r="H480" s="11"/>
      <c r="I480" s="11"/>
      <c r="J480" s="78"/>
      <c r="K480" s="79"/>
      <c r="L480" s="146">
        <f t="shared" si="29"/>
        <v>13126700</v>
      </c>
      <c r="M480" s="170"/>
      <c r="N480" s="171"/>
      <c r="O480" s="7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 x14ac:dyDescent="0.35">
      <c r="A481" s="9">
        <f t="shared" si="30"/>
        <v>473</v>
      </c>
      <c r="B481" s="15"/>
      <c r="C481" s="11">
        <f t="shared" si="28"/>
        <v>1</v>
      </c>
      <c r="D481" s="11"/>
      <c r="E481" s="11"/>
      <c r="F481" s="14"/>
      <c r="G481" s="89">
        <f>IFERROR(VLOOKUP(F481,COA!$A$1:$K$26,2,FALSE),0)</f>
        <v>0</v>
      </c>
      <c r="H481" s="11"/>
      <c r="I481" s="11"/>
      <c r="J481" s="78"/>
      <c r="K481" s="79"/>
      <c r="L481" s="146">
        <f t="shared" si="29"/>
        <v>13126700</v>
      </c>
      <c r="M481" s="170"/>
      <c r="N481" s="171"/>
      <c r="O481" s="7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 x14ac:dyDescent="0.35">
      <c r="A482" s="9">
        <f t="shared" si="30"/>
        <v>474</v>
      </c>
      <c r="B482" s="15"/>
      <c r="C482" s="11">
        <f t="shared" si="28"/>
        <v>1</v>
      </c>
      <c r="D482" s="11"/>
      <c r="E482" s="11"/>
      <c r="F482" s="11"/>
      <c r="G482" s="89">
        <f>IFERROR(VLOOKUP(F482,COA!$A$1:$K$26,2,FALSE),0)</f>
        <v>0</v>
      </c>
      <c r="H482" s="11"/>
      <c r="I482" s="11"/>
      <c r="J482" s="78"/>
      <c r="K482" s="78"/>
      <c r="L482" s="146">
        <f t="shared" si="29"/>
        <v>13126700</v>
      </c>
      <c r="M482" s="170"/>
      <c r="N482" s="171"/>
      <c r="O482" s="7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 x14ac:dyDescent="0.35">
      <c r="A483" s="9">
        <f t="shared" si="30"/>
        <v>475</v>
      </c>
      <c r="B483" s="15"/>
      <c r="C483" s="11">
        <f t="shared" si="28"/>
        <v>1</v>
      </c>
      <c r="D483" s="11"/>
      <c r="E483" s="11"/>
      <c r="F483" s="14"/>
      <c r="G483" s="89">
        <f>IFERROR(VLOOKUP(F483,COA!$A$1:$K$26,2,FALSE),0)</f>
        <v>0</v>
      </c>
      <c r="H483" s="11"/>
      <c r="I483" s="11"/>
      <c r="J483" s="78"/>
      <c r="K483" s="79"/>
      <c r="L483" s="146">
        <f t="shared" si="29"/>
        <v>13126700</v>
      </c>
      <c r="M483" s="170"/>
      <c r="N483" s="171"/>
      <c r="O483" s="7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 x14ac:dyDescent="0.35">
      <c r="A484" s="9">
        <f t="shared" si="30"/>
        <v>476</v>
      </c>
      <c r="B484" s="15"/>
      <c r="C484" s="11">
        <f t="shared" ref="C484:C547" si="31">MONTH(B484)</f>
        <v>1</v>
      </c>
      <c r="D484" s="11"/>
      <c r="E484" s="11"/>
      <c r="F484" s="11"/>
      <c r="G484" s="89">
        <f>IFERROR(VLOOKUP(F484,COA!$A$1:$K$26,2,FALSE),0)</f>
        <v>0</v>
      </c>
      <c r="H484" s="11"/>
      <c r="I484" s="11"/>
      <c r="J484" s="81"/>
      <c r="K484" s="81"/>
      <c r="L484" s="146">
        <f t="shared" si="29"/>
        <v>13126700</v>
      </c>
      <c r="M484" s="170"/>
      <c r="N484" s="171"/>
      <c r="O484" s="7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 x14ac:dyDescent="0.35">
      <c r="A485" s="9">
        <f t="shared" si="30"/>
        <v>477</v>
      </c>
      <c r="B485" s="15"/>
      <c r="C485" s="11">
        <f t="shared" si="31"/>
        <v>1</v>
      </c>
      <c r="D485" s="11"/>
      <c r="E485" s="11"/>
      <c r="F485" s="11"/>
      <c r="G485" s="89">
        <f>IFERROR(VLOOKUP(F485,COA!$A$1:$K$26,2,FALSE),0)</f>
        <v>0</v>
      </c>
      <c r="H485" s="13"/>
      <c r="I485" s="13"/>
      <c r="J485" s="78"/>
      <c r="K485" s="78"/>
      <c r="L485" s="146">
        <f t="shared" si="29"/>
        <v>13126700</v>
      </c>
      <c r="M485" s="170"/>
      <c r="N485" s="171"/>
      <c r="O485" s="7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 x14ac:dyDescent="0.35">
      <c r="A486" s="9">
        <f t="shared" si="30"/>
        <v>478</v>
      </c>
      <c r="B486" s="15"/>
      <c r="C486" s="11">
        <f t="shared" si="31"/>
        <v>1</v>
      </c>
      <c r="D486" s="11"/>
      <c r="E486" s="11"/>
      <c r="F486" s="14"/>
      <c r="G486" s="89">
        <f>IFERROR(VLOOKUP(F486,COA!$A$1:$K$26,2,FALSE),0)</f>
        <v>0</v>
      </c>
      <c r="H486" s="11"/>
      <c r="I486" s="11"/>
      <c r="J486" s="78"/>
      <c r="K486" s="79"/>
      <c r="L486" s="146">
        <f t="shared" si="29"/>
        <v>13126700</v>
      </c>
      <c r="M486" s="170"/>
      <c r="N486" s="171"/>
      <c r="O486" s="7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 x14ac:dyDescent="0.35">
      <c r="A487" s="9">
        <f t="shared" si="30"/>
        <v>479</v>
      </c>
      <c r="B487" s="15"/>
      <c r="C487" s="11">
        <f t="shared" si="31"/>
        <v>1</v>
      </c>
      <c r="D487" s="11"/>
      <c r="E487" s="11"/>
      <c r="F487" s="14"/>
      <c r="G487" s="89">
        <f>IFERROR(VLOOKUP(F487,COA!$A$1:$K$26,2,FALSE),0)</f>
        <v>0</v>
      </c>
      <c r="H487" s="11"/>
      <c r="I487" s="11"/>
      <c r="J487" s="79"/>
      <c r="K487" s="78"/>
      <c r="L487" s="146">
        <f t="shared" si="29"/>
        <v>13126700</v>
      </c>
      <c r="M487" s="170"/>
      <c r="N487" s="171"/>
      <c r="O487" s="7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 x14ac:dyDescent="0.35">
      <c r="A488" s="9">
        <f t="shared" si="30"/>
        <v>480</v>
      </c>
      <c r="B488" s="15"/>
      <c r="C488" s="11">
        <f t="shared" si="31"/>
        <v>1</v>
      </c>
      <c r="D488" s="11"/>
      <c r="E488" s="11"/>
      <c r="F488" s="14"/>
      <c r="G488" s="89">
        <f>IFERROR(VLOOKUP(F488,COA!$A$1:$K$26,2,FALSE),0)</f>
        <v>0</v>
      </c>
      <c r="H488" s="11"/>
      <c r="I488" s="11"/>
      <c r="J488" s="78"/>
      <c r="K488" s="79"/>
      <c r="L488" s="146">
        <f t="shared" si="29"/>
        <v>13126700</v>
      </c>
      <c r="M488" s="170"/>
      <c r="N488" s="171"/>
      <c r="O488" s="7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 x14ac:dyDescent="0.35">
      <c r="A489" s="9">
        <f t="shared" si="30"/>
        <v>481</v>
      </c>
      <c r="B489" s="15"/>
      <c r="C489" s="11">
        <f t="shared" si="31"/>
        <v>1</v>
      </c>
      <c r="D489" s="11"/>
      <c r="E489" s="11"/>
      <c r="F489" s="14"/>
      <c r="G489" s="89">
        <f>IFERROR(VLOOKUP(F489,COA!$A$1:$K$26,2,FALSE),0)</f>
        <v>0</v>
      </c>
      <c r="H489" s="11"/>
      <c r="I489" s="11"/>
      <c r="J489" s="78"/>
      <c r="K489" s="79"/>
      <c r="L489" s="146">
        <f t="shared" si="29"/>
        <v>13126700</v>
      </c>
      <c r="M489" s="170"/>
      <c r="N489" s="171"/>
      <c r="O489" s="7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 x14ac:dyDescent="0.35">
      <c r="A490" s="9">
        <f t="shared" si="30"/>
        <v>482</v>
      </c>
      <c r="B490" s="15"/>
      <c r="C490" s="11">
        <f t="shared" si="31"/>
        <v>1</v>
      </c>
      <c r="D490" s="11"/>
      <c r="E490" s="11"/>
      <c r="F490" s="14"/>
      <c r="G490" s="89">
        <f>IFERROR(VLOOKUP(F490,COA!$A$1:$K$26,2,FALSE),0)</f>
        <v>0</v>
      </c>
      <c r="H490" s="11"/>
      <c r="I490" s="11"/>
      <c r="J490" s="78"/>
      <c r="K490" s="79"/>
      <c r="L490" s="146">
        <f t="shared" si="29"/>
        <v>13126700</v>
      </c>
      <c r="M490" s="170"/>
      <c r="N490" s="171"/>
      <c r="O490" s="7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 x14ac:dyDescent="0.35">
      <c r="A491" s="9">
        <f t="shared" si="30"/>
        <v>483</v>
      </c>
      <c r="B491" s="15"/>
      <c r="C491" s="11">
        <f t="shared" si="31"/>
        <v>1</v>
      </c>
      <c r="D491" s="11"/>
      <c r="E491" s="11"/>
      <c r="F491" s="14"/>
      <c r="G491" s="89">
        <f>IFERROR(VLOOKUP(F491,COA!$A$1:$K$26,2,FALSE),0)</f>
        <v>0</v>
      </c>
      <c r="H491" s="11"/>
      <c r="I491" s="11"/>
      <c r="J491" s="79"/>
      <c r="K491" s="78"/>
      <c r="L491" s="146">
        <f t="shared" si="29"/>
        <v>13126700</v>
      </c>
      <c r="M491" s="170"/>
      <c r="N491" s="171"/>
      <c r="O491" s="7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 x14ac:dyDescent="0.35">
      <c r="A492" s="9">
        <f t="shared" si="30"/>
        <v>484</v>
      </c>
      <c r="B492" s="15"/>
      <c r="C492" s="11">
        <f t="shared" si="31"/>
        <v>1</v>
      </c>
      <c r="D492" s="11"/>
      <c r="E492" s="11"/>
      <c r="F492" s="14"/>
      <c r="G492" s="89">
        <f>IFERROR(VLOOKUP(F492,COA!$A$1:$K$26,2,FALSE),0)</f>
        <v>0</v>
      </c>
      <c r="H492" s="11"/>
      <c r="I492" s="11"/>
      <c r="J492" s="78"/>
      <c r="K492" s="79"/>
      <c r="L492" s="146">
        <f t="shared" si="29"/>
        <v>13126700</v>
      </c>
      <c r="M492" s="170"/>
      <c r="N492" s="171"/>
      <c r="O492" s="7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 x14ac:dyDescent="0.35">
      <c r="A493" s="9">
        <f t="shared" si="30"/>
        <v>485</v>
      </c>
      <c r="B493" s="15"/>
      <c r="C493" s="11">
        <f t="shared" si="31"/>
        <v>1</v>
      </c>
      <c r="D493" s="11"/>
      <c r="E493" s="11"/>
      <c r="F493" s="14"/>
      <c r="G493" s="89">
        <f>IFERROR(VLOOKUP(F493,COA!$A$1:$K$26,2,FALSE),0)</f>
        <v>0</v>
      </c>
      <c r="H493" s="11"/>
      <c r="I493" s="11"/>
      <c r="J493" s="78"/>
      <c r="K493" s="79"/>
      <c r="L493" s="146">
        <f t="shared" si="29"/>
        <v>13126700</v>
      </c>
      <c r="M493" s="170"/>
      <c r="N493" s="171"/>
      <c r="O493" s="7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 x14ac:dyDescent="0.35">
      <c r="A494" s="9">
        <f t="shared" si="30"/>
        <v>486</v>
      </c>
      <c r="B494" s="15"/>
      <c r="C494" s="11">
        <f t="shared" si="31"/>
        <v>1</v>
      </c>
      <c r="D494" s="11"/>
      <c r="E494" s="11"/>
      <c r="F494" s="14"/>
      <c r="G494" s="89">
        <f>IFERROR(VLOOKUP(F494,COA!$A$1:$K$26,2,FALSE),0)</f>
        <v>0</v>
      </c>
      <c r="H494" s="11"/>
      <c r="I494" s="11"/>
      <c r="J494" s="78"/>
      <c r="K494" s="79"/>
      <c r="L494" s="146">
        <f t="shared" si="29"/>
        <v>13126700</v>
      </c>
      <c r="M494" s="170"/>
      <c r="N494" s="171"/>
      <c r="O494" s="7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 x14ac:dyDescent="0.35">
      <c r="A495" s="9">
        <f t="shared" si="30"/>
        <v>487</v>
      </c>
      <c r="B495" s="15"/>
      <c r="C495" s="11">
        <f t="shared" si="31"/>
        <v>1</v>
      </c>
      <c r="D495" s="11"/>
      <c r="E495" s="11"/>
      <c r="F495" s="14"/>
      <c r="G495" s="89">
        <f>IFERROR(VLOOKUP(F495,COA!$A$1:$K$26,2,FALSE),0)</f>
        <v>0</v>
      </c>
      <c r="H495" s="11"/>
      <c r="I495" s="11"/>
      <c r="J495" s="79"/>
      <c r="K495" s="78"/>
      <c r="L495" s="146">
        <f t="shared" si="29"/>
        <v>13126700</v>
      </c>
      <c r="M495" s="170"/>
      <c r="N495" s="171"/>
      <c r="O495" s="7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 x14ac:dyDescent="0.35">
      <c r="A496" s="9">
        <f t="shared" si="30"/>
        <v>488</v>
      </c>
      <c r="B496" s="15"/>
      <c r="C496" s="11">
        <f t="shared" si="31"/>
        <v>1</v>
      </c>
      <c r="D496" s="11"/>
      <c r="E496" s="11"/>
      <c r="F496" s="14"/>
      <c r="G496" s="89">
        <f>IFERROR(VLOOKUP(F496,COA!$A$1:$K$26,2,FALSE),0)</f>
        <v>0</v>
      </c>
      <c r="H496" s="11"/>
      <c r="I496" s="11"/>
      <c r="J496" s="78"/>
      <c r="K496" s="79"/>
      <c r="L496" s="146">
        <f t="shared" si="29"/>
        <v>13126700</v>
      </c>
      <c r="M496" s="170"/>
      <c r="N496" s="171"/>
      <c r="O496" s="7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 x14ac:dyDescent="0.35">
      <c r="A497" s="9">
        <f t="shared" si="30"/>
        <v>489</v>
      </c>
      <c r="B497" s="15"/>
      <c r="C497" s="11">
        <f t="shared" si="31"/>
        <v>1</v>
      </c>
      <c r="D497" s="11"/>
      <c r="E497" s="11"/>
      <c r="F497" s="14"/>
      <c r="G497" s="89">
        <f>IFERROR(VLOOKUP(F497,COA!$A$1:$K$26,2,FALSE),0)</f>
        <v>0</v>
      </c>
      <c r="H497" s="11"/>
      <c r="I497" s="11"/>
      <c r="J497" s="78"/>
      <c r="K497" s="79"/>
      <c r="L497" s="146">
        <f t="shared" si="29"/>
        <v>13126700</v>
      </c>
      <c r="M497" s="170"/>
      <c r="N497" s="171"/>
      <c r="O497" s="7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 x14ac:dyDescent="0.35">
      <c r="A498" s="9">
        <f t="shared" si="30"/>
        <v>490</v>
      </c>
      <c r="B498" s="15"/>
      <c r="C498" s="11">
        <f t="shared" si="31"/>
        <v>1</v>
      </c>
      <c r="D498" s="11"/>
      <c r="E498" s="11"/>
      <c r="F498" s="14"/>
      <c r="G498" s="89">
        <f>IFERROR(VLOOKUP(F498,COA!$A$1:$K$26,2,FALSE),0)</f>
        <v>0</v>
      </c>
      <c r="H498" s="11"/>
      <c r="I498" s="11"/>
      <c r="J498" s="78"/>
      <c r="K498" s="79"/>
      <c r="L498" s="146">
        <f t="shared" si="29"/>
        <v>13126700</v>
      </c>
      <c r="M498" s="170"/>
      <c r="N498" s="171"/>
      <c r="O498" s="7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 x14ac:dyDescent="0.35">
      <c r="A499" s="9">
        <f t="shared" si="30"/>
        <v>491</v>
      </c>
      <c r="B499" s="15"/>
      <c r="C499" s="11">
        <f t="shared" si="31"/>
        <v>1</v>
      </c>
      <c r="D499" s="11"/>
      <c r="E499" s="11"/>
      <c r="F499" s="11"/>
      <c r="G499" s="89">
        <f>IFERROR(VLOOKUP(F499,COA!$A$1:$K$26,2,FALSE),0)</f>
        <v>0</v>
      </c>
      <c r="H499" s="13"/>
      <c r="I499" s="13"/>
      <c r="J499" s="77"/>
      <c r="K499" s="78"/>
      <c r="L499" s="146">
        <f t="shared" si="29"/>
        <v>13126700</v>
      </c>
      <c r="M499" s="73"/>
      <c r="N499" s="73"/>
      <c r="O499" s="7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35">
      <c r="A500" s="9">
        <f t="shared" si="30"/>
        <v>492</v>
      </c>
      <c r="B500" s="15"/>
      <c r="C500" s="11">
        <f t="shared" si="31"/>
        <v>1</v>
      </c>
      <c r="D500" s="11"/>
      <c r="E500" s="11"/>
      <c r="F500" s="14"/>
      <c r="G500" s="89">
        <f>IFERROR(VLOOKUP(F500,COA!$A$1:$K$26,2,FALSE),0)</f>
        <v>0</v>
      </c>
      <c r="H500" s="11"/>
      <c r="I500" s="11"/>
      <c r="J500" s="79"/>
      <c r="K500" s="78"/>
      <c r="L500" s="146">
        <f t="shared" si="29"/>
        <v>13126700</v>
      </c>
      <c r="M500" s="73"/>
      <c r="N500" s="73"/>
      <c r="O500" s="7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4.25" customHeight="1" x14ac:dyDescent="0.35">
      <c r="A501" s="9">
        <f t="shared" si="30"/>
        <v>493</v>
      </c>
      <c r="B501" s="15"/>
      <c r="C501" s="11">
        <f t="shared" si="31"/>
        <v>1</v>
      </c>
      <c r="D501" s="11"/>
      <c r="E501" s="11"/>
      <c r="F501" s="14"/>
      <c r="G501" s="89">
        <f>IFERROR(VLOOKUP(F501,COA!$A$1:$K$26,2,FALSE),0)</f>
        <v>0</v>
      </c>
      <c r="H501" s="11"/>
      <c r="I501" s="11"/>
      <c r="J501" s="78"/>
      <c r="K501" s="79"/>
      <c r="L501" s="146">
        <f t="shared" si="29"/>
        <v>13126700</v>
      </c>
      <c r="M501" s="73"/>
      <c r="N501" s="73"/>
      <c r="O501" s="7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4.25" customHeight="1" x14ac:dyDescent="0.35">
      <c r="A502" s="9">
        <f t="shared" si="30"/>
        <v>494</v>
      </c>
      <c r="B502" s="15"/>
      <c r="C502" s="11">
        <f t="shared" si="31"/>
        <v>1</v>
      </c>
      <c r="D502" s="11"/>
      <c r="E502" s="11"/>
      <c r="F502" s="14"/>
      <c r="G502" s="89">
        <f>IFERROR(VLOOKUP(F502,COA!$A$1:$K$26,2,FALSE),0)</f>
        <v>0</v>
      </c>
      <c r="H502" s="11"/>
      <c r="I502" s="11"/>
      <c r="J502" s="78"/>
      <c r="K502" s="79"/>
      <c r="L502" s="146">
        <f t="shared" si="29"/>
        <v>13126700</v>
      </c>
      <c r="M502" s="73"/>
      <c r="N502" s="73"/>
      <c r="O502" s="7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4.25" customHeight="1" x14ac:dyDescent="0.35">
      <c r="A503" s="9">
        <f t="shared" si="30"/>
        <v>495</v>
      </c>
      <c r="B503" s="15"/>
      <c r="C503" s="11">
        <f t="shared" si="31"/>
        <v>1</v>
      </c>
      <c r="D503" s="11"/>
      <c r="E503" s="11"/>
      <c r="F503" s="14"/>
      <c r="G503" s="89">
        <f>IFERROR(VLOOKUP(F503,COA!$A$1:$K$26,2,FALSE),0)</f>
        <v>0</v>
      </c>
      <c r="H503" s="11"/>
      <c r="I503" s="11"/>
      <c r="J503" s="78"/>
      <c r="K503" s="79"/>
      <c r="L503" s="146">
        <f t="shared" si="29"/>
        <v>13126700</v>
      </c>
      <c r="M503" s="73"/>
      <c r="N503" s="73"/>
      <c r="O503" s="7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4.25" customHeight="1" x14ac:dyDescent="0.35">
      <c r="A504" s="9">
        <f t="shared" si="30"/>
        <v>496</v>
      </c>
      <c r="B504" s="15"/>
      <c r="C504" s="11">
        <f t="shared" si="31"/>
        <v>1</v>
      </c>
      <c r="D504" s="11"/>
      <c r="E504" s="11"/>
      <c r="F504" s="14"/>
      <c r="G504" s="89">
        <f>IFERROR(VLOOKUP(F504,COA!$A$1:$K$26,2,FALSE),0)</f>
        <v>0</v>
      </c>
      <c r="H504" s="11"/>
      <c r="I504" s="11"/>
      <c r="J504" s="79"/>
      <c r="K504" s="78"/>
      <c r="L504" s="146">
        <f t="shared" si="29"/>
        <v>13126700</v>
      </c>
      <c r="M504" s="73"/>
      <c r="N504" s="73"/>
      <c r="O504" s="7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4.25" customHeight="1" x14ac:dyDescent="0.35">
      <c r="A505" s="9">
        <f t="shared" si="30"/>
        <v>497</v>
      </c>
      <c r="B505" s="15"/>
      <c r="C505" s="11">
        <f t="shared" si="31"/>
        <v>1</v>
      </c>
      <c r="D505" s="11"/>
      <c r="E505" s="11"/>
      <c r="F505" s="14"/>
      <c r="G505" s="89">
        <f>IFERROR(VLOOKUP(F505,COA!$A$1:$K$26,2,FALSE),0)</f>
        <v>0</v>
      </c>
      <c r="H505" s="11"/>
      <c r="I505" s="11"/>
      <c r="J505" s="78"/>
      <c r="K505" s="79"/>
      <c r="L505" s="146">
        <f t="shared" si="29"/>
        <v>13126700</v>
      </c>
      <c r="M505" s="73"/>
      <c r="N505" s="73"/>
      <c r="O505" s="7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4.25" customHeight="1" x14ac:dyDescent="0.35">
      <c r="A506" s="9">
        <f t="shared" si="30"/>
        <v>498</v>
      </c>
      <c r="B506" s="15"/>
      <c r="C506" s="11">
        <f t="shared" si="31"/>
        <v>1</v>
      </c>
      <c r="D506" s="11"/>
      <c r="E506" s="11"/>
      <c r="F506" s="14"/>
      <c r="G506" s="89">
        <f>IFERROR(VLOOKUP(F506,COA!$A$1:$K$26,2,FALSE),0)</f>
        <v>0</v>
      </c>
      <c r="H506" s="11"/>
      <c r="I506" s="11"/>
      <c r="J506" s="78"/>
      <c r="K506" s="79"/>
      <c r="L506" s="146">
        <f t="shared" si="29"/>
        <v>13126700</v>
      </c>
      <c r="M506" s="73"/>
      <c r="N506" s="73"/>
      <c r="O506" s="7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4.25" customHeight="1" x14ac:dyDescent="0.35">
      <c r="A507" s="9">
        <f t="shared" si="30"/>
        <v>499</v>
      </c>
      <c r="B507" s="15"/>
      <c r="C507" s="11">
        <f t="shared" si="31"/>
        <v>1</v>
      </c>
      <c r="D507" s="11"/>
      <c r="E507" s="11"/>
      <c r="F507" s="14"/>
      <c r="G507" s="89">
        <f>IFERROR(VLOOKUP(F507,COA!$A$1:$K$26,2,FALSE),0)</f>
        <v>0</v>
      </c>
      <c r="H507" s="11"/>
      <c r="I507" s="11"/>
      <c r="J507" s="78"/>
      <c r="K507" s="79"/>
      <c r="L507" s="146">
        <f t="shared" si="29"/>
        <v>13126700</v>
      </c>
      <c r="M507" s="73"/>
      <c r="N507" s="73"/>
      <c r="O507" s="7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4.25" customHeight="1" x14ac:dyDescent="0.35">
      <c r="A508" s="9">
        <f t="shared" si="30"/>
        <v>500</v>
      </c>
      <c r="B508" s="15"/>
      <c r="C508" s="11">
        <f t="shared" si="31"/>
        <v>1</v>
      </c>
      <c r="D508" s="11"/>
      <c r="E508" s="11"/>
      <c r="F508" s="11"/>
      <c r="G508" s="89">
        <f>IFERROR(VLOOKUP(F508,COA!$A$1:$K$26,2,FALSE),0)</f>
        <v>0</v>
      </c>
      <c r="H508" s="11"/>
      <c r="I508" s="11"/>
      <c r="J508" s="81"/>
      <c r="K508" s="81"/>
      <c r="L508" s="146">
        <f t="shared" si="29"/>
        <v>13126700</v>
      </c>
      <c r="M508" s="73"/>
      <c r="N508" s="73"/>
      <c r="O508" s="7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4.25" customHeight="1" x14ac:dyDescent="0.35">
      <c r="A509" s="9">
        <f t="shared" si="30"/>
        <v>501</v>
      </c>
      <c r="B509" s="15"/>
      <c r="C509" s="11">
        <f t="shared" si="31"/>
        <v>1</v>
      </c>
      <c r="D509" s="11"/>
      <c r="E509" s="11"/>
      <c r="F509" s="14"/>
      <c r="G509" s="89">
        <f>IFERROR(VLOOKUP(F509,COA!$A$1:$K$26,2,FALSE),0)</f>
        <v>0</v>
      </c>
      <c r="H509" s="11"/>
      <c r="I509" s="11"/>
      <c r="J509" s="79"/>
      <c r="K509" s="78"/>
      <c r="L509" s="146">
        <f t="shared" si="29"/>
        <v>13126700</v>
      </c>
      <c r="M509" s="73"/>
      <c r="N509" s="73"/>
      <c r="O509" s="7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4.25" customHeight="1" x14ac:dyDescent="0.35">
      <c r="A510" s="9">
        <f t="shared" si="30"/>
        <v>502</v>
      </c>
      <c r="B510" s="15"/>
      <c r="C510" s="11">
        <f t="shared" si="31"/>
        <v>1</v>
      </c>
      <c r="D510" s="11"/>
      <c r="E510" s="11"/>
      <c r="F510" s="14"/>
      <c r="G510" s="89">
        <f>IFERROR(VLOOKUP(F510,COA!$A$1:$K$26,2,FALSE),0)</f>
        <v>0</v>
      </c>
      <c r="H510" s="11"/>
      <c r="I510" s="11"/>
      <c r="J510" s="78"/>
      <c r="K510" s="79"/>
      <c r="L510" s="146">
        <f t="shared" si="29"/>
        <v>13126700</v>
      </c>
      <c r="M510" s="73"/>
      <c r="N510" s="73"/>
      <c r="O510" s="7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4.25" customHeight="1" x14ac:dyDescent="0.35">
      <c r="A511" s="9">
        <f t="shared" si="30"/>
        <v>503</v>
      </c>
      <c r="B511" s="15"/>
      <c r="C511" s="11">
        <f t="shared" si="31"/>
        <v>1</v>
      </c>
      <c r="D511" s="11"/>
      <c r="E511" s="11"/>
      <c r="F511" s="14"/>
      <c r="G511" s="89">
        <f>IFERROR(VLOOKUP(F511,COA!$A$1:$K$26,2,FALSE),0)</f>
        <v>0</v>
      </c>
      <c r="H511" s="11"/>
      <c r="I511" s="11"/>
      <c r="J511" s="78"/>
      <c r="K511" s="79"/>
      <c r="L511" s="146">
        <f t="shared" si="29"/>
        <v>13126700</v>
      </c>
      <c r="M511" s="73"/>
      <c r="N511" s="73"/>
      <c r="O511" s="7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4.25" customHeight="1" x14ac:dyDescent="0.35">
      <c r="A512" s="9">
        <f t="shared" si="30"/>
        <v>504</v>
      </c>
      <c r="B512" s="15"/>
      <c r="C512" s="11">
        <f t="shared" si="31"/>
        <v>1</v>
      </c>
      <c r="D512" s="11"/>
      <c r="E512" s="11"/>
      <c r="F512" s="14"/>
      <c r="G512" s="89">
        <f>IFERROR(VLOOKUP(F512,COA!$A$1:$K$26,2,FALSE),0)</f>
        <v>0</v>
      </c>
      <c r="H512" s="11"/>
      <c r="I512" s="11"/>
      <c r="J512" s="78"/>
      <c r="K512" s="79"/>
      <c r="L512" s="146">
        <f t="shared" si="29"/>
        <v>13126700</v>
      </c>
      <c r="M512" s="73"/>
      <c r="N512" s="73"/>
      <c r="O512" s="7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 x14ac:dyDescent="0.35">
      <c r="A513" s="9">
        <f t="shared" si="30"/>
        <v>505</v>
      </c>
      <c r="B513" s="15"/>
      <c r="C513" s="11">
        <f t="shared" si="31"/>
        <v>1</v>
      </c>
      <c r="D513" s="11"/>
      <c r="E513" s="11"/>
      <c r="F513" s="11"/>
      <c r="G513" s="89">
        <f>IFERROR(VLOOKUP(F513,COA!$A$1:$K$26,2,FALSE),0)</f>
        <v>0</v>
      </c>
      <c r="H513" s="11"/>
      <c r="I513" s="11"/>
      <c r="J513" s="78"/>
      <c r="K513" s="78"/>
      <c r="L513" s="146">
        <f t="shared" si="29"/>
        <v>13126700</v>
      </c>
      <c r="M513" s="73"/>
      <c r="N513" s="73"/>
      <c r="O513" s="7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 x14ac:dyDescent="0.35">
      <c r="A514" s="9">
        <f t="shared" si="30"/>
        <v>506</v>
      </c>
      <c r="B514" s="15"/>
      <c r="C514" s="11">
        <f t="shared" si="31"/>
        <v>1</v>
      </c>
      <c r="D514" s="11"/>
      <c r="E514" s="11"/>
      <c r="F514" s="11"/>
      <c r="G514" s="89">
        <f>IFERROR(VLOOKUP(F514,COA!$A$1:$K$26,2,FALSE),0)</f>
        <v>0</v>
      </c>
      <c r="H514" s="11"/>
      <c r="I514" s="11"/>
      <c r="J514" s="78"/>
      <c r="K514" s="78"/>
      <c r="L514" s="146">
        <f t="shared" si="29"/>
        <v>13126700</v>
      </c>
      <c r="M514" s="73"/>
      <c r="N514" s="73"/>
      <c r="O514" s="7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 x14ac:dyDescent="0.35">
      <c r="A515" s="9">
        <f t="shared" si="30"/>
        <v>507</v>
      </c>
      <c r="B515" s="15"/>
      <c r="C515" s="11">
        <f t="shared" si="31"/>
        <v>1</v>
      </c>
      <c r="D515" s="11"/>
      <c r="E515" s="11"/>
      <c r="F515" s="11"/>
      <c r="G515" s="89">
        <f>IFERROR(VLOOKUP(F515,COA!$A$1:$K$26,2,FALSE),0)</f>
        <v>0</v>
      </c>
      <c r="H515" s="13"/>
      <c r="I515" s="13"/>
      <c r="J515" s="78"/>
      <c r="K515" s="78"/>
      <c r="L515" s="146">
        <f t="shared" si="29"/>
        <v>13126700</v>
      </c>
      <c r="M515" s="73"/>
      <c r="N515" s="73"/>
      <c r="O515" s="7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 x14ac:dyDescent="0.35">
      <c r="A516" s="9">
        <f t="shared" si="30"/>
        <v>508</v>
      </c>
      <c r="B516" s="15"/>
      <c r="C516" s="11">
        <f t="shared" si="31"/>
        <v>1</v>
      </c>
      <c r="D516" s="11"/>
      <c r="E516" s="11"/>
      <c r="F516" s="11"/>
      <c r="G516" s="89">
        <f>IFERROR(VLOOKUP(F516,COA!$A$1:$K$26,2,FALSE),0)</f>
        <v>0</v>
      </c>
      <c r="H516" s="11"/>
      <c r="I516" s="11"/>
      <c r="J516" s="78"/>
      <c r="K516" s="78"/>
      <c r="L516" s="146">
        <f t="shared" si="29"/>
        <v>13126700</v>
      </c>
      <c r="M516" s="73"/>
      <c r="N516" s="73"/>
      <c r="O516" s="7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 x14ac:dyDescent="0.35">
      <c r="A517" s="9">
        <f t="shared" si="30"/>
        <v>509</v>
      </c>
      <c r="B517" s="15"/>
      <c r="C517" s="11">
        <f t="shared" si="31"/>
        <v>1</v>
      </c>
      <c r="D517" s="11"/>
      <c r="E517" s="11"/>
      <c r="F517" s="11"/>
      <c r="G517" s="89">
        <f>IFERROR(VLOOKUP(F517,COA!$A$1:$K$26,2,FALSE),0)</f>
        <v>0</v>
      </c>
      <c r="H517" s="11"/>
      <c r="I517" s="11"/>
      <c r="J517" s="78"/>
      <c r="K517" s="78"/>
      <c r="L517" s="146">
        <f t="shared" si="29"/>
        <v>13126700</v>
      </c>
      <c r="M517" s="73"/>
      <c r="N517" s="73"/>
      <c r="O517" s="7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 x14ac:dyDescent="0.35">
      <c r="A518" s="9">
        <f t="shared" si="30"/>
        <v>510</v>
      </c>
      <c r="B518" s="15"/>
      <c r="C518" s="11">
        <f t="shared" si="31"/>
        <v>1</v>
      </c>
      <c r="D518" s="11"/>
      <c r="E518" s="11"/>
      <c r="F518" s="11"/>
      <c r="G518" s="89">
        <f>IFERROR(VLOOKUP(F518,COA!$A$1:$K$26,2,FALSE),0)</f>
        <v>0</v>
      </c>
      <c r="H518" s="11"/>
      <c r="I518" s="11"/>
      <c r="J518" s="78"/>
      <c r="K518" s="78"/>
      <c r="L518" s="146">
        <f t="shared" si="29"/>
        <v>13126700</v>
      </c>
      <c r="M518" s="73"/>
      <c r="N518" s="73"/>
      <c r="O518" s="7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 x14ac:dyDescent="0.35">
      <c r="A519" s="9">
        <f t="shared" si="30"/>
        <v>511</v>
      </c>
      <c r="B519" s="15"/>
      <c r="C519" s="11">
        <f t="shared" si="31"/>
        <v>1</v>
      </c>
      <c r="D519" s="11"/>
      <c r="E519" s="11"/>
      <c r="F519" s="11"/>
      <c r="G519" s="89">
        <f>IFERROR(VLOOKUP(F519,COA!$A$1:$K$26,2,FALSE),0)</f>
        <v>0</v>
      </c>
      <c r="H519" s="11"/>
      <c r="I519" s="11"/>
      <c r="J519" s="78"/>
      <c r="K519" s="78"/>
      <c r="L519" s="146">
        <f t="shared" si="29"/>
        <v>13126700</v>
      </c>
      <c r="M519" s="73"/>
      <c r="N519" s="73"/>
      <c r="O519" s="7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 x14ac:dyDescent="0.35">
      <c r="A520" s="9">
        <f t="shared" si="30"/>
        <v>512</v>
      </c>
      <c r="B520" s="15"/>
      <c r="C520" s="11">
        <f t="shared" si="31"/>
        <v>1</v>
      </c>
      <c r="D520" s="11"/>
      <c r="E520" s="11"/>
      <c r="F520" s="11"/>
      <c r="G520" s="89">
        <f>IFERROR(VLOOKUP(F520,COA!$A$1:$K$26,2,FALSE),0)</f>
        <v>0</v>
      </c>
      <c r="H520" s="11"/>
      <c r="I520" s="11"/>
      <c r="J520" s="78"/>
      <c r="K520" s="78"/>
      <c r="L520" s="146">
        <f t="shared" si="29"/>
        <v>13126700</v>
      </c>
      <c r="M520" s="73"/>
      <c r="N520" s="73"/>
      <c r="O520" s="7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 x14ac:dyDescent="0.35">
      <c r="A521" s="9">
        <f t="shared" si="30"/>
        <v>513</v>
      </c>
      <c r="B521" s="15"/>
      <c r="C521" s="11">
        <f t="shared" si="31"/>
        <v>1</v>
      </c>
      <c r="D521" s="11"/>
      <c r="E521" s="11"/>
      <c r="F521" s="11"/>
      <c r="G521" s="89">
        <f>IFERROR(VLOOKUP(F521,COA!$A$1:$K$26,2,FALSE),0)</f>
        <v>0</v>
      </c>
      <c r="H521" s="11"/>
      <c r="I521" s="11"/>
      <c r="J521" s="78"/>
      <c r="K521" s="78"/>
      <c r="L521" s="146">
        <f t="shared" si="29"/>
        <v>13126700</v>
      </c>
      <c r="M521" s="73"/>
      <c r="N521" s="73"/>
      <c r="O521" s="7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 x14ac:dyDescent="0.35">
      <c r="A522" s="9">
        <f t="shared" si="30"/>
        <v>514</v>
      </c>
      <c r="B522" s="15"/>
      <c r="C522" s="11">
        <f t="shared" si="31"/>
        <v>1</v>
      </c>
      <c r="D522" s="11"/>
      <c r="E522" s="11"/>
      <c r="F522" s="11"/>
      <c r="G522" s="89">
        <f>IFERROR(VLOOKUP(F522,COA!$A$1:$K$26,2,FALSE),0)</f>
        <v>0</v>
      </c>
      <c r="H522" s="11"/>
      <c r="I522" s="11"/>
      <c r="J522" s="78"/>
      <c r="K522" s="78"/>
      <c r="L522" s="146">
        <f t="shared" si="29"/>
        <v>13126700</v>
      </c>
      <c r="M522" s="73"/>
      <c r="N522" s="73"/>
      <c r="O522" s="7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 x14ac:dyDescent="0.35">
      <c r="A523" s="9">
        <f t="shared" si="30"/>
        <v>515</v>
      </c>
      <c r="B523" s="15"/>
      <c r="C523" s="11">
        <f t="shared" si="31"/>
        <v>1</v>
      </c>
      <c r="D523" s="11"/>
      <c r="E523" s="11"/>
      <c r="F523" s="11"/>
      <c r="G523" s="89">
        <f>IFERROR(VLOOKUP(F523,COA!$A$1:$K$26,2,FALSE),0)</f>
        <v>0</v>
      </c>
      <c r="H523" s="13"/>
      <c r="I523" s="13"/>
      <c r="J523" s="78"/>
      <c r="K523" s="78"/>
      <c r="L523" s="146">
        <f t="shared" si="29"/>
        <v>13126700</v>
      </c>
      <c r="M523" s="73"/>
      <c r="N523" s="73"/>
      <c r="O523" s="7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 x14ac:dyDescent="0.35">
      <c r="A524" s="9">
        <f t="shared" si="30"/>
        <v>516</v>
      </c>
      <c r="B524" s="15"/>
      <c r="C524" s="11">
        <f t="shared" si="31"/>
        <v>1</v>
      </c>
      <c r="D524" s="11"/>
      <c r="E524" s="11"/>
      <c r="F524" s="11"/>
      <c r="G524" s="89">
        <f>IFERROR(VLOOKUP(F524,COA!$A$1:$K$26,2,FALSE),0)</f>
        <v>0</v>
      </c>
      <c r="H524" s="11"/>
      <c r="I524" s="11"/>
      <c r="J524" s="78"/>
      <c r="K524" s="78"/>
      <c r="L524" s="146">
        <f t="shared" si="29"/>
        <v>13126700</v>
      </c>
      <c r="M524" s="73"/>
      <c r="N524" s="73"/>
      <c r="O524" s="7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 x14ac:dyDescent="0.35">
      <c r="A525" s="9">
        <f t="shared" si="30"/>
        <v>517</v>
      </c>
      <c r="B525" s="15"/>
      <c r="C525" s="11">
        <f t="shared" si="31"/>
        <v>1</v>
      </c>
      <c r="D525" s="11"/>
      <c r="E525" s="11"/>
      <c r="F525" s="11"/>
      <c r="G525" s="89">
        <f>IFERROR(VLOOKUP(F525,COA!$A$1:$K$26,2,FALSE),0)</f>
        <v>0</v>
      </c>
      <c r="H525" s="13"/>
      <c r="I525" s="13"/>
      <c r="J525" s="78"/>
      <c r="K525" s="78"/>
      <c r="L525" s="146">
        <f t="shared" si="29"/>
        <v>13126700</v>
      </c>
      <c r="M525" s="73"/>
      <c r="N525" s="73"/>
      <c r="O525" s="7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 x14ac:dyDescent="0.35">
      <c r="A526" s="9">
        <f t="shared" si="30"/>
        <v>518</v>
      </c>
      <c r="B526" s="15"/>
      <c r="C526" s="11">
        <f t="shared" si="31"/>
        <v>1</v>
      </c>
      <c r="D526" s="11"/>
      <c r="E526" s="11"/>
      <c r="F526" s="11"/>
      <c r="G526" s="89">
        <f>IFERROR(VLOOKUP(F526,COA!$A$1:$K$26,2,FALSE),0)</f>
        <v>0</v>
      </c>
      <c r="H526" s="11"/>
      <c r="I526" s="11"/>
      <c r="J526" s="78"/>
      <c r="K526" s="78"/>
      <c r="L526" s="146">
        <f t="shared" si="29"/>
        <v>13126700</v>
      </c>
      <c r="M526" s="73"/>
      <c r="N526" s="73"/>
      <c r="O526" s="7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 x14ac:dyDescent="0.35">
      <c r="A527" s="9">
        <f t="shared" si="30"/>
        <v>519</v>
      </c>
      <c r="B527" s="15"/>
      <c r="C527" s="11">
        <f t="shared" si="31"/>
        <v>1</v>
      </c>
      <c r="D527" s="11"/>
      <c r="E527" s="11"/>
      <c r="F527" s="11"/>
      <c r="G527" s="89">
        <f>IFERROR(VLOOKUP(F527,COA!$A$1:$K$26,2,FALSE),0)</f>
        <v>0</v>
      </c>
      <c r="H527" s="11"/>
      <c r="I527" s="11"/>
      <c r="J527" s="78"/>
      <c r="K527" s="78"/>
      <c r="L527" s="146">
        <f t="shared" si="29"/>
        <v>13126700</v>
      </c>
      <c r="M527" s="73"/>
      <c r="N527" s="73"/>
      <c r="O527" s="7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 x14ac:dyDescent="0.35">
      <c r="A528" s="9">
        <f t="shared" si="30"/>
        <v>520</v>
      </c>
      <c r="B528" s="15"/>
      <c r="C528" s="11">
        <f t="shared" si="31"/>
        <v>1</v>
      </c>
      <c r="D528" s="11"/>
      <c r="E528" s="11"/>
      <c r="F528" s="11"/>
      <c r="G528" s="89">
        <f>IFERROR(VLOOKUP(F528,COA!$A$1:$K$26,2,FALSE),0)</f>
        <v>0</v>
      </c>
      <c r="H528" s="11"/>
      <c r="I528" s="11"/>
      <c r="J528" s="78"/>
      <c r="K528" s="78"/>
      <c r="L528" s="146">
        <f t="shared" ref="L528:L591" si="32">L527+J528-K528</f>
        <v>13126700</v>
      </c>
      <c r="M528" s="73"/>
      <c r="N528" s="73"/>
      <c r="O528" s="7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 x14ac:dyDescent="0.35">
      <c r="A529" s="9">
        <f t="shared" si="30"/>
        <v>521</v>
      </c>
      <c r="B529" s="15"/>
      <c r="C529" s="11">
        <f t="shared" si="31"/>
        <v>1</v>
      </c>
      <c r="D529" s="11"/>
      <c r="E529" s="11"/>
      <c r="F529" s="11"/>
      <c r="G529" s="89">
        <f>IFERROR(VLOOKUP(F529,COA!$A$1:$K$26,2,FALSE),0)</f>
        <v>0</v>
      </c>
      <c r="H529" s="11"/>
      <c r="I529" s="11"/>
      <c r="J529" s="78"/>
      <c r="K529" s="78"/>
      <c r="L529" s="146">
        <f t="shared" si="32"/>
        <v>13126700</v>
      </c>
      <c r="M529" s="73"/>
      <c r="N529" s="73"/>
      <c r="O529" s="7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 x14ac:dyDescent="0.35">
      <c r="A530" s="9">
        <f t="shared" ref="A530:A593" si="33">A529+1</f>
        <v>522</v>
      </c>
      <c r="B530" s="15"/>
      <c r="C530" s="11">
        <f t="shared" si="31"/>
        <v>1</v>
      </c>
      <c r="D530" s="11"/>
      <c r="E530" s="11"/>
      <c r="F530" s="11"/>
      <c r="G530" s="89">
        <f>IFERROR(VLOOKUP(F530,COA!$A$1:$K$26,2,FALSE),0)</f>
        <v>0</v>
      </c>
      <c r="H530" s="11"/>
      <c r="I530" s="11"/>
      <c r="J530" s="78"/>
      <c r="K530" s="78"/>
      <c r="L530" s="146">
        <f t="shared" si="32"/>
        <v>13126700</v>
      </c>
      <c r="M530" s="73"/>
      <c r="N530" s="73"/>
      <c r="O530" s="7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 x14ac:dyDescent="0.35">
      <c r="A531" s="9">
        <f t="shared" si="33"/>
        <v>523</v>
      </c>
      <c r="B531" s="15"/>
      <c r="C531" s="11">
        <f t="shared" si="31"/>
        <v>1</v>
      </c>
      <c r="D531" s="11"/>
      <c r="E531" s="11"/>
      <c r="F531" s="11"/>
      <c r="G531" s="89">
        <f>IFERROR(VLOOKUP(F531,COA!$A$1:$K$26,2,FALSE),0)</f>
        <v>0</v>
      </c>
      <c r="H531" s="11"/>
      <c r="I531" s="11"/>
      <c r="J531" s="78"/>
      <c r="K531" s="78"/>
      <c r="L531" s="146">
        <f t="shared" si="32"/>
        <v>13126700</v>
      </c>
      <c r="M531" s="73"/>
      <c r="N531" s="73"/>
      <c r="O531" s="7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 x14ac:dyDescent="0.35">
      <c r="A532" s="9">
        <f t="shared" si="33"/>
        <v>524</v>
      </c>
      <c r="B532" s="15"/>
      <c r="C532" s="11">
        <f t="shared" si="31"/>
        <v>1</v>
      </c>
      <c r="D532" s="11"/>
      <c r="E532" s="11"/>
      <c r="F532" s="11"/>
      <c r="G532" s="89">
        <f>IFERROR(VLOOKUP(F532,COA!$A$1:$K$26,2,FALSE),0)</f>
        <v>0</v>
      </c>
      <c r="H532" s="11"/>
      <c r="I532" s="11"/>
      <c r="J532" s="78"/>
      <c r="K532" s="78"/>
      <c r="L532" s="146">
        <f t="shared" si="32"/>
        <v>13126700</v>
      </c>
      <c r="M532" s="73"/>
      <c r="N532" s="73"/>
      <c r="O532" s="7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 x14ac:dyDescent="0.35">
      <c r="A533" s="9">
        <f t="shared" si="33"/>
        <v>525</v>
      </c>
      <c r="B533" s="15"/>
      <c r="C533" s="11">
        <f t="shared" si="31"/>
        <v>1</v>
      </c>
      <c r="D533" s="11"/>
      <c r="E533" s="11"/>
      <c r="F533" s="11"/>
      <c r="G533" s="89">
        <f>IFERROR(VLOOKUP(F533,COA!$A$1:$K$26,2,FALSE),0)</f>
        <v>0</v>
      </c>
      <c r="H533" s="11"/>
      <c r="I533" s="11"/>
      <c r="J533" s="78"/>
      <c r="K533" s="78"/>
      <c r="L533" s="146">
        <f t="shared" si="32"/>
        <v>13126700</v>
      </c>
      <c r="M533" s="73"/>
      <c r="N533" s="73"/>
      <c r="O533" s="7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 x14ac:dyDescent="0.35">
      <c r="A534" s="9">
        <f t="shared" si="33"/>
        <v>526</v>
      </c>
      <c r="B534" s="15"/>
      <c r="C534" s="11">
        <f t="shared" si="31"/>
        <v>1</v>
      </c>
      <c r="D534" s="11"/>
      <c r="E534" s="11"/>
      <c r="F534" s="11"/>
      <c r="G534" s="89">
        <f>IFERROR(VLOOKUP(F534,COA!$A$1:$K$26,2,FALSE),0)</f>
        <v>0</v>
      </c>
      <c r="H534" s="11"/>
      <c r="I534" s="11"/>
      <c r="J534" s="78"/>
      <c r="K534" s="78"/>
      <c r="L534" s="146">
        <f t="shared" si="32"/>
        <v>13126700</v>
      </c>
      <c r="M534" s="73"/>
      <c r="N534" s="73"/>
      <c r="O534" s="7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 x14ac:dyDescent="0.35">
      <c r="A535" s="9">
        <f t="shared" si="33"/>
        <v>527</v>
      </c>
      <c r="B535" s="15"/>
      <c r="C535" s="11">
        <f t="shared" si="31"/>
        <v>1</v>
      </c>
      <c r="D535" s="11"/>
      <c r="E535" s="11"/>
      <c r="F535" s="11"/>
      <c r="G535" s="89">
        <f>IFERROR(VLOOKUP(F535,COA!$A$1:$K$26,2,FALSE),0)</f>
        <v>0</v>
      </c>
      <c r="H535" s="11"/>
      <c r="I535" s="11"/>
      <c r="J535" s="78"/>
      <c r="K535" s="78"/>
      <c r="L535" s="146">
        <f t="shared" si="32"/>
        <v>13126700</v>
      </c>
      <c r="M535" s="73"/>
      <c r="N535" s="73"/>
      <c r="O535" s="7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 x14ac:dyDescent="0.35">
      <c r="A536" s="9">
        <f t="shared" si="33"/>
        <v>528</v>
      </c>
      <c r="B536" s="15"/>
      <c r="C536" s="11">
        <f t="shared" si="31"/>
        <v>1</v>
      </c>
      <c r="D536" s="11"/>
      <c r="E536" s="11"/>
      <c r="F536" s="11"/>
      <c r="G536" s="89">
        <f>IFERROR(VLOOKUP(F536,COA!$A$1:$K$26,2,FALSE),0)</f>
        <v>0</v>
      </c>
      <c r="H536" s="11"/>
      <c r="I536" s="11"/>
      <c r="J536" s="78"/>
      <c r="K536" s="78"/>
      <c r="L536" s="146">
        <f t="shared" si="32"/>
        <v>13126700</v>
      </c>
      <c r="M536" s="73"/>
      <c r="N536" s="73"/>
      <c r="O536" s="7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 x14ac:dyDescent="0.35">
      <c r="A537" s="9">
        <f t="shared" si="33"/>
        <v>529</v>
      </c>
      <c r="B537" s="15"/>
      <c r="C537" s="11">
        <f t="shared" si="31"/>
        <v>1</v>
      </c>
      <c r="D537" s="11"/>
      <c r="E537" s="11"/>
      <c r="F537" s="11"/>
      <c r="G537" s="89">
        <f>IFERROR(VLOOKUP(F537,COA!$A$1:$K$26,2,FALSE),0)</f>
        <v>0</v>
      </c>
      <c r="H537" s="11"/>
      <c r="I537" s="11"/>
      <c r="J537" s="78"/>
      <c r="K537" s="78"/>
      <c r="L537" s="146">
        <f t="shared" si="32"/>
        <v>13126700</v>
      </c>
      <c r="M537" s="73"/>
      <c r="N537" s="73"/>
      <c r="O537" s="7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 x14ac:dyDescent="0.35">
      <c r="A538" s="9">
        <f t="shared" si="33"/>
        <v>530</v>
      </c>
      <c r="B538" s="15"/>
      <c r="C538" s="11">
        <f t="shared" si="31"/>
        <v>1</v>
      </c>
      <c r="D538" s="11"/>
      <c r="E538" s="11"/>
      <c r="F538" s="11"/>
      <c r="G538" s="89">
        <f>IFERROR(VLOOKUP(F538,COA!$A$1:$K$26,2,FALSE),0)</f>
        <v>0</v>
      </c>
      <c r="H538" s="11"/>
      <c r="I538" s="11"/>
      <c r="J538" s="78"/>
      <c r="K538" s="78"/>
      <c r="L538" s="146">
        <f t="shared" si="32"/>
        <v>13126700</v>
      </c>
      <c r="M538" s="73"/>
      <c r="N538" s="73"/>
      <c r="O538" s="7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 x14ac:dyDescent="0.35">
      <c r="A539" s="9">
        <f t="shared" si="33"/>
        <v>531</v>
      </c>
      <c r="B539" s="15"/>
      <c r="C539" s="11">
        <f t="shared" si="31"/>
        <v>1</v>
      </c>
      <c r="D539" s="11"/>
      <c r="E539" s="11"/>
      <c r="F539" s="11"/>
      <c r="G539" s="89">
        <f>IFERROR(VLOOKUP(F539,COA!$A$1:$K$26,2,FALSE),0)</f>
        <v>0</v>
      </c>
      <c r="H539" s="11"/>
      <c r="I539" s="11"/>
      <c r="J539" s="78"/>
      <c r="K539" s="78"/>
      <c r="L539" s="146">
        <f t="shared" si="32"/>
        <v>13126700</v>
      </c>
      <c r="M539" s="73"/>
      <c r="N539" s="73"/>
      <c r="O539" s="7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 x14ac:dyDescent="0.35">
      <c r="A540" s="9">
        <f t="shared" si="33"/>
        <v>532</v>
      </c>
      <c r="B540" s="15"/>
      <c r="C540" s="11">
        <f t="shared" si="31"/>
        <v>1</v>
      </c>
      <c r="D540" s="11"/>
      <c r="E540" s="11"/>
      <c r="F540" s="11"/>
      <c r="G540" s="89">
        <f>IFERROR(VLOOKUP(F540,COA!$A$1:$K$26,2,FALSE),0)</f>
        <v>0</v>
      </c>
      <c r="H540" s="11"/>
      <c r="I540" s="11"/>
      <c r="J540" s="78"/>
      <c r="K540" s="78"/>
      <c r="L540" s="146">
        <f t="shared" si="32"/>
        <v>13126700</v>
      </c>
      <c r="M540" s="73"/>
      <c r="N540" s="73"/>
      <c r="O540" s="7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 x14ac:dyDescent="0.35">
      <c r="A541" s="9">
        <f t="shared" si="33"/>
        <v>533</v>
      </c>
      <c r="B541" s="15"/>
      <c r="C541" s="11">
        <f t="shared" si="31"/>
        <v>1</v>
      </c>
      <c r="D541" s="11"/>
      <c r="E541" s="11"/>
      <c r="F541" s="11"/>
      <c r="G541" s="89">
        <f>IFERROR(VLOOKUP(F541,COA!$A$1:$K$26,2,FALSE),0)</f>
        <v>0</v>
      </c>
      <c r="H541" s="11"/>
      <c r="I541" s="11"/>
      <c r="J541" s="78"/>
      <c r="K541" s="78"/>
      <c r="L541" s="146">
        <f t="shared" si="32"/>
        <v>13126700</v>
      </c>
      <c r="M541" s="73"/>
      <c r="N541" s="73"/>
      <c r="O541" s="7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 x14ac:dyDescent="0.35">
      <c r="A542" s="9">
        <f t="shared" si="33"/>
        <v>534</v>
      </c>
      <c r="B542" s="15"/>
      <c r="C542" s="11">
        <f t="shared" si="31"/>
        <v>1</v>
      </c>
      <c r="D542" s="11"/>
      <c r="E542" s="11"/>
      <c r="F542" s="11"/>
      <c r="G542" s="89">
        <f>IFERROR(VLOOKUP(F542,COA!$A$1:$K$26,2,FALSE),0)</f>
        <v>0</v>
      </c>
      <c r="H542" s="11"/>
      <c r="I542" s="11"/>
      <c r="J542" s="78"/>
      <c r="K542" s="78"/>
      <c r="L542" s="146">
        <f t="shared" si="32"/>
        <v>13126700</v>
      </c>
      <c r="M542" s="73"/>
      <c r="N542" s="73"/>
      <c r="O542" s="7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 x14ac:dyDescent="0.35">
      <c r="A543" s="9">
        <f t="shared" si="33"/>
        <v>535</v>
      </c>
      <c r="B543" s="15"/>
      <c r="C543" s="11">
        <f t="shared" si="31"/>
        <v>1</v>
      </c>
      <c r="D543" s="11"/>
      <c r="E543" s="11"/>
      <c r="F543" s="11"/>
      <c r="G543" s="89">
        <f>IFERROR(VLOOKUP(F543,COA!$A$1:$K$26,2,FALSE),0)</f>
        <v>0</v>
      </c>
      <c r="H543" s="11"/>
      <c r="I543" s="11"/>
      <c r="J543" s="78"/>
      <c r="K543" s="78"/>
      <c r="L543" s="146">
        <f t="shared" si="32"/>
        <v>13126700</v>
      </c>
      <c r="M543" s="73"/>
      <c r="N543" s="73"/>
      <c r="O543" s="7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 x14ac:dyDescent="0.35">
      <c r="A544" s="9">
        <f t="shared" si="33"/>
        <v>536</v>
      </c>
      <c r="B544" s="15"/>
      <c r="C544" s="11">
        <f t="shared" si="31"/>
        <v>1</v>
      </c>
      <c r="D544" s="11"/>
      <c r="E544" s="11"/>
      <c r="F544" s="11"/>
      <c r="G544" s="89">
        <f>IFERROR(VLOOKUP(F544,COA!$A$1:$K$26,2,FALSE),0)</f>
        <v>0</v>
      </c>
      <c r="H544" s="11"/>
      <c r="I544" s="11"/>
      <c r="J544" s="78"/>
      <c r="K544" s="78"/>
      <c r="L544" s="146">
        <f t="shared" si="32"/>
        <v>13126700</v>
      </c>
      <c r="M544" s="73"/>
      <c r="N544" s="73"/>
      <c r="O544" s="7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 x14ac:dyDescent="0.35">
      <c r="A545" s="9">
        <f t="shared" si="33"/>
        <v>537</v>
      </c>
      <c r="B545" s="15"/>
      <c r="C545" s="11">
        <f t="shared" si="31"/>
        <v>1</v>
      </c>
      <c r="D545" s="11"/>
      <c r="E545" s="11"/>
      <c r="F545" s="11"/>
      <c r="G545" s="89">
        <f>IFERROR(VLOOKUP(F545,COA!$A$1:$K$26,2,FALSE),0)</f>
        <v>0</v>
      </c>
      <c r="H545" s="11"/>
      <c r="I545" s="11"/>
      <c r="J545" s="78"/>
      <c r="K545" s="78"/>
      <c r="L545" s="146">
        <f t="shared" si="32"/>
        <v>13126700</v>
      </c>
      <c r="M545" s="73"/>
      <c r="N545" s="73"/>
      <c r="O545" s="7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 x14ac:dyDescent="0.35">
      <c r="A546" s="9">
        <f t="shared" si="33"/>
        <v>538</v>
      </c>
      <c r="B546" s="15"/>
      <c r="C546" s="11">
        <f t="shared" si="31"/>
        <v>1</v>
      </c>
      <c r="D546" s="11"/>
      <c r="E546" s="11"/>
      <c r="F546" s="11"/>
      <c r="G546" s="89">
        <f>IFERROR(VLOOKUP(F546,COA!$A$1:$K$26,2,FALSE),0)</f>
        <v>0</v>
      </c>
      <c r="H546" s="11"/>
      <c r="I546" s="11"/>
      <c r="J546" s="78"/>
      <c r="K546" s="78"/>
      <c r="L546" s="146">
        <f t="shared" si="32"/>
        <v>13126700</v>
      </c>
      <c r="M546" s="73"/>
      <c r="N546" s="73"/>
      <c r="O546" s="7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 x14ac:dyDescent="0.35">
      <c r="A547" s="9">
        <f t="shared" si="33"/>
        <v>539</v>
      </c>
      <c r="B547" s="15"/>
      <c r="C547" s="11">
        <f t="shared" si="31"/>
        <v>1</v>
      </c>
      <c r="D547" s="11"/>
      <c r="E547" s="11"/>
      <c r="F547" s="11"/>
      <c r="G547" s="89">
        <f>IFERROR(VLOOKUP(F547,COA!$A$1:$K$26,2,FALSE),0)</f>
        <v>0</v>
      </c>
      <c r="H547" s="11"/>
      <c r="I547" s="11"/>
      <c r="J547" s="78"/>
      <c r="K547" s="78"/>
      <c r="L547" s="146">
        <f t="shared" si="32"/>
        <v>13126700</v>
      </c>
      <c r="M547" s="73"/>
      <c r="N547" s="73"/>
      <c r="O547" s="7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 x14ac:dyDescent="0.35">
      <c r="A548" s="9">
        <f t="shared" si="33"/>
        <v>540</v>
      </c>
      <c r="B548" s="15"/>
      <c r="C548" s="11">
        <f t="shared" ref="C548:C611" si="34">MONTH(B548)</f>
        <v>1</v>
      </c>
      <c r="D548" s="11"/>
      <c r="E548" s="11"/>
      <c r="F548" s="11"/>
      <c r="G548" s="89">
        <f>IFERROR(VLOOKUP(F548,COA!$A$1:$K$26,2,FALSE),0)</f>
        <v>0</v>
      </c>
      <c r="H548" s="11"/>
      <c r="I548" s="11"/>
      <c r="J548" s="78"/>
      <c r="K548" s="78"/>
      <c r="L548" s="146">
        <f t="shared" si="32"/>
        <v>13126700</v>
      </c>
      <c r="M548" s="73"/>
      <c r="N548" s="73"/>
      <c r="O548" s="7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 x14ac:dyDescent="0.35">
      <c r="A549" s="9">
        <f t="shared" si="33"/>
        <v>541</v>
      </c>
      <c r="B549" s="15"/>
      <c r="C549" s="11">
        <f t="shared" si="34"/>
        <v>1</v>
      </c>
      <c r="D549" s="11"/>
      <c r="E549" s="11"/>
      <c r="F549" s="11"/>
      <c r="G549" s="89">
        <f>IFERROR(VLOOKUP(F549,COA!$A$1:$K$26,2,FALSE),0)</f>
        <v>0</v>
      </c>
      <c r="H549" s="11"/>
      <c r="I549" s="11"/>
      <c r="J549" s="78"/>
      <c r="K549" s="78"/>
      <c r="L549" s="146">
        <f t="shared" si="32"/>
        <v>13126700</v>
      </c>
      <c r="M549" s="73"/>
      <c r="N549" s="73"/>
      <c r="O549" s="7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 x14ac:dyDescent="0.35">
      <c r="A550" s="9">
        <f t="shared" si="33"/>
        <v>542</v>
      </c>
      <c r="B550" s="15"/>
      <c r="C550" s="11">
        <f t="shared" si="34"/>
        <v>1</v>
      </c>
      <c r="D550" s="11"/>
      <c r="E550" s="11"/>
      <c r="F550" s="11"/>
      <c r="G550" s="89">
        <f>IFERROR(VLOOKUP(F550,COA!$A$1:$K$26,2,FALSE),0)</f>
        <v>0</v>
      </c>
      <c r="H550" s="11"/>
      <c r="I550" s="11"/>
      <c r="J550" s="78"/>
      <c r="K550" s="78"/>
      <c r="L550" s="146">
        <f t="shared" si="32"/>
        <v>13126700</v>
      </c>
      <c r="M550" s="73"/>
      <c r="N550" s="73"/>
      <c r="O550" s="7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 x14ac:dyDescent="0.35">
      <c r="A551" s="9">
        <f t="shared" si="33"/>
        <v>543</v>
      </c>
      <c r="B551" s="15"/>
      <c r="C551" s="11">
        <f t="shared" si="34"/>
        <v>1</v>
      </c>
      <c r="D551" s="11"/>
      <c r="E551" s="11"/>
      <c r="F551" s="11"/>
      <c r="G551" s="89">
        <f>IFERROR(VLOOKUP(F551,COA!$A$1:$K$26,2,FALSE),0)</f>
        <v>0</v>
      </c>
      <c r="H551" s="11"/>
      <c r="I551" s="11"/>
      <c r="J551" s="78"/>
      <c r="K551" s="78"/>
      <c r="L551" s="146">
        <f t="shared" si="32"/>
        <v>13126700</v>
      </c>
      <c r="M551" s="73"/>
      <c r="N551" s="73"/>
      <c r="O551" s="7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 x14ac:dyDescent="0.35">
      <c r="A552" s="9">
        <f t="shared" si="33"/>
        <v>544</v>
      </c>
      <c r="B552" s="15"/>
      <c r="C552" s="11">
        <f t="shared" si="34"/>
        <v>1</v>
      </c>
      <c r="D552" s="11"/>
      <c r="E552" s="11"/>
      <c r="F552" s="11"/>
      <c r="G552" s="89">
        <f>IFERROR(VLOOKUP(F552,COA!$A$1:$K$26,2,FALSE),0)</f>
        <v>0</v>
      </c>
      <c r="H552" s="11"/>
      <c r="I552" s="11"/>
      <c r="J552" s="78"/>
      <c r="K552" s="78"/>
      <c r="L552" s="146">
        <f t="shared" si="32"/>
        <v>13126700</v>
      </c>
      <c r="M552" s="73"/>
      <c r="N552" s="73"/>
      <c r="O552" s="7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 x14ac:dyDescent="0.35">
      <c r="A553" s="9">
        <f t="shared" si="33"/>
        <v>545</v>
      </c>
      <c r="B553" s="15"/>
      <c r="C553" s="11">
        <f t="shared" si="34"/>
        <v>1</v>
      </c>
      <c r="D553" s="11"/>
      <c r="E553" s="11"/>
      <c r="F553" s="11"/>
      <c r="G553" s="89">
        <f>IFERROR(VLOOKUP(F553,COA!$A$1:$K$26,2,FALSE),0)</f>
        <v>0</v>
      </c>
      <c r="H553" s="13"/>
      <c r="I553" s="13"/>
      <c r="J553" s="78"/>
      <c r="K553" s="78"/>
      <c r="L553" s="146">
        <f t="shared" si="32"/>
        <v>13126700</v>
      </c>
      <c r="M553" s="73"/>
      <c r="N553" s="73"/>
      <c r="O553" s="7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 x14ac:dyDescent="0.35">
      <c r="A554" s="9">
        <f t="shared" si="33"/>
        <v>546</v>
      </c>
      <c r="B554" s="15"/>
      <c r="C554" s="11">
        <f t="shared" si="34"/>
        <v>1</v>
      </c>
      <c r="D554" s="11"/>
      <c r="E554" s="11"/>
      <c r="F554" s="11"/>
      <c r="G554" s="89">
        <f>IFERROR(VLOOKUP(F554,COA!$A$1:$K$26,2,FALSE),0)</f>
        <v>0</v>
      </c>
      <c r="H554" s="11"/>
      <c r="I554" s="11"/>
      <c r="J554" s="78"/>
      <c r="K554" s="78"/>
      <c r="L554" s="146">
        <f t="shared" si="32"/>
        <v>13126700</v>
      </c>
      <c r="M554" s="73"/>
      <c r="N554" s="73"/>
      <c r="O554" s="7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 x14ac:dyDescent="0.35">
      <c r="A555" s="9">
        <f t="shared" si="33"/>
        <v>547</v>
      </c>
      <c r="B555" s="15"/>
      <c r="C555" s="11">
        <f t="shared" si="34"/>
        <v>1</v>
      </c>
      <c r="D555" s="11"/>
      <c r="E555" s="11"/>
      <c r="F555" s="11"/>
      <c r="G555" s="89">
        <f>IFERROR(VLOOKUP(F555,COA!$A$1:$K$26,2,FALSE),0)</f>
        <v>0</v>
      </c>
      <c r="H555" s="11"/>
      <c r="I555" s="11"/>
      <c r="J555" s="78"/>
      <c r="K555" s="78"/>
      <c r="L555" s="146">
        <f t="shared" si="32"/>
        <v>13126700</v>
      </c>
      <c r="M555" s="73"/>
      <c r="N555" s="73"/>
      <c r="O555" s="7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 x14ac:dyDescent="0.35">
      <c r="A556" s="9">
        <f t="shared" si="33"/>
        <v>548</v>
      </c>
      <c r="B556" s="15"/>
      <c r="C556" s="11">
        <f t="shared" si="34"/>
        <v>1</v>
      </c>
      <c r="D556" s="11"/>
      <c r="E556" s="11"/>
      <c r="F556" s="11"/>
      <c r="G556" s="89">
        <f>IFERROR(VLOOKUP(F556,COA!$A$1:$K$26,2,FALSE),0)</f>
        <v>0</v>
      </c>
      <c r="H556" s="11"/>
      <c r="I556" s="11"/>
      <c r="J556" s="78"/>
      <c r="K556" s="78"/>
      <c r="L556" s="146">
        <f t="shared" si="32"/>
        <v>13126700</v>
      </c>
      <c r="M556" s="73"/>
      <c r="N556" s="73"/>
      <c r="O556" s="7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 x14ac:dyDescent="0.35">
      <c r="A557" s="9">
        <f t="shared" si="33"/>
        <v>549</v>
      </c>
      <c r="B557" s="15"/>
      <c r="C557" s="11">
        <f t="shared" si="34"/>
        <v>1</v>
      </c>
      <c r="D557" s="11"/>
      <c r="E557" s="11"/>
      <c r="F557" s="11"/>
      <c r="G557" s="89">
        <f>IFERROR(VLOOKUP(F557,COA!$A$1:$K$26,2,FALSE),0)</f>
        <v>0</v>
      </c>
      <c r="H557" s="11"/>
      <c r="I557" s="11"/>
      <c r="J557" s="78"/>
      <c r="K557" s="78"/>
      <c r="L557" s="146">
        <f t="shared" si="32"/>
        <v>13126700</v>
      </c>
      <c r="M557" s="73"/>
      <c r="N557" s="73"/>
      <c r="O557" s="7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 x14ac:dyDescent="0.35">
      <c r="A558" s="9">
        <f t="shared" si="33"/>
        <v>550</v>
      </c>
      <c r="B558" s="15"/>
      <c r="C558" s="11">
        <f t="shared" si="34"/>
        <v>1</v>
      </c>
      <c r="D558" s="11"/>
      <c r="E558" s="11"/>
      <c r="F558" s="11"/>
      <c r="G558" s="89">
        <f>IFERROR(VLOOKUP(F558,COA!$A$1:$K$26,2,FALSE),0)</f>
        <v>0</v>
      </c>
      <c r="H558" s="13"/>
      <c r="I558" s="13"/>
      <c r="J558" s="78"/>
      <c r="K558" s="78"/>
      <c r="L558" s="146">
        <f t="shared" si="32"/>
        <v>13126700</v>
      </c>
      <c r="M558" s="73"/>
      <c r="N558" s="73"/>
      <c r="O558" s="7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 x14ac:dyDescent="0.35">
      <c r="A559" s="9">
        <f t="shared" si="33"/>
        <v>551</v>
      </c>
      <c r="B559" s="15"/>
      <c r="C559" s="11">
        <f t="shared" si="34"/>
        <v>1</v>
      </c>
      <c r="D559" s="11"/>
      <c r="E559" s="11"/>
      <c r="F559" s="11"/>
      <c r="G559" s="89">
        <f>IFERROR(VLOOKUP(F559,COA!$A$1:$K$26,2,FALSE),0)</f>
        <v>0</v>
      </c>
      <c r="H559" s="11"/>
      <c r="I559" s="11"/>
      <c r="J559" s="78"/>
      <c r="K559" s="78"/>
      <c r="L559" s="146">
        <f t="shared" si="32"/>
        <v>13126700</v>
      </c>
      <c r="M559" s="73"/>
      <c r="N559" s="73"/>
      <c r="O559" s="7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 x14ac:dyDescent="0.35">
      <c r="A560" s="9">
        <f t="shared" si="33"/>
        <v>552</v>
      </c>
      <c r="B560" s="15"/>
      <c r="C560" s="11">
        <f t="shared" si="34"/>
        <v>1</v>
      </c>
      <c r="D560" s="11"/>
      <c r="E560" s="11"/>
      <c r="F560" s="11"/>
      <c r="G560" s="89">
        <f>IFERROR(VLOOKUP(F560,COA!$A$1:$K$26,2,FALSE),0)</f>
        <v>0</v>
      </c>
      <c r="H560" s="11"/>
      <c r="I560" s="11"/>
      <c r="J560" s="78"/>
      <c r="K560" s="78"/>
      <c r="L560" s="146">
        <f t="shared" si="32"/>
        <v>13126700</v>
      </c>
      <c r="M560" s="73"/>
      <c r="N560" s="73"/>
      <c r="O560" s="7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 x14ac:dyDescent="0.35">
      <c r="A561" s="9">
        <f t="shared" si="33"/>
        <v>553</v>
      </c>
      <c r="B561" s="15"/>
      <c r="C561" s="11">
        <f t="shared" si="34"/>
        <v>1</v>
      </c>
      <c r="D561" s="11"/>
      <c r="E561" s="11"/>
      <c r="F561" s="11"/>
      <c r="G561" s="89">
        <f>IFERROR(VLOOKUP(F561,COA!$A$1:$K$26,2,FALSE),0)</f>
        <v>0</v>
      </c>
      <c r="H561" s="11"/>
      <c r="I561" s="11"/>
      <c r="J561" s="78"/>
      <c r="K561" s="78"/>
      <c r="L561" s="146">
        <f t="shared" si="32"/>
        <v>13126700</v>
      </c>
      <c r="M561" s="73"/>
      <c r="N561" s="73"/>
      <c r="O561" s="7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 x14ac:dyDescent="0.35">
      <c r="A562" s="9">
        <f t="shared" si="33"/>
        <v>554</v>
      </c>
      <c r="B562" s="15"/>
      <c r="C562" s="11">
        <f t="shared" si="34"/>
        <v>1</v>
      </c>
      <c r="D562" s="11"/>
      <c r="E562" s="11"/>
      <c r="F562" s="11"/>
      <c r="G562" s="89">
        <f>IFERROR(VLOOKUP(F562,COA!$A$1:$K$26,2,FALSE),0)</f>
        <v>0</v>
      </c>
      <c r="H562" s="11"/>
      <c r="I562" s="11"/>
      <c r="J562" s="78"/>
      <c r="K562" s="78"/>
      <c r="L562" s="146">
        <f t="shared" si="32"/>
        <v>13126700</v>
      </c>
      <c r="M562" s="73"/>
      <c r="N562" s="73"/>
      <c r="O562" s="7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 x14ac:dyDescent="0.35">
      <c r="A563" s="9">
        <f t="shared" si="33"/>
        <v>555</v>
      </c>
      <c r="B563" s="15"/>
      <c r="C563" s="11">
        <f t="shared" si="34"/>
        <v>1</v>
      </c>
      <c r="D563" s="11"/>
      <c r="E563" s="11"/>
      <c r="F563" s="11"/>
      <c r="G563" s="89">
        <f>IFERROR(VLOOKUP(F563,COA!$A$1:$K$26,2,FALSE),0)</f>
        <v>0</v>
      </c>
      <c r="H563" s="11"/>
      <c r="I563" s="11"/>
      <c r="J563" s="78"/>
      <c r="K563" s="78"/>
      <c r="L563" s="146">
        <f t="shared" si="32"/>
        <v>13126700</v>
      </c>
      <c r="M563" s="73"/>
      <c r="N563" s="73"/>
      <c r="O563" s="7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 x14ac:dyDescent="0.35">
      <c r="A564" s="9">
        <f t="shared" si="33"/>
        <v>556</v>
      </c>
      <c r="B564" s="15"/>
      <c r="C564" s="11">
        <f t="shared" si="34"/>
        <v>1</v>
      </c>
      <c r="D564" s="11"/>
      <c r="E564" s="11"/>
      <c r="F564" s="11"/>
      <c r="G564" s="89">
        <f>IFERROR(VLOOKUP(F564,COA!$A$1:$K$26,2,FALSE),0)</f>
        <v>0</v>
      </c>
      <c r="H564" s="13"/>
      <c r="I564" s="13"/>
      <c r="J564" s="78"/>
      <c r="K564" s="78"/>
      <c r="L564" s="146">
        <f t="shared" si="32"/>
        <v>13126700</v>
      </c>
      <c r="M564" s="73"/>
      <c r="N564" s="73"/>
      <c r="O564" s="7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 x14ac:dyDescent="0.35">
      <c r="A565" s="9">
        <f t="shared" si="33"/>
        <v>557</v>
      </c>
      <c r="B565" s="15"/>
      <c r="C565" s="11">
        <f t="shared" si="34"/>
        <v>1</v>
      </c>
      <c r="D565" s="11"/>
      <c r="E565" s="11"/>
      <c r="F565" s="11"/>
      <c r="G565" s="89">
        <f>IFERROR(VLOOKUP(F565,COA!$A$1:$K$26,2,FALSE),0)</f>
        <v>0</v>
      </c>
      <c r="H565" s="11"/>
      <c r="I565" s="11"/>
      <c r="J565" s="78"/>
      <c r="K565" s="78"/>
      <c r="L565" s="146">
        <f t="shared" si="32"/>
        <v>13126700</v>
      </c>
      <c r="M565" s="73"/>
      <c r="N565" s="73"/>
      <c r="O565" s="7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 x14ac:dyDescent="0.35">
      <c r="A566" s="9">
        <f t="shared" si="33"/>
        <v>558</v>
      </c>
      <c r="B566" s="15"/>
      <c r="C566" s="11">
        <f t="shared" si="34"/>
        <v>1</v>
      </c>
      <c r="D566" s="11"/>
      <c r="E566" s="11"/>
      <c r="F566" s="11"/>
      <c r="G566" s="89">
        <f>IFERROR(VLOOKUP(F566,COA!$A$1:$K$26,2,FALSE),0)</f>
        <v>0</v>
      </c>
      <c r="H566" s="11"/>
      <c r="I566" s="11"/>
      <c r="J566" s="78"/>
      <c r="K566" s="78"/>
      <c r="L566" s="146">
        <f t="shared" si="32"/>
        <v>13126700</v>
      </c>
      <c r="M566" s="73"/>
      <c r="N566" s="73"/>
      <c r="O566" s="7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 x14ac:dyDescent="0.35">
      <c r="A567" s="9">
        <f t="shared" si="33"/>
        <v>559</v>
      </c>
      <c r="B567" s="15"/>
      <c r="C567" s="11">
        <f t="shared" si="34"/>
        <v>1</v>
      </c>
      <c r="D567" s="11"/>
      <c r="E567" s="11"/>
      <c r="F567" s="11"/>
      <c r="G567" s="89">
        <f>IFERROR(VLOOKUP(F567,COA!$A$1:$K$26,2,FALSE),0)</f>
        <v>0</v>
      </c>
      <c r="H567" s="11"/>
      <c r="I567" s="11"/>
      <c r="J567" s="78"/>
      <c r="K567" s="78"/>
      <c r="L567" s="146">
        <f t="shared" si="32"/>
        <v>13126700</v>
      </c>
      <c r="M567" s="73"/>
      <c r="N567" s="73"/>
      <c r="O567" s="7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 x14ac:dyDescent="0.35">
      <c r="A568" s="9">
        <f t="shared" si="33"/>
        <v>560</v>
      </c>
      <c r="B568" s="15"/>
      <c r="C568" s="11">
        <f t="shared" si="34"/>
        <v>1</v>
      </c>
      <c r="D568" s="11"/>
      <c r="E568" s="11"/>
      <c r="F568" s="11"/>
      <c r="G568" s="89">
        <f>IFERROR(VLOOKUP(F568,COA!$A$1:$K$26,2,FALSE),0)</f>
        <v>0</v>
      </c>
      <c r="H568" s="11"/>
      <c r="I568" s="11"/>
      <c r="J568" s="78"/>
      <c r="K568" s="78"/>
      <c r="L568" s="146">
        <f t="shared" si="32"/>
        <v>13126700</v>
      </c>
      <c r="M568" s="73"/>
      <c r="N568" s="73"/>
      <c r="O568" s="7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 x14ac:dyDescent="0.35">
      <c r="A569" s="9">
        <f t="shared" si="33"/>
        <v>561</v>
      </c>
      <c r="B569" s="15"/>
      <c r="C569" s="11">
        <f t="shared" si="34"/>
        <v>1</v>
      </c>
      <c r="D569" s="11"/>
      <c r="E569" s="11"/>
      <c r="F569" s="11"/>
      <c r="G569" s="89">
        <f>IFERROR(VLOOKUP(F569,COA!$A$1:$K$26,2,FALSE),0)</f>
        <v>0</v>
      </c>
      <c r="H569" s="11"/>
      <c r="I569" s="11"/>
      <c r="J569" s="78"/>
      <c r="K569" s="78"/>
      <c r="L569" s="146">
        <f t="shared" si="32"/>
        <v>13126700</v>
      </c>
      <c r="M569" s="73"/>
      <c r="N569" s="73"/>
      <c r="O569" s="7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 x14ac:dyDescent="0.35">
      <c r="A570" s="9">
        <f t="shared" si="33"/>
        <v>562</v>
      </c>
      <c r="B570" s="15"/>
      <c r="C570" s="11">
        <f t="shared" si="34"/>
        <v>1</v>
      </c>
      <c r="D570" s="11"/>
      <c r="E570" s="11"/>
      <c r="F570" s="11"/>
      <c r="G570" s="89">
        <f>IFERROR(VLOOKUP(F570,COA!$A$1:$K$26,2,FALSE),0)</f>
        <v>0</v>
      </c>
      <c r="H570" s="13"/>
      <c r="I570" s="13"/>
      <c r="J570" s="78"/>
      <c r="K570" s="78"/>
      <c r="L570" s="146">
        <f t="shared" si="32"/>
        <v>13126700</v>
      </c>
      <c r="M570" s="73"/>
      <c r="N570" s="73"/>
      <c r="O570" s="7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 x14ac:dyDescent="0.35">
      <c r="A571" s="9">
        <f t="shared" si="33"/>
        <v>563</v>
      </c>
      <c r="B571" s="15"/>
      <c r="C571" s="11">
        <f t="shared" si="34"/>
        <v>1</v>
      </c>
      <c r="D571" s="11"/>
      <c r="E571" s="11"/>
      <c r="F571" s="11"/>
      <c r="G571" s="89">
        <f>IFERROR(VLOOKUP(F571,COA!$A$1:$K$26,2,FALSE),0)</f>
        <v>0</v>
      </c>
      <c r="H571" s="11"/>
      <c r="I571" s="11"/>
      <c r="J571" s="78"/>
      <c r="K571" s="78"/>
      <c r="L571" s="146">
        <f t="shared" si="32"/>
        <v>13126700</v>
      </c>
      <c r="M571" s="73"/>
      <c r="N571" s="73"/>
      <c r="O571" s="7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 x14ac:dyDescent="0.35">
      <c r="A572" s="9">
        <f t="shared" si="33"/>
        <v>564</v>
      </c>
      <c r="B572" s="15"/>
      <c r="C572" s="11">
        <f t="shared" si="34"/>
        <v>1</v>
      </c>
      <c r="D572" s="11"/>
      <c r="E572" s="11"/>
      <c r="F572" s="11"/>
      <c r="G572" s="89">
        <f>IFERROR(VLOOKUP(F572,COA!$A$1:$K$26,2,FALSE),0)</f>
        <v>0</v>
      </c>
      <c r="H572" s="11"/>
      <c r="I572" s="11"/>
      <c r="J572" s="78"/>
      <c r="K572" s="78"/>
      <c r="L572" s="146">
        <f t="shared" si="32"/>
        <v>13126700</v>
      </c>
      <c r="M572" s="73"/>
      <c r="N572" s="73"/>
      <c r="O572" s="7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 x14ac:dyDescent="0.35">
      <c r="A573" s="9">
        <f t="shared" si="33"/>
        <v>565</v>
      </c>
      <c r="B573" s="15"/>
      <c r="C573" s="11">
        <f t="shared" si="34"/>
        <v>1</v>
      </c>
      <c r="D573" s="11"/>
      <c r="E573" s="11"/>
      <c r="F573" s="11"/>
      <c r="G573" s="89">
        <f>IFERROR(VLOOKUP(F573,COA!$A$1:$K$26,2,FALSE),0)</f>
        <v>0</v>
      </c>
      <c r="H573" s="11"/>
      <c r="I573" s="11"/>
      <c r="J573" s="78"/>
      <c r="K573" s="78"/>
      <c r="L573" s="146">
        <f t="shared" si="32"/>
        <v>13126700</v>
      </c>
      <c r="M573" s="73"/>
      <c r="N573" s="73"/>
      <c r="O573" s="7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 x14ac:dyDescent="0.35">
      <c r="A574" s="9">
        <f t="shared" si="33"/>
        <v>566</v>
      </c>
      <c r="B574" s="15"/>
      <c r="C574" s="11">
        <f t="shared" si="34"/>
        <v>1</v>
      </c>
      <c r="D574" s="11"/>
      <c r="E574" s="11"/>
      <c r="F574" s="11"/>
      <c r="G574" s="89">
        <f>IFERROR(VLOOKUP(F574,COA!$A$1:$K$26,2,FALSE),0)</f>
        <v>0</v>
      </c>
      <c r="H574" s="11"/>
      <c r="I574" s="11"/>
      <c r="J574" s="78"/>
      <c r="K574" s="78"/>
      <c r="L574" s="146">
        <f t="shared" si="32"/>
        <v>13126700</v>
      </c>
      <c r="M574" s="73"/>
      <c r="N574" s="73"/>
      <c r="O574" s="7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 x14ac:dyDescent="0.35">
      <c r="A575" s="9">
        <f t="shared" si="33"/>
        <v>567</v>
      </c>
      <c r="B575" s="15"/>
      <c r="C575" s="11">
        <f t="shared" si="34"/>
        <v>1</v>
      </c>
      <c r="D575" s="11"/>
      <c r="E575" s="11"/>
      <c r="F575" s="11"/>
      <c r="G575" s="89">
        <f>IFERROR(VLOOKUP(F575,COA!$A$1:$K$26,2,FALSE),0)</f>
        <v>0</v>
      </c>
      <c r="H575" s="11"/>
      <c r="I575" s="11"/>
      <c r="J575" s="78"/>
      <c r="K575" s="78"/>
      <c r="L575" s="146">
        <f t="shared" si="32"/>
        <v>13126700</v>
      </c>
      <c r="M575" s="73"/>
      <c r="N575" s="73"/>
      <c r="O575" s="7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 x14ac:dyDescent="0.35">
      <c r="A576" s="9">
        <f t="shared" si="33"/>
        <v>568</v>
      </c>
      <c r="B576" s="15"/>
      <c r="C576" s="11">
        <f t="shared" si="34"/>
        <v>1</v>
      </c>
      <c r="D576" s="11"/>
      <c r="E576" s="11"/>
      <c r="F576" s="11"/>
      <c r="G576" s="89">
        <f>IFERROR(VLOOKUP(F576,COA!$A$1:$K$26,2,FALSE),0)</f>
        <v>0</v>
      </c>
      <c r="H576" s="13"/>
      <c r="I576" s="13"/>
      <c r="J576" s="78"/>
      <c r="K576" s="78"/>
      <c r="L576" s="146">
        <f t="shared" si="32"/>
        <v>13126700</v>
      </c>
      <c r="M576" s="73"/>
      <c r="N576" s="73"/>
      <c r="O576" s="7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 x14ac:dyDescent="0.35">
      <c r="A577" s="9">
        <f t="shared" si="33"/>
        <v>569</v>
      </c>
      <c r="B577" s="15"/>
      <c r="C577" s="11">
        <f t="shared" si="34"/>
        <v>1</v>
      </c>
      <c r="D577" s="11"/>
      <c r="E577" s="11"/>
      <c r="F577" s="11"/>
      <c r="G577" s="89">
        <f>IFERROR(VLOOKUP(F577,COA!$A$1:$K$26,2,FALSE),0)</f>
        <v>0</v>
      </c>
      <c r="H577" s="11"/>
      <c r="I577" s="11"/>
      <c r="J577" s="78"/>
      <c r="K577" s="78"/>
      <c r="L577" s="146">
        <f t="shared" si="32"/>
        <v>13126700</v>
      </c>
      <c r="M577" s="73"/>
      <c r="N577" s="73"/>
      <c r="O577" s="7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 x14ac:dyDescent="0.35">
      <c r="A578" s="9">
        <f t="shared" si="33"/>
        <v>570</v>
      </c>
      <c r="B578" s="15"/>
      <c r="C578" s="11">
        <f t="shared" si="34"/>
        <v>1</v>
      </c>
      <c r="D578" s="11"/>
      <c r="E578" s="11"/>
      <c r="F578" s="11"/>
      <c r="G578" s="89">
        <f>IFERROR(VLOOKUP(F578,COA!$A$1:$K$26,2,FALSE),0)</f>
        <v>0</v>
      </c>
      <c r="H578" s="11"/>
      <c r="I578" s="11"/>
      <c r="J578" s="78"/>
      <c r="K578" s="78"/>
      <c r="L578" s="146">
        <f t="shared" si="32"/>
        <v>13126700</v>
      </c>
      <c r="M578" s="73"/>
      <c r="N578" s="73"/>
      <c r="O578" s="7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 x14ac:dyDescent="0.35">
      <c r="A579" s="9">
        <f t="shared" si="33"/>
        <v>571</v>
      </c>
      <c r="B579" s="15"/>
      <c r="C579" s="11">
        <f t="shared" si="34"/>
        <v>1</v>
      </c>
      <c r="D579" s="11"/>
      <c r="E579" s="11"/>
      <c r="F579" s="11"/>
      <c r="G579" s="89">
        <f>IFERROR(VLOOKUP(F579,COA!$A$1:$K$26,2,FALSE),0)</f>
        <v>0</v>
      </c>
      <c r="H579" s="11"/>
      <c r="I579" s="11"/>
      <c r="J579" s="78"/>
      <c r="K579" s="78"/>
      <c r="L579" s="146">
        <f t="shared" si="32"/>
        <v>13126700</v>
      </c>
      <c r="M579" s="73"/>
      <c r="N579" s="73"/>
      <c r="O579" s="7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 x14ac:dyDescent="0.35">
      <c r="A580" s="9">
        <f t="shared" si="33"/>
        <v>572</v>
      </c>
      <c r="B580" s="15"/>
      <c r="C580" s="11">
        <f t="shared" si="34"/>
        <v>1</v>
      </c>
      <c r="D580" s="11"/>
      <c r="E580" s="11"/>
      <c r="F580" s="11"/>
      <c r="G580" s="89">
        <f>IFERROR(VLOOKUP(F580,COA!$A$1:$K$26,2,FALSE),0)</f>
        <v>0</v>
      </c>
      <c r="H580" s="11"/>
      <c r="I580" s="11"/>
      <c r="J580" s="78"/>
      <c r="K580" s="78"/>
      <c r="L580" s="146">
        <f t="shared" si="32"/>
        <v>13126700</v>
      </c>
      <c r="M580" s="73"/>
      <c r="N580" s="73"/>
      <c r="O580" s="7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 x14ac:dyDescent="0.35">
      <c r="A581" s="9">
        <f t="shared" si="33"/>
        <v>573</v>
      </c>
      <c r="B581" s="15"/>
      <c r="C581" s="11">
        <f t="shared" si="34"/>
        <v>1</v>
      </c>
      <c r="D581" s="11"/>
      <c r="E581" s="11"/>
      <c r="F581" s="11"/>
      <c r="G581" s="89">
        <f>IFERROR(VLOOKUP(F581,COA!$A$1:$K$26,2,FALSE),0)</f>
        <v>0</v>
      </c>
      <c r="H581" s="11"/>
      <c r="I581" s="11"/>
      <c r="J581" s="78"/>
      <c r="K581" s="78"/>
      <c r="L581" s="146">
        <f t="shared" si="32"/>
        <v>13126700</v>
      </c>
      <c r="M581" s="73"/>
      <c r="N581" s="73"/>
      <c r="O581" s="7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 x14ac:dyDescent="0.35">
      <c r="A582" s="9">
        <f t="shared" si="33"/>
        <v>574</v>
      </c>
      <c r="B582" s="15"/>
      <c r="C582" s="11">
        <f t="shared" si="34"/>
        <v>1</v>
      </c>
      <c r="D582" s="11"/>
      <c r="E582" s="11"/>
      <c r="F582" s="11"/>
      <c r="G582" s="89">
        <f>IFERROR(VLOOKUP(F582,COA!$A$1:$K$26,2,FALSE),0)</f>
        <v>0</v>
      </c>
      <c r="H582" s="13"/>
      <c r="I582" s="13"/>
      <c r="J582" s="78"/>
      <c r="K582" s="78"/>
      <c r="L582" s="146">
        <f t="shared" si="32"/>
        <v>13126700</v>
      </c>
      <c r="M582" s="73"/>
      <c r="N582" s="73"/>
      <c r="O582" s="7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 x14ac:dyDescent="0.35">
      <c r="A583" s="9">
        <f t="shared" si="33"/>
        <v>575</v>
      </c>
      <c r="B583" s="15"/>
      <c r="C583" s="11">
        <f t="shared" si="34"/>
        <v>1</v>
      </c>
      <c r="D583" s="11"/>
      <c r="E583" s="11"/>
      <c r="F583" s="11"/>
      <c r="G583" s="89">
        <f>IFERROR(VLOOKUP(F583,COA!$A$1:$K$26,2,FALSE),0)</f>
        <v>0</v>
      </c>
      <c r="H583" s="11"/>
      <c r="I583" s="11"/>
      <c r="J583" s="78"/>
      <c r="K583" s="78"/>
      <c r="L583" s="146">
        <f t="shared" si="32"/>
        <v>13126700</v>
      </c>
      <c r="M583" s="73"/>
      <c r="N583" s="73"/>
      <c r="O583" s="7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 x14ac:dyDescent="0.35">
      <c r="A584" s="9">
        <f t="shared" si="33"/>
        <v>576</v>
      </c>
      <c r="B584" s="15"/>
      <c r="C584" s="11">
        <f t="shared" si="34"/>
        <v>1</v>
      </c>
      <c r="D584" s="11"/>
      <c r="E584" s="11"/>
      <c r="F584" s="11"/>
      <c r="G584" s="89">
        <f>IFERROR(VLOOKUP(F584,COA!$A$1:$K$26,2,FALSE),0)</f>
        <v>0</v>
      </c>
      <c r="H584" s="11"/>
      <c r="I584" s="11"/>
      <c r="J584" s="78"/>
      <c r="K584" s="78"/>
      <c r="L584" s="146">
        <f t="shared" si="32"/>
        <v>13126700</v>
      </c>
      <c r="M584" s="73"/>
      <c r="N584" s="73"/>
      <c r="O584" s="7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 x14ac:dyDescent="0.35">
      <c r="A585" s="9">
        <f t="shared" si="33"/>
        <v>577</v>
      </c>
      <c r="B585" s="15"/>
      <c r="C585" s="11">
        <f t="shared" si="34"/>
        <v>1</v>
      </c>
      <c r="D585" s="11"/>
      <c r="E585" s="11"/>
      <c r="F585" s="11"/>
      <c r="G585" s="89">
        <f>IFERROR(VLOOKUP(F585,COA!$A$1:$K$26,2,FALSE),0)</f>
        <v>0</v>
      </c>
      <c r="H585" s="11"/>
      <c r="I585" s="11"/>
      <c r="J585" s="78"/>
      <c r="K585" s="78"/>
      <c r="L585" s="146">
        <f t="shared" si="32"/>
        <v>13126700</v>
      </c>
      <c r="M585" s="73"/>
      <c r="N585" s="73"/>
      <c r="O585" s="7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 x14ac:dyDescent="0.35">
      <c r="A586" s="9">
        <f t="shared" si="33"/>
        <v>578</v>
      </c>
      <c r="B586" s="15"/>
      <c r="C586" s="11">
        <f t="shared" si="34"/>
        <v>1</v>
      </c>
      <c r="D586" s="11"/>
      <c r="E586" s="11"/>
      <c r="F586" s="11"/>
      <c r="G586" s="89">
        <f>IFERROR(VLOOKUP(F586,COA!$A$1:$K$26,2,FALSE),0)</f>
        <v>0</v>
      </c>
      <c r="H586" s="11"/>
      <c r="I586" s="11"/>
      <c r="J586" s="78"/>
      <c r="K586" s="78"/>
      <c r="L586" s="146">
        <f t="shared" si="32"/>
        <v>13126700</v>
      </c>
      <c r="M586" s="73"/>
      <c r="N586" s="73"/>
      <c r="O586" s="7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 x14ac:dyDescent="0.35">
      <c r="A587" s="9">
        <f t="shared" si="33"/>
        <v>579</v>
      </c>
      <c r="B587" s="15"/>
      <c r="C587" s="11">
        <f t="shared" si="34"/>
        <v>1</v>
      </c>
      <c r="D587" s="11"/>
      <c r="E587" s="11"/>
      <c r="F587" s="11"/>
      <c r="G587" s="89">
        <f>IFERROR(VLOOKUP(F587,COA!$A$1:$K$26,2,FALSE),0)</f>
        <v>0</v>
      </c>
      <c r="H587" s="11"/>
      <c r="I587" s="11"/>
      <c r="J587" s="78"/>
      <c r="K587" s="78"/>
      <c r="L587" s="146">
        <f t="shared" si="32"/>
        <v>13126700</v>
      </c>
      <c r="M587" s="73"/>
      <c r="N587" s="73"/>
      <c r="O587" s="7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 x14ac:dyDescent="0.35">
      <c r="A588" s="9">
        <f t="shared" si="33"/>
        <v>580</v>
      </c>
      <c r="B588" s="15"/>
      <c r="C588" s="11">
        <f t="shared" si="34"/>
        <v>1</v>
      </c>
      <c r="D588" s="11"/>
      <c r="E588" s="11"/>
      <c r="F588" s="11"/>
      <c r="G588" s="89">
        <f>IFERROR(VLOOKUP(F588,COA!$A$1:$K$26,2,FALSE),0)</f>
        <v>0</v>
      </c>
      <c r="H588" s="11"/>
      <c r="I588" s="11"/>
      <c r="J588" s="78"/>
      <c r="K588" s="78"/>
      <c r="L588" s="146">
        <f t="shared" si="32"/>
        <v>13126700</v>
      </c>
      <c r="M588" s="73"/>
      <c r="N588" s="73"/>
      <c r="O588" s="7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 x14ac:dyDescent="0.35">
      <c r="A589" s="9">
        <f t="shared" si="33"/>
        <v>581</v>
      </c>
      <c r="B589" s="15"/>
      <c r="C589" s="11">
        <f t="shared" si="34"/>
        <v>1</v>
      </c>
      <c r="D589" s="11"/>
      <c r="E589" s="11"/>
      <c r="F589" s="11"/>
      <c r="G589" s="89">
        <f>IFERROR(VLOOKUP(F589,COA!$A$1:$K$26,2,FALSE),0)</f>
        <v>0</v>
      </c>
      <c r="H589" s="11"/>
      <c r="I589" s="11"/>
      <c r="J589" s="78"/>
      <c r="K589" s="78"/>
      <c r="L589" s="146">
        <f t="shared" si="32"/>
        <v>13126700</v>
      </c>
      <c r="M589" s="73"/>
      <c r="N589" s="73"/>
      <c r="O589" s="7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 x14ac:dyDescent="0.35">
      <c r="A590" s="9">
        <f t="shared" si="33"/>
        <v>582</v>
      </c>
      <c r="B590" s="15"/>
      <c r="C590" s="11">
        <f t="shared" si="34"/>
        <v>1</v>
      </c>
      <c r="D590" s="11"/>
      <c r="E590" s="11"/>
      <c r="F590" s="11"/>
      <c r="G590" s="89">
        <f>IFERROR(VLOOKUP(F590,COA!$A$1:$K$26,2,FALSE),0)</f>
        <v>0</v>
      </c>
      <c r="H590" s="11"/>
      <c r="I590" s="11"/>
      <c r="J590" s="78"/>
      <c r="K590" s="78"/>
      <c r="L590" s="146">
        <f t="shared" si="32"/>
        <v>13126700</v>
      </c>
      <c r="M590" s="73"/>
      <c r="N590" s="73"/>
      <c r="O590" s="7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 x14ac:dyDescent="0.35">
      <c r="A591" s="9">
        <f t="shared" si="33"/>
        <v>583</v>
      </c>
      <c r="B591" s="15"/>
      <c r="C591" s="11">
        <f t="shared" si="34"/>
        <v>1</v>
      </c>
      <c r="D591" s="11"/>
      <c r="E591" s="11"/>
      <c r="F591" s="11"/>
      <c r="G591" s="89">
        <f>IFERROR(VLOOKUP(F591,COA!$A$1:$K$26,2,FALSE),0)</f>
        <v>0</v>
      </c>
      <c r="H591" s="11"/>
      <c r="I591" s="11"/>
      <c r="J591" s="78"/>
      <c r="K591" s="78"/>
      <c r="L591" s="146">
        <f t="shared" si="32"/>
        <v>13126700</v>
      </c>
      <c r="M591" s="73"/>
      <c r="N591" s="73"/>
      <c r="O591" s="7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 x14ac:dyDescent="0.35">
      <c r="A592" s="9">
        <f t="shared" si="33"/>
        <v>584</v>
      </c>
      <c r="B592" s="15"/>
      <c r="C592" s="11">
        <f t="shared" si="34"/>
        <v>1</v>
      </c>
      <c r="D592" s="11"/>
      <c r="E592" s="11"/>
      <c r="F592" s="11"/>
      <c r="G592" s="89">
        <f>IFERROR(VLOOKUP(F592,COA!$A$1:$K$26,2,FALSE),0)</f>
        <v>0</v>
      </c>
      <c r="H592" s="11"/>
      <c r="I592" s="11"/>
      <c r="J592" s="78"/>
      <c r="K592" s="78"/>
      <c r="L592" s="146">
        <f t="shared" ref="L592:L655" si="35">L591+J592-K592</f>
        <v>13126700</v>
      </c>
      <c r="M592" s="73"/>
      <c r="N592" s="73"/>
      <c r="O592" s="7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 x14ac:dyDescent="0.35">
      <c r="A593" s="9">
        <f t="shared" si="33"/>
        <v>585</v>
      </c>
      <c r="B593" s="15"/>
      <c r="C593" s="11">
        <f t="shared" si="34"/>
        <v>1</v>
      </c>
      <c r="D593" s="11"/>
      <c r="E593" s="11"/>
      <c r="F593" s="11"/>
      <c r="G593" s="89">
        <f>IFERROR(VLOOKUP(F593,COA!$A$1:$K$26,2,FALSE),0)</f>
        <v>0</v>
      </c>
      <c r="H593" s="11"/>
      <c r="I593" s="11"/>
      <c r="J593" s="78"/>
      <c r="K593" s="78"/>
      <c r="L593" s="146">
        <f t="shared" si="35"/>
        <v>13126700</v>
      </c>
      <c r="M593" s="73"/>
      <c r="N593" s="73"/>
      <c r="O593" s="7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 x14ac:dyDescent="0.35">
      <c r="A594" s="9">
        <f t="shared" ref="A594:A657" si="36">A593+1</f>
        <v>586</v>
      </c>
      <c r="B594" s="15"/>
      <c r="C594" s="11">
        <f t="shared" si="34"/>
        <v>1</v>
      </c>
      <c r="D594" s="11"/>
      <c r="E594" s="11"/>
      <c r="F594" s="11"/>
      <c r="G594" s="89">
        <f>IFERROR(VLOOKUP(F594,COA!$A$1:$K$26,2,FALSE),0)</f>
        <v>0</v>
      </c>
      <c r="H594" s="11"/>
      <c r="I594" s="11"/>
      <c r="J594" s="78"/>
      <c r="K594" s="78"/>
      <c r="L594" s="146">
        <f t="shared" si="35"/>
        <v>13126700</v>
      </c>
      <c r="M594" s="73"/>
      <c r="N594" s="73"/>
      <c r="O594" s="7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 x14ac:dyDescent="0.35">
      <c r="A595" s="9">
        <f t="shared" si="36"/>
        <v>587</v>
      </c>
      <c r="B595" s="15"/>
      <c r="C595" s="11">
        <f t="shared" si="34"/>
        <v>1</v>
      </c>
      <c r="D595" s="11"/>
      <c r="E595" s="11"/>
      <c r="F595" s="11"/>
      <c r="G595" s="89">
        <f>IFERROR(VLOOKUP(F595,COA!$A$1:$K$26,2,FALSE),0)</f>
        <v>0</v>
      </c>
      <c r="H595" s="11"/>
      <c r="I595" s="11"/>
      <c r="J595" s="78"/>
      <c r="K595" s="78"/>
      <c r="L595" s="146">
        <f t="shared" si="35"/>
        <v>13126700</v>
      </c>
      <c r="M595" s="73"/>
      <c r="N595" s="73"/>
      <c r="O595" s="7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 x14ac:dyDescent="0.35">
      <c r="A596" s="9">
        <f t="shared" si="36"/>
        <v>588</v>
      </c>
      <c r="B596" s="15"/>
      <c r="C596" s="11">
        <f t="shared" si="34"/>
        <v>1</v>
      </c>
      <c r="D596" s="11"/>
      <c r="E596" s="11"/>
      <c r="F596" s="11"/>
      <c r="G596" s="89">
        <f>IFERROR(VLOOKUP(F596,COA!$A$1:$K$26,2,FALSE),0)</f>
        <v>0</v>
      </c>
      <c r="H596" s="13"/>
      <c r="I596" s="13"/>
      <c r="J596" s="78"/>
      <c r="K596" s="78"/>
      <c r="L596" s="146">
        <f t="shared" si="35"/>
        <v>13126700</v>
      </c>
      <c r="M596" s="73"/>
      <c r="N596" s="73"/>
      <c r="O596" s="7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 x14ac:dyDescent="0.35">
      <c r="A597" s="9">
        <f t="shared" si="36"/>
        <v>589</v>
      </c>
      <c r="B597" s="15"/>
      <c r="C597" s="11">
        <f t="shared" si="34"/>
        <v>1</v>
      </c>
      <c r="D597" s="11"/>
      <c r="E597" s="11"/>
      <c r="F597" s="11"/>
      <c r="G597" s="89">
        <f>IFERROR(VLOOKUP(F597,COA!$A$1:$K$26,2,FALSE),0)</f>
        <v>0</v>
      </c>
      <c r="H597" s="11"/>
      <c r="I597" s="11"/>
      <c r="J597" s="78"/>
      <c r="K597" s="78"/>
      <c r="L597" s="146">
        <f t="shared" si="35"/>
        <v>13126700</v>
      </c>
      <c r="M597" s="73"/>
      <c r="N597" s="73"/>
      <c r="O597" s="7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 x14ac:dyDescent="0.35">
      <c r="A598" s="9">
        <f t="shared" si="36"/>
        <v>590</v>
      </c>
      <c r="B598" s="15"/>
      <c r="C598" s="11">
        <f t="shared" si="34"/>
        <v>1</v>
      </c>
      <c r="D598" s="11"/>
      <c r="E598" s="11"/>
      <c r="F598" s="11"/>
      <c r="G598" s="89">
        <f>IFERROR(VLOOKUP(F598,COA!$A$1:$K$26,2,FALSE),0)</f>
        <v>0</v>
      </c>
      <c r="H598" s="11"/>
      <c r="I598" s="11"/>
      <c r="J598" s="78"/>
      <c r="K598" s="78"/>
      <c r="L598" s="146">
        <f t="shared" si="35"/>
        <v>13126700</v>
      </c>
      <c r="M598" s="73"/>
      <c r="N598" s="73"/>
      <c r="O598" s="7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 x14ac:dyDescent="0.35">
      <c r="A599" s="9">
        <f t="shared" si="36"/>
        <v>591</v>
      </c>
      <c r="B599" s="15"/>
      <c r="C599" s="11">
        <f t="shared" si="34"/>
        <v>1</v>
      </c>
      <c r="D599" s="11"/>
      <c r="E599" s="11"/>
      <c r="F599" s="11"/>
      <c r="G599" s="89">
        <f>IFERROR(VLOOKUP(F599,COA!$A$1:$K$26,2,FALSE),0)</f>
        <v>0</v>
      </c>
      <c r="H599" s="11"/>
      <c r="I599" s="11"/>
      <c r="J599" s="78"/>
      <c r="K599" s="78"/>
      <c r="L599" s="146">
        <f t="shared" si="35"/>
        <v>13126700</v>
      </c>
      <c r="M599" s="73"/>
      <c r="N599" s="73"/>
      <c r="O599" s="7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 x14ac:dyDescent="0.35">
      <c r="A600" s="9">
        <f t="shared" si="36"/>
        <v>592</v>
      </c>
      <c r="B600" s="15"/>
      <c r="C600" s="11">
        <f t="shared" si="34"/>
        <v>1</v>
      </c>
      <c r="D600" s="11"/>
      <c r="E600" s="11"/>
      <c r="F600" s="11"/>
      <c r="G600" s="89">
        <f>IFERROR(VLOOKUP(F600,COA!$A$1:$K$26,2,FALSE),0)</f>
        <v>0</v>
      </c>
      <c r="H600" s="11"/>
      <c r="I600" s="11"/>
      <c r="J600" s="78"/>
      <c r="K600" s="78"/>
      <c r="L600" s="146">
        <f t="shared" si="35"/>
        <v>13126700</v>
      </c>
      <c r="M600" s="73"/>
      <c r="N600" s="73"/>
      <c r="O600" s="7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 x14ac:dyDescent="0.35">
      <c r="A601" s="9">
        <f t="shared" si="36"/>
        <v>593</v>
      </c>
      <c r="B601" s="15"/>
      <c r="C601" s="11">
        <f t="shared" si="34"/>
        <v>1</v>
      </c>
      <c r="D601" s="11"/>
      <c r="E601" s="11"/>
      <c r="F601" s="11"/>
      <c r="G601" s="89">
        <f>IFERROR(VLOOKUP(F601,COA!$A$1:$K$26,2,FALSE),0)</f>
        <v>0</v>
      </c>
      <c r="H601" s="11"/>
      <c r="I601" s="11"/>
      <c r="J601" s="78"/>
      <c r="K601" s="78"/>
      <c r="L601" s="146">
        <f t="shared" si="35"/>
        <v>13126700</v>
      </c>
      <c r="M601" s="73"/>
      <c r="N601" s="73"/>
      <c r="O601" s="7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 x14ac:dyDescent="0.35">
      <c r="A602" s="9">
        <f t="shared" si="36"/>
        <v>594</v>
      </c>
      <c r="B602" s="15"/>
      <c r="C602" s="11">
        <f t="shared" si="34"/>
        <v>1</v>
      </c>
      <c r="D602" s="11"/>
      <c r="E602" s="11"/>
      <c r="F602" s="11"/>
      <c r="G602" s="89">
        <f>IFERROR(VLOOKUP(F602,COA!$A$1:$K$26,2,FALSE),0)</f>
        <v>0</v>
      </c>
      <c r="H602" s="13"/>
      <c r="I602" s="13"/>
      <c r="J602" s="78"/>
      <c r="K602" s="78"/>
      <c r="L602" s="146">
        <f t="shared" si="35"/>
        <v>13126700</v>
      </c>
      <c r="M602" s="73"/>
      <c r="N602" s="73"/>
      <c r="O602" s="7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 x14ac:dyDescent="0.35">
      <c r="A603" s="9">
        <f t="shared" si="36"/>
        <v>595</v>
      </c>
      <c r="B603" s="15"/>
      <c r="C603" s="11">
        <f t="shared" si="34"/>
        <v>1</v>
      </c>
      <c r="D603" s="11"/>
      <c r="E603" s="11"/>
      <c r="F603" s="11"/>
      <c r="G603" s="89">
        <f>IFERROR(VLOOKUP(F603,COA!$A$1:$K$26,2,FALSE),0)</f>
        <v>0</v>
      </c>
      <c r="H603" s="11"/>
      <c r="I603" s="11"/>
      <c r="J603" s="78"/>
      <c r="K603" s="78"/>
      <c r="L603" s="146">
        <f t="shared" si="35"/>
        <v>13126700</v>
      </c>
      <c r="M603" s="73"/>
      <c r="N603" s="73"/>
      <c r="O603" s="7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 x14ac:dyDescent="0.35">
      <c r="A604" s="9">
        <f t="shared" si="36"/>
        <v>596</v>
      </c>
      <c r="B604" s="15"/>
      <c r="C604" s="11">
        <f t="shared" si="34"/>
        <v>1</v>
      </c>
      <c r="D604" s="11"/>
      <c r="E604" s="11"/>
      <c r="F604" s="11"/>
      <c r="G604" s="89">
        <f>IFERROR(VLOOKUP(F604,COA!$A$1:$K$26,2,FALSE),0)</f>
        <v>0</v>
      </c>
      <c r="H604" s="11"/>
      <c r="I604" s="11"/>
      <c r="J604" s="78"/>
      <c r="K604" s="78"/>
      <c r="L604" s="146">
        <f t="shared" si="35"/>
        <v>13126700</v>
      </c>
      <c r="M604" s="73"/>
      <c r="N604" s="73"/>
      <c r="O604" s="7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 x14ac:dyDescent="0.35">
      <c r="A605" s="9">
        <f t="shared" si="36"/>
        <v>597</v>
      </c>
      <c r="B605" s="15"/>
      <c r="C605" s="11">
        <f t="shared" si="34"/>
        <v>1</v>
      </c>
      <c r="D605" s="11"/>
      <c r="E605" s="11"/>
      <c r="F605" s="11"/>
      <c r="G605" s="89">
        <f>IFERROR(VLOOKUP(F605,COA!$A$1:$K$26,2,FALSE),0)</f>
        <v>0</v>
      </c>
      <c r="H605" s="11"/>
      <c r="I605" s="11"/>
      <c r="J605" s="78"/>
      <c r="K605" s="78"/>
      <c r="L605" s="146">
        <f t="shared" si="35"/>
        <v>13126700</v>
      </c>
      <c r="M605" s="73"/>
      <c r="N605" s="73"/>
      <c r="O605" s="7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 x14ac:dyDescent="0.35">
      <c r="A606" s="9">
        <f t="shared" si="36"/>
        <v>598</v>
      </c>
      <c r="B606" s="15"/>
      <c r="C606" s="11">
        <f t="shared" si="34"/>
        <v>1</v>
      </c>
      <c r="D606" s="11"/>
      <c r="E606" s="11"/>
      <c r="F606" s="11"/>
      <c r="G606" s="89">
        <f>IFERROR(VLOOKUP(F606,COA!$A$1:$K$26,2,FALSE),0)</f>
        <v>0</v>
      </c>
      <c r="H606" s="11"/>
      <c r="I606" s="11"/>
      <c r="J606" s="78"/>
      <c r="K606" s="78"/>
      <c r="L606" s="146">
        <f t="shared" si="35"/>
        <v>13126700</v>
      </c>
      <c r="M606" s="73"/>
      <c r="N606" s="73"/>
      <c r="O606" s="7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 x14ac:dyDescent="0.35">
      <c r="A607" s="9">
        <f t="shared" si="36"/>
        <v>599</v>
      </c>
      <c r="B607" s="15"/>
      <c r="C607" s="11">
        <f t="shared" si="34"/>
        <v>1</v>
      </c>
      <c r="D607" s="11"/>
      <c r="E607" s="11"/>
      <c r="F607" s="11"/>
      <c r="G607" s="89">
        <f>IFERROR(VLOOKUP(F607,COA!$A$1:$K$26,2,FALSE),0)</f>
        <v>0</v>
      </c>
      <c r="H607" s="11"/>
      <c r="I607" s="11"/>
      <c r="J607" s="78"/>
      <c r="K607" s="78"/>
      <c r="L607" s="146">
        <f t="shared" si="35"/>
        <v>13126700</v>
      </c>
      <c r="M607" s="73"/>
      <c r="N607" s="73"/>
      <c r="O607" s="7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 x14ac:dyDescent="0.35">
      <c r="A608" s="9">
        <f t="shared" si="36"/>
        <v>600</v>
      </c>
      <c r="B608" s="15"/>
      <c r="C608" s="11">
        <f t="shared" si="34"/>
        <v>1</v>
      </c>
      <c r="D608" s="11"/>
      <c r="E608" s="11"/>
      <c r="F608" s="11"/>
      <c r="G608" s="89">
        <f>IFERROR(VLOOKUP(F608,COA!$A$1:$K$26,2,FALSE),0)</f>
        <v>0</v>
      </c>
      <c r="H608" s="13"/>
      <c r="I608" s="13"/>
      <c r="J608" s="78"/>
      <c r="K608" s="78"/>
      <c r="L608" s="146">
        <f t="shared" si="35"/>
        <v>13126700</v>
      </c>
      <c r="M608" s="73"/>
      <c r="N608" s="73"/>
      <c r="O608" s="7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 x14ac:dyDescent="0.35">
      <c r="A609" s="9">
        <f t="shared" si="36"/>
        <v>601</v>
      </c>
      <c r="B609" s="15"/>
      <c r="C609" s="11">
        <f t="shared" si="34"/>
        <v>1</v>
      </c>
      <c r="D609" s="11"/>
      <c r="E609" s="11"/>
      <c r="F609" s="11"/>
      <c r="G609" s="89">
        <f>IFERROR(VLOOKUP(F609,COA!$A$1:$K$26,2,FALSE),0)</f>
        <v>0</v>
      </c>
      <c r="H609" s="11"/>
      <c r="I609" s="11"/>
      <c r="J609" s="78"/>
      <c r="K609" s="78"/>
      <c r="L609" s="146">
        <f t="shared" si="35"/>
        <v>13126700</v>
      </c>
      <c r="M609" s="73"/>
      <c r="N609" s="73"/>
      <c r="O609" s="7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 x14ac:dyDescent="0.35">
      <c r="A610" s="9">
        <f t="shared" si="36"/>
        <v>602</v>
      </c>
      <c r="B610" s="15"/>
      <c r="C610" s="11">
        <f t="shared" si="34"/>
        <v>1</v>
      </c>
      <c r="D610" s="11"/>
      <c r="E610" s="11"/>
      <c r="F610" s="11"/>
      <c r="G610" s="89">
        <f>IFERROR(VLOOKUP(F610,COA!$A$1:$K$26,2,FALSE),0)</f>
        <v>0</v>
      </c>
      <c r="H610" s="11"/>
      <c r="I610" s="11"/>
      <c r="J610" s="78"/>
      <c r="K610" s="78"/>
      <c r="L610" s="146">
        <f t="shared" si="35"/>
        <v>13126700</v>
      </c>
      <c r="M610" s="73"/>
      <c r="N610" s="73"/>
      <c r="O610" s="7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 x14ac:dyDescent="0.35">
      <c r="A611" s="9">
        <f t="shared" si="36"/>
        <v>603</v>
      </c>
      <c r="B611" s="15"/>
      <c r="C611" s="11">
        <f t="shared" si="34"/>
        <v>1</v>
      </c>
      <c r="D611" s="11"/>
      <c r="E611" s="11"/>
      <c r="F611" s="11"/>
      <c r="G611" s="89">
        <f>IFERROR(VLOOKUP(F611,COA!$A$1:$K$26,2,FALSE),0)</f>
        <v>0</v>
      </c>
      <c r="H611" s="13"/>
      <c r="I611" s="13"/>
      <c r="J611" s="78"/>
      <c r="K611" s="78"/>
      <c r="L611" s="146">
        <f t="shared" si="35"/>
        <v>13126700</v>
      </c>
      <c r="M611" s="73"/>
      <c r="N611" s="73"/>
      <c r="O611" s="7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 x14ac:dyDescent="0.35">
      <c r="A612" s="9">
        <f t="shared" si="36"/>
        <v>604</v>
      </c>
      <c r="B612" s="15"/>
      <c r="C612" s="11">
        <f t="shared" ref="C612:C675" si="37">MONTH(B612)</f>
        <v>1</v>
      </c>
      <c r="D612" s="11"/>
      <c r="E612" s="11"/>
      <c r="F612" s="11"/>
      <c r="G612" s="89">
        <f>IFERROR(VLOOKUP(F612,COA!$A$1:$K$26,2,FALSE),0)</f>
        <v>0</v>
      </c>
      <c r="H612" s="11"/>
      <c r="I612" s="11"/>
      <c r="J612" s="78"/>
      <c r="K612" s="78"/>
      <c r="L612" s="146">
        <f t="shared" si="35"/>
        <v>13126700</v>
      </c>
      <c r="M612" s="73"/>
      <c r="N612" s="73"/>
      <c r="O612" s="7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 x14ac:dyDescent="0.35">
      <c r="A613" s="9">
        <f t="shared" si="36"/>
        <v>605</v>
      </c>
      <c r="B613" s="15"/>
      <c r="C613" s="11">
        <f t="shared" si="37"/>
        <v>1</v>
      </c>
      <c r="D613" s="11"/>
      <c r="E613" s="11"/>
      <c r="F613" s="11"/>
      <c r="G613" s="89">
        <f>IFERROR(VLOOKUP(F613,COA!$A$1:$K$26,2,FALSE),0)</f>
        <v>0</v>
      </c>
      <c r="H613" s="11"/>
      <c r="I613" s="11"/>
      <c r="J613" s="78"/>
      <c r="K613" s="78"/>
      <c r="L613" s="146">
        <f t="shared" si="35"/>
        <v>13126700</v>
      </c>
      <c r="M613" s="73"/>
      <c r="N613" s="73"/>
      <c r="O613" s="7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 x14ac:dyDescent="0.35">
      <c r="A614" s="9">
        <f t="shared" si="36"/>
        <v>606</v>
      </c>
      <c r="B614" s="15"/>
      <c r="C614" s="11">
        <f t="shared" si="37"/>
        <v>1</v>
      </c>
      <c r="D614" s="11"/>
      <c r="E614" s="11"/>
      <c r="F614" s="11"/>
      <c r="G614" s="89">
        <f>IFERROR(VLOOKUP(F614,COA!$A$1:$K$26,2,FALSE),0)</f>
        <v>0</v>
      </c>
      <c r="H614" s="11"/>
      <c r="I614" s="11"/>
      <c r="J614" s="78"/>
      <c r="K614" s="78"/>
      <c r="L614" s="146">
        <f t="shared" si="35"/>
        <v>13126700</v>
      </c>
      <c r="M614" s="73"/>
      <c r="N614" s="73"/>
      <c r="O614" s="7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 x14ac:dyDescent="0.35">
      <c r="A615" s="9">
        <f t="shared" si="36"/>
        <v>607</v>
      </c>
      <c r="B615" s="15"/>
      <c r="C615" s="11">
        <f t="shared" si="37"/>
        <v>1</v>
      </c>
      <c r="D615" s="11"/>
      <c r="E615" s="11"/>
      <c r="F615" s="11"/>
      <c r="G615" s="89">
        <f>IFERROR(VLOOKUP(F615,COA!$A$1:$K$26,2,FALSE),0)</f>
        <v>0</v>
      </c>
      <c r="H615" s="11"/>
      <c r="I615" s="11"/>
      <c r="J615" s="78"/>
      <c r="K615" s="78"/>
      <c r="L615" s="146">
        <f t="shared" si="35"/>
        <v>13126700</v>
      </c>
      <c r="M615" s="73"/>
      <c r="N615" s="73"/>
      <c r="O615" s="7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 x14ac:dyDescent="0.35">
      <c r="A616" s="9">
        <f t="shared" si="36"/>
        <v>608</v>
      </c>
      <c r="B616" s="15"/>
      <c r="C616" s="11">
        <f t="shared" si="37"/>
        <v>1</v>
      </c>
      <c r="D616" s="11"/>
      <c r="E616" s="11"/>
      <c r="F616" s="11"/>
      <c r="G616" s="89">
        <f>IFERROR(VLOOKUP(F616,COA!$A$1:$K$26,2,FALSE),0)</f>
        <v>0</v>
      </c>
      <c r="H616" s="11"/>
      <c r="I616" s="11"/>
      <c r="J616" s="78"/>
      <c r="K616" s="78"/>
      <c r="L616" s="146">
        <f t="shared" si="35"/>
        <v>13126700</v>
      </c>
      <c r="M616" s="73"/>
      <c r="N616" s="73"/>
      <c r="O616" s="7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 x14ac:dyDescent="0.35">
      <c r="A617" s="9">
        <f t="shared" si="36"/>
        <v>609</v>
      </c>
      <c r="B617" s="15"/>
      <c r="C617" s="11">
        <f t="shared" si="37"/>
        <v>1</v>
      </c>
      <c r="D617" s="11"/>
      <c r="E617" s="11"/>
      <c r="F617" s="11"/>
      <c r="G617" s="89">
        <f>IFERROR(VLOOKUP(F617,COA!$A$1:$K$26,2,FALSE),0)</f>
        <v>0</v>
      </c>
      <c r="H617" s="11"/>
      <c r="I617" s="11"/>
      <c r="J617" s="78"/>
      <c r="K617" s="78"/>
      <c r="L617" s="146">
        <f t="shared" si="35"/>
        <v>13126700</v>
      </c>
      <c r="M617" s="73"/>
      <c r="N617" s="73"/>
      <c r="O617" s="7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 x14ac:dyDescent="0.35">
      <c r="A618" s="9">
        <f t="shared" si="36"/>
        <v>610</v>
      </c>
      <c r="B618" s="15"/>
      <c r="C618" s="11">
        <f t="shared" si="37"/>
        <v>1</v>
      </c>
      <c r="D618" s="11"/>
      <c r="E618" s="11"/>
      <c r="F618" s="11"/>
      <c r="G618" s="89">
        <f>IFERROR(VLOOKUP(F618,COA!$A$1:$K$26,2,FALSE),0)</f>
        <v>0</v>
      </c>
      <c r="H618" s="13"/>
      <c r="I618" s="13"/>
      <c r="J618" s="78"/>
      <c r="K618" s="78"/>
      <c r="L618" s="146">
        <f t="shared" si="35"/>
        <v>13126700</v>
      </c>
      <c r="M618" s="73"/>
      <c r="N618" s="73"/>
      <c r="O618" s="7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 x14ac:dyDescent="0.35">
      <c r="A619" s="9">
        <f t="shared" si="36"/>
        <v>611</v>
      </c>
      <c r="B619" s="15"/>
      <c r="C619" s="11">
        <f t="shared" si="37"/>
        <v>1</v>
      </c>
      <c r="D619" s="11"/>
      <c r="E619" s="11"/>
      <c r="F619" s="11"/>
      <c r="G619" s="89">
        <f>IFERROR(VLOOKUP(F619,COA!$A$1:$K$26,2,FALSE),0)</f>
        <v>0</v>
      </c>
      <c r="H619" s="11"/>
      <c r="I619" s="11"/>
      <c r="J619" s="78"/>
      <c r="K619" s="78"/>
      <c r="L619" s="146">
        <f t="shared" si="35"/>
        <v>13126700</v>
      </c>
      <c r="M619" s="73"/>
      <c r="N619" s="73"/>
      <c r="O619" s="7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 x14ac:dyDescent="0.35">
      <c r="A620" s="9">
        <f t="shared" si="36"/>
        <v>612</v>
      </c>
      <c r="B620" s="15"/>
      <c r="C620" s="11">
        <f t="shared" si="37"/>
        <v>1</v>
      </c>
      <c r="D620" s="11"/>
      <c r="E620" s="11"/>
      <c r="F620" s="11"/>
      <c r="G620" s="89">
        <f>IFERROR(VLOOKUP(F620,COA!$A$1:$K$26,2,FALSE),0)</f>
        <v>0</v>
      </c>
      <c r="H620" s="11"/>
      <c r="I620" s="11"/>
      <c r="J620" s="78"/>
      <c r="K620" s="78"/>
      <c r="L620" s="146">
        <f t="shared" si="35"/>
        <v>13126700</v>
      </c>
      <c r="M620" s="73"/>
      <c r="N620" s="73"/>
      <c r="O620" s="7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 x14ac:dyDescent="0.35">
      <c r="A621" s="9">
        <f t="shared" si="36"/>
        <v>613</v>
      </c>
      <c r="B621" s="15"/>
      <c r="C621" s="11">
        <f t="shared" si="37"/>
        <v>1</v>
      </c>
      <c r="D621" s="11"/>
      <c r="E621" s="11"/>
      <c r="F621" s="11"/>
      <c r="G621" s="89">
        <f>IFERROR(VLOOKUP(F621,COA!$A$1:$K$26,2,FALSE),0)</f>
        <v>0</v>
      </c>
      <c r="H621" s="11"/>
      <c r="I621" s="11"/>
      <c r="J621" s="78"/>
      <c r="K621" s="78"/>
      <c r="L621" s="146">
        <f t="shared" si="35"/>
        <v>13126700</v>
      </c>
      <c r="M621" s="73"/>
      <c r="N621" s="73"/>
      <c r="O621" s="7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 x14ac:dyDescent="0.35">
      <c r="A622" s="9">
        <f t="shared" si="36"/>
        <v>614</v>
      </c>
      <c r="B622" s="15"/>
      <c r="C622" s="11">
        <f t="shared" si="37"/>
        <v>1</v>
      </c>
      <c r="D622" s="11"/>
      <c r="E622" s="11"/>
      <c r="F622" s="11"/>
      <c r="G622" s="89">
        <f>IFERROR(VLOOKUP(F622,COA!$A$1:$K$26,2,FALSE),0)</f>
        <v>0</v>
      </c>
      <c r="H622" s="11"/>
      <c r="I622" s="11"/>
      <c r="J622" s="78"/>
      <c r="K622" s="78"/>
      <c r="L622" s="146">
        <f t="shared" si="35"/>
        <v>13126700</v>
      </c>
      <c r="M622" s="73"/>
      <c r="N622" s="73"/>
      <c r="O622" s="7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 x14ac:dyDescent="0.35">
      <c r="A623" s="9">
        <f t="shared" si="36"/>
        <v>615</v>
      </c>
      <c r="B623" s="15"/>
      <c r="C623" s="11">
        <f t="shared" si="37"/>
        <v>1</v>
      </c>
      <c r="D623" s="11"/>
      <c r="E623" s="11"/>
      <c r="F623" s="11"/>
      <c r="G623" s="89">
        <f>IFERROR(VLOOKUP(F623,COA!$A$1:$K$26,2,FALSE),0)</f>
        <v>0</v>
      </c>
      <c r="H623" s="11"/>
      <c r="I623" s="11"/>
      <c r="J623" s="78"/>
      <c r="K623" s="78"/>
      <c r="L623" s="146">
        <f t="shared" si="35"/>
        <v>13126700</v>
      </c>
      <c r="M623" s="73"/>
      <c r="N623" s="73"/>
      <c r="O623" s="7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 x14ac:dyDescent="0.35">
      <c r="A624" s="9">
        <f t="shared" si="36"/>
        <v>616</v>
      </c>
      <c r="B624" s="15"/>
      <c r="C624" s="11">
        <f t="shared" si="37"/>
        <v>1</v>
      </c>
      <c r="D624" s="11"/>
      <c r="E624" s="11"/>
      <c r="F624" s="11"/>
      <c r="G624" s="89">
        <f>IFERROR(VLOOKUP(F624,COA!$A$1:$K$26,2,FALSE),0)</f>
        <v>0</v>
      </c>
      <c r="H624" s="13"/>
      <c r="I624" s="13"/>
      <c r="J624" s="78"/>
      <c r="K624" s="78"/>
      <c r="L624" s="146">
        <f t="shared" si="35"/>
        <v>13126700</v>
      </c>
      <c r="M624" s="73"/>
      <c r="N624" s="73"/>
      <c r="O624" s="7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 x14ac:dyDescent="0.35">
      <c r="A625" s="9">
        <f t="shared" si="36"/>
        <v>617</v>
      </c>
      <c r="B625" s="15"/>
      <c r="C625" s="11">
        <f t="shared" si="37"/>
        <v>1</v>
      </c>
      <c r="D625" s="11"/>
      <c r="E625" s="11"/>
      <c r="F625" s="11"/>
      <c r="G625" s="89">
        <f>IFERROR(VLOOKUP(F625,COA!$A$1:$K$26,2,FALSE),0)</f>
        <v>0</v>
      </c>
      <c r="H625" s="11"/>
      <c r="I625" s="11"/>
      <c r="J625" s="78"/>
      <c r="K625" s="78"/>
      <c r="L625" s="146">
        <f t="shared" si="35"/>
        <v>13126700</v>
      </c>
      <c r="M625" s="73"/>
      <c r="N625" s="73"/>
      <c r="O625" s="7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 x14ac:dyDescent="0.35">
      <c r="A626" s="9">
        <f t="shared" si="36"/>
        <v>618</v>
      </c>
      <c r="B626" s="15"/>
      <c r="C626" s="11">
        <f t="shared" si="37"/>
        <v>1</v>
      </c>
      <c r="D626" s="11"/>
      <c r="E626" s="11"/>
      <c r="F626" s="11"/>
      <c r="G626" s="89">
        <f>IFERROR(VLOOKUP(F626,COA!$A$1:$K$26,2,FALSE),0)</f>
        <v>0</v>
      </c>
      <c r="H626" s="11"/>
      <c r="I626" s="11"/>
      <c r="J626" s="78"/>
      <c r="K626" s="78"/>
      <c r="L626" s="146">
        <f t="shared" si="35"/>
        <v>13126700</v>
      </c>
      <c r="M626" s="73"/>
      <c r="N626" s="73"/>
      <c r="O626" s="7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 x14ac:dyDescent="0.35">
      <c r="A627" s="9">
        <f t="shared" si="36"/>
        <v>619</v>
      </c>
      <c r="B627" s="15"/>
      <c r="C627" s="11">
        <f t="shared" si="37"/>
        <v>1</v>
      </c>
      <c r="D627" s="11"/>
      <c r="E627" s="11"/>
      <c r="F627" s="11"/>
      <c r="G627" s="89">
        <f>IFERROR(VLOOKUP(F627,COA!$A$1:$K$26,2,FALSE),0)</f>
        <v>0</v>
      </c>
      <c r="H627" s="11"/>
      <c r="I627" s="11"/>
      <c r="J627" s="78"/>
      <c r="K627" s="78"/>
      <c r="L627" s="146">
        <f t="shared" si="35"/>
        <v>13126700</v>
      </c>
      <c r="M627" s="73"/>
      <c r="N627" s="73"/>
      <c r="O627" s="7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 x14ac:dyDescent="0.35">
      <c r="A628" s="9">
        <f t="shared" si="36"/>
        <v>620</v>
      </c>
      <c r="B628" s="15"/>
      <c r="C628" s="11">
        <f t="shared" si="37"/>
        <v>1</v>
      </c>
      <c r="D628" s="11"/>
      <c r="E628" s="11"/>
      <c r="F628" s="11"/>
      <c r="G628" s="89">
        <f>IFERROR(VLOOKUP(F628,COA!$A$1:$K$26,2,FALSE),0)</f>
        <v>0</v>
      </c>
      <c r="H628" s="11"/>
      <c r="I628" s="11"/>
      <c r="J628" s="78"/>
      <c r="K628" s="78"/>
      <c r="L628" s="146">
        <f t="shared" si="35"/>
        <v>13126700</v>
      </c>
      <c r="M628" s="73"/>
      <c r="N628" s="73"/>
      <c r="O628" s="7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 x14ac:dyDescent="0.35">
      <c r="A629" s="9">
        <f t="shared" si="36"/>
        <v>621</v>
      </c>
      <c r="B629" s="15"/>
      <c r="C629" s="11">
        <f t="shared" si="37"/>
        <v>1</v>
      </c>
      <c r="D629" s="11"/>
      <c r="E629" s="11"/>
      <c r="F629" s="11"/>
      <c r="G629" s="89">
        <f>IFERROR(VLOOKUP(F629,COA!$A$1:$K$26,2,FALSE),0)</f>
        <v>0</v>
      </c>
      <c r="H629" s="11"/>
      <c r="I629" s="11"/>
      <c r="J629" s="78"/>
      <c r="K629" s="78"/>
      <c r="L629" s="146">
        <f t="shared" si="35"/>
        <v>13126700</v>
      </c>
      <c r="M629" s="73"/>
      <c r="N629" s="73"/>
      <c r="O629" s="7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 x14ac:dyDescent="0.35">
      <c r="A630" s="9">
        <f t="shared" si="36"/>
        <v>622</v>
      </c>
      <c r="B630" s="15"/>
      <c r="C630" s="11">
        <f t="shared" si="37"/>
        <v>1</v>
      </c>
      <c r="D630" s="11"/>
      <c r="E630" s="11"/>
      <c r="F630" s="11"/>
      <c r="G630" s="89">
        <f>IFERROR(VLOOKUP(F630,COA!$A$1:$K$26,2,FALSE),0)</f>
        <v>0</v>
      </c>
      <c r="H630" s="13"/>
      <c r="I630" s="13"/>
      <c r="J630" s="78"/>
      <c r="K630" s="78"/>
      <c r="L630" s="146">
        <f t="shared" si="35"/>
        <v>13126700</v>
      </c>
      <c r="M630" s="73"/>
      <c r="N630" s="73"/>
      <c r="O630" s="7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 x14ac:dyDescent="0.35">
      <c r="A631" s="9">
        <f t="shared" si="36"/>
        <v>623</v>
      </c>
      <c r="B631" s="15"/>
      <c r="C631" s="11">
        <f t="shared" si="37"/>
        <v>1</v>
      </c>
      <c r="D631" s="11"/>
      <c r="E631" s="11"/>
      <c r="F631" s="11"/>
      <c r="G631" s="89">
        <f>IFERROR(VLOOKUP(F631,COA!$A$1:$K$26,2,FALSE),0)</f>
        <v>0</v>
      </c>
      <c r="H631" s="11"/>
      <c r="I631" s="11"/>
      <c r="J631" s="78"/>
      <c r="K631" s="78"/>
      <c r="L631" s="146">
        <f t="shared" si="35"/>
        <v>13126700</v>
      </c>
      <c r="M631" s="73"/>
      <c r="N631" s="73"/>
      <c r="O631" s="7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 x14ac:dyDescent="0.35">
      <c r="A632" s="9">
        <f t="shared" si="36"/>
        <v>624</v>
      </c>
      <c r="B632" s="15"/>
      <c r="C632" s="11">
        <f t="shared" si="37"/>
        <v>1</v>
      </c>
      <c r="D632" s="11"/>
      <c r="E632" s="11"/>
      <c r="F632" s="11"/>
      <c r="G632" s="89">
        <f>IFERROR(VLOOKUP(F632,COA!$A$1:$K$26,2,FALSE),0)</f>
        <v>0</v>
      </c>
      <c r="H632" s="11"/>
      <c r="I632" s="11"/>
      <c r="J632" s="78"/>
      <c r="K632" s="78"/>
      <c r="L632" s="146">
        <f t="shared" si="35"/>
        <v>13126700</v>
      </c>
      <c r="M632" s="73"/>
      <c r="N632" s="73"/>
      <c r="O632" s="7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 x14ac:dyDescent="0.35">
      <c r="A633" s="9">
        <f t="shared" si="36"/>
        <v>625</v>
      </c>
      <c r="B633" s="15"/>
      <c r="C633" s="11">
        <f t="shared" si="37"/>
        <v>1</v>
      </c>
      <c r="D633" s="11"/>
      <c r="E633" s="11"/>
      <c r="F633" s="11"/>
      <c r="G633" s="89">
        <f>IFERROR(VLOOKUP(F633,COA!$A$1:$K$26,2,FALSE),0)</f>
        <v>0</v>
      </c>
      <c r="H633" s="11"/>
      <c r="I633" s="11"/>
      <c r="J633" s="78"/>
      <c r="K633" s="78"/>
      <c r="L633" s="146">
        <f t="shared" si="35"/>
        <v>13126700</v>
      </c>
      <c r="M633" s="73"/>
      <c r="N633" s="73"/>
      <c r="O633" s="7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 x14ac:dyDescent="0.35">
      <c r="A634" s="9">
        <f t="shared" si="36"/>
        <v>626</v>
      </c>
      <c r="B634" s="15"/>
      <c r="C634" s="11">
        <f t="shared" si="37"/>
        <v>1</v>
      </c>
      <c r="D634" s="11"/>
      <c r="E634" s="11"/>
      <c r="F634" s="11"/>
      <c r="G634" s="89">
        <f>IFERROR(VLOOKUP(F634,COA!$A$1:$K$26,2,FALSE),0)</f>
        <v>0</v>
      </c>
      <c r="H634" s="11"/>
      <c r="I634" s="11"/>
      <c r="J634" s="78"/>
      <c r="K634" s="78"/>
      <c r="L634" s="146">
        <f t="shared" si="35"/>
        <v>13126700</v>
      </c>
      <c r="M634" s="73"/>
      <c r="N634" s="73"/>
      <c r="O634" s="7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 x14ac:dyDescent="0.35">
      <c r="A635" s="9">
        <f t="shared" si="36"/>
        <v>627</v>
      </c>
      <c r="B635" s="15"/>
      <c r="C635" s="11">
        <f t="shared" si="37"/>
        <v>1</v>
      </c>
      <c r="D635" s="11"/>
      <c r="E635" s="11"/>
      <c r="F635" s="11"/>
      <c r="G635" s="89">
        <f>IFERROR(VLOOKUP(F635,COA!$A$1:$K$26,2,FALSE),0)</f>
        <v>0</v>
      </c>
      <c r="H635" s="11"/>
      <c r="I635" s="11"/>
      <c r="J635" s="78"/>
      <c r="K635" s="78"/>
      <c r="L635" s="146">
        <f t="shared" si="35"/>
        <v>13126700</v>
      </c>
      <c r="M635" s="73"/>
      <c r="N635" s="73"/>
      <c r="O635" s="7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 x14ac:dyDescent="0.35">
      <c r="A636" s="9">
        <f t="shared" si="36"/>
        <v>628</v>
      </c>
      <c r="B636" s="15"/>
      <c r="C636" s="11">
        <f t="shared" si="37"/>
        <v>1</v>
      </c>
      <c r="D636" s="11"/>
      <c r="E636" s="11"/>
      <c r="F636" s="11"/>
      <c r="G636" s="89">
        <f>IFERROR(VLOOKUP(F636,COA!$A$1:$K$26,2,FALSE),0)</f>
        <v>0</v>
      </c>
      <c r="H636" s="13"/>
      <c r="I636" s="13"/>
      <c r="J636" s="78"/>
      <c r="K636" s="78"/>
      <c r="L636" s="146">
        <f t="shared" si="35"/>
        <v>13126700</v>
      </c>
      <c r="M636" s="73"/>
      <c r="N636" s="73"/>
      <c r="O636" s="7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 x14ac:dyDescent="0.35">
      <c r="A637" s="9">
        <f t="shared" si="36"/>
        <v>629</v>
      </c>
      <c r="B637" s="15"/>
      <c r="C637" s="11">
        <f t="shared" si="37"/>
        <v>1</v>
      </c>
      <c r="D637" s="11"/>
      <c r="E637" s="11"/>
      <c r="F637" s="11"/>
      <c r="G637" s="89">
        <f>IFERROR(VLOOKUP(F637,COA!$A$1:$K$26,2,FALSE),0)</f>
        <v>0</v>
      </c>
      <c r="H637" s="11"/>
      <c r="I637" s="11"/>
      <c r="J637" s="78"/>
      <c r="K637" s="78"/>
      <c r="L637" s="146">
        <f t="shared" si="35"/>
        <v>13126700</v>
      </c>
      <c r="M637" s="73"/>
      <c r="N637" s="73"/>
      <c r="O637" s="7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 x14ac:dyDescent="0.35">
      <c r="A638" s="9">
        <f t="shared" si="36"/>
        <v>630</v>
      </c>
      <c r="B638" s="15"/>
      <c r="C638" s="11">
        <f t="shared" si="37"/>
        <v>1</v>
      </c>
      <c r="D638" s="11"/>
      <c r="E638" s="11"/>
      <c r="F638" s="11"/>
      <c r="G638" s="89">
        <f>IFERROR(VLOOKUP(F638,COA!$A$1:$K$26,2,FALSE),0)</f>
        <v>0</v>
      </c>
      <c r="H638" s="11"/>
      <c r="I638" s="11"/>
      <c r="J638" s="78"/>
      <c r="K638" s="78"/>
      <c r="L638" s="146">
        <f t="shared" si="35"/>
        <v>13126700</v>
      </c>
      <c r="M638" s="73"/>
      <c r="N638" s="73"/>
      <c r="O638" s="7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 x14ac:dyDescent="0.35">
      <c r="A639" s="9">
        <f t="shared" si="36"/>
        <v>631</v>
      </c>
      <c r="B639" s="15"/>
      <c r="C639" s="11">
        <f t="shared" si="37"/>
        <v>1</v>
      </c>
      <c r="D639" s="11"/>
      <c r="E639" s="11"/>
      <c r="F639" s="11"/>
      <c r="G639" s="89">
        <f>IFERROR(VLOOKUP(F639,COA!$A$1:$K$26,2,FALSE),0)</f>
        <v>0</v>
      </c>
      <c r="H639" s="11"/>
      <c r="I639" s="11"/>
      <c r="J639" s="78"/>
      <c r="K639" s="78"/>
      <c r="L639" s="146">
        <f t="shared" si="35"/>
        <v>13126700</v>
      </c>
      <c r="M639" s="73"/>
      <c r="N639" s="73"/>
      <c r="O639" s="7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 x14ac:dyDescent="0.35">
      <c r="A640" s="9">
        <f t="shared" si="36"/>
        <v>632</v>
      </c>
      <c r="B640" s="15"/>
      <c r="C640" s="11">
        <f t="shared" si="37"/>
        <v>1</v>
      </c>
      <c r="D640" s="11"/>
      <c r="E640" s="11"/>
      <c r="F640" s="11"/>
      <c r="G640" s="89">
        <f>IFERROR(VLOOKUP(F640,COA!$A$1:$K$26,2,FALSE),0)</f>
        <v>0</v>
      </c>
      <c r="H640" s="11"/>
      <c r="I640" s="11"/>
      <c r="J640" s="78"/>
      <c r="K640" s="78"/>
      <c r="L640" s="146">
        <f t="shared" si="35"/>
        <v>13126700</v>
      </c>
      <c r="M640" s="73"/>
      <c r="N640" s="73"/>
      <c r="O640" s="7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 x14ac:dyDescent="0.35">
      <c r="A641" s="9">
        <f t="shared" si="36"/>
        <v>633</v>
      </c>
      <c r="B641" s="15"/>
      <c r="C641" s="11">
        <f t="shared" si="37"/>
        <v>1</v>
      </c>
      <c r="D641" s="11"/>
      <c r="E641" s="11"/>
      <c r="F641" s="11"/>
      <c r="G641" s="89">
        <f>IFERROR(VLOOKUP(F641,COA!$A$1:$K$26,2,FALSE),0)</f>
        <v>0</v>
      </c>
      <c r="H641" s="11"/>
      <c r="I641" s="11"/>
      <c r="J641" s="78"/>
      <c r="K641" s="78"/>
      <c r="L641" s="146">
        <f t="shared" si="35"/>
        <v>13126700</v>
      </c>
      <c r="M641" s="73"/>
      <c r="N641" s="73"/>
      <c r="O641" s="7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 x14ac:dyDescent="0.35">
      <c r="A642" s="9">
        <f t="shared" si="36"/>
        <v>634</v>
      </c>
      <c r="B642" s="15"/>
      <c r="C642" s="11">
        <f t="shared" si="37"/>
        <v>1</v>
      </c>
      <c r="D642" s="11"/>
      <c r="E642" s="11"/>
      <c r="F642" s="11"/>
      <c r="G642" s="89">
        <f>IFERROR(VLOOKUP(F642,COA!$A$1:$K$26,2,FALSE),0)</f>
        <v>0</v>
      </c>
      <c r="H642" s="11"/>
      <c r="I642" s="11"/>
      <c r="J642" s="78"/>
      <c r="K642" s="78"/>
      <c r="L642" s="146">
        <f t="shared" si="35"/>
        <v>13126700</v>
      </c>
      <c r="M642" s="73"/>
      <c r="N642" s="73"/>
      <c r="O642" s="7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 x14ac:dyDescent="0.35">
      <c r="A643" s="9">
        <f t="shared" si="36"/>
        <v>635</v>
      </c>
      <c r="B643" s="15"/>
      <c r="C643" s="11">
        <f t="shared" si="37"/>
        <v>1</v>
      </c>
      <c r="D643" s="11"/>
      <c r="E643" s="11"/>
      <c r="F643" s="11"/>
      <c r="G643" s="89">
        <f>IFERROR(VLOOKUP(F643,COA!$A$1:$K$26,2,FALSE),0)</f>
        <v>0</v>
      </c>
      <c r="H643" s="11"/>
      <c r="I643" s="11"/>
      <c r="J643" s="78"/>
      <c r="K643" s="78"/>
      <c r="L643" s="146">
        <f t="shared" si="35"/>
        <v>13126700</v>
      </c>
      <c r="M643" s="73"/>
      <c r="N643" s="73"/>
      <c r="O643" s="7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 x14ac:dyDescent="0.35">
      <c r="A644" s="9">
        <f t="shared" si="36"/>
        <v>636</v>
      </c>
      <c r="B644" s="15"/>
      <c r="C644" s="11">
        <f t="shared" si="37"/>
        <v>1</v>
      </c>
      <c r="D644" s="11"/>
      <c r="E644" s="11"/>
      <c r="F644" s="11"/>
      <c r="G644" s="89">
        <f>IFERROR(VLOOKUP(F644,COA!$A$1:$K$26,2,FALSE),0)</f>
        <v>0</v>
      </c>
      <c r="H644" s="13"/>
      <c r="I644" s="13"/>
      <c r="J644" s="78"/>
      <c r="K644" s="78"/>
      <c r="L644" s="146">
        <f t="shared" si="35"/>
        <v>13126700</v>
      </c>
      <c r="M644" s="73"/>
      <c r="N644" s="73"/>
      <c r="O644" s="7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 x14ac:dyDescent="0.35">
      <c r="A645" s="9">
        <f t="shared" si="36"/>
        <v>637</v>
      </c>
      <c r="B645" s="15"/>
      <c r="C645" s="11">
        <f t="shared" si="37"/>
        <v>1</v>
      </c>
      <c r="D645" s="11"/>
      <c r="E645" s="11"/>
      <c r="F645" s="11"/>
      <c r="G645" s="89">
        <f>IFERROR(VLOOKUP(F645,COA!$A$1:$K$26,2,FALSE),0)</f>
        <v>0</v>
      </c>
      <c r="H645" s="11"/>
      <c r="I645" s="11"/>
      <c r="J645" s="78"/>
      <c r="K645" s="78"/>
      <c r="L645" s="146">
        <f t="shared" si="35"/>
        <v>13126700</v>
      </c>
      <c r="M645" s="73"/>
      <c r="N645" s="73"/>
      <c r="O645" s="7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 x14ac:dyDescent="0.35">
      <c r="A646" s="9">
        <f t="shared" si="36"/>
        <v>638</v>
      </c>
      <c r="B646" s="15"/>
      <c r="C646" s="11">
        <f t="shared" si="37"/>
        <v>1</v>
      </c>
      <c r="D646" s="11"/>
      <c r="E646" s="11"/>
      <c r="F646" s="11"/>
      <c r="G646" s="89">
        <f>IFERROR(VLOOKUP(F646,COA!$A$1:$K$26,2,FALSE),0)</f>
        <v>0</v>
      </c>
      <c r="H646" s="11"/>
      <c r="I646" s="11"/>
      <c r="J646" s="78"/>
      <c r="K646" s="78"/>
      <c r="L646" s="146">
        <f t="shared" si="35"/>
        <v>13126700</v>
      </c>
      <c r="M646" s="73"/>
      <c r="N646" s="73"/>
      <c r="O646" s="7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 x14ac:dyDescent="0.35">
      <c r="A647" s="9">
        <f t="shared" si="36"/>
        <v>639</v>
      </c>
      <c r="B647" s="15"/>
      <c r="C647" s="11">
        <f t="shared" si="37"/>
        <v>1</v>
      </c>
      <c r="D647" s="11"/>
      <c r="E647" s="11"/>
      <c r="F647" s="11"/>
      <c r="G647" s="89">
        <f>IFERROR(VLOOKUP(F647,COA!$A$1:$K$26,2,FALSE),0)</f>
        <v>0</v>
      </c>
      <c r="H647" s="11"/>
      <c r="I647" s="11"/>
      <c r="J647" s="78"/>
      <c r="K647" s="78"/>
      <c r="L647" s="146">
        <f t="shared" si="35"/>
        <v>13126700</v>
      </c>
      <c r="M647" s="73"/>
      <c r="N647" s="73"/>
      <c r="O647" s="7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 x14ac:dyDescent="0.35">
      <c r="A648" s="9">
        <f t="shared" si="36"/>
        <v>640</v>
      </c>
      <c r="B648" s="15"/>
      <c r="C648" s="11">
        <f t="shared" si="37"/>
        <v>1</v>
      </c>
      <c r="D648" s="11"/>
      <c r="E648" s="11"/>
      <c r="F648" s="11"/>
      <c r="G648" s="89">
        <f>IFERROR(VLOOKUP(F648,COA!$A$1:$K$26,2,FALSE),0)</f>
        <v>0</v>
      </c>
      <c r="H648" s="11"/>
      <c r="I648" s="11"/>
      <c r="J648" s="78"/>
      <c r="K648" s="78"/>
      <c r="L648" s="146">
        <f t="shared" si="35"/>
        <v>13126700</v>
      </c>
      <c r="M648" s="73"/>
      <c r="N648" s="73"/>
      <c r="O648" s="7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 x14ac:dyDescent="0.35">
      <c r="A649" s="9">
        <f t="shared" si="36"/>
        <v>641</v>
      </c>
      <c r="B649" s="15"/>
      <c r="C649" s="11">
        <f t="shared" si="37"/>
        <v>1</v>
      </c>
      <c r="D649" s="11"/>
      <c r="E649" s="11"/>
      <c r="F649" s="11"/>
      <c r="G649" s="89">
        <f>IFERROR(VLOOKUP(F649,COA!$A$1:$K$26,2,FALSE),0)</f>
        <v>0</v>
      </c>
      <c r="H649" s="11"/>
      <c r="I649" s="11"/>
      <c r="J649" s="78"/>
      <c r="K649" s="78"/>
      <c r="L649" s="146">
        <f t="shared" si="35"/>
        <v>13126700</v>
      </c>
      <c r="M649" s="73"/>
      <c r="N649" s="73"/>
      <c r="O649" s="7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 x14ac:dyDescent="0.35">
      <c r="A650" s="9">
        <f t="shared" si="36"/>
        <v>642</v>
      </c>
      <c r="B650" s="15"/>
      <c r="C650" s="11">
        <f t="shared" si="37"/>
        <v>1</v>
      </c>
      <c r="D650" s="11"/>
      <c r="E650" s="11"/>
      <c r="F650" s="11"/>
      <c r="G650" s="89">
        <f>IFERROR(VLOOKUP(F650,COA!$A$1:$K$26,2,FALSE),0)</f>
        <v>0</v>
      </c>
      <c r="H650" s="13"/>
      <c r="I650" s="13"/>
      <c r="J650" s="78"/>
      <c r="K650" s="78"/>
      <c r="L650" s="146">
        <f t="shared" si="35"/>
        <v>13126700</v>
      </c>
      <c r="M650" s="73"/>
      <c r="N650" s="73"/>
      <c r="O650" s="7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 x14ac:dyDescent="0.35">
      <c r="A651" s="9">
        <f t="shared" si="36"/>
        <v>643</v>
      </c>
      <c r="B651" s="15"/>
      <c r="C651" s="11">
        <f t="shared" si="37"/>
        <v>1</v>
      </c>
      <c r="D651" s="11"/>
      <c r="E651" s="11"/>
      <c r="F651" s="11"/>
      <c r="G651" s="89">
        <f>IFERROR(VLOOKUP(F651,COA!$A$1:$K$26,2,FALSE),0)</f>
        <v>0</v>
      </c>
      <c r="H651" s="11"/>
      <c r="I651" s="11"/>
      <c r="J651" s="78"/>
      <c r="K651" s="78"/>
      <c r="L651" s="146">
        <f t="shared" si="35"/>
        <v>13126700</v>
      </c>
      <c r="M651" s="73"/>
      <c r="N651" s="73"/>
      <c r="O651" s="7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 x14ac:dyDescent="0.35">
      <c r="A652" s="9">
        <f t="shared" si="36"/>
        <v>644</v>
      </c>
      <c r="B652" s="15"/>
      <c r="C652" s="11">
        <f t="shared" si="37"/>
        <v>1</v>
      </c>
      <c r="D652" s="11"/>
      <c r="E652" s="11"/>
      <c r="F652" s="11"/>
      <c r="G652" s="89">
        <f>IFERROR(VLOOKUP(F652,COA!$A$1:$K$26,2,FALSE),0)</f>
        <v>0</v>
      </c>
      <c r="H652" s="11"/>
      <c r="I652" s="11"/>
      <c r="J652" s="78"/>
      <c r="K652" s="78"/>
      <c r="L652" s="146">
        <f t="shared" si="35"/>
        <v>13126700</v>
      </c>
      <c r="M652" s="73"/>
      <c r="N652" s="73"/>
      <c r="O652" s="7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 x14ac:dyDescent="0.35">
      <c r="A653" s="9">
        <f t="shared" si="36"/>
        <v>645</v>
      </c>
      <c r="B653" s="15"/>
      <c r="C653" s="11">
        <f t="shared" si="37"/>
        <v>1</v>
      </c>
      <c r="D653" s="11"/>
      <c r="E653" s="11"/>
      <c r="F653" s="11"/>
      <c r="G653" s="89">
        <f>IFERROR(VLOOKUP(F653,COA!$A$1:$K$26,2,FALSE),0)</f>
        <v>0</v>
      </c>
      <c r="H653" s="11"/>
      <c r="I653" s="11"/>
      <c r="J653" s="78"/>
      <c r="K653" s="78"/>
      <c r="L653" s="146">
        <f t="shared" si="35"/>
        <v>13126700</v>
      </c>
      <c r="M653" s="73"/>
      <c r="N653" s="73"/>
      <c r="O653" s="7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 x14ac:dyDescent="0.35">
      <c r="A654" s="9">
        <f t="shared" si="36"/>
        <v>646</v>
      </c>
      <c r="B654" s="15"/>
      <c r="C654" s="11">
        <f t="shared" si="37"/>
        <v>1</v>
      </c>
      <c r="D654" s="11"/>
      <c r="E654" s="11"/>
      <c r="F654" s="11"/>
      <c r="G654" s="89">
        <f>IFERROR(VLOOKUP(F654,COA!$A$1:$K$26,2,FALSE),0)</f>
        <v>0</v>
      </c>
      <c r="H654" s="11"/>
      <c r="I654" s="11"/>
      <c r="J654" s="78"/>
      <c r="K654" s="78"/>
      <c r="L654" s="146">
        <f t="shared" si="35"/>
        <v>13126700</v>
      </c>
      <c r="M654" s="73"/>
      <c r="N654" s="73"/>
      <c r="O654" s="7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 x14ac:dyDescent="0.35">
      <c r="A655" s="9">
        <f t="shared" si="36"/>
        <v>647</v>
      </c>
      <c r="B655" s="15"/>
      <c r="C655" s="11">
        <f t="shared" si="37"/>
        <v>1</v>
      </c>
      <c r="D655" s="11"/>
      <c r="E655" s="11"/>
      <c r="F655" s="11"/>
      <c r="G655" s="89">
        <f>IFERROR(VLOOKUP(F655,COA!$A$1:$K$26,2,FALSE),0)</f>
        <v>0</v>
      </c>
      <c r="H655" s="11"/>
      <c r="I655" s="11"/>
      <c r="J655" s="78"/>
      <c r="K655" s="78"/>
      <c r="L655" s="146">
        <f t="shared" si="35"/>
        <v>13126700</v>
      </c>
      <c r="M655" s="73"/>
      <c r="N655" s="73"/>
      <c r="O655" s="7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 x14ac:dyDescent="0.35">
      <c r="A656" s="9">
        <f t="shared" si="36"/>
        <v>648</v>
      </c>
      <c r="B656" s="15"/>
      <c r="C656" s="11">
        <f t="shared" si="37"/>
        <v>1</v>
      </c>
      <c r="D656" s="11"/>
      <c r="E656" s="11"/>
      <c r="F656" s="11"/>
      <c r="G656" s="89">
        <f>IFERROR(VLOOKUP(F656,COA!$A$1:$K$26,2,FALSE),0)</f>
        <v>0</v>
      </c>
      <c r="H656" s="13"/>
      <c r="I656" s="13"/>
      <c r="J656" s="78"/>
      <c r="K656" s="78"/>
      <c r="L656" s="146">
        <f t="shared" ref="L656:L719" si="38">L655+J656-K656</f>
        <v>13126700</v>
      </c>
      <c r="M656" s="73"/>
      <c r="N656" s="73"/>
      <c r="O656" s="7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 x14ac:dyDescent="0.35">
      <c r="A657" s="9">
        <f t="shared" si="36"/>
        <v>649</v>
      </c>
      <c r="B657" s="15"/>
      <c r="C657" s="11">
        <f t="shared" si="37"/>
        <v>1</v>
      </c>
      <c r="D657" s="11"/>
      <c r="E657" s="11"/>
      <c r="F657" s="11"/>
      <c r="G657" s="89">
        <f>IFERROR(VLOOKUP(F657,COA!$A$1:$K$26,2,FALSE),0)</f>
        <v>0</v>
      </c>
      <c r="H657" s="11"/>
      <c r="I657" s="11"/>
      <c r="J657" s="78"/>
      <c r="K657" s="78"/>
      <c r="L657" s="146">
        <f t="shared" si="38"/>
        <v>13126700</v>
      </c>
      <c r="M657" s="73"/>
      <c r="N657" s="73"/>
      <c r="O657" s="7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 x14ac:dyDescent="0.35">
      <c r="A658" s="9">
        <f t="shared" ref="A658:A721" si="39">A657+1</f>
        <v>650</v>
      </c>
      <c r="B658" s="15"/>
      <c r="C658" s="11">
        <f t="shared" si="37"/>
        <v>1</v>
      </c>
      <c r="D658" s="11"/>
      <c r="E658" s="11"/>
      <c r="F658" s="11"/>
      <c r="G658" s="89">
        <f>IFERROR(VLOOKUP(F658,COA!$A$1:$K$26,2,FALSE),0)</f>
        <v>0</v>
      </c>
      <c r="H658" s="11"/>
      <c r="I658" s="11"/>
      <c r="J658" s="78"/>
      <c r="K658" s="78"/>
      <c r="L658" s="146">
        <f t="shared" si="38"/>
        <v>13126700</v>
      </c>
      <c r="M658" s="73"/>
      <c r="N658" s="73"/>
      <c r="O658" s="7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 x14ac:dyDescent="0.35">
      <c r="A659" s="9">
        <f t="shared" si="39"/>
        <v>651</v>
      </c>
      <c r="B659" s="15"/>
      <c r="C659" s="11">
        <f t="shared" si="37"/>
        <v>1</v>
      </c>
      <c r="D659" s="11"/>
      <c r="E659" s="11"/>
      <c r="F659" s="11"/>
      <c r="G659" s="89">
        <f>IFERROR(VLOOKUP(F659,COA!$A$1:$K$26,2,FALSE),0)</f>
        <v>0</v>
      </c>
      <c r="H659" s="11"/>
      <c r="I659" s="11"/>
      <c r="J659" s="78"/>
      <c r="K659" s="78"/>
      <c r="L659" s="146">
        <f t="shared" si="38"/>
        <v>13126700</v>
      </c>
      <c r="M659" s="73"/>
      <c r="N659" s="73"/>
      <c r="O659" s="7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 x14ac:dyDescent="0.35">
      <c r="A660" s="9">
        <f t="shared" si="39"/>
        <v>652</v>
      </c>
      <c r="B660" s="15"/>
      <c r="C660" s="11">
        <f t="shared" si="37"/>
        <v>1</v>
      </c>
      <c r="D660" s="11"/>
      <c r="E660" s="11"/>
      <c r="F660" s="11"/>
      <c r="G660" s="89">
        <f>IFERROR(VLOOKUP(F660,COA!$A$1:$K$26,2,FALSE),0)</f>
        <v>0</v>
      </c>
      <c r="H660" s="11"/>
      <c r="I660" s="11"/>
      <c r="J660" s="78"/>
      <c r="K660" s="78"/>
      <c r="L660" s="146">
        <f t="shared" si="38"/>
        <v>13126700</v>
      </c>
      <c r="M660" s="73"/>
      <c r="N660" s="73"/>
      <c r="O660" s="7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 x14ac:dyDescent="0.35">
      <c r="A661" s="9">
        <f t="shared" si="39"/>
        <v>653</v>
      </c>
      <c r="B661" s="21"/>
      <c r="C661" s="11">
        <f t="shared" si="37"/>
        <v>1</v>
      </c>
      <c r="D661" s="11"/>
      <c r="E661" s="11"/>
      <c r="F661" s="11"/>
      <c r="G661" s="89">
        <f>IFERROR(VLOOKUP(F661,COA!$A$1:$K$26,2,FALSE),0)</f>
        <v>0</v>
      </c>
      <c r="H661" s="11"/>
      <c r="I661" s="11"/>
      <c r="J661" s="78"/>
      <c r="K661" s="78"/>
      <c r="L661" s="146">
        <f t="shared" si="38"/>
        <v>13126700</v>
      </c>
      <c r="M661" s="73"/>
      <c r="N661" s="73"/>
      <c r="O661" s="7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 x14ac:dyDescent="0.35">
      <c r="A662" s="9">
        <f t="shared" si="39"/>
        <v>654</v>
      </c>
      <c r="B662" s="21"/>
      <c r="C662" s="11">
        <f t="shared" si="37"/>
        <v>1</v>
      </c>
      <c r="D662" s="11"/>
      <c r="E662" s="11"/>
      <c r="F662" s="11"/>
      <c r="G662" s="89">
        <f>IFERROR(VLOOKUP(F662,COA!$A$1:$K$26,2,FALSE),0)</f>
        <v>0</v>
      </c>
      <c r="H662" s="11"/>
      <c r="I662" s="11"/>
      <c r="J662" s="78"/>
      <c r="K662" s="78"/>
      <c r="L662" s="146">
        <f t="shared" si="38"/>
        <v>13126700</v>
      </c>
      <c r="M662" s="73"/>
      <c r="N662" s="73"/>
      <c r="O662" s="7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 x14ac:dyDescent="0.35">
      <c r="A663" s="9">
        <f t="shared" si="39"/>
        <v>655</v>
      </c>
      <c r="B663" s="21"/>
      <c r="C663" s="11">
        <f t="shared" si="37"/>
        <v>1</v>
      </c>
      <c r="D663" s="11"/>
      <c r="E663" s="11"/>
      <c r="F663" s="11"/>
      <c r="G663" s="89">
        <f>IFERROR(VLOOKUP(F663,COA!$A$1:$K$26,2,FALSE),0)</f>
        <v>0</v>
      </c>
      <c r="H663" s="11"/>
      <c r="I663" s="11"/>
      <c r="J663" s="78"/>
      <c r="K663" s="78"/>
      <c r="L663" s="146">
        <f t="shared" si="38"/>
        <v>13126700</v>
      </c>
      <c r="M663" s="73"/>
      <c r="N663" s="73"/>
      <c r="O663" s="7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 x14ac:dyDescent="0.35">
      <c r="A664" s="9">
        <f t="shared" si="39"/>
        <v>656</v>
      </c>
      <c r="B664" s="15"/>
      <c r="C664" s="11">
        <f t="shared" si="37"/>
        <v>1</v>
      </c>
      <c r="D664" s="11"/>
      <c r="E664" s="11"/>
      <c r="F664" s="11"/>
      <c r="G664" s="89">
        <f>IFERROR(VLOOKUP(F664,COA!$A$1:$K$26,2,FALSE),0)</f>
        <v>0</v>
      </c>
      <c r="H664" s="11"/>
      <c r="I664" s="11"/>
      <c r="J664" s="78"/>
      <c r="K664" s="78"/>
      <c r="L664" s="146">
        <f t="shared" si="38"/>
        <v>13126700</v>
      </c>
      <c r="M664" s="73"/>
      <c r="N664" s="73"/>
      <c r="O664" s="7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 x14ac:dyDescent="0.35">
      <c r="A665" s="9">
        <f t="shared" si="39"/>
        <v>657</v>
      </c>
      <c r="B665" s="15"/>
      <c r="C665" s="11">
        <f t="shared" si="37"/>
        <v>1</v>
      </c>
      <c r="D665" s="11"/>
      <c r="E665" s="11"/>
      <c r="F665" s="11"/>
      <c r="G665" s="89">
        <f>IFERROR(VLOOKUP(F665,COA!$A$1:$K$26,2,FALSE),0)</f>
        <v>0</v>
      </c>
      <c r="H665" s="11"/>
      <c r="I665" s="11"/>
      <c r="J665" s="78"/>
      <c r="K665" s="78"/>
      <c r="L665" s="146">
        <f t="shared" si="38"/>
        <v>13126700</v>
      </c>
      <c r="M665" s="73"/>
      <c r="N665" s="73"/>
      <c r="O665" s="7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 x14ac:dyDescent="0.35">
      <c r="A666" s="9">
        <f t="shared" si="39"/>
        <v>658</v>
      </c>
      <c r="B666" s="15"/>
      <c r="C666" s="11">
        <f t="shared" si="37"/>
        <v>1</v>
      </c>
      <c r="D666" s="11"/>
      <c r="E666" s="11"/>
      <c r="F666" s="11"/>
      <c r="G666" s="89">
        <f>IFERROR(VLOOKUP(F666,COA!$A$1:$K$26,2,FALSE),0)</f>
        <v>0</v>
      </c>
      <c r="H666" s="11"/>
      <c r="I666" s="11"/>
      <c r="J666" s="78"/>
      <c r="K666" s="78"/>
      <c r="L666" s="146">
        <f t="shared" si="38"/>
        <v>13126700</v>
      </c>
      <c r="M666" s="73"/>
      <c r="N666" s="73"/>
      <c r="O666" s="7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 x14ac:dyDescent="0.35">
      <c r="A667" s="9">
        <f t="shared" si="39"/>
        <v>659</v>
      </c>
      <c r="B667" s="15"/>
      <c r="C667" s="11">
        <f t="shared" si="37"/>
        <v>1</v>
      </c>
      <c r="D667" s="11"/>
      <c r="E667" s="11"/>
      <c r="F667" s="11"/>
      <c r="G667" s="89">
        <f>IFERROR(VLOOKUP(F667,COA!$A$1:$K$26,2,FALSE),0)</f>
        <v>0</v>
      </c>
      <c r="H667" s="11"/>
      <c r="I667" s="11"/>
      <c r="J667" s="78"/>
      <c r="K667" s="78"/>
      <c r="L667" s="146">
        <f t="shared" si="38"/>
        <v>13126700</v>
      </c>
      <c r="M667" s="73"/>
      <c r="N667" s="73"/>
      <c r="O667" s="7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 x14ac:dyDescent="0.35">
      <c r="A668" s="9">
        <f t="shared" si="39"/>
        <v>660</v>
      </c>
      <c r="B668" s="15"/>
      <c r="C668" s="11">
        <f t="shared" si="37"/>
        <v>1</v>
      </c>
      <c r="D668" s="11"/>
      <c r="E668" s="11"/>
      <c r="F668" s="11"/>
      <c r="G668" s="89">
        <f>IFERROR(VLOOKUP(F668,COA!$A$1:$K$26,2,FALSE),0)</f>
        <v>0</v>
      </c>
      <c r="H668" s="11"/>
      <c r="I668" s="11"/>
      <c r="J668" s="78"/>
      <c r="K668" s="78"/>
      <c r="L668" s="146">
        <f t="shared" si="38"/>
        <v>13126700</v>
      </c>
      <c r="M668" s="73"/>
      <c r="N668" s="73"/>
      <c r="O668" s="7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 x14ac:dyDescent="0.35">
      <c r="A669" s="9">
        <f t="shared" si="39"/>
        <v>661</v>
      </c>
      <c r="B669" s="15"/>
      <c r="C669" s="11">
        <f t="shared" si="37"/>
        <v>1</v>
      </c>
      <c r="D669" s="11"/>
      <c r="E669" s="11"/>
      <c r="F669" s="11"/>
      <c r="G669" s="89">
        <f>IFERROR(VLOOKUP(F669,COA!$A$1:$K$26,2,FALSE),0)</f>
        <v>0</v>
      </c>
      <c r="H669" s="11"/>
      <c r="I669" s="11"/>
      <c r="J669" s="78"/>
      <c r="K669" s="78"/>
      <c r="L669" s="146">
        <f t="shared" si="38"/>
        <v>13126700</v>
      </c>
      <c r="M669" s="73"/>
      <c r="N669" s="73"/>
      <c r="O669" s="7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 x14ac:dyDescent="0.35">
      <c r="A670" s="9">
        <f t="shared" si="39"/>
        <v>662</v>
      </c>
      <c r="B670" s="15"/>
      <c r="C670" s="11">
        <f t="shared" si="37"/>
        <v>1</v>
      </c>
      <c r="D670" s="11"/>
      <c r="E670" s="11"/>
      <c r="F670" s="11"/>
      <c r="G670" s="89">
        <f>IFERROR(VLOOKUP(F670,COA!$A$1:$K$26,2,FALSE),0)</f>
        <v>0</v>
      </c>
      <c r="H670" s="11"/>
      <c r="I670" s="11"/>
      <c r="J670" s="78"/>
      <c r="K670" s="78"/>
      <c r="L670" s="146">
        <f t="shared" si="38"/>
        <v>13126700</v>
      </c>
      <c r="M670" s="73"/>
      <c r="N670" s="73"/>
      <c r="O670" s="7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 x14ac:dyDescent="0.35">
      <c r="A671" s="9">
        <f t="shared" si="39"/>
        <v>663</v>
      </c>
      <c r="B671" s="15"/>
      <c r="C671" s="11">
        <f t="shared" si="37"/>
        <v>1</v>
      </c>
      <c r="D671" s="11"/>
      <c r="E671" s="11"/>
      <c r="F671" s="11"/>
      <c r="G671" s="89">
        <f>IFERROR(VLOOKUP(F671,COA!$A$1:$K$26,2,FALSE),0)</f>
        <v>0</v>
      </c>
      <c r="H671" s="11"/>
      <c r="I671" s="11"/>
      <c r="J671" s="78"/>
      <c r="K671" s="78"/>
      <c r="L671" s="146">
        <f t="shared" si="38"/>
        <v>13126700</v>
      </c>
      <c r="M671" s="73"/>
      <c r="N671" s="73"/>
      <c r="O671" s="7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 x14ac:dyDescent="0.35">
      <c r="A672" s="9">
        <f t="shared" si="39"/>
        <v>664</v>
      </c>
      <c r="B672" s="15"/>
      <c r="C672" s="11">
        <f t="shared" si="37"/>
        <v>1</v>
      </c>
      <c r="D672" s="11"/>
      <c r="E672" s="11"/>
      <c r="F672" s="11"/>
      <c r="G672" s="89">
        <f>IFERROR(VLOOKUP(F672,COA!$A$1:$K$26,2,FALSE),0)</f>
        <v>0</v>
      </c>
      <c r="H672" s="11"/>
      <c r="I672" s="11"/>
      <c r="J672" s="78"/>
      <c r="K672" s="78"/>
      <c r="L672" s="146">
        <f t="shared" si="38"/>
        <v>13126700</v>
      </c>
      <c r="M672" s="73"/>
      <c r="N672" s="73"/>
      <c r="O672" s="7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 x14ac:dyDescent="0.35">
      <c r="A673" s="9">
        <f t="shared" si="39"/>
        <v>665</v>
      </c>
      <c r="B673" s="15"/>
      <c r="C673" s="11">
        <f t="shared" si="37"/>
        <v>1</v>
      </c>
      <c r="D673" s="11"/>
      <c r="E673" s="11"/>
      <c r="F673" s="11"/>
      <c r="G673" s="89">
        <f>IFERROR(VLOOKUP(F673,COA!$A$1:$K$26,2,FALSE),0)</f>
        <v>0</v>
      </c>
      <c r="H673" s="11"/>
      <c r="I673" s="11"/>
      <c r="J673" s="78"/>
      <c r="K673" s="78"/>
      <c r="L673" s="146">
        <f t="shared" si="38"/>
        <v>13126700</v>
      </c>
      <c r="M673" s="73"/>
      <c r="N673" s="73"/>
      <c r="O673" s="7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 x14ac:dyDescent="0.35">
      <c r="A674" s="9">
        <f t="shared" si="39"/>
        <v>666</v>
      </c>
      <c r="B674" s="15"/>
      <c r="C674" s="11">
        <f t="shared" si="37"/>
        <v>1</v>
      </c>
      <c r="D674" s="11"/>
      <c r="E674" s="11"/>
      <c r="F674" s="11"/>
      <c r="G674" s="89">
        <f>IFERROR(VLOOKUP(F674,COA!$A$1:$K$26,2,FALSE),0)</f>
        <v>0</v>
      </c>
      <c r="H674" s="11"/>
      <c r="I674" s="11"/>
      <c r="J674" s="78"/>
      <c r="K674" s="78"/>
      <c r="L674" s="146">
        <f t="shared" si="38"/>
        <v>13126700</v>
      </c>
      <c r="M674" s="73"/>
      <c r="N674" s="73"/>
      <c r="O674" s="7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 x14ac:dyDescent="0.35">
      <c r="A675" s="9">
        <f t="shared" si="39"/>
        <v>667</v>
      </c>
      <c r="B675" s="15"/>
      <c r="C675" s="11">
        <f t="shared" si="37"/>
        <v>1</v>
      </c>
      <c r="D675" s="11"/>
      <c r="E675" s="11"/>
      <c r="F675" s="11"/>
      <c r="G675" s="89">
        <f>IFERROR(VLOOKUP(F675,COA!$A$1:$K$26,2,FALSE),0)</f>
        <v>0</v>
      </c>
      <c r="H675" s="11"/>
      <c r="I675" s="11"/>
      <c r="J675" s="78"/>
      <c r="K675" s="78"/>
      <c r="L675" s="146">
        <f t="shared" si="38"/>
        <v>13126700</v>
      </c>
      <c r="M675" s="73"/>
      <c r="N675" s="73"/>
      <c r="O675" s="7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 x14ac:dyDescent="0.35">
      <c r="A676" s="9">
        <f t="shared" si="39"/>
        <v>668</v>
      </c>
      <c r="B676" s="15"/>
      <c r="C676" s="11">
        <f t="shared" ref="C676:C739" si="40">MONTH(B676)</f>
        <v>1</v>
      </c>
      <c r="D676" s="11"/>
      <c r="E676" s="11"/>
      <c r="F676" s="11"/>
      <c r="G676" s="89">
        <f>IFERROR(VLOOKUP(F676,COA!$A$1:$K$26,2,FALSE),0)</f>
        <v>0</v>
      </c>
      <c r="H676" s="11"/>
      <c r="I676" s="11"/>
      <c r="J676" s="78"/>
      <c r="K676" s="78"/>
      <c r="L676" s="146">
        <f t="shared" si="38"/>
        <v>13126700</v>
      </c>
      <c r="M676" s="73"/>
      <c r="N676" s="73"/>
      <c r="O676" s="7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 x14ac:dyDescent="0.35">
      <c r="A677" s="9">
        <f t="shared" si="39"/>
        <v>669</v>
      </c>
      <c r="B677" s="15"/>
      <c r="C677" s="11">
        <f t="shared" si="40"/>
        <v>1</v>
      </c>
      <c r="D677" s="11"/>
      <c r="E677" s="11"/>
      <c r="F677" s="11"/>
      <c r="G677" s="89">
        <f>IFERROR(VLOOKUP(F677,COA!$A$1:$K$26,2,FALSE),0)</f>
        <v>0</v>
      </c>
      <c r="H677" s="11"/>
      <c r="I677" s="4"/>
      <c r="J677" s="78"/>
      <c r="K677" s="78"/>
      <c r="L677" s="146">
        <f t="shared" si="38"/>
        <v>13126700</v>
      </c>
      <c r="M677" s="73"/>
      <c r="N677" s="73"/>
      <c r="O677" s="7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 x14ac:dyDescent="0.35">
      <c r="A678" s="9">
        <f t="shared" si="39"/>
        <v>670</v>
      </c>
      <c r="B678" s="15"/>
      <c r="C678" s="11">
        <f t="shared" si="40"/>
        <v>1</v>
      </c>
      <c r="D678" s="11"/>
      <c r="E678" s="11"/>
      <c r="F678" s="11"/>
      <c r="G678" s="89">
        <f>IFERROR(VLOOKUP(F678,COA!$A$1:$K$26,2,FALSE),0)</f>
        <v>0</v>
      </c>
      <c r="H678" s="13"/>
      <c r="I678" s="13"/>
      <c r="J678" s="78"/>
      <c r="K678" s="78"/>
      <c r="L678" s="146">
        <f t="shared" si="38"/>
        <v>13126700</v>
      </c>
      <c r="M678" s="73"/>
      <c r="N678" s="73"/>
      <c r="O678" s="7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 x14ac:dyDescent="0.35">
      <c r="A679" s="9">
        <f t="shared" si="39"/>
        <v>671</v>
      </c>
      <c r="B679" s="15"/>
      <c r="C679" s="11">
        <f t="shared" si="40"/>
        <v>1</v>
      </c>
      <c r="D679" s="11"/>
      <c r="E679" s="11"/>
      <c r="F679" s="11"/>
      <c r="G679" s="89">
        <f>IFERROR(VLOOKUP(F679,COA!$A$1:$K$26,2,FALSE),0)</f>
        <v>0</v>
      </c>
      <c r="H679" s="11"/>
      <c r="I679" s="11"/>
      <c r="J679" s="78"/>
      <c r="K679" s="78"/>
      <c r="L679" s="146">
        <f t="shared" si="38"/>
        <v>13126700</v>
      </c>
      <c r="M679" s="73"/>
      <c r="N679" s="73"/>
      <c r="O679" s="7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 x14ac:dyDescent="0.35">
      <c r="A680" s="9">
        <f t="shared" si="39"/>
        <v>672</v>
      </c>
      <c r="B680" s="15"/>
      <c r="C680" s="11">
        <f t="shared" si="40"/>
        <v>1</v>
      </c>
      <c r="D680" s="11"/>
      <c r="E680" s="11"/>
      <c r="F680" s="11"/>
      <c r="G680" s="89">
        <f>IFERROR(VLOOKUP(F680,COA!$A$1:$K$26,2,FALSE),0)</f>
        <v>0</v>
      </c>
      <c r="H680" s="11"/>
      <c r="I680" s="11"/>
      <c r="J680" s="78"/>
      <c r="K680" s="78"/>
      <c r="L680" s="146">
        <f t="shared" si="38"/>
        <v>13126700</v>
      </c>
      <c r="M680" s="73"/>
      <c r="N680" s="73"/>
      <c r="O680" s="7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 x14ac:dyDescent="0.35">
      <c r="A681" s="9">
        <f t="shared" si="39"/>
        <v>673</v>
      </c>
      <c r="B681" s="15"/>
      <c r="C681" s="11">
        <f t="shared" si="40"/>
        <v>1</v>
      </c>
      <c r="D681" s="11"/>
      <c r="E681" s="11"/>
      <c r="F681" s="11"/>
      <c r="G681" s="89">
        <f>IFERROR(VLOOKUP(F681,COA!$A$1:$K$26,2,FALSE),0)</f>
        <v>0</v>
      </c>
      <c r="H681" s="11"/>
      <c r="I681" s="11"/>
      <c r="J681" s="78"/>
      <c r="K681" s="78"/>
      <c r="L681" s="146">
        <f t="shared" si="38"/>
        <v>13126700</v>
      </c>
      <c r="M681" s="73"/>
      <c r="N681" s="73"/>
      <c r="O681" s="7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 x14ac:dyDescent="0.35">
      <c r="A682" s="9">
        <f t="shared" si="39"/>
        <v>674</v>
      </c>
      <c r="B682" s="15"/>
      <c r="C682" s="11">
        <f t="shared" si="40"/>
        <v>1</v>
      </c>
      <c r="D682" s="11"/>
      <c r="E682" s="11"/>
      <c r="F682" s="11"/>
      <c r="G682" s="89">
        <f>IFERROR(VLOOKUP(F682,COA!$A$1:$K$26,2,FALSE),0)</f>
        <v>0</v>
      </c>
      <c r="H682" s="11"/>
      <c r="I682" s="11"/>
      <c r="J682" s="78"/>
      <c r="K682" s="78"/>
      <c r="L682" s="146">
        <f t="shared" si="38"/>
        <v>13126700</v>
      </c>
      <c r="M682" s="73"/>
      <c r="N682" s="73"/>
      <c r="O682" s="7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 x14ac:dyDescent="0.35">
      <c r="A683" s="9">
        <f t="shared" si="39"/>
        <v>675</v>
      </c>
      <c r="B683" s="15"/>
      <c r="C683" s="11">
        <f t="shared" si="40"/>
        <v>1</v>
      </c>
      <c r="D683" s="11"/>
      <c r="E683" s="11"/>
      <c r="F683" s="11"/>
      <c r="G683" s="89">
        <f>IFERROR(VLOOKUP(F683,COA!$A$1:$K$26,2,FALSE),0)</f>
        <v>0</v>
      </c>
      <c r="H683" s="11"/>
      <c r="I683" s="11"/>
      <c r="J683" s="78"/>
      <c r="K683" s="78"/>
      <c r="L683" s="146">
        <f t="shared" si="38"/>
        <v>13126700</v>
      </c>
      <c r="M683" s="73"/>
      <c r="N683" s="73"/>
      <c r="O683" s="7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 x14ac:dyDescent="0.35">
      <c r="A684" s="9">
        <f t="shared" si="39"/>
        <v>676</v>
      </c>
      <c r="B684" s="15"/>
      <c r="C684" s="11">
        <f t="shared" si="40"/>
        <v>1</v>
      </c>
      <c r="D684" s="11"/>
      <c r="E684" s="11"/>
      <c r="F684" s="11"/>
      <c r="G684" s="89">
        <f>IFERROR(VLOOKUP(F684,COA!$A$1:$K$26,2,FALSE),0)</f>
        <v>0</v>
      </c>
      <c r="H684" s="11"/>
      <c r="I684" s="11"/>
      <c r="J684" s="78"/>
      <c r="K684" s="78"/>
      <c r="L684" s="146">
        <f t="shared" si="38"/>
        <v>13126700</v>
      </c>
      <c r="M684" s="73"/>
      <c r="N684" s="73"/>
      <c r="O684" s="7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 x14ac:dyDescent="0.35">
      <c r="A685" s="9">
        <f t="shared" si="39"/>
        <v>677</v>
      </c>
      <c r="B685" s="15"/>
      <c r="C685" s="11">
        <f t="shared" si="40"/>
        <v>1</v>
      </c>
      <c r="D685" s="11"/>
      <c r="E685" s="11"/>
      <c r="F685" s="11"/>
      <c r="G685" s="89">
        <f>IFERROR(VLOOKUP(F685,COA!$A$1:$K$26,2,FALSE),0)</f>
        <v>0</v>
      </c>
      <c r="H685" s="11"/>
      <c r="I685" s="11"/>
      <c r="J685" s="78"/>
      <c r="K685" s="78"/>
      <c r="L685" s="146">
        <f t="shared" si="38"/>
        <v>13126700</v>
      </c>
      <c r="M685" s="73"/>
      <c r="N685" s="73"/>
      <c r="O685" s="7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 x14ac:dyDescent="0.35">
      <c r="A686" s="9">
        <f t="shared" si="39"/>
        <v>678</v>
      </c>
      <c r="B686" s="15"/>
      <c r="C686" s="11">
        <f t="shared" si="40"/>
        <v>1</v>
      </c>
      <c r="D686" s="11"/>
      <c r="E686" s="11"/>
      <c r="F686" s="11"/>
      <c r="G686" s="89">
        <f>IFERROR(VLOOKUP(F686,COA!$A$1:$K$26,2,FALSE),0)</f>
        <v>0</v>
      </c>
      <c r="H686" s="11"/>
      <c r="I686" s="11"/>
      <c r="J686" s="78"/>
      <c r="K686" s="78"/>
      <c r="L686" s="146">
        <f t="shared" si="38"/>
        <v>13126700</v>
      </c>
      <c r="M686" s="73"/>
      <c r="N686" s="73"/>
      <c r="O686" s="7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 x14ac:dyDescent="0.35">
      <c r="A687" s="9">
        <f t="shared" si="39"/>
        <v>679</v>
      </c>
      <c r="B687" s="15"/>
      <c r="C687" s="11">
        <f t="shared" si="40"/>
        <v>1</v>
      </c>
      <c r="D687" s="11"/>
      <c r="E687" s="11"/>
      <c r="F687" s="11"/>
      <c r="G687" s="89">
        <f>IFERROR(VLOOKUP(F687,COA!$A$1:$K$26,2,FALSE),0)</f>
        <v>0</v>
      </c>
      <c r="H687" s="11"/>
      <c r="I687" s="11"/>
      <c r="J687" s="78"/>
      <c r="K687" s="78"/>
      <c r="L687" s="146">
        <f t="shared" si="38"/>
        <v>13126700</v>
      </c>
      <c r="M687" s="73"/>
      <c r="N687" s="73"/>
      <c r="O687" s="7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 x14ac:dyDescent="0.35">
      <c r="A688" s="9">
        <f t="shared" si="39"/>
        <v>680</v>
      </c>
      <c r="B688" s="15"/>
      <c r="C688" s="11">
        <f t="shared" si="40"/>
        <v>1</v>
      </c>
      <c r="D688" s="11"/>
      <c r="E688" s="11"/>
      <c r="F688" s="11"/>
      <c r="G688" s="89">
        <f>IFERROR(VLOOKUP(F688,COA!$A$1:$K$26,2,FALSE),0)</f>
        <v>0</v>
      </c>
      <c r="H688" s="11"/>
      <c r="I688" s="11"/>
      <c r="J688" s="78"/>
      <c r="K688" s="78"/>
      <c r="L688" s="146">
        <f t="shared" si="38"/>
        <v>13126700</v>
      </c>
      <c r="M688" s="73"/>
      <c r="N688" s="73"/>
      <c r="O688" s="7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 x14ac:dyDescent="0.35">
      <c r="A689" s="9">
        <f t="shared" si="39"/>
        <v>681</v>
      </c>
      <c r="B689" s="15"/>
      <c r="C689" s="11">
        <f t="shared" si="40"/>
        <v>1</v>
      </c>
      <c r="D689" s="11"/>
      <c r="E689" s="11"/>
      <c r="F689" s="11"/>
      <c r="G689" s="89">
        <f>IFERROR(VLOOKUP(F689,COA!$A$1:$K$26,2,FALSE),0)</f>
        <v>0</v>
      </c>
      <c r="H689" s="11"/>
      <c r="I689" s="11"/>
      <c r="J689" s="78"/>
      <c r="K689" s="78"/>
      <c r="L689" s="146">
        <f t="shared" si="38"/>
        <v>13126700</v>
      </c>
      <c r="M689" s="73"/>
      <c r="N689" s="73"/>
      <c r="O689" s="7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 x14ac:dyDescent="0.35">
      <c r="A690" s="9">
        <f t="shared" si="39"/>
        <v>682</v>
      </c>
      <c r="B690" s="15"/>
      <c r="C690" s="11">
        <f t="shared" si="40"/>
        <v>1</v>
      </c>
      <c r="D690" s="11"/>
      <c r="E690" s="11"/>
      <c r="F690" s="11"/>
      <c r="G690" s="89">
        <f>IFERROR(VLOOKUP(F690,COA!$A$1:$K$26,2,FALSE),0)</f>
        <v>0</v>
      </c>
      <c r="H690" s="11"/>
      <c r="I690" s="11"/>
      <c r="J690" s="78"/>
      <c r="K690" s="78"/>
      <c r="L690" s="146">
        <f t="shared" si="38"/>
        <v>13126700</v>
      </c>
      <c r="M690" s="73"/>
      <c r="N690" s="73"/>
      <c r="O690" s="7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 x14ac:dyDescent="0.35">
      <c r="A691" s="9">
        <f t="shared" si="39"/>
        <v>683</v>
      </c>
      <c r="B691" s="15"/>
      <c r="C691" s="11">
        <f t="shared" si="40"/>
        <v>1</v>
      </c>
      <c r="D691" s="11"/>
      <c r="E691" s="11"/>
      <c r="F691" s="11"/>
      <c r="G691" s="89">
        <f>IFERROR(VLOOKUP(F691,COA!$A$1:$K$26,2,FALSE),0)</f>
        <v>0</v>
      </c>
      <c r="H691" s="13"/>
      <c r="I691" s="13"/>
      <c r="J691" s="78"/>
      <c r="K691" s="78"/>
      <c r="L691" s="146">
        <f t="shared" si="38"/>
        <v>13126700</v>
      </c>
      <c r="M691" s="73"/>
      <c r="N691" s="73"/>
      <c r="O691" s="7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 x14ac:dyDescent="0.35">
      <c r="A692" s="9">
        <f t="shared" si="39"/>
        <v>684</v>
      </c>
      <c r="B692" s="15"/>
      <c r="C692" s="11">
        <f t="shared" si="40"/>
        <v>1</v>
      </c>
      <c r="D692" s="11"/>
      <c r="E692" s="11"/>
      <c r="F692" s="11"/>
      <c r="G692" s="89">
        <f>IFERROR(VLOOKUP(F692,COA!$A$1:$K$26,2,FALSE),0)</f>
        <v>0</v>
      </c>
      <c r="H692" s="11"/>
      <c r="I692" s="11"/>
      <c r="J692" s="78"/>
      <c r="K692" s="78"/>
      <c r="L692" s="146">
        <f t="shared" si="38"/>
        <v>13126700</v>
      </c>
      <c r="M692" s="73"/>
      <c r="N692" s="73"/>
      <c r="O692" s="7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 x14ac:dyDescent="0.35">
      <c r="A693" s="9">
        <f t="shared" si="39"/>
        <v>685</v>
      </c>
      <c r="B693" s="15"/>
      <c r="C693" s="11">
        <f t="shared" si="40"/>
        <v>1</v>
      </c>
      <c r="D693" s="11"/>
      <c r="E693" s="11"/>
      <c r="F693" s="11"/>
      <c r="G693" s="89">
        <f>IFERROR(VLOOKUP(F693,COA!$A$1:$K$26,2,FALSE),0)</f>
        <v>0</v>
      </c>
      <c r="H693" s="11"/>
      <c r="I693" s="11"/>
      <c r="J693" s="78"/>
      <c r="K693" s="78"/>
      <c r="L693" s="146">
        <f t="shared" si="38"/>
        <v>13126700</v>
      </c>
      <c r="M693" s="73"/>
      <c r="N693" s="73"/>
      <c r="O693" s="7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 x14ac:dyDescent="0.35">
      <c r="A694" s="9">
        <f t="shared" si="39"/>
        <v>686</v>
      </c>
      <c r="B694" s="15"/>
      <c r="C694" s="11">
        <f t="shared" si="40"/>
        <v>1</v>
      </c>
      <c r="D694" s="11"/>
      <c r="E694" s="11"/>
      <c r="F694" s="11"/>
      <c r="G694" s="89">
        <f>IFERROR(VLOOKUP(F694,COA!$A$1:$K$26,2,FALSE),0)</f>
        <v>0</v>
      </c>
      <c r="H694" s="11"/>
      <c r="I694" s="11"/>
      <c r="J694" s="78"/>
      <c r="K694" s="78"/>
      <c r="L694" s="146">
        <f t="shared" si="38"/>
        <v>13126700</v>
      </c>
      <c r="M694" s="73"/>
      <c r="N694" s="73"/>
      <c r="O694" s="7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 x14ac:dyDescent="0.35">
      <c r="A695" s="9">
        <f t="shared" si="39"/>
        <v>687</v>
      </c>
      <c r="B695" s="15"/>
      <c r="C695" s="11">
        <f t="shared" si="40"/>
        <v>1</v>
      </c>
      <c r="D695" s="11"/>
      <c r="E695" s="11"/>
      <c r="F695" s="11"/>
      <c r="G695" s="89">
        <f>IFERROR(VLOOKUP(F695,COA!$A$1:$K$26,2,FALSE),0)</f>
        <v>0</v>
      </c>
      <c r="H695" s="11"/>
      <c r="I695" s="11"/>
      <c r="J695" s="78"/>
      <c r="K695" s="78"/>
      <c r="L695" s="146">
        <f t="shared" si="38"/>
        <v>13126700</v>
      </c>
      <c r="M695" s="73"/>
      <c r="N695" s="73"/>
      <c r="O695" s="7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 x14ac:dyDescent="0.35">
      <c r="A696" s="9">
        <f t="shared" si="39"/>
        <v>688</v>
      </c>
      <c r="B696" s="15"/>
      <c r="C696" s="11">
        <f t="shared" si="40"/>
        <v>1</v>
      </c>
      <c r="D696" s="11"/>
      <c r="E696" s="11"/>
      <c r="F696" s="11"/>
      <c r="G696" s="89">
        <f>IFERROR(VLOOKUP(F696,COA!$A$1:$K$26,2,FALSE),0)</f>
        <v>0</v>
      </c>
      <c r="H696" s="11"/>
      <c r="I696" s="11"/>
      <c r="J696" s="78"/>
      <c r="K696" s="78"/>
      <c r="L696" s="146">
        <f t="shared" si="38"/>
        <v>13126700</v>
      </c>
      <c r="M696" s="73"/>
      <c r="N696" s="73"/>
      <c r="O696" s="7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 x14ac:dyDescent="0.35">
      <c r="A697" s="9">
        <f t="shared" si="39"/>
        <v>689</v>
      </c>
      <c r="B697" s="15"/>
      <c r="C697" s="11">
        <f t="shared" si="40"/>
        <v>1</v>
      </c>
      <c r="D697" s="11"/>
      <c r="E697" s="11"/>
      <c r="F697" s="11"/>
      <c r="G697" s="89">
        <f>IFERROR(VLOOKUP(F697,COA!$A$1:$K$26,2,FALSE),0)</f>
        <v>0</v>
      </c>
      <c r="H697" s="13"/>
      <c r="I697" s="13"/>
      <c r="J697" s="78"/>
      <c r="K697" s="78"/>
      <c r="L697" s="146">
        <f t="shared" si="38"/>
        <v>13126700</v>
      </c>
      <c r="M697" s="73"/>
      <c r="N697" s="73"/>
      <c r="O697" s="7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 x14ac:dyDescent="0.35">
      <c r="A698" s="9">
        <f t="shared" si="39"/>
        <v>690</v>
      </c>
      <c r="B698" s="15"/>
      <c r="C698" s="11">
        <f t="shared" si="40"/>
        <v>1</v>
      </c>
      <c r="D698" s="11"/>
      <c r="E698" s="11"/>
      <c r="F698" s="11"/>
      <c r="G698" s="89">
        <f>IFERROR(VLOOKUP(F698,COA!$A$1:$K$26,2,FALSE),0)</f>
        <v>0</v>
      </c>
      <c r="H698" s="11"/>
      <c r="I698" s="11"/>
      <c r="J698" s="78"/>
      <c r="K698" s="78"/>
      <c r="L698" s="146">
        <f t="shared" si="38"/>
        <v>13126700</v>
      </c>
      <c r="M698" s="73"/>
      <c r="N698" s="73"/>
      <c r="O698" s="7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 x14ac:dyDescent="0.35">
      <c r="A699" s="9">
        <f t="shared" si="39"/>
        <v>691</v>
      </c>
      <c r="B699" s="15"/>
      <c r="C699" s="11">
        <f t="shared" si="40"/>
        <v>1</v>
      </c>
      <c r="D699" s="11"/>
      <c r="E699" s="11"/>
      <c r="F699" s="11"/>
      <c r="G699" s="89">
        <f>IFERROR(VLOOKUP(F699,COA!$A$1:$K$26,2,FALSE),0)</f>
        <v>0</v>
      </c>
      <c r="H699" s="11"/>
      <c r="I699" s="11"/>
      <c r="J699" s="78"/>
      <c r="K699" s="78"/>
      <c r="L699" s="146">
        <f t="shared" si="38"/>
        <v>13126700</v>
      </c>
      <c r="M699" s="73"/>
      <c r="N699" s="73"/>
      <c r="O699" s="7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 x14ac:dyDescent="0.35">
      <c r="A700" s="9">
        <f t="shared" si="39"/>
        <v>692</v>
      </c>
      <c r="B700" s="15"/>
      <c r="C700" s="11">
        <f t="shared" si="40"/>
        <v>1</v>
      </c>
      <c r="D700" s="11"/>
      <c r="E700" s="11"/>
      <c r="F700" s="11"/>
      <c r="G700" s="89">
        <f>IFERROR(VLOOKUP(F700,COA!$A$1:$K$26,2,FALSE),0)</f>
        <v>0</v>
      </c>
      <c r="H700" s="11"/>
      <c r="I700" s="11"/>
      <c r="J700" s="78"/>
      <c r="K700" s="78"/>
      <c r="L700" s="146">
        <f t="shared" si="38"/>
        <v>13126700</v>
      </c>
      <c r="M700" s="73"/>
      <c r="N700" s="73"/>
      <c r="O700" s="7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 x14ac:dyDescent="0.35">
      <c r="A701" s="9">
        <f t="shared" si="39"/>
        <v>693</v>
      </c>
      <c r="B701" s="15"/>
      <c r="C701" s="11">
        <f t="shared" si="40"/>
        <v>1</v>
      </c>
      <c r="D701" s="11"/>
      <c r="E701" s="11"/>
      <c r="F701" s="11"/>
      <c r="G701" s="89">
        <f>IFERROR(VLOOKUP(F701,COA!$A$1:$K$26,2,FALSE),0)</f>
        <v>0</v>
      </c>
      <c r="H701" s="11"/>
      <c r="I701" s="11"/>
      <c r="J701" s="78"/>
      <c r="K701" s="78"/>
      <c r="L701" s="146">
        <f t="shared" si="38"/>
        <v>13126700</v>
      </c>
      <c r="M701" s="73"/>
      <c r="N701" s="73"/>
      <c r="O701" s="7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 x14ac:dyDescent="0.35">
      <c r="A702" s="9">
        <f t="shared" si="39"/>
        <v>694</v>
      </c>
      <c r="B702" s="15"/>
      <c r="C702" s="11">
        <f t="shared" si="40"/>
        <v>1</v>
      </c>
      <c r="D702" s="11"/>
      <c r="E702" s="11"/>
      <c r="F702" s="11"/>
      <c r="G702" s="89">
        <f>IFERROR(VLOOKUP(F702,COA!$A$1:$K$26,2,FALSE),0)</f>
        <v>0</v>
      </c>
      <c r="H702" s="11"/>
      <c r="I702" s="11"/>
      <c r="J702" s="78"/>
      <c r="K702" s="78"/>
      <c r="L702" s="146">
        <f t="shared" si="38"/>
        <v>13126700</v>
      </c>
      <c r="M702" s="73"/>
      <c r="N702" s="73"/>
      <c r="O702" s="7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 x14ac:dyDescent="0.35">
      <c r="A703" s="9">
        <f t="shared" si="39"/>
        <v>695</v>
      </c>
      <c r="B703" s="15"/>
      <c r="C703" s="11">
        <f t="shared" si="40"/>
        <v>1</v>
      </c>
      <c r="D703" s="11"/>
      <c r="E703" s="11"/>
      <c r="F703" s="11"/>
      <c r="G703" s="89">
        <f>IFERROR(VLOOKUP(F703,COA!$A$1:$K$26,2,FALSE),0)</f>
        <v>0</v>
      </c>
      <c r="H703" s="13"/>
      <c r="I703" s="13"/>
      <c r="J703" s="78"/>
      <c r="K703" s="78"/>
      <c r="L703" s="146">
        <f t="shared" si="38"/>
        <v>13126700</v>
      </c>
      <c r="M703" s="73"/>
      <c r="N703" s="73"/>
      <c r="O703" s="7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 x14ac:dyDescent="0.35">
      <c r="A704" s="9">
        <f t="shared" si="39"/>
        <v>696</v>
      </c>
      <c r="B704" s="15"/>
      <c r="C704" s="11">
        <f t="shared" si="40"/>
        <v>1</v>
      </c>
      <c r="D704" s="11"/>
      <c r="E704" s="11"/>
      <c r="F704" s="11"/>
      <c r="G704" s="89">
        <f>IFERROR(VLOOKUP(F704,COA!$A$1:$K$26,2,FALSE),0)</f>
        <v>0</v>
      </c>
      <c r="H704" s="11"/>
      <c r="I704" s="11"/>
      <c r="J704" s="78"/>
      <c r="K704" s="78"/>
      <c r="L704" s="146">
        <f t="shared" si="38"/>
        <v>13126700</v>
      </c>
      <c r="M704" s="73"/>
      <c r="N704" s="73"/>
      <c r="O704" s="7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 x14ac:dyDescent="0.35">
      <c r="A705" s="9">
        <f t="shared" si="39"/>
        <v>697</v>
      </c>
      <c r="B705" s="15"/>
      <c r="C705" s="11">
        <f t="shared" si="40"/>
        <v>1</v>
      </c>
      <c r="D705" s="11"/>
      <c r="E705" s="11"/>
      <c r="F705" s="11"/>
      <c r="G705" s="89">
        <f>IFERROR(VLOOKUP(F705,COA!$A$1:$K$26,2,FALSE),0)</f>
        <v>0</v>
      </c>
      <c r="H705" s="11"/>
      <c r="I705" s="11"/>
      <c r="J705" s="78"/>
      <c r="K705" s="78"/>
      <c r="L705" s="146">
        <f t="shared" si="38"/>
        <v>13126700</v>
      </c>
      <c r="M705" s="73"/>
      <c r="N705" s="73"/>
      <c r="O705" s="7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 x14ac:dyDescent="0.35">
      <c r="A706" s="9">
        <f t="shared" si="39"/>
        <v>698</v>
      </c>
      <c r="B706" s="15"/>
      <c r="C706" s="11">
        <f t="shared" si="40"/>
        <v>1</v>
      </c>
      <c r="D706" s="11"/>
      <c r="E706" s="11"/>
      <c r="F706" s="11"/>
      <c r="G706" s="89">
        <f>IFERROR(VLOOKUP(F706,COA!$A$1:$K$26,2,FALSE),0)</f>
        <v>0</v>
      </c>
      <c r="H706" s="11"/>
      <c r="I706" s="11"/>
      <c r="J706" s="78"/>
      <c r="K706" s="78"/>
      <c r="L706" s="146">
        <f t="shared" si="38"/>
        <v>13126700</v>
      </c>
      <c r="M706" s="73"/>
      <c r="N706" s="73"/>
      <c r="O706" s="7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 x14ac:dyDescent="0.35">
      <c r="A707" s="9">
        <f t="shared" si="39"/>
        <v>699</v>
      </c>
      <c r="B707" s="15"/>
      <c r="C707" s="11">
        <f t="shared" si="40"/>
        <v>1</v>
      </c>
      <c r="D707" s="11"/>
      <c r="E707" s="11"/>
      <c r="F707" s="11"/>
      <c r="G707" s="89">
        <f>IFERROR(VLOOKUP(F707,COA!$A$1:$K$26,2,FALSE),0)</f>
        <v>0</v>
      </c>
      <c r="H707" s="11"/>
      <c r="I707" s="11"/>
      <c r="J707" s="78"/>
      <c r="K707" s="78"/>
      <c r="L707" s="146">
        <f t="shared" si="38"/>
        <v>13126700</v>
      </c>
      <c r="M707" s="73"/>
      <c r="N707" s="73"/>
      <c r="O707" s="7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 x14ac:dyDescent="0.35">
      <c r="A708" s="9">
        <f t="shared" si="39"/>
        <v>700</v>
      </c>
      <c r="B708" s="15"/>
      <c r="C708" s="11">
        <f t="shared" si="40"/>
        <v>1</v>
      </c>
      <c r="D708" s="11"/>
      <c r="E708" s="11"/>
      <c r="F708" s="11"/>
      <c r="G708" s="89">
        <f>IFERROR(VLOOKUP(F708,COA!$A$1:$K$26,2,FALSE),0)</f>
        <v>0</v>
      </c>
      <c r="H708" s="11"/>
      <c r="I708" s="11"/>
      <c r="J708" s="78"/>
      <c r="K708" s="78"/>
      <c r="L708" s="146">
        <f t="shared" si="38"/>
        <v>13126700</v>
      </c>
      <c r="M708" s="73"/>
      <c r="N708" s="73"/>
      <c r="O708" s="7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 x14ac:dyDescent="0.35">
      <c r="A709" s="9">
        <f t="shared" si="39"/>
        <v>701</v>
      </c>
      <c r="B709" s="15"/>
      <c r="C709" s="11">
        <f t="shared" si="40"/>
        <v>1</v>
      </c>
      <c r="D709" s="11"/>
      <c r="E709" s="11"/>
      <c r="F709" s="11"/>
      <c r="G709" s="89">
        <f>IFERROR(VLOOKUP(F709,COA!$A$1:$K$26,2,FALSE),0)</f>
        <v>0</v>
      </c>
      <c r="H709" s="11"/>
      <c r="I709" s="11"/>
      <c r="J709" s="78"/>
      <c r="K709" s="78"/>
      <c r="L709" s="146">
        <f t="shared" si="38"/>
        <v>13126700</v>
      </c>
      <c r="M709" s="73"/>
      <c r="N709" s="73"/>
      <c r="O709" s="7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 x14ac:dyDescent="0.35">
      <c r="A710" s="9">
        <f t="shared" si="39"/>
        <v>702</v>
      </c>
      <c r="B710" s="15"/>
      <c r="C710" s="11">
        <f t="shared" si="40"/>
        <v>1</v>
      </c>
      <c r="D710" s="11"/>
      <c r="E710" s="11"/>
      <c r="F710" s="11"/>
      <c r="G710" s="89">
        <f>IFERROR(VLOOKUP(F710,COA!$A$1:$K$26,2,FALSE),0)</f>
        <v>0</v>
      </c>
      <c r="H710" s="11"/>
      <c r="I710" s="11"/>
      <c r="J710" s="78"/>
      <c r="K710" s="78"/>
      <c r="L710" s="146">
        <f t="shared" si="38"/>
        <v>13126700</v>
      </c>
      <c r="M710" s="73"/>
      <c r="N710" s="73"/>
      <c r="O710" s="7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 x14ac:dyDescent="0.35">
      <c r="A711" s="9">
        <f t="shared" si="39"/>
        <v>703</v>
      </c>
      <c r="B711" s="15"/>
      <c r="C711" s="11">
        <f t="shared" si="40"/>
        <v>1</v>
      </c>
      <c r="D711" s="11"/>
      <c r="E711" s="11"/>
      <c r="F711" s="11"/>
      <c r="G711" s="89">
        <f>IFERROR(VLOOKUP(F711,COA!$A$1:$K$26,2,FALSE),0)</f>
        <v>0</v>
      </c>
      <c r="H711" s="11"/>
      <c r="I711" s="11"/>
      <c r="J711" s="78"/>
      <c r="K711" s="78"/>
      <c r="L711" s="146">
        <f t="shared" si="38"/>
        <v>13126700</v>
      </c>
      <c r="M711" s="73"/>
      <c r="N711" s="73"/>
      <c r="O711" s="7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 x14ac:dyDescent="0.35">
      <c r="A712" s="9">
        <f t="shared" si="39"/>
        <v>704</v>
      </c>
      <c r="B712" s="15"/>
      <c r="C712" s="11">
        <f t="shared" si="40"/>
        <v>1</v>
      </c>
      <c r="D712" s="11"/>
      <c r="E712" s="11"/>
      <c r="F712" s="11"/>
      <c r="G712" s="89">
        <f>IFERROR(VLOOKUP(F712,COA!$A$1:$K$26,2,FALSE),0)</f>
        <v>0</v>
      </c>
      <c r="H712" s="13"/>
      <c r="I712" s="13"/>
      <c r="J712" s="78"/>
      <c r="K712" s="78"/>
      <c r="L712" s="146">
        <f t="shared" si="38"/>
        <v>13126700</v>
      </c>
      <c r="M712" s="73"/>
      <c r="N712" s="73"/>
      <c r="O712" s="7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 x14ac:dyDescent="0.35">
      <c r="A713" s="9">
        <f t="shared" si="39"/>
        <v>705</v>
      </c>
      <c r="B713" s="15"/>
      <c r="C713" s="11">
        <f t="shared" si="40"/>
        <v>1</v>
      </c>
      <c r="D713" s="11"/>
      <c r="E713" s="11"/>
      <c r="F713" s="11"/>
      <c r="G713" s="89">
        <f>IFERROR(VLOOKUP(F713,COA!$A$1:$K$26,2,FALSE),0)</f>
        <v>0</v>
      </c>
      <c r="H713" s="11"/>
      <c r="I713" s="11"/>
      <c r="J713" s="78"/>
      <c r="K713" s="78"/>
      <c r="L713" s="146">
        <f t="shared" si="38"/>
        <v>13126700</v>
      </c>
      <c r="M713" s="73"/>
      <c r="N713" s="73"/>
      <c r="O713" s="7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 x14ac:dyDescent="0.35">
      <c r="A714" s="9">
        <f t="shared" si="39"/>
        <v>706</v>
      </c>
      <c r="B714" s="15"/>
      <c r="C714" s="11">
        <f t="shared" si="40"/>
        <v>1</v>
      </c>
      <c r="D714" s="11"/>
      <c r="E714" s="11"/>
      <c r="F714" s="11"/>
      <c r="G714" s="89">
        <f>IFERROR(VLOOKUP(F714,COA!$A$1:$K$26,2,FALSE),0)</f>
        <v>0</v>
      </c>
      <c r="H714" s="11"/>
      <c r="I714" s="11"/>
      <c r="J714" s="78"/>
      <c r="K714" s="78"/>
      <c r="L714" s="146">
        <f t="shared" si="38"/>
        <v>13126700</v>
      </c>
      <c r="M714" s="73"/>
      <c r="N714" s="73"/>
      <c r="O714" s="7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 x14ac:dyDescent="0.35">
      <c r="A715" s="9">
        <f t="shared" si="39"/>
        <v>707</v>
      </c>
      <c r="B715" s="15"/>
      <c r="C715" s="11">
        <f t="shared" si="40"/>
        <v>1</v>
      </c>
      <c r="D715" s="11"/>
      <c r="E715" s="11"/>
      <c r="F715" s="11"/>
      <c r="G715" s="89">
        <f>IFERROR(VLOOKUP(F715,COA!$A$1:$K$26,2,FALSE),0)</f>
        <v>0</v>
      </c>
      <c r="H715" s="11"/>
      <c r="I715" s="11"/>
      <c r="J715" s="78"/>
      <c r="K715" s="78"/>
      <c r="L715" s="146">
        <f t="shared" si="38"/>
        <v>13126700</v>
      </c>
      <c r="M715" s="73"/>
      <c r="N715" s="73"/>
      <c r="O715" s="7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 x14ac:dyDescent="0.35">
      <c r="A716" s="9">
        <f t="shared" si="39"/>
        <v>708</v>
      </c>
      <c r="B716" s="15"/>
      <c r="C716" s="11">
        <f t="shared" si="40"/>
        <v>1</v>
      </c>
      <c r="D716" s="11"/>
      <c r="E716" s="11"/>
      <c r="F716" s="11"/>
      <c r="G716" s="89">
        <f>IFERROR(VLOOKUP(F716,COA!$A$1:$K$26,2,FALSE),0)</f>
        <v>0</v>
      </c>
      <c r="H716" s="11"/>
      <c r="I716" s="11"/>
      <c r="J716" s="78"/>
      <c r="K716" s="78"/>
      <c r="L716" s="146">
        <f t="shared" si="38"/>
        <v>13126700</v>
      </c>
      <c r="M716" s="73"/>
      <c r="N716" s="73"/>
      <c r="O716" s="7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 x14ac:dyDescent="0.35">
      <c r="A717" s="9">
        <f t="shared" si="39"/>
        <v>709</v>
      </c>
      <c r="B717" s="15"/>
      <c r="C717" s="11">
        <f t="shared" si="40"/>
        <v>1</v>
      </c>
      <c r="D717" s="11"/>
      <c r="E717" s="11"/>
      <c r="F717" s="11"/>
      <c r="G717" s="89">
        <f>IFERROR(VLOOKUP(F717,COA!$A$1:$K$26,2,FALSE),0)</f>
        <v>0</v>
      </c>
      <c r="H717" s="11"/>
      <c r="I717" s="11"/>
      <c r="J717" s="78"/>
      <c r="K717" s="78"/>
      <c r="L717" s="146">
        <f t="shared" si="38"/>
        <v>13126700</v>
      </c>
      <c r="M717" s="73"/>
      <c r="N717" s="73"/>
      <c r="O717" s="7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 x14ac:dyDescent="0.35">
      <c r="A718" s="9">
        <f t="shared" si="39"/>
        <v>710</v>
      </c>
      <c r="B718" s="15"/>
      <c r="C718" s="11">
        <f t="shared" si="40"/>
        <v>1</v>
      </c>
      <c r="D718" s="11"/>
      <c r="E718" s="11"/>
      <c r="F718" s="11"/>
      <c r="G718" s="89">
        <f>IFERROR(VLOOKUP(F718,COA!$A$1:$K$26,2,FALSE),0)</f>
        <v>0</v>
      </c>
      <c r="H718" s="11"/>
      <c r="I718" s="11"/>
      <c r="J718" s="78"/>
      <c r="K718" s="78"/>
      <c r="L718" s="146">
        <f t="shared" si="38"/>
        <v>13126700</v>
      </c>
      <c r="M718" s="73"/>
      <c r="N718" s="73"/>
      <c r="O718" s="7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 x14ac:dyDescent="0.35">
      <c r="A719" s="9">
        <f t="shared" si="39"/>
        <v>711</v>
      </c>
      <c r="B719" s="15"/>
      <c r="C719" s="11">
        <f t="shared" si="40"/>
        <v>1</v>
      </c>
      <c r="D719" s="11"/>
      <c r="E719" s="11"/>
      <c r="F719" s="11"/>
      <c r="G719" s="89">
        <f>IFERROR(VLOOKUP(F719,COA!$A$1:$K$26,2,FALSE),0)</f>
        <v>0</v>
      </c>
      <c r="H719" s="13"/>
      <c r="I719" s="13"/>
      <c r="J719" s="78"/>
      <c r="K719" s="78"/>
      <c r="L719" s="146">
        <f t="shared" si="38"/>
        <v>13126700</v>
      </c>
      <c r="M719" s="73"/>
      <c r="N719" s="73"/>
      <c r="O719" s="7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 x14ac:dyDescent="0.35">
      <c r="A720" s="9">
        <f t="shared" si="39"/>
        <v>712</v>
      </c>
      <c r="B720" s="15"/>
      <c r="C720" s="11">
        <f t="shared" si="40"/>
        <v>1</v>
      </c>
      <c r="D720" s="11"/>
      <c r="E720" s="11"/>
      <c r="F720" s="11"/>
      <c r="G720" s="89">
        <f>IFERROR(VLOOKUP(F720,COA!$A$1:$K$26,2,FALSE),0)</f>
        <v>0</v>
      </c>
      <c r="H720" s="11"/>
      <c r="I720" s="11"/>
      <c r="J720" s="78"/>
      <c r="K720" s="78"/>
      <c r="L720" s="146">
        <f t="shared" ref="L720:L783" si="41">L719+J720-K720</f>
        <v>13126700</v>
      </c>
      <c r="M720" s="73"/>
      <c r="N720" s="73"/>
      <c r="O720" s="7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 x14ac:dyDescent="0.35">
      <c r="A721" s="9">
        <f t="shared" si="39"/>
        <v>713</v>
      </c>
      <c r="B721" s="15"/>
      <c r="C721" s="11">
        <f t="shared" si="40"/>
        <v>1</v>
      </c>
      <c r="D721" s="11"/>
      <c r="E721" s="11"/>
      <c r="F721" s="11"/>
      <c r="G721" s="89">
        <f>IFERROR(VLOOKUP(F721,COA!$A$1:$K$26,2,FALSE),0)</f>
        <v>0</v>
      </c>
      <c r="H721" s="11"/>
      <c r="I721" s="11"/>
      <c r="J721" s="78"/>
      <c r="K721" s="78"/>
      <c r="L721" s="146">
        <f t="shared" si="41"/>
        <v>13126700</v>
      </c>
      <c r="M721" s="73"/>
      <c r="N721" s="73"/>
      <c r="O721" s="7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 x14ac:dyDescent="0.35">
      <c r="A722" s="9">
        <f t="shared" ref="A722:A785" si="42">A721+1</f>
        <v>714</v>
      </c>
      <c r="B722" s="15"/>
      <c r="C722" s="11">
        <f t="shared" si="40"/>
        <v>1</v>
      </c>
      <c r="D722" s="11"/>
      <c r="E722" s="11"/>
      <c r="F722" s="11"/>
      <c r="G722" s="89">
        <f>IFERROR(VLOOKUP(F722,COA!$A$1:$K$26,2,FALSE),0)</f>
        <v>0</v>
      </c>
      <c r="H722" s="11"/>
      <c r="I722" s="11"/>
      <c r="J722" s="78"/>
      <c r="K722" s="78"/>
      <c r="L722" s="146">
        <f t="shared" si="41"/>
        <v>13126700</v>
      </c>
      <c r="M722" s="73"/>
      <c r="N722" s="73"/>
      <c r="O722" s="7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 x14ac:dyDescent="0.35">
      <c r="A723" s="9">
        <f t="shared" si="42"/>
        <v>715</v>
      </c>
      <c r="B723" s="15"/>
      <c r="C723" s="11">
        <f t="shared" si="40"/>
        <v>1</v>
      </c>
      <c r="D723" s="11"/>
      <c r="E723" s="11"/>
      <c r="F723" s="11"/>
      <c r="G723" s="89">
        <f>IFERROR(VLOOKUP(F723,COA!$A$1:$K$26,2,FALSE),0)</f>
        <v>0</v>
      </c>
      <c r="H723" s="11"/>
      <c r="I723" s="11"/>
      <c r="J723" s="78"/>
      <c r="K723" s="78"/>
      <c r="L723" s="146">
        <f t="shared" si="41"/>
        <v>13126700</v>
      </c>
      <c r="M723" s="73"/>
      <c r="N723" s="73"/>
      <c r="O723" s="7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 x14ac:dyDescent="0.35">
      <c r="A724" s="9">
        <f t="shared" si="42"/>
        <v>716</v>
      </c>
      <c r="B724" s="15"/>
      <c r="C724" s="11">
        <f t="shared" si="40"/>
        <v>1</v>
      </c>
      <c r="D724" s="11"/>
      <c r="E724" s="11"/>
      <c r="F724" s="11"/>
      <c r="G724" s="89">
        <f>IFERROR(VLOOKUP(F724,COA!$A$1:$K$26,2,FALSE),0)</f>
        <v>0</v>
      </c>
      <c r="H724" s="11"/>
      <c r="I724" s="11"/>
      <c r="J724" s="78"/>
      <c r="K724" s="78"/>
      <c r="L724" s="146">
        <f t="shared" si="41"/>
        <v>13126700</v>
      </c>
      <c r="M724" s="73"/>
      <c r="N724" s="73"/>
      <c r="O724" s="7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 x14ac:dyDescent="0.35">
      <c r="A725" s="9">
        <f t="shared" si="42"/>
        <v>717</v>
      </c>
      <c r="B725" s="15"/>
      <c r="C725" s="11">
        <f t="shared" si="40"/>
        <v>1</v>
      </c>
      <c r="D725" s="11"/>
      <c r="E725" s="11"/>
      <c r="F725" s="11"/>
      <c r="G725" s="89">
        <f>IFERROR(VLOOKUP(F725,COA!$A$1:$K$26,2,FALSE),0)</f>
        <v>0</v>
      </c>
      <c r="H725" s="13"/>
      <c r="I725" s="13"/>
      <c r="J725" s="78"/>
      <c r="K725" s="78"/>
      <c r="L725" s="146">
        <f t="shared" si="41"/>
        <v>13126700</v>
      </c>
      <c r="M725" s="73"/>
      <c r="N725" s="73"/>
      <c r="O725" s="7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 x14ac:dyDescent="0.35">
      <c r="A726" s="9">
        <f t="shared" si="42"/>
        <v>718</v>
      </c>
      <c r="B726" s="15"/>
      <c r="C726" s="11">
        <f t="shared" si="40"/>
        <v>1</v>
      </c>
      <c r="D726" s="11"/>
      <c r="E726" s="11"/>
      <c r="F726" s="11"/>
      <c r="G726" s="89">
        <f>IFERROR(VLOOKUP(F726,COA!$A$1:$K$26,2,FALSE),0)</f>
        <v>0</v>
      </c>
      <c r="H726" s="11"/>
      <c r="I726" s="11"/>
      <c r="J726" s="78"/>
      <c r="K726" s="78"/>
      <c r="L726" s="146">
        <f t="shared" si="41"/>
        <v>13126700</v>
      </c>
      <c r="M726" s="73"/>
      <c r="N726" s="73"/>
      <c r="O726" s="7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 x14ac:dyDescent="0.35">
      <c r="A727" s="9">
        <f t="shared" si="42"/>
        <v>719</v>
      </c>
      <c r="B727" s="15"/>
      <c r="C727" s="11">
        <f t="shared" si="40"/>
        <v>1</v>
      </c>
      <c r="D727" s="11"/>
      <c r="E727" s="11"/>
      <c r="F727" s="11"/>
      <c r="G727" s="89">
        <f>IFERROR(VLOOKUP(F727,COA!$A$1:$K$26,2,FALSE),0)</f>
        <v>0</v>
      </c>
      <c r="H727" s="11"/>
      <c r="I727" s="11"/>
      <c r="J727" s="78"/>
      <c r="K727" s="78"/>
      <c r="L727" s="146">
        <f t="shared" si="41"/>
        <v>13126700</v>
      </c>
      <c r="M727" s="73"/>
      <c r="N727" s="73"/>
      <c r="O727" s="7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 x14ac:dyDescent="0.35">
      <c r="A728" s="9">
        <f t="shared" si="42"/>
        <v>720</v>
      </c>
      <c r="B728" s="15"/>
      <c r="C728" s="11">
        <f t="shared" si="40"/>
        <v>1</v>
      </c>
      <c r="D728" s="11"/>
      <c r="E728" s="11"/>
      <c r="F728" s="11"/>
      <c r="G728" s="89">
        <f>IFERROR(VLOOKUP(F728,COA!$A$1:$K$26,2,FALSE),0)</f>
        <v>0</v>
      </c>
      <c r="H728" s="11"/>
      <c r="I728" s="11"/>
      <c r="J728" s="78"/>
      <c r="K728" s="78"/>
      <c r="L728" s="146">
        <f t="shared" si="41"/>
        <v>13126700</v>
      </c>
      <c r="M728" s="73"/>
      <c r="N728" s="73"/>
      <c r="O728" s="7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 x14ac:dyDescent="0.35">
      <c r="A729" s="9">
        <f t="shared" si="42"/>
        <v>721</v>
      </c>
      <c r="B729" s="15"/>
      <c r="C729" s="11">
        <f t="shared" si="40"/>
        <v>1</v>
      </c>
      <c r="D729" s="11"/>
      <c r="E729" s="11"/>
      <c r="F729" s="11"/>
      <c r="G729" s="89">
        <f>IFERROR(VLOOKUP(F729,COA!$A$1:$K$26,2,FALSE),0)</f>
        <v>0</v>
      </c>
      <c r="H729" s="11"/>
      <c r="I729" s="11"/>
      <c r="J729" s="78"/>
      <c r="K729" s="78"/>
      <c r="L729" s="146">
        <f t="shared" si="41"/>
        <v>13126700</v>
      </c>
      <c r="M729" s="73"/>
      <c r="N729" s="73"/>
      <c r="O729" s="7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 x14ac:dyDescent="0.35">
      <c r="A730" s="9">
        <f t="shared" si="42"/>
        <v>722</v>
      </c>
      <c r="B730" s="15"/>
      <c r="C730" s="11">
        <f t="shared" si="40"/>
        <v>1</v>
      </c>
      <c r="D730" s="11"/>
      <c r="E730" s="11"/>
      <c r="F730" s="11"/>
      <c r="G730" s="89">
        <f>IFERROR(VLOOKUP(F730,COA!$A$1:$K$26,2,FALSE),0)</f>
        <v>0</v>
      </c>
      <c r="H730" s="11"/>
      <c r="I730" s="11"/>
      <c r="J730" s="78"/>
      <c r="K730" s="78"/>
      <c r="L730" s="146">
        <f t="shared" si="41"/>
        <v>13126700</v>
      </c>
      <c r="M730" s="73"/>
      <c r="N730" s="73"/>
      <c r="O730" s="7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 x14ac:dyDescent="0.35">
      <c r="A731" s="9">
        <f t="shared" si="42"/>
        <v>723</v>
      </c>
      <c r="B731" s="15"/>
      <c r="C731" s="11">
        <f t="shared" si="40"/>
        <v>1</v>
      </c>
      <c r="D731" s="11"/>
      <c r="E731" s="11"/>
      <c r="F731" s="11"/>
      <c r="G731" s="89">
        <f>IFERROR(VLOOKUP(F731,COA!$A$1:$K$26,2,FALSE),0)</f>
        <v>0</v>
      </c>
      <c r="H731" s="13"/>
      <c r="I731" s="13"/>
      <c r="J731" s="78"/>
      <c r="K731" s="78"/>
      <c r="L731" s="146">
        <f t="shared" si="41"/>
        <v>13126700</v>
      </c>
      <c r="M731" s="73"/>
      <c r="N731" s="73"/>
      <c r="O731" s="7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 x14ac:dyDescent="0.35">
      <c r="A732" s="9">
        <f t="shared" si="42"/>
        <v>724</v>
      </c>
      <c r="B732" s="15"/>
      <c r="C732" s="11">
        <f t="shared" si="40"/>
        <v>1</v>
      </c>
      <c r="D732" s="11"/>
      <c r="E732" s="11"/>
      <c r="F732" s="11"/>
      <c r="G732" s="89">
        <f>IFERROR(VLOOKUP(F732,COA!$A$1:$K$26,2,FALSE),0)</f>
        <v>0</v>
      </c>
      <c r="H732" s="11"/>
      <c r="I732" s="11"/>
      <c r="J732" s="78"/>
      <c r="K732" s="78"/>
      <c r="L732" s="146">
        <f t="shared" si="41"/>
        <v>13126700</v>
      </c>
      <c r="M732" s="73"/>
      <c r="N732" s="73"/>
      <c r="O732" s="7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 x14ac:dyDescent="0.35">
      <c r="A733" s="9">
        <f t="shared" si="42"/>
        <v>725</v>
      </c>
      <c r="B733" s="15"/>
      <c r="C733" s="11">
        <f t="shared" si="40"/>
        <v>1</v>
      </c>
      <c r="D733" s="11"/>
      <c r="E733" s="11"/>
      <c r="F733" s="11"/>
      <c r="G733" s="89">
        <f>IFERROR(VLOOKUP(F733,COA!$A$1:$K$26,2,FALSE),0)</f>
        <v>0</v>
      </c>
      <c r="H733" s="11"/>
      <c r="I733" s="11"/>
      <c r="J733" s="78"/>
      <c r="K733" s="78"/>
      <c r="L733" s="146">
        <f t="shared" si="41"/>
        <v>13126700</v>
      </c>
      <c r="M733" s="73"/>
      <c r="N733" s="73"/>
      <c r="O733" s="7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 x14ac:dyDescent="0.35">
      <c r="A734" s="9">
        <f t="shared" si="42"/>
        <v>726</v>
      </c>
      <c r="B734" s="15"/>
      <c r="C734" s="11">
        <f t="shared" si="40"/>
        <v>1</v>
      </c>
      <c r="D734" s="11"/>
      <c r="E734" s="11"/>
      <c r="F734" s="11"/>
      <c r="G734" s="89">
        <f>IFERROR(VLOOKUP(F734,COA!$A$1:$K$26,2,FALSE),0)</f>
        <v>0</v>
      </c>
      <c r="H734" s="11"/>
      <c r="I734" s="11"/>
      <c r="J734" s="78"/>
      <c r="K734" s="78"/>
      <c r="L734" s="146">
        <f t="shared" si="41"/>
        <v>13126700</v>
      </c>
      <c r="M734" s="73"/>
      <c r="N734" s="73"/>
      <c r="O734" s="7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 x14ac:dyDescent="0.35">
      <c r="A735" s="9">
        <f t="shared" si="42"/>
        <v>727</v>
      </c>
      <c r="B735" s="15"/>
      <c r="C735" s="11">
        <f t="shared" si="40"/>
        <v>1</v>
      </c>
      <c r="D735" s="11"/>
      <c r="E735" s="11"/>
      <c r="F735" s="11"/>
      <c r="G735" s="89">
        <f>IFERROR(VLOOKUP(F735,COA!$A$1:$K$26,2,FALSE),0)</f>
        <v>0</v>
      </c>
      <c r="H735" s="11"/>
      <c r="I735" s="11"/>
      <c r="J735" s="78"/>
      <c r="K735" s="78"/>
      <c r="L735" s="146">
        <f t="shared" si="41"/>
        <v>13126700</v>
      </c>
      <c r="M735" s="73"/>
      <c r="N735" s="73"/>
      <c r="O735" s="7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 x14ac:dyDescent="0.35">
      <c r="A736" s="9">
        <f t="shared" si="42"/>
        <v>728</v>
      </c>
      <c r="B736" s="15"/>
      <c r="C736" s="11">
        <f t="shared" si="40"/>
        <v>1</v>
      </c>
      <c r="D736" s="11"/>
      <c r="E736" s="11"/>
      <c r="F736" s="11"/>
      <c r="G736" s="89">
        <f>IFERROR(VLOOKUP(F736,COA!$A$1:$K$26,2,FALSE),0)</f>
        <v>0</v>
      </c>
      <c r="H736" s="11"/>
      <c r="I736" s="11"/>
      <c r="J736" s="78"/>
      <c r="K736" s="78"/>
      <c r="L736" s="146">
        <f t="shared" si="41"/>
        <v>13126700</v>
      </c>
      <c r="M736" s="73"/>
      <c r="N736" s="73"/>
      <c r="O736" s="7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 x14ac:dyDescent="0.35">
      <c r="A737" s="9">
        <f t="shared" si="42"/>
        <v>729</v>
      </c>
      <c r="B737" s="15"/>
      <c r="C737" s="11">
        <f t="shared" si="40"/>
        <v>1</v>
      </c>
      <c r="D737" s="11"/>
      <c r="E737" s="11"/>
      <c r="F737" s="11"/>
      <c r="G737" s="89">
        <f>IFERROR(VLOOKUP(F737,COA!$A$1:$K$26,2,FALSE),0)</f>
        <v>0</v>
      </c>
      <c r="H737" s="11"/>
      <c r="I737" s="11"/>
      <c r="J737" s="78"/>
      <c r="K737" s="78"/>
      <c r="L737" s="146">
        <f t="shared" si="41"/>
        <v>13126700</v>
      </c>
      <c r="M737" s="73"/>
      <c r="N737" s="73"/>
      <c r="O737" s="7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 x14ac:dyDescent="0.35">
      <c r="A738" s="9">
        <f t="shared" si="42"/>
        <v>730</v>
      </c>
      <c r="B738" s="15"/>
      <c r="C738" s="11">
        <f t="shared" si="40"/>
        <v>1</v>
      </c>
      <c r="D738" s="11"/>
      <c r="E738" s="11"/>
      <c r="F738" s="11"/>
      <c r="G738" s="89">
        <f>IFERROR(VLOOKUP(F738,COA!$A$1:$K$26,2,FALSE),0)</f>
        <v>0</v>
      </c>
      <c r="H738" s="11"/>
      <c r="I738" s="11"/>
      <c r="J738" s="78"/>
      <c r="K738" s="78"/>
      <c r="L738" s="146">
        <f t="shared" si="41"/>
        <v>13126700</v>
      </c>
      <c r="M738" s="73"/>
      <c r="N738" s="73"/>
      <c r="O738" s="7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 x14ac:dyDescent="0.35">
      <c r="A739" s="9">
        <f t="shared" si="42"/>
        <v>731</v>
      </c>
      <c r="B739" s="15"/>
      <c r="C739" s="11">
        <f t="shared" si="40"/>
        <v>1</v>
      </c>
      <c r="D739" s="11"/>
      <c r="E739" s="11"/>
      <c r="F739" s="11"/>
      <c r="G739" s="89">
        <f>IFERROR(VLOOKUP(F739,COA!$A$1:$K$26,2,FALSE),0)</f>
        <v>0</v>
      </c>
      <c r="H739" s="13"/>
      <c r="I739" s="13"/>
      <c r="J739" s="78"/>
      <c r="K739" s="78"/>
      <c r="L739" s="146">
        <f t="shared" si="41"/>
        <v>13126700</v>
      </c>
      <c r="M739" s="73"/>
      <c r="N739" s="73"/>
      <c r="O739" s="7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 x14ac:dyDescent="0.35">
      <c r="A740" s="9">
        <f t="shared" si="42"/>
        <v>732</v>
      </c>
      <c r="B740" s="15"/>
      <c r="C740" s="11">
        <f t="shared" ref="C740:C803" si="43">MONTH(B740)</f>
        <v>1</v>
      </c>
      <c r="D740" s="11"/>
      <c r="E740" s="11"/>
      <c r="F740" s="11"/>
      <c r="G740" s="89">
        <f>IFERROR(VLOOKUP(F740,COA!$A$1:$K$26,2,FALSE),0)</f>
        <v>0</v>
      </c>
      <c r="H740" s="11"/>
      <c r="I740" s="11"/>
      <c r="J740" s="78"/>
      <c r="K740" s="78"/>
      <c r="L740" s="146">
        <f t="shared" si="41"/>
        <v>13126700</v>
      </c>
      <c r="M740" s="73"/>
      <c r="N740" s="73"/>
      <c r="O740" s="7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 x14ac:dyDescent="0.35">
      <c r="A741" s="9">
        <f t="shared" si="42"/>
        <v>733</v>
      </c>
      <c r="B741" s="15"/>
      <c r="C741" s="11">
        <f t="shared" si="43"/>
        <v>1</v>
      </c>
      <c r="D741" s="11"/>
      <c r="E741" s="11"/>
      <c r="F741" s="11"/>
      <c r="G741" s="89">
        <f>IFERROR(VLOOKUP(F741,COA!$A$1:$K$26,2,FALSE),0)</f>
        <v>0</v>
      </c>
      <c r="H741" s="11"/>
      <c r="I741" s="11"/>
      <c r="J741" s="78"/>
      <c r="K741" s="78"/>
      <c r="L741" s="146">
        <f t="shared" si="41"/>
        <v>13126700</v>
      </c>
      <c r="M741" s="73"/>
      <c r="N741" s="73"/>
      <c r="O741" s="7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 x14ac:dyDescent="0.35">
      <c r="A742" s="9">
        <f t="shared" si="42"/>
        <v>734</v>
      </c>
      <c r="B742" s="15"/>
      <c r="C742" s="11">
        <f t="shared" si="43"/>
        <v>1</v>
      </c>
      <c r="D742" s="11"/>
      <c r="E742" s="11"/>
      <c r="F742" s="11"/>
      <c r="G742" s="89">
        <f>IFERROR(VLOOKUP(F742,COA!$A$1:$K$26,2,FALSE),0)</f>
        <v>0</v>
      </c>
      <c r="H742" s="11"/>
      <c r="I742" s="11"/>
      <c r="J742" s="78"/>
      <c r="K742" s="78"/>
      <c r="L742" s="146">
        <f t="shared" si="41"/>
        <v>13126700</v>
      </c>
      <c r="M742" s="73"/>
      <c r="N742" s="73"/>
      <c r="O742" s="7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 x14ac:dyDescent="0.35">
      <c r="A743" s="9">
        <f t="shared" si="42"/>
        <v>735</v>
      </c>
      <c r="B743" s="15"/>
      <c r="C743" s="11">
        <f t="shared" si="43"/>
        <v>1</v>
      </c>
      <c r="D743" s="11"/>
      <c r="E743" s="11"/>
      <c r="F743" s="11"/>
      <c r="G743" s="89">
        <f>IFERROR(VLOOKUP(F743,COA!$A$1:$K$26,2,FALSE),0)</f>
        <v>0</v>
      </c>
      <c r="H743" s="11"/>
      <c r="I743" s="11"/>
      <c r="J743" s="78"/>
      <c r="K743" s="78"/>
      <c r="L743" s="146">
        <f t="shared" si="41"/>
        <v>13126700</v>
      </c>
      <c r="M743" s="73"/>
      <c r="N743" s="73"/>
      <c r="O743" s="7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 x14ac:dyDescent="0.35">
      <c r="A744" s="9">
        <f t="shared" si="42"/>
        <v>736</v>
      </c>
      <c r="B744" s="15"/>
      <c r="C744" s="11">
        <f t="shared" si="43"/>
        <v>1</v>
      </c>
      <c r="D744" s="11"/>
      <c r="E744" s="11"/>
      <c r="F744" s="11"/>
      <c r="G744" s="89">
        <f>IFERROR(VLOOKUP(F744,COA!$A$1:$K$26,2,FALSE),0)</f>
        <v>0</v>
      </c>
      <c r="H744" s="11"/>
      <c r="I744" s="11"/>
      <c r="J744" s="78"/>
      <c r="K744" s="78"/>
      <c r="L744" s="146">
        <f t="shared" si="41"/>
        <v>13126700</v>
      </c>
      <c r="M744" s="73"/>
      <c r="N744" s="73"/>
      <c r="O744" s="7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 x14ac:dyDescent="0.35">
      <c r="A745" s="9">
        <f t="shared" si="42"/>
        <v>737</v>
      </c>
      <c r="B745" s="15"/>
      <c r="C745" s="11">
        <f t="shared" si="43"/>
        <v>1</v>
      </c>
      <c r="D745" s="11"/>
      <c r="E745" s="11"/>
      <c r="F745" s="11"/>
      <c r="G745" s="89">
        <f>IFERROR(VLOOKUP(F745,COA!$A$1:$K$26,2,FALSE),0)</f>
        <v>0</v>
      </c>
      <c r="H745" s="13"/>
      <c r="I745" s="13"/>
      <c r="J745" s="78"/>
      <c r="K745" s="78"/>
      <c r="L745" s="146">
        <f t="shared" si="41"/>
        <v>13126700</v>
      </c>
      <c r="M745" s="73"/>
      <c r="N745" s="73"/>
      <c r="O745" s="7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 x14ac:dyDescent="0.35">
      <c r="A746" s="9">
        <f t="shared" si="42"/>
        <v>738</v>
      </c>
      <c r="B746" s="15"/>
      <c r="C746" s="11">
        <f t="shared" si="43"/>
        <v>1</v>
      </c>
      <c r="D746" s="11"/>
      <c r="E746" s="11"/>
      <c r="F746" s="11"/>
      <c r="G746" s="89">
        <f>IFERROR(VLOOKUP(F746,COA!$A$1:$K$26,2,FALSE),0)</f>
        <v>0</v>
      </c>
      <c r="H746" s="11"/>
      <c r="I746" s="11"/>
      <c r="J746" s="78"/>
      <c r="K746" s="78"/>
      <c r="L746" s="146">
        <f t="shared" si="41"/>
        <v>13126700</v>
      </c>
      <c r="M746" s="73"/>
      <c r="N746" s="73"/>
      <c r="O746" s="7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 x14ac:dyDescent="0.35">
      <c r="A747" s="9">
        <f t="shared" si="42"/>
        <v>739</v>
      </c>
      <c r="B747" s="15"/>
      <c r="C747" s="11">
        <f t="shared" si="43"/>
        <v>1</v>
      </c>
      <c r="D747" s="11"/>
      <c r="E747" s="11"/>
      <c r="F747" s="11"/>
      <c r="G747" s="89">
        <f>IFERROR(VLOOKUP(F747,COA!$A$1:$K$26,2,FALSE),0)</f>
        <v>0</v>
      </c>
      <c r="H747" s="11"/>
      <c r="I747" s="11"/>
      <c r="J747" s="78"/>
      <c r="K747" s="78"/>
      <c r="L747" s="146">
        <f t="shared" si="41"/>
        <v>13126700</v>
      </c>
      <c r="M747" s="73"/>
      <c r="N747" s="73"/>
      <c r="O747" s="7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 x14ac:dyDescent="0.35">
      <c r="A748" s="9">
        <f t="shared" si="42"/>
        <v>740</v>
      </c>
      <c r="B748" s="15"/>
      <c r="C748" s="11">
        <f t="shared" si="43"/>
        <v>1</v>
      </c>
      <c r="D748" s="11"/>
      <c r="E748" s="11"/>
      <c r="F748" s="11"/>
      <c r="G748" s="89">
        <f>IFERROR(VLOOKUP(F748,COA!$A$1:$K$26,2,FALSE),0)</f>
        <v>0</v>
      </c>
      <c r="H748" s="11"/>
      <c r="I748" s="11"/>
      <c r="J748" s="78"/>
      <c r="K748" s="78"/>
      <c r="L748" s="146">
        <f t="shared" si="41"/>
        <v>13126700</v>
      </c>
      <c r="M748" s="73"/>
      <c r="N748" s="73"/>
      <c r="O748" s="7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 x14ac:dyDescent="0.35">
      <c r="A749" s="9">
        <f t="shared" si="42"/>
        <v>741</v>
      </c>
      <c r="B749" s="15"/>
      <c r="C749" s="11">
        <f t="shared" si="43"/>
        <v>1</v>
      </c>
      <c r="D749" s="11"/>
      <c r="E749" s="11"/>
      <c r="F749" s="11"/>
      <c r="G749" s="89">
        <f>IFERROR(VLOOKUP(F749,COA!$A$1:$K$26,2,FALSE),0)</f>
        <v>0</v>
      </c>
      <c r="H749" s="11"/>
      <c r="I749" s="11"/>
      <c r="J749" s="78"/>
      <c r="K749" s="78"/>
      <c r="L749" s="146">
        <f t="shared" si="41"/>
        <v>13126700</v>
      </c>
      <c r="M749" s="73"/>
      <c r="N749" s="73"/>
      <c r="O749" s="7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 x14ac:dyDescent="0.35">
      <c r="A750" s="9">
        <f t="shared" si="42"/>
        <v>742</v>
      </c>
      <c r="B750" s="15"/>
      <c r="C750" s="11">
        <f t="shared" si="43"/>
        <v>1</v>
      </c>
      <c r="D750" s="11"/>
      <c r="E750" s="11"/>
      <c r="F750" s="11"/>
      <c r="G750" s="89">
        <f>IFERROR(VLOOKUP(F750,COA!$A$1:$K$26,2,FALSE),0)</f>
        <v>0</v>
      </c>
      <c r="H750" s="11"/>
      <c r="I750" s="11"/>
      <c r="J750" s="78"/>
      <c r="K750" s="78"/>
      <c r="L750" s="146">
        <f t="shared" si="41"/>
        <v>13126700</v>
      </c>
      <c r="M750" s="73"/>
      <c r="N750" s="73"/>
      <c r="O750" s="7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 x14ac:dyDescent="0.35">
      <c r="A751" s="9">
        <f t="shared" si="42"/>
        <v>743</v>
      </c>
      <c r="B751" s="15"/>
      <c r="C751" s="11">
        <f t="shared" si="43"/>
        <v>1</v>
      </c>
      <c r="D751" s="11"/>
      <c r="E751" s="11"/>
      <c r="F751" s="11"/>
      <c r="G751" s="89">
        <f>IFERROR(VLOOKUP(F751,COA!$A$1:$K$26,2,FALSE),0)</f>
        <v>0</v>
      </c>
      <c r="H751" s="13"/>
      <c r="I751" s="13"/>
      <c r="J751" s="78"/>
      <c r="K751" s="78"/>
      <c r="L751" s="146">
        <f t="shared" si="41"/>
        <v>13126700</v>
      </c>
      <c r="M751" s="73"/>
      <c r="N751" s="73"/>
      <c r="O751" s="7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 x14ac:dyDescent="0.35">
      <c r="A752" s="9">
        <f t="shared" si="42"/>
        <v>744</v>
      </c>
      <c r="B752" s="15"/>
      <c r="C752" s="11">
        <f t="shared" si="43"/>
        <v>1</v>
      </c>
      <c r="D752" s="11"/>
      <c r="E752" s="11"/>
      <c r="F752" s="11"/>
      <c r="G752" s="89">
        <f>IFERROR(VLOOKUP(F752,COA!$A$1:$K$26,2,FALSE),0)</f>
        <v>0</v>
      </c>
      <c r="H752" s="11"/>
      <c r="I752" s="11"/>
      <c r="J752" s="78"/>
      <c r="K752" s="78"/>
      <c r="L752" s="146">
        <f t="shared" si="41"/>
        <v>13126700</v>
      </c>
      <c r="M752" s="73"/>
      <c r="N752" s="73"/>
      <c r="O752" s="7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 x14ac:dyDescent="0.35">
      <c r="A753" s="9">
        <f t="shared" si="42"/>
        <v>745</v>
      </c>
      <c r="B753" s="15"/>
      <c r="C753" s="11">
        <f t="shared" si="43"/>
        <v>1</v>
      </c>
      <c r="D753" s="11"/>
      <c r="E753" s="11"/>
      <c r="F753" s="11"/>
      <c r="G753" s="89">
        <f>IFERROR(VLOOKUP(F753,COA!$A$1:$K$26,2,FALSE),0)</f>
        <v>0</v>
      </c>
      <c r="H753" s="11"/>
      <c r="I753" s="11"/>
      <c r="J753" s="78"/>
      <c r="K753" s="78"/>
      <c r="L753" s="146">
        <f t="shared" si="41"/>
        <v>13126700</v>
      </c>
      <c r="M753" s="73"/>
      <c r="N753" s="73"/>
      <c r="O753" s="7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 x14ac:dyDescent="0.35">
      <c r="A754" s="9">
        <f t="shared" si="42"/>
        <v>746</v>
      </c>
      <c r="B754" s="15"/>
      <c r="C754" s="11">
        <f t="shared" si="43"/>
        <v>1</v>
      </c>
      <c r="D754" s="11"/>
      <c r="E754" s="11"/>
      <c r="F754" s="11"/>
      <c r="G754" s="89">
        <f>IFERROR(VLOOKUP(F754,COA!$A$1:$K$26,2,FALSE),0)</f>
        <v>0</v>
      </c>
      <c r="H754" s="11"/>
      <c r="I754" s="11"/>
      <c r="J754" s="78"/>
      <c r="K754" s="78"/>
      <c r="L754" s="146">
        <f t="shared" si="41"/>
        <v>13126700</v>
      </c>
      <c r="M754" s="73"/>
      <c r="N754" s="73"/>
      <c r="O754" s="7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 x14ac:dyDescent="0.35">
      <c r="A755" s="9">
        <f t="shared" si="42"/>
        <v>747</v>
      </c>
      <c r="B755" s="15"/>
      <c r="C755" s="11">
        <f t="shared" si="43"/>
        <v>1</v>
      </c>
      <c r="D755" s="11"/>
      <c r="E755" s="11"/>
      <c r="F755" s="11"/>
      <c r="G755" s="89">
        <f>IFERROR(VLOOKUP(F755,COA!$A$1:$K$26,2,FALSE),0)</f>
        <v>0</v>
      </c>
      <c r="H755" s="11"/>
      <c r="I755" s="11"/>
      <c r="J755" s="78"/>
      <c r="K755" s="78"/>
      <c r="L755" s="146">
        <f t="shared" si="41"/>
        <v>13126700</v>
      </c>
      <c r="M755" s="73"/>
      <c r="N755" s="73"/>
      <c r="O755" s="7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 x14ac:dyDescent="0.35">
      <c r="A756" s="9">
        <f t="shared" si="42"/>
        <v>748</v>
      </c>
      <c r="B756" s="15"/>
      <c r="C756" s="11">
        <f t="shared" si="43"/>
        <v>1</v>
      </c>
      <c r="D756" s="11"/>
      <c r="E756" s="11"/>
      <c r="F756" s="11"/>
      <c r="G756" s="89">
        <f>IFERROR(VLOOKUP(F756,COA!$A$1:$K$26,2,FALSE),0)</f>
        <v>0</v>
      </c>
      <c r="H756" s="11"/>
      <c r="I756" s="11"/>
      <c r="J756" s="78"/>
      <c r="K756" s="78"/>
      <c r="L756" s="146">
        <f t="shared" si="41"/>
        <v>13126700</v>
      </c>
      <c r="M756" s="73"/>
      <c r="N756" s="73"/>
      <c r="O756" s="7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 x14ac:dyDescent="0.35">
      <c r="A757" s="9">
        <f t="shared" si="42"/>
        <v>749</v>
      </c>
      <c r="B757" s="15"/>
      <c r="C757" s="11">
        <f t="shared" si="43"/>
        <v>1</v>
      </c>
      <c r="D757" s="11"/>
      <c r="E757" s="11"/>
      <c r="F757" s="11"/>
      <c r="G757" s="89">
        <f>IFERROR(VLOOKUP(F757,COA!$A$1:$K$26,2,FALSE),0)</f>
        <v>0</v>
      </c>
      <c r="H757" s="13"/>
      <c r="I757" s="13"/>
      <c r="J757" s="78"/>
      <c r="K757" s="78"/>
      <c r="L757" s="146">
        <f t="shared" si="41"/>
        <v>13126700</v>
      </c>
      <c r="M757" s="73"/>
      <c r="N757" s="73"/>
      <c r="O757" s="7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 x14ac:dyDescent="0.35">
      <c r="A758" s="9">
        <f t="shared" si="42"/>
        <v>750</v>
      </c>
      <c r="B758" s="15"/>
      <c r="C758" s="11">
        <f t="shared" si="43"/>
        <v>1</v>
      </c>
      <c r="D758" s="11"/>
      <c r="E758" s="11"/>
      <c r="F758" s="11"/>
      <c r="G758" s="89">
        <f>IFERROR(VLOOKUP(F758,COA!$A$1:$K$26,2,FALSE),0)</f>
        <v>0</v>
      </c>
      <c r="H758" s="11"/>
      <c r="I758" s="11"/>
      <c r="J758" s="78"/>
      <c r="K758" s="78"/>
      <c r="L758" s="146">
        <f t="shared" si="41"/>
        <v>13126700</v>
      </c>
      <c r="M758" s="73"/>
      <c r="N758" s="73"/>
      <c r="O758" s="7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 x14ac:dyDescent="0.35">
      <c r="A759" s="9">
        <f t="shared" si="42"/>
        <v>751</v>
      </c>
      <c r="B759" s="15"/>
      <c r="C759" s="11">
        <f t="shared" si="43"/>
        <v>1</v>
      </c>
      <c r="D759" s="11"/>
      <c r="E759" s="11"/>
      <c r="F759" s="11"/>
      <c r="G759" s="89">
        <f>IFERROR(VLOOKUP(F759,COA!$A$1:$K$26,2,FALSE),0)</f>
        <v>0</v>
      </c>
      <c r="H759" s="11"/>
      <c r="I759" s="11"/>
      <c r="J759" s="78"/>
      <c r="K759" s="78"/>
      <c r="L759" s="146">
        <f t="shared" si="41"/>
        <v>13126700</v>
      </c>
      <c r="M759" s="73"/>
      <c r="N759" s="73"/>
      <c r="O759" s="7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 x14ac:dyDescent="0.35">
      <c r="A760" s="9">
        <f t="shared" si="42"/>
        <v>752</v>
      </c>
      <c r="B760" s="15"/>
      <c r="C760" s="11">
        <f t="shared" si="43"/>
        <v>1</v>
      </c>
      <c r="D760" s="11"/>
      <c r="E760" s="11"/>
      <c r="F760" s="11"/>
      <c r="G760" s="89">
        <f>IFERROR(VLOOKUP(F760,COA!$A$1:$K$26,2,FALSE),0)</f>
        <v>0</v>
      </c>
      <c r="H760" s="11"/>
      <c r="I760" s="11"/>
      <c r="J760" s="78"/>
      <c r="K760" s="78"/>
      <c r="L760" s="146">
        <f t="shared" si="41"/>
        <v>13126700</v>
      </c>
      <c r="M760" s="73"/>
      <c r="N760" s="73"/>
      <c r="O760" s="7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 x14ac:dyDescent="0.35">
      <c r="A761" s="9">
        <f t="shared" si="42"/>
        <v>753</v>
      </c>
      <c r="B761" s="15"/>
      <c r="C761" s="11">
        <f t="shared" si="43"/>
        <v>1</v>
      </c>
      <c r="D761" s="11"/>
      <c r="E761" s="11"/>
      <c r="F761" s="11"/>
      <c r="G761" s="89">
        <f>IFERROR(VLOOKUP(F761,COA!$A$1:$K$26,2,FALSE),0)</f>
        <v>0</v>
      </c>
      <c r="H761" s="11"/>
      <c r="I761" s="11"/>
      <c r="J761" s="78"/>
      <c r="K761" s="78"/>
      <c r="L761" s="146">
        <f t="shared" si="41"/>
        <v>13126700</v>
      </c>
      <c r="M761" s="73"/>
      <c r="N761" s="73"/>
      <c r="O761" s="7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 x14ac:dyDescent="0.35">
      <c r="A762" s="9">
        <f t="shared" si="42"/>
        <v>754</v>
      </c>
      <c r="B762" s="15"/>
      <c r="C762" s="11">
        <f t="shared" si="43"/>
        <v>1</v>
      </c>
      <c r="D762" s="11"/>
      <c r="E762" s="11"/>
      <c r="F762" s="11"/>
      <c r="G762" s="89">
        <f>IFERROR(VLOOKUP(F762,COA!$A$1:$K$26,2,FALSE),0)</f>
        <v>0</v>
      </c>
      <c r="H762" s="11"/>
      <c r="I762" s="11"/>
      <c r="J762" s="78"/>
      <c r="K762" s="78"/>
      <c r="L762" s="146">
        <f t="shared" si="41"/>
        <v>13126700</v>
      </c>
      <c r="M762" s="73"/>
      <c r="N762" s="73"/>
      <c r="O762" s="7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 x14ac:dyDescent="0.35">
      <c r="A763" s="9">
        <f t="shared" si="42"/>
        <v>755</v>
      </c>
      <c r="B763" s="15"/>
      <c r="C763" s="11">
        <f t="shared" si="43"/>
        <v>1</v>
      </c>
      <c r="D763" s="11"/>
      <c r="E763" s="11"/>
      <c r="F763" s="11"/>
      <c r="G763" s="89">
        <f>IFERROR(VLOOKUP(F763,COA!$A$1:$K$26,2,FALSE),0)</f>
        <v>0</v>
      </c>
      <c r="H763" s="13"/>
      <c r="I763" s="13"/>
      <c r="J763" s="78"/>
      <c r="K763" s="78"/>
      <c r="L763" s="146">
        <f t="shared" si="41"/>
        <v>13126700</v>
      </c>
      <c r="M763" s="73"/>
      <c r="N763" s="73"/>
      <c r="O763" s="7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 x14ac:dyDescent="0.35">
      <c r="A764" s="9">
        <f t="shared" si="42"/>
        <v>756</v>
      </c>
      <c r="B764" s="15"/>
      <c r="C764" s="11">
        <f t="shared" si="43"/>
        <v>1</v>
      </c>
      <c r="D764" s="11"/>
      <c r="E764" s="11"/>
      <c r="F764" s="11"/>
      <c r="G764" s="89">
        <f>IFERROR(VLOOKUP(F764,COA!$A$1:$K$26,2,FALSE),0)</f>
        <v>0</v>
      </c>
      <c r="H764" s="11"/>
      <c r="I764" s="11"/>
      <c r="J764" s="78"/>
      <c r="K764" s="78"/>
      <c r="L764" s="146">
        <f t="shared" si="41"/>
        <v>13126700</v>
      </c>
      <c r="M764" s="73"/>
      <c r="N764" s="73"/>
      <c r="O764" s="7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 x14ac:dyDescent="0.35">
      <c r="A765" s="9">
        <f t="shared" si="42"/>
        <v>757</v>
      </c>
      <c r="B765" s="15"/>
      <c r="C765" s="11">
        <f t="shared" si="43"/>
        <v>1</v>
      </c>
      <c r="D765" s="11"/>
      <c r="E765" s="11"/>
      <c r="F765" s="11"/>
      <c r="G765" s="89">
        <f>IFERROR(VLOOKUP(F765,COA!$A$1:$K$26,2,FALSE),0)</f>
        <v>0</v>
      </c>
      <c r="H765" s="11"/>
      <c r="I765" s="11"/>
      <c r="J765" s="78"/>
      <c r="K765" s="78"/>
      <c r="L765" s="146">
        <f t="shared" si="41"/>
        <v>13126700</v>
      </c>
      <c r="M765" s="73"/>
      <c r="N765" s="73"/>
      <c r="O765" s="7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 x14ac:dyDescent="0.35">
      <c r="A766" s="9">
        <f t="shared" si="42"/>
        <v>758</v>
      </c>
      <c r="B766" s="15"/>
      <c r="C766" s="11">
        <f t="shared" si="43"/>
        <v>1</v>
      </c>
      <c r="D766" s="11"/>
      <c r="E766" s="11"/>
      <c r="F766" s="11"/>
      <c r="G766" s="89">
        <f>IFERROR(VLOOKUP(F766,COA!$A$1:$K$26,2,FALSE),0)</f>
        <v>0</v>
      </c>
      <c r="H766" s="11"/>
      <c r="I766" s="11"/>
      <c r="J766" s="78"/>
      <c r="K766" s="78"/>
      <c r="L766" s="146">
        <f t="shared" si="41"/>
        <v>13126700</v>
      </c>
      <c r="M766" s="73"/>
      <c r="N766" s="73"/>
      <c r="O766" s="7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 x14ac:dyDescent="0.35">
      <c r="A767" s="9">
        <f t="shared" si="42"/>
        <v>759</v>
      </c>
      <c r="B767" s="15"/>
      <c r="C767" s="11">
        <f t="shared" si="43"/>
        <v>1</v>
      </c>
      <c r="D767" s="11"/>
      <c r="E767" s="11"/>
      <c r="F767" s="11"/>
      <c r="G767" s="89">
        <f>IFERROR(VLOOKUP(F767,COA!$A$1:$K$26,2,FALSE),0)</f>
        <v>0</v>
      </c>
      <c r="H767" s="11"/>
      <c r="I767" s="11"/>
      <c r="J767" s="78"/>
      <c r="K767" s="78"/>
      <c r="L767" s="146">
        <f t="shared" si="41"/>
        <v>13126700</v>
      </c>
      <c r="M767" s="73"/>
      <c r="N767" s="73"/>
      <c r="O767" s="7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 x14ac:dyDescent="0.35">
      <c r="A768" s="9">
        <f t="shared" si="42"/>
        <v>760</v>
      </c>
      <c r="B768" s="15"/>
      <c r="C768" s="11">
        <f t="shared" si="43"/>
        <v>1</v>
      </c>
      <c r="D768" s="11"/>
      <c r="E768" s="11"/>
      <c r="F768" s="11"/>
      <c r="G768" s="89">
        <f>IFERROR(VLOOKUP(F768,COA!$A$1:$K$26,2,FALSE),0)</f>
        <v>0</v>
      </c>
      <c r="H768" s="11"/>
      <c r="I768" s="11"/>
      <c r="J768" s="78"/>
      <c r="K768" s="78"/>
      <c r="L768" s="146">
        <f t="shared" si="41"/>
        <v>13126700</v>
      </c>
      <c r="M768" s="73"/>
      <c r="N768" s="73"/>
      <c r="O768" s="7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 x14ac:dyDescent="0.35">
      <c r="A769" s="9">
        <f t="shared" si="42"/>
        <v>761</v>
      </c>
      <c r="B769" s="15"/>
      <c r="C769" s="11">
        <f t="shared" si="43"/>
        <v>1</v>
      </c>
      <c r="D769" s="11"/>
      <c r="E769" s="11"/>
      <c r="F769" s="11"/>
      <c r="G769" s="89">
        <f>IFERROR(VLOOKUP(F769,COA!$A$1:$K$26,2,FALSE),0)</f>
        <v>0</v>
      </c>
      <c r="H769" s="11"/>
      <c r="I769" s="11"/>
      <c r="J769" s="78"/>
      <c r="K769" s="78"/>
      <c r="L769" s="146">
        <f t="shared" si="41"/>
        <v>13126700</v>
      </c>
      <c r="M769" s="73"/>
      <c r="N769" s="73"/>
      <c r="O769" s="7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 x14ac:dyDescent="0.35">
      <c r="A770" s="9">
        <f t="shared" si="42"/>
        <v>762</v>
      </c>
      <c r="B770" s="15"/>
      <c r="C770" s="11">
        <f t="shared" si="43"/>
        <v>1</v>
      </c>
      <c r="D770" s="11"/>
      <c r="E770" s="11"/>
      <c r="F770" s="11"/>
      <c r="G770" s="89">
        <f>IFERROR(VLOOKUP(F770,COA!$A$1:$K$26,2,FALSE),0)</f>
        <v>0</v>
      </c>
      <c r="H770" s="11"/>
      <c r="I770" s="11"/>
      <c r="J770" s="78"/>
      <c r="K770" s="78"/>
      <c r="L770" s="146">
        <f t="shared" si="41"/>
        <v>13126700</v>
      </c>
      <c r="M770" s="73"/>
      <c r="N770" s="73"/>
      <c r="O770" s="7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 x14ac:dyDescent="0.35">
      <c r="A771" s="9">
        <f t="shared" si="42"/>
        <v>763</v>
      </c>
      <c r="B771" s="15"/>
      <c r="C771" s="11">
        <f t="shared" si="43"/>
        <v>1</v>
      </c>
      <c r="D771" s="11"/>
      <c r="E771" s="11"/>
      <c r="F771" s="11"/>
      <c r="G771" s="89">
        <f>IFERROR(VLOOKUP(F771,COA!$A$1:$K$26,2,FALSE),0)</f>
        <v>0</v>
      </c>
      <c r="H771" s="13"/>
      <c r="I771" s="13"/>
      <c r="J771" s="78"/>
      <c r="K771" s="78"/>
      <c r="L771" s="146">
        <f t="shared" si="41"/>
        <v>13126700</v>
      </c>
      <c r="M771" s="73"/>
      <c r="N771" s="73"/>
      <c r="O771" s="7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 x14ac:dyDescent="0.35">
      <c r="A772" s="9">
        <f t="shared" si="42"/>
        <v>764</v>
      </c>
      <c r="B772" s="15"/>
      <c r="C772" s="11">
        <f t="shared" si="43"/>
        <v>1</v>
      </c>
      <c r="D772" s="11"/>
      <c r="E772" s="11"/>
      <c r="F772" s="11"/>
      <c r="G772" s="89">
        <f>IFERROR(VLOOKUP(F772,COA!$A$1:$K$26,2,FALSE),0)</f>
        <v>0</v>
      </c>
      <c r="H772" s="11"/>
      <c r="I772" s="11"/>
      <c r="J772" s="78"/>
      <c r="K772" s="78"/>
      <c r="L772" s="146">
        <f t="shared" si="41"/>
        <v>13126700</v>
      </c>
      <c r="M772" s="73"/>
      <c r="N772" s="73"/>
      <c r="O772" s="7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 x14ac:dyDescent="0.35">
      <c r="A773" s="9">
        <f t="shared" si="42"/>
        <v>765</v>
      </c>
      <c r="B773" s="15"/>
      <c r="C773" s="11">
        <f t="shared" si="43"/>
        <v>1</v>
      </c>
      <c r="D773" s="11"/>
      <c r="E773" s="11"/>
      <c r="F773" s="11"/>
      <c r="G773" s="89">
        <f>IFERROR(VLOOKUP(F773,COA!$A$1:$K$26,2,FALSE),0)</f>
        <v>0</v>
      </c>
      <c r="H773" s="11"/>
      <c r="I773" s="11"/>
      <c r="J773" s="78"/>
      <c r="K773" s="78"/>
      <c r="L773" s="146">
        <f t="shared" si="41"/>
        <v>13126700</v>
      </c>
      <c r="M773" s="73"/>
      <c r="N773" s="73"/>
      <c r="O773" s="7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 x14ac:dyDescent="0.35">
      <c r="A774" s="9">
        <f t="shared" si="42"/>
        <v>766</v>
      </c>
      <c r="B774" s="15"/>
      <c r="C774" s="11">
        <f t="shared" si="43"/>
        <v>1</v>
      </c>
      <c r="D774" s="11"/>
      <c r="E774" s="11"/>
      <c r="F774" s="11"/>
      <c r="G774" s="89">
        <f>IFERROR(VLOOKUP(F774,COA!$A$1:$K$26,2,FALSE),0)</f>
        <v>0</v>
      </c>
      <c r="H774" s="11"/>
      <c r="I774" s="11"/>
      <c r="J774" s="78"/>
      <c r="K774" s="78"/>
      <c r="L774" s="146">
        <f t="shared" si="41"/>
        <v>13126700</v>
      </c>
      <c r="M774" s="73"/>
      <c r="N774" s="73"/>
      <c r="O774" s="7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 x14ac:dyDescent="0.35">
      <c r="A775" s="9">
        <f t="shared" si="42"/>
        <v>767</v>
      </c>
      <c r="B775" s="15"/>
      <c r="C775" s="11">
        <f t="shared" si="43"/>
        <v>1</v>
      </c>
      <c r="D775" s="11"/>
      <c r="E775" s="11"/>
      <c r="F775" s="11"/>
      <c r="G775" s="89">
        <f>IFERROR(VLOOKUP(F775,COA!$A$1:$K$26,2,FALSE),0)</f>
        <v>0</v>
      </c>
      <c r="H775" s="11"/>
      <c r="I775" s="11"/>
      <c r="J775" s="78"/>
      <c r="K775" s="78"/>
      <c r="L775" s="146">
        <f t="shared" si="41"/>
        <v>13126700</v>
      </c>
      <c r="M775" s="73"/>
      <c r="N775" s="73"/>
      <c r="O775" s="7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 x14ac:dyDescent="0.35">
      <c r="A776" s="9">
        <f t="shared" si="42"/>
        <v>768</v>
      </c>
      <c r="B776" s="15"/>
      <c r="C776" s="11">
        <f t="shared" si="43"/>
        <v>1</v>
      </c>
      <c r="D776" s="11"/>
      <c r="E776" s="11"/>
      <c r="F776" s="11"/>
      <c r="G776" s="89">
        <f>IFERROR(VLOOKUP(F776,COA!$A$1:$K$26,2,FALSE),0)</f>
        <v>0</v>
      </c>
      <c r="H776" s="11"/>
      <c r="I776" s="11"/>
      <c r="J776" s="78"/>
      <c r="K776" s="78"/>
      <c r="L776" s="146">
        <f t="shared" si="41"/>
        <v>13126700</v>
      </c>
      <c r="M776" s="73"/>
      <c r="N776" s="73"/>
      <c r="O776" s="7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 x14ac:dyDescent="0.35">
      <c r="A777" s="9">
        <f t="shared" si="42"/>
        <v>769</v>
      </c>
      <c r="B777" s="15"/>
      <c r="C777" s="11">
        <f t="shared" si="43"/>
        <v>1</v>
      </c>
      <c r="D777" s="11"/>
      <c r="E777" s="11"/>
      <c r="F777" s="11"/>
      <c r="G777" s="89">
        <f>IFERROR(VLOOKUP(F777,COA!$A$1:$K$26,2,FALSE),0)</f>
        <v>0</v>
      </c>
      <c r="H777" s="13"/>
      <c r="I777" s="13"/>
      <c r="J777" s="78"/>
      <c r="K777" s="78"/>
      <c r="L777" s="146">
        <f t="shared" si="41"/>
        <v>13126700</v>
      </c>
      <c r="M777" s="73"/>
      <c r="N777" s="73"/>
      <c r="O777" s="7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 x14ac:dyDescent="0.35">
      <c r="A778" s="9">
        <f t="shared" si="42"/>
        <v>770</v>
      </c>
      <c r="B778" s="15"/>
      <c r="C778" s="11">
        <f t="shared" si="43"/>
        <v>1</v>
      </c>
      <c r="D778" s="11"/>
      <c r="E778" s="11"/>
      <c r="F778" s="11"/>
      <c r="G778" s="89">
        <f>IFERROR(VLOOKUP(F778,COA!$A$1:$K$26,2,FALSE),0)</f>
        <v>0</v>
      </c>
      <c r="H778" s="11"/>
      <c r="I778" s="11"/>
      <c r="J778" s="78"/>
      <c r="K778" s="78"/>
      <c r="L778" s="146">
        <f t="shared" si="41"/>
        <v>13126700</v>
      </c>
      <c r="M778" s="73"/>
      <c r="N778" s="73"/>
      <c r="O778" s="7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 x14ac:dyDescent="0.35">
      <c r="A779" s="9">
        <f t="shared" si="42"/>
        <v>771</v>
      </c>
      <c r="B779" s="15"/>
      <c r="C779" s="11">
        <f t="shared" si="43"/>
        <v>1</v>
      </c>
      <c r="D779" s="11"/>
      <c r="E779" s="11"/>
      <c r="F779" s="11"/>
      <c r="G779" s="89">
        <f>IFERROR(VLOOKUP(F779,COA!$A$1:$K$26,2,FALSE),0)</f>
        <v>0</v>
      </c>
      <c r="H779" s="11"/>
      <c r="I779" s="11"/>
      <c r="J779" s="78"/>
      <c r="K779" s="78"/>
      <c r="L779" s="146">
        <f t="shared" si="41"/>
        <v>13126700</v>
      </c>
      <c r="M779" s="73"/>
      <c r="N779" s="73"/>
      <c r="O779" s="7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 x14ac:dyDescent="0.35">
      <c r="A780" s="9">
        <f t="shared" si="42"/>
        <v>772</v>
      </c>
      <c r="B780" s="15"/>
      <c r="C780" s="11">
        <f t="shared" si="43"/>
        <v>1</v>
      </c>
      <c r="D780" s="11"/>
      <c r="E780" s="11"/>
      <c r="F780" s="11"/>
      <c r="G780" s="89">
        <f>IFERROR(VLOOKUP(F780,COA!$A$1:$K$26,2,FALSE),0)</f>
        <v>0</v>
      </c>
      <c r="H780" s="11"/>
      <c r="I780" s="11"/>
      <c r="J780" s="78"/>
      <c r="K780" s="78"/>
      <c r="L780" s="146">
        <f t="shared" si="41"/>
        <v>13126700</v>
      </c>
      <c r="M780" s="73"/>
      <c r="N780" s="73"/>
      <c r="O780" s="7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 x14ac:dyDescent="0.35">
      <c r="A781" s="9">
        <f t="shared" si="42"/>
        <v>773</v>
      </c>
      <c r="B781" s="15"/>
      <c r="C781" s="11">
        <f t="shared" si="43"/>
        <v>1</v>
      </c>
      <c r="D781" s="11"/>
      <c r="E781" s="11"/>
      <c r="F781" s="11"/>
      <c r="G781" s="89">
        <f>IFERROR(VLOOKUP(F781,COA!$A$1:$K$26,2,FALSE),0)</f>
        <v>0</v>
      </c>
      <c r="H781" s="11"/>
      <c r="I781" s="11"/>
      <c r="J781" s="78"/>
      <c r="K781" s="78"/>
      <c r="L781" s="146">
        <f t="shared" si="41"/>
        <v>13126700</v>
      </c>
      <c r="M781" s="73"/>
      <c r="N781" s="73"/>
      <c r="O781" s="7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 x14ac:dyDescent="0.35">
      <c r="A782" s="9">
        <f t="shared" si="42"/>
        <v>774</v>
      </c>
      <c r="B782" s="15"/>
      <c r="C782" s="11">
        <f t="shared" si="43"/>
        <v>1</v>
      </c>
      <c r="D782" s="11"/>
      <c r="E782" s="11"/>
      <c r="F782" s="11"/>
      <c r="G782" s="89">
        <f>IFERROR(VLOOKUP(F782,COA!$A$1:$K$26,2,FALSE),0)</f>
        <v>0</v>
      </c>
      <c r="H782" s="11"/>
      <c r="I782" s="11"/>
      <c r="J782" s="78"/>
      <c r="K782" s="78"/>
      <c r="L782" s="146">
        <f t="shared" si="41"/>
        <v>13126700</v>
      </c>
      <c r="M782" s="73"/>
      <c r="N782" s="73"/>
      <c r="O782" s="7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 x14ac:dyDescent="0.35">
      <c r="A783" s="9">
        <f t="shared" si="42"/>
        <v>775</v>
      </c>
      <c r="B783" s="15"/>
      <c r="C783" s="11">
        <f t="shared" si="43"/>
        <v>1</v>
      </c>
      <c r="D783" s="11"/>
      <c r="E783" s="11"/>
      <c r="F783" s="11"/>
      <c r="G783" s="89">
        <f>IFERROR(VLOOKUP(F783,COA!$A$1:$K$26,2,FALSE),0)</f>
        <v>0</v>
      </c>
      <c r="H783" s="13"/>
      <c r="I783" s="13"/>
      <c r="J783" s="78"/>
      <c r="K783" s="78"/>
      <c r="L783" s="146">
        <f t="shared" si="41"/>
        <v>13126700</v>
      </c>
      <c r="M783" s="73"/>
      <c r="N783" s="73"/>
      <c r="O783" s="7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 x14ac:dyDescent="0.35">
      <c r="A784" s="9">
        <f t="shared" si="42"/>
        <v>776</v>
      </c>
      <c r="B784" s="15"/>
      <c r="C784" s="11">
        <f t="shared" si="43"/>
        <v>1</v>
      </c>
      <c r="D784" s="11"/>
      <c r="E784" s="11"/>
      <c r="F784" s="11"/>
      <c r="G784" s="89">
        <f>IFERROR(VLOOKUP(F784,COA!$A$1:$K$26,2,FALSE),0)</f>
        <v>0</v>
      </c>
      <c r="H784" s="11"/>
      <c r="I784" s="11"/>
      <c r="J784" s="78"/>
      <c r="K784" s="78"/>
      <c r="L784" s="146">
        <f t="shared" ref="L784:L847" si="44">L783+J784-K784</f>
        <v>13126700</v>
      </c>
      <c r="M784" s="73"/>
      <c r="N784" s="73"/>
      <c r="O784" s="7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 x14ac:dyDescent="0.35">
      <c r="A785" s="9">
        <f t="shared" si="42"/>
        <v>777</v>
      </c>
      <c r="B785" s="15"/>
      <c r="C785" s="11">
        <f t="shared" si="43"/>
        <v>1</v>
      </c>
      <c r="D785" s="11"/>
      <c r="E785" s="11"/>
      <c r="F785" s="11"/>
      <c r="G785" s="89">
        <f>IFERROR(VLOOKUP(F785,COA!$A$1:$K$26,2,FALSE),0)</f>
        <v>0</v>
      </c>
      <c r="H785" s="11"/>
      <c r="I785" s="11"/>
      <c r="J785" s="78"/>
      <c r="K785" s="78"/>
      <c r="L785" s="146">
        <f t="shared" si="44"/>
        <v>13126700</v>
      </c>
      <c r="M785" s="73"/>
      <c r="N785" s="73"/>
      <c r="O785" s="7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 x14ac:dyDescent="0.35">
      <c r="A786" s="9">
        <f t="shared" ref="A786:A849" si="45">A785+1</f>
        <v>778</v>
      </c>
      <c r="B786" s="15"/>
      <c r="C786" s="11">
        <f t="shared" si="43"/>
        <v>1</v>
      </c>
      <c r="D786" s="11"/>
      <c r="E786" s="11"/>
      <c r="F786" s="11"/>
      <c r="G786" s="89">
        <f>IFERROR(VLOOKUP(F786,COA!$A$1:$K$26,2,FALSE),0)</f>
        <v>0</v>
      </c>
      <c r="H786" s="11"/>
      <c r="I786" s="11"/>
      <c r="J786" s="78"/>
      <c r="K786" s="78"/>
      <c r="L786" s="146">
        <f t="shared" si="44"/>
        <v>13126700</v>
      </c>
      <c r="M786" s="73"/>
      <c r="N786" s="73"/>
      <c r="O786" s="7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 x14ac:dyDescent="0.35">
      <c r="A787" s="9">
        <f t="shared" si="45"/>
        <v>779</v>
      </c>
      <c r="B787" s="15"/>
      <c r="C787" s="11">
        <f t="shared" si="43"/>
        <v>1</v>
      </c>
      <c r="D787" s="11"/>
      <c r="E787" s="11"/>
      <c r="F787" s="11"/>
      <c r="G787" s="89">
        <f>IFERROR(VLOOKUP(F787,COA!$A$1:$K$26,2,FALSE),0)</f>
        <v>0</v>
      </c>
      <c r="H787" s="11"/>
      <c r="I787" s="11"/>
      <c r="J787" s="78"/>
      <c r="K787" s="78"/>
      <c r="L787" s="146">
        <f t="shared" si="44"/>
        <v>13126700</v>
      </c>
      <c r="M787" s="73"/>
      <c r="N787" s="73"/>
      <c r="O787" s="7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 x14ac:dyDescent="0.35">
      <c r="A788" s="9">
        <f t="shared" si="45"/>
        <v>780</v>
      </c>
      <c r="B788" s="15"/>
      <c r="C788" s="11">
        <f t="shared" si="43"/>
        <v>1</v>
      </c>
      <c r="D788" s="11"/>
      <c r="E788" s="11"/>
      <c r="F788" s="11"/>
      <c r="G788" s="89">
        <f>IFERROR(VLOOKUP(F788,COA!$A$1:$K$26,2,FALSE),0)</f>
        <v>0</v>
      </c>
      <c r="H788" s="11"/>
      <c r="I788" s="11"/>
      <c r="J788" s="78"/>
      <c r="K788" s="78"/>
      <c r="L788" s="146">
        <f t="shared" si="44"/>
        <v>13126700</v>
      </c>
      <c r="M788" s="73"/>
      <c r="N788" s="73"/>
      <c r="O788" s="7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 x14ac:dyDescent="0.35">
      <c r="A789" s="9">
        <f t="shared" si="45"/>
        <v>781</v>
      </c>
      <c r="B789" s="15"/>
      <c r="C789" s="11">
        <f t="shared" si="43"/>
        <v>1</v>
      </c>
      <c r="D789" s="11"/>
      <c r="E789" s="11"/>
      <c r="F789" s="11"/>
      <c r="G789" s="89">
        <f>IFERROR(VLOOKUP(F789,COA!$A$1:$K$26,2,FALSE),0)</f>
        <v>0</v>
      </c>
      <c r="H789" s="13"/>
      <c r="I789" s="13"/>
      <c r="J789" s="78"/>
      <c r="K789" s="78"/>
      <c r="L789" s="146">
        <f t="shared" si="44"/>
        <v>13126700</v>
      </c>
      <c r="M789" s="73"/>
      <c r="N789" s="73"/>
      <c r="O789" s="7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 x14ac:dyDescent="0.35">
      <c r="A790" s="9">
        <f t="shared" si="45"/>
        <v>782</v>
      </c>
      <c r="B790" s="15"/>
      <c r="C790" s="11">
        <f t="shared" si="43"/>
        <v>1</v>
      </c>
      <c r="D790" s="11"/>
      <c r="E790" s="11"/>
      <c r="F790" s="11"/>
      <c r="G790" s="89">
        <f>IFERROR(VLOOKUP(F790,COA!$A$1:$K$26,2,FALSE),0)</f>
        <v>0</v>
      </c>
      <c r="H790" s="11"/>
      <c r="I790" s="11"/>
      <c r="J790" s="78"/>
      <c r="K790" s="78"/>
      <c r="L790" s="146">
        <f t="shared" si="44"/>
        <v>13126700</v>
      </c>
      <c r="M790" s="73"/>
      <c r="N790" s="73"/>
      <c r="O790" s="7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 x14ac:dyDescent="0.35">
      <c r="A791" s="9">
        <f t="shared" si="45"/>
        <v>783</v>
      </c>
      <c r="B791" s="15"/>
      <c r="C791" s="11">
        <f t="shared" si="43"/>
        <v>1</v>
      </c>
      <c r="D791" s="11"/>
      <c r="E791" s="11"/>
      <c r="F791" s="11"/>
      <c r="G791" s="89">
        <f>IFERROR(VLOOKUP(F791,COA!$A$1:$K$26,2,FALSE),0)</f>
        <v>0</v>
      </c>
      <c r="H791" s="11"/>
      <c r="I791" s="11"/>
      <c r="J791" s="78"/>
      <c r="K791" s="78"/>
      <c r="L791" s="146">
        <f t="shared" si="44"/>
        <v>13126700</v>
      </c>
      <c r="M791" s="73"/>
      <c r="N791" s="73"/>
      <c r="O791" s="7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 x14ac:dyDescent="0.35">
      <c r="A792" s="9">
        <f t="shared" si="45"/>
        <v>784</v>
      </c>
      <c r="B792" s="15"/>
      <c r="C792" s="11">
        <f t="shared" si="43"/>
        <v>1</v>
      </c>
      <c r="D792" s="11"/>
      <c r="E792" s="11"/>
      <c r="F792" s="11"/>
      <c r="G792" s="89">
        <f>IFERROR(VLOOKUP(F792,COA!$A$1:$K$26,2,FALSE),0)</f>
        <v>0</v>
      </c>
      <c r="H792" s="11"/>
      <c r="I792" s="11"/>
      <c r="J792" s="78"/>
      <c r="K792" s="78"/>
      <c r="L792" s="146">
        <f t="shared" si="44"/>
        <v>13126700</v>
      </c>
      <c r="M792" s="73"/>
      <c r="N792" s="73"/>
      <c r="O792" s="7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 x14ac:dyDescent="0.35">
      <c r="A793" s="9">
        <f t="shared" si="45"/>
        <v>785</v>
      </c>
      <c r="B793" s="15"/>
      <c r="C793" s="11">
        <f t="shared" si="43"/>
        <v>1</v>
      </c>
      <c r="D793" s="11"/>
      <c r="E793" s="11"/>
      <c r="F793" s="11"/>
      <c r="G793" s="89">
        <f>IFERROR(VLOOKUP(F793,COA!$A$1:$K$26,2,FALSE),0)</f>
        <v>0</v>
      </c>
      <c r="H793" s="11"/>
      <c r="I793" s="11"/>
      <c r="J793" s="78"/>
      <c r="K793" s="78"/>
      <c r="L793" s="146">
        <f t="shared" si="44"/>
        <v>13126700</v>
      </c>
      <c r="M793" s="73"/>
      <c r="N793" s="73"/>
      <c r="O793" s="7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 x14ac:dyDescent="0.35">
      <c r="A794" s="9">
        <f t="shared" si="45"/>
        <v>786</v>
      </c>
      <c r="B794" s="15"/>
      <c r="C794" s="11">
        <f t="shared" si="43"/>
        <v>1</v>
      </c>
      <c r="D794" s="11"/>
      <c r="E794" s="11"/>
      <c r="F794" s="11"/>
      <c r="G794" s="89">
        <f>IFERROR(VLOOKUP(F794,COA!$A$1:$K$26,2,FALSE),0)</f>
        <v>0</v>
      </c>
      <c r="H794" s="11"/>
      <c r="I794" s="11"/>
      <c r="J794" s="78"/>
      <c r="K794" s="78"/>
      <c r="L794" s="146">
        <f t="shared" si="44"/>
        <v>13126700</v>
      </c>
      <c r="M794" s="73"/>
      <c r="N794" s="73"/>
      <c r="O794" s="7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 x14ac:dyDescent="0.35">
      <c r="A795" s="9">
        <f t="shared" si="45"/>
        <v>787</v>
      </c>
      <c r="B795" s="15"/>
      <c r="C795" s="11">
        <f t="shared" si="43"/>
        <v>1</v>
      </c>
      <c r="D795" s="11"/>
      <c r="E795" s="11"/>
      <c r="F795" s="11"/>
      <c r="G795" s="89">
        <f>IFERROR(VLOOKUP(F795,COA!$A$1:$K$26,2,FALSE),0)</f>
        <v>0</v>
      </c>
      <c r="H795" s="13"/>
      <c r="I795" s="13"/>
      <c r="J795" s="78"/>
      <c r="K795" s="78"/>
      <c r="L795" s="146">
        <f t="shared" si="44"/>
        <v>13126700</v>
      </c>
      <c r="M795" s="73"/>
      <c r="N795" s="73"/>
      <c r="O795" s="7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 x14ac:dyDescent="0.35">
      <c r="A796" s="9">
        <f t="shared" si="45"/>
        <v>788</v>
      </c>
      <c r="B796" s="15"/>
      <c r="C796" s="11">
        <f t="shared" si="43"/>
        <v>1</v>
      </c>
      <c r="D796" s="11"/>
      <c r="E796" s="11"/>
      <c r="F796" s="11"/>
      <c r="G796" s="89">
        <f>IFERROR(VLOOKUP(F796,COA!$A$1:$K$26,2,FALSE),0)</f>
        <v>0</v>
      </c>
      <c r="H796" s="11"/>
      <c r="I796" s="11"/>
      <c r="J796" s="78"/>
      <c r="K796" s="78"/>
      <c r="L796" s="146">
        <f t="shared" si="44"/>
        <v>13126700</v>
      </c>
      <c r="M796" s="73"/>
      <c r="N796" s="73"/>
      <c r="O796" s="7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 x14ac:dyDescent="0.35">
      <c r="A797" s="9">
        <f t="shared" si="45"/>
        <v>789</v>
      </c>
      <c r="B797" s="15"/>
      <c r="C797" s="11">
        <f t="shared" si="43"/>
        <v>1</v>
      </c>
      <c r="D797" s="11"/>
      <c r="E797" s="11"/>
      <c r="F797" s="11"/>
      <c r="G797" s="89">
        <f>IFERROR(VLOOKUP(F797,COA!$A$1:$K$26,2,FALSE),0)</f>
        <v>0</v>
      </c>
      <c r="H797" s="11"/>
      <c r="I797" s="11"/>
      <c r="J797" s="78"/>
      <c r="K797" s="78"/>
      <c r="L797" s="146">
        <f t="shared" si="44"/>
        <v>13126700</v>
      </c>
      <c r="M797" s="73"/>
      <c r="N797" s="73"/>
      <c r="O797" s="7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 x14ac:dyDescent="0.35">
      <c r="A798" s="9">
        <f t="shared" si="45"/>
        <v>790</v>
      </c>
      <c r="B798" s="15"/>
      <c r="C798" s="11">
        <f t="shared" si="43"/>
        <v>1</v>
      </c>
      <c r="D798" s="11"/>
      <c r="E798" s="11"/>
      <c r="F798" s="11"/>
      <c r="G798" s="89">
        <f>IFERROR(VLOOKUP(F798,COA!$A$1:$K$26,2,FALSE),0)</f>
        <v>0</v>
      </c>
      <c r="H798" s="11"/>
      <c r="I798" s="11"/>
      <c r="J798" s="78"/>
      <c r="K798" s="78"/>
      <c r="L798" s="146">
        <f t="shared" si="44"/>
        <v>13126700</v>
      </c>
      <c r="M798" s="73"/>
      <c r="N798" s="73"/>
      <c r="O798" s="7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 x14ac:dyDescent="0.35">
      <c r="A799" s="9">
        <f t="shared" si="45"/>
        <v>791</v>
      </c>
      <c r="B799" s="15"/>
      <c r="C799" s="11">
        <f t="shared" si="43"/>
        <v>1</v>
      </c>
      <c r="D799" s="11"/>
      <c r="E799" s="11"/>
      <c r="F799" s="11"/>
      <c r="G799" s="89">
        <f>IFERROR(VLOOKUP(F799,COA!$A$1:$K$26,2,FALSE),0)</f>
        <v>0</v>
      </c>
      <c r="H799" s="11"/>
      <c r="I799" s="11"/>
      <c r="J799" s="78"/>
      <c r="K799" s="78"/>
      <c r="L799" s="146">
        <f t="shared" si="44"/>
        <v>13126700</v>
      </c>
      <c r="M799" s="73"/>
      <c r="N799" s="73"/>
      <c r="O799" s="7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 x14ac:dyDescent="0.35">
      <c r="A800" s="9">
        <f t="shared" si="45"/>
        <v>792</v>
      </c>
      <c r="B800" s="15"/>
      <c r="C800" s="11">
        <f t="shared" si="43"/>
        <v>1</v>
      </c>
      <c r="D800" s="11"/>
      <c r="E800" s="11"/>
      <c r="F800" s="11"/>
      <c r="G800" s="89">
        <f>IFERROR(VLOOKUP(F800,COA!$A$1:$K$26,2,FALSE),0)</f>
        <v>0</v>
      </c>
      <c r="H800" s="11"/>
      <c r="I800" s="11"/>
      <c r="J800" s="78"/>
      <c r="K800" s="78"/>
      <c r="L800" s="146">
        <f t="shared" si="44"/>
        <v>13126700</v>
      </c>
      <c r="M800" s="73"/>
      <c r="N800" s="73"/>
      <c r="O800" s="7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 x14ac:dyDescent="0.35">
      <c r="A801" s="9">
        <f t="shared" si="45"/>
        <v>793</v>
      </c>
      <c r="B801" s="15"/>
      <c r="C801" s="11">
        <f t="shared" si="43"/>
        <v>1</v>
      </c>
      <c r="D801" s="11"/>
      <c r="E801" s="11"/>
      <c r="F801" s="11"/>
      <c r="G801" s="89">
        <f>IFERROR(VLOOKUP(F801,COA!$A$1:$K$26,2,FALSE),0)</f>
        <v>0</v>
      </c>
      <c r="H801" s="11"/>
      <c r="I801" s="11"/>
      <c r="J801" s="78"/>
      <c r="K801" s="78"/>
      <c r="L801" s="146">
        <f t="shared" si="44"/>
        <v>13126700</v>
      </c>
      <c r="M801" s="73"/>
      <c r="N801" s="73"/>
      <c r="O801" s="7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 x14ac:dyDescent="0.35">
      <c r="A802" s="9">
        <f t="shared" si="45"/>
        <v>794</v>
      </c>
      <c r="B802" s="15"/>
      <c r="C802" s="11">
        <f t="shared" si="43"/>
        <v>1</v>
      </c>
      <c r="D802" s="11"/>
      <c r="E802" s="11"/>
      <c r="F802" s="11"/>
      <c r="G802" s="89">
        <f>IFERROR(VLOOKUP(F802,COA!$A$1:$K$26,2,FALSE),0)</f>
        <v>0</v>
      </c>
      <c r="H802" s="11"/>
      <c r="I802" s="11"/>
      <c r="J802" s="78"/>
      <c r="K802" s="78"/>
      <c r="L802" s="146">
        <f t="shared" si="44"/>
        <v>13126700</v>
      </c>
      <c r="M802" s="73"/>
      <c r="N802" s="73"/>
      <c r="O802" s="7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 x14ac:dyDescent="0.35">
      <c r="A803" s="9">
        <f t="shared" si="45"/>
        <v>795</v>
      </c>
      <c r="B803" s="15"/>
      <c r="C803" s="11">
        <f t="shared" si="43"/>
        <v>1</v>
      </c>
      <c r="D803" s="11"/>
      <c r="E803" s="11"/>
      <c r="F803" s="11"/>
      <c r="G803" s="89">
        <f>IFERROR(VLOOKUP(F803,COA!$A$1:$K$26,2,FALSE),0)</f>
        <v>0</v>
      </c>
      <c r="H803" s="11"/>
      <c r="I803" s="11"/>
      <c r="J803" s="78"/>
      <c r="K803" s="78"/>
      <c r="L803" s="146">
        <f t="shared" si="44"/>
        <v>13126700</v>
      </c>
      <c r="M803" s="73"/>
      <c r="N803" s="73"/>
      <c r="O803" s="7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 x14ac:dyDescent="0.35">
      <c r="A804" s="9">
        <f t="shared" si="45"/>
        <v>796</v>
      </c>
      <c r="B804" s="15"/>
      <c r="C804" s="11">
        <f t="shared" ref="C804:C867" si="46">MONTH(B804)</f>
        <v>1</v>
      </c>
      <c r="D804" s="11"/>
      <c r="E804" s="11"/>
      <c r="F804" s="11"/>
      <c r="G804" s="89">
        <f>IFERROR(VLOOKUP(F804,COA!$A$1:$K$26,2,FALSE),0)</f>
        <v>0</v>
      </c>
      <c r="H804" s="11"/>
      <c r="I804" s="11"/>
      <c r="J804" s="78"/>
      <c r="K804" s="78"/>
      <c r="L804" s="146">
        <f t="shared" si="44"/>
        <v>13126700</v>
      </c>
      <c r="M804" s="73"/>
      <c r="N804" s="73"/>
      <c r="O804" s="7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 x14ac:dyDescent="0.35">
      <c r="A805" s="9">
        <f t="shared" si="45"/>
        <v>797</v>
      </c>
      <c r="B805" s="15"/>
      <c r="C805" s="11">
        <f t="shared" si="46"/>
        <v>1</v>
      </c>
      <c r="D805" s="11"/>
      <c r="E805" s="11"/>
      <c r="F805" s="11"/>
      <c r="G805" s="89">
        <f>IFERROR(VLOOKUP(F805,COA!$A$1:$K$26,2,FALSE),0)</f>
        <v>0</v>
      </c>
      <c r="H805" s="11"/>
      <c r="I805" s="11"/>
      <c r="J805" s="78"/>
      <c r="K805" s="78"/>
      <c r="L805" s="146">
        <f t="shared" si="44"/>
        <v>13126700</v>
      </c>
      <c r="M805" s="73"/>
      <c r="N805" s="73"/>
      <c r="O805" s="7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 x14ac:dyDescent="0.35">
      <c r="A806" s="9">
        <f t="shared" si="45"/>
        <v>798</v>
      </c>
      <c r="B806" s="15"/>
      <c r="C806" s="11">
        <f t="shared" si="46"/>
        <v>1</v>
      </c>
      <c r="D806" s="11"/>
      <c r="E806" s="11"/>
      <c r="F806" s="11"/>
      <c r="G806" s="89">
        <f>IFERROR(VLOOKUP(F806,COA!$A$1:$K$26,2,FALSE),0)</f>
        <v>0</v>
      </c>
      <c r="H806" s="11"/>
      <c r="I806" s="11"/>
      <c r="J806" s="78"/>
      <c r="K806" s="78"/>
      <c r="L806" s="146">
        <f t="shared" si="44"/>
        <v>13126700</v>
      </c>
      <c r="M806" s="73"/>
      <c r="N806" s="73"/>
      <c r="O806" s="7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 x14ac:dyDescent="0.35">
      <c r="A807" s="9">
        <f t="shared" si="45"/>
        <v>799</v>
      </c>
      <c r="B807" s="15"/>
      <c r="C807" s="11">
        <f t="shared" si="46"/>
        <v>1</v>
      </c>
      <c r="D807" s="11"/>
      <c r="E807" s="11"/>
      <c r="F807" s="11"/>
      <c r="G807" s="89">
        <f>IFERROR(VLOOKUP(F807,COA!$A$1:$K$26,2,FALSE),0)</f>
        <v>0</v>
      </c>
      <c r="H807" s="11"/>
      <c r="I807" s="11"/>
      <c r="J807" s="78"/>
      <c r="K807" s="78"/>
      <c r="L807" s="146">
        <f t="shared" si="44"/>
        <v>13126700</v>
      </c>
      <c r="M807" s="73"/>
      <c r="N807" s="73"/>
      <c r="O807" s="7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 x14ac:dyDescent="0.35">
      <c r="A808" s="9">
        <f t="shared" si="45"/>
        <v>800</v>
      </c>
      <c r="B808" s="15"/>
      <c r="C808" s="11">
        <f t="shared" si="46"/>
        <v>1</v>
      </c>
      <c r="D808" s="11"/>
      <c r="E808" s="11"/>
      <c r="F808" s="11"/>
      <c r="G808" s="89">
        <f>IFERROR(VLOOKUP(F808,COA!$A$1:$K$26,2,FALSE),0)</f>
        <v>0</v>
      </c>
      <c r="H808" s="11"/>
      <c r="I808" s="11"/>
      <c r="J808" s="78"/>
      <c r="K808" s="78"/>
      <c r="L808" s="146">
        <f t="shared" si="44"/>
        <v>13126700</v>
      </c>
      <c r="M808" s="73"/>
      <c r="N808" s="73"/>
      <c r="O808" s="7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 x14ac:dyDescent="0.35">
      <c r="A809" s="9">
        <f t="shared" si="45"/>
        <v>801</v>
      </c>
      <c r="B809" s="15"/>
      <c r="C809" s="11">
        <f t="shared" si="46"/>
        <v>1</v>
      </c>
      <c r="D809" s="11"/>
      <c r="E809" s="11"/>
      <c r="F809" s="11"/>
      <c r="G809" s="89">
        <f>IFERROR(VLOOKUP(F809,COA!$A$1:$K$26,2,FALSE),0)</f>
        <v>0</v>
      </c>
      <c r="H809" s="11"/>
      <c r="I809" s="11"/>
      <c r="J809" s="78"/>
      <c r="K809" s="78"/>
      <c r="L809" s="146">
        <f t="shared" si="44"/>
        <v>13126700</v>
      </c>
      <c r="M809" s="73"/>
      <c r="N809" s="73"/>
      <c r="O809" s="7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 x14ac:dyDescent="0.35">
      <c r="A810" s="9">
        <f t="shared" si="45"/>
        <v>802</v>
      </c>
      <c r="B810" s="15"/>
      <c r="C810" s="11">
        <f t="shared" si="46"/>
        <v>1</v>
      </c>
      <c r="D810" s="11"/>
      <c r="E810" s="11"/>
      <c r="F810" s="11"/>
      <c r="G810" s="89">
        <f>IFERROR(VLOOKUP(F810,COA!$A$1:$K$26,2,FALSE),0)</f>
        <v>0</v>
      </c>
      <c r="H810" s="11"/>
      <c r="I810" s="11"/>
      <c r="J810" s="78"/>
      <c r="K810" s="78"/>
      <c r="L810" s="146">
        <f t="shared" si="44"/>
        <v>13126700</v>
      </c>
      <c r="M810" s="73"/>
      <c r="N810" s="73"/>
      <c r="O810" s="7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 x14ac:dyDescent="0.35">
      <c r="A811" s="9">
        <f t="shared" si="45"/>
        <v>803</v>
      </c>
      <c r="B811" s="15"/>
      <c r="C811" s="11">
        <f t="shared" si="46"/>
        <v>1</v>
      </c>
      <c r="D811" s="11"/>
      <c r="E811" s="11"/>
      <c r="F811" s="11"/>
      <c r="G811" s="89">
        <f>IFERROR(VLOOKUP(F811,COA!$A$1:$K$26,2,FALSE),0)</f>
        <v>0</v>
      </c>
      <c r="H811" s="11"/>
      <c r="I811" s="11"/>
      <c r="J811" s="78"/>
      <c r="K811" s="78"/>
      <c r="L811" s="146">
        <f t="shared" si="44"/>
        <v>13126700</v>
      </c>
      <c r="M811" s="73"/>
      <c r="N811" s="73"/>
      <c r="O811" s="7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 x14ac:dyDescent="0.35">
      <c r="A812" s="9">
        <f t="shared" si="45"/>
        <v>804</v>
      </c>
      <c r="B812" s="15"/>
      <c r="C812" s="11">
        <f t="shared" si="46"/>
        <v>1</v>
      </c>
      <c r="D812" s="11"/>
      <c r="E812" s="11"/>
      <c r="F812" s="11"/>
      <c r="G812" s="89">
        <f>IFERROR(VLOOKUP(F812,COA!$A$1:$K$26,2,FALSE),0)</f>
        <v>0</v>
      </c>
      <c r="H812" s="11"/>
      <c r="I812" s="11"/>
      <c r="J812" s="78"/>
      <c r="K812" s="78"/>
      <c r="L812" s="146">
        <f t="shared" si="44"/>
        <v>13126700</v>
      </c>
      <c r="M812" s="73"/>
      <c r="N812" s="73"/>
      <c r="O812" s="7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 x14ac:dyDescent="0.35">
      <c r="A813" s="9">
        <f t="shared" si="45"/>
        <v>805</v>
      </c>
      <c r="B813" s="15"/>
      <c r="C813" s="11">
        <f t="shared" si="46"/>
        <v>1</v>
      </c>
      <c r="D813" s="11"/>
      <c r="E813" s="11"/>
      <c r="F813" s="11"/>
      <c r="G813" s="89">
        <f>IFERROR(VLOOKUP(F813,COA!$A$1:$K$26,2,FALSE),0)</f>
        <v>0</v>
      </c>
      <c r="H813" s="13"/>
      <c r="I813" s="13"/>
      <c r="J813" s="78"/>
      <c r="K813" s="78"/>
      <c r="L813" s="146">
        <f t="shared" si="44"/>
        <v>13126700</v>
      </c>
      <c r="M813" s="73"/>
      <c r="N813" s="73"/>
      <c r="O813" s="7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 x14ac:dyDescent="0.35">
      <c r="A814" s="9">
        <f t="shared" si="45"/>
        <v>806</v>
      </c>
      <c r="B814" s="15"/>
      <c r="C814" s="11">
        <f t="shared" si="46"/>
        <v>1</v>
      </c>
      <c r="D814" s="11"/>
      <c r="E814" s="11"/>
      <c r="F814" s="11"/>
      <c r="G814" s="89">
        <f>IFERROR(VLOOKUP(F814,COA!$A$1:$K$26,2,FALSE),0)</f>
        <v>0</v>
      </c>
      <c r="H814" s="11"/>
      <c r="I814" s="11"/>
      <c r="J814" s="78"/>
      <c r="K814" s="78"/>
      <c r="L814" s="146">
        <f t="shared" si="44"/>
        <v>13126700</v>
      </c>
      <c r="M814" s="73"/>
      <c r="N814" s="73"/>
      <c r="O814" s="7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 x14ac:dyDescent="0.35">
      <c r="A815" s="9">
        <f t="shared" si="45"/>
        <v>807</v>
      </c>
      <c r="B815" s="15"/>
      <c r="C815" s="11">
        <f t="shared" si="46"/>
        <v>1</v>
      </c>
      <c r="D815" s="11"/>
      <c r="E815" s="11"/>
      <c r="F815" s="11"/>
      <c r="G815" s="89">
        <f>IFERROR(VLOOKUP(F815,COA!$A$1:$K$26,2,FALSE),0)</f>
        <v>0</v>
      </c>
      <c r="H815" s="11"/>
      <c r="I815" s="11"/>
      <c r="J815" s="78"/>
      <c r="K815" s="78"/>
      <c r="L815" s="146">
        <f t="shared" si="44"/>
        <v>13126700</v>
      </c>
      <c r="M815" s="73"/>
      <c r="N815" s="73"/>
      <c r="O815" s="7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 x14ac:dyDescent="0.35">
      <c r="A816" s="9">
        <f t="shared" si="45"/>
        <v>808</v>
      </c>
      <c r="B816" s="15"/>
      <c r="C816" s="11">
        <f t="shared" si="46"/>
        <v>1</v>
      </c>
      <c r="D816" s="11"/>
      <c r="E816" s="11"/>
      <c r="F816" s="11"/>
      <c r="G816" s="89">
        <f>IFERROR(VLOOKUP(F816,COA!$A$1:$K$26,2,FALSE),0)</f>
        <v>0</v>
      </c>
      <c r="H816" s="11"/>
      <c r="I816" s="11"/>
      <c r="J816" s="78"/>
      <c r="K816" s="78"/>
      <c r="L816" s="146">
        <f t="shared" si="44"/>
        <v>13126700</v>
      </c>
      <c r="M816" s="73"/>
      <c r="N816" s="73"/>
      <c r="O816" s="7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 x14ac:dyDescent="0.35">
      <c r="A817" s="9">
        <f t="shared" si="45"/>
        <v>809</v>
      </c>
      <c r="B817" s="15"/>
      <c r="C817" s="11">
        <f t="shared" si="46"/>
        <v>1</v>
      </c>
      <c r="D817" s="11"/>
      <c r="E817" s="11"/>
      <c r="F817" s="11"/>
      <c r="G817" s="89">
        <f>IFERROR(VLOOKUP(F817,COA!$A$1:$K$26,2,FALSE),0)</f>
        <v>0</v>
      </c>
      <c r="H817" s="11"/>
      <c r="I817" s="11"/>
      <c r="J817" s="78"/>
      <c r="K817" s="78"/>
      <c r="L817" s="146">
        <f t="shared" si="44"/>
        <v>13126700</v>
      </c>
      <c r="M817" s="73"/>
      <c r="N817" s="73"/>
      <c r="O817" s="7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 x14ac:dyDescent="0.35">
      <c r="A818" s="9">
        <f t="shared" si="45"/>
        <v>810</v>
      </c>
      <c r="B818" s="15"/>
      <c r="C818" s="11">
        <f t="shared" si="46"/>
        <v>1</v>
      </c>
      <c r="D818" s="11"/>
      <c r="E818" s="11"/>
      <c r="F818" s="11"/>
      <c r="G818" s="89">
        <f>IFERROR(VLOOKUP(F818,COA!$A$1:$K$26,2,FALSE),0)</f>
        <v>0</v>
      </c>
      <c r="H818" s="11"/>
      <c r="I818" s="11"/>
      <c r="J818" s="78"/>
      <c r="K818" s="78"/>
      <c r="L818" s="146">
        <f t="shared" si="44"/>
        <v>13126700</v>
      </c>
      <c r="M818" s="73"/>
      <c r="N818" s="73"/>
      <c r="O818" s="7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 x14ac:dyDescent="0.35">
      <c r="A819" s="9">
        <f t="shared" si="45"/>
        <v>811</v>
      </c>
      <c r="B819" s="15"/>
      <c r="C819" s="11">
        <f t="shared" si="46"/>
        <v>1</v>
      </c>
      <c r="D819" s="11"/>
      <c r="E819" s="11"/>
      <c r="F819" s="11"/>
      <c r="G819" s="89">
        <f>IFERROR(VLOOKUP(F819,COA!$A$1:$K$26,2,FALSE),0)</f>
        <v>0</v>
      </c>
      <c r="H819" s="11"/>
      <c r="I819" s="11"/>
      <c r="J819" s="78"/>
      <c r="K819" s="78"/>
      <c r="L819" s="146">
        <f t="shared" si="44"/>
        <v>13126700</v>
      </c>
      <c r="M819" s="73"/>
      <c r="N819" s="73"/>
      <c r="O819" s="7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 x14ac:dyDescent="0.35">
      <c r="A820" s="9">
        <f t="shared" si="45"/>
        <v>812</v>
      </c>
      <c r="B820" s="15"/>
      <c r="C820" s="11">
        <f t="shared" si="46"/>
        <v>1</v>
      </c>
      <c r="D820" s="11"/>
      <c r="E820" s="11"/>
      <c r="F820" s="11"/>
      <c r="G820" s="89">
        <f>IFERROR(VLOOKUP(F820,COA!$A$1:$K$26,2,FALSE),0)</f>
        <v>0</v>
      </c>
      <c r="H820" s="11"/>
      <c r="I820" s="11"/>
      <c r="J820" s="78"/>
      <c r="K820" s="78"/>
      <c r="L820" s="146">
        <f t="shared" si="44"/>
        <v>13126700</v>
      </c>
      <c r="M820" s="73"/>
      <c r="N820" s="73"/>
      <c r="O820" s="7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 x14ac:dyDescent="0.35">
      <c r="A821" s="9">
        <f t="shared" si="45"/>
        <v>813</v>
      </c>
      <c r="B821" s="15"/>
      <c r="C821" s="11">
        <f t="shared" si="46"/>
        <v>1</v>
      </c>
      <c r="D821" s="11"/>
      <c r="E821" s="11"/>
      <c r="F821" s="11"/>
      <c r="G821" s="89">
        <f>IFERROR(VLOOKUP(F821,COA!$A$1:$K$26,2,FALSE),0)</f>
        <v>0</v>
      </c>
      <c r="H821" s="11"/>
      <c r="I821" s="11"/>
      <c r="J821" s="78"/>
      <c r="K821" s="78"/>
      <c r="L821" s="146">
        <f t="shared" si="44"/>
        <v>13126700</v>
      </c>
      <c r="M821" s="73"/>
      <c r="N821" s="73"/>
      <c r="O821" s="7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 x14ac:dyDescent="0.35">
      <c r="A822" s="9">
        <f t="shared" si="45"/>
        <v>814</v>
      </c>
      <c r="B822" s="15"/>
      <c r="C822" s="11">
        <f t="shared" si="46"/>
        <v>1</v>
      </c>
      <c r="D822" s="11"/>
      <c r="E822" s="11"/>
      <c r="F822" s="11"/>
      <c r="G822" s="89">
        <f>IFERROR(VLOOKUP(F822,COA!$A$1:$K$26,2,FALSE),0)</f>
        <v>0</v>
      </c>
      <c r="H822" s="11"/>
      <c r="I822" s="11"/>
      <c r="J822" s="78"/>
      <c r="K822" s="78"/>
      <c r="L822" s="146">
        <f t="shared" si="44"/>
        <v>13126700</v>
      </c>
      <c r="M822" s="73"/>
      <c r="N822" s="73"/>
      <c r="O822" s="7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 x14ac:dyDescent="0.35">
      <c r="A823" s="9">
        <f t="shared" si="45"/>
        <v>815</v>
      </c>
      <c r="B823" s="15"/>
      <c r="C823" s="11">
        <f t="shared" si="46"/>
        <v>1</v>
      </c>
      <c r="D823" s="11"/>
      <c r="E823" s="11"/>
      <c r="F823" s="11"/>
      <c r="G823" s="89">
        <f>IFERROR(VLOOKUP(F823,COA!$A$1:$K$26,2,FALSE),0)</f>
        <v>0</v>
      </c>
      <c r="H823" s="11"/>
      <c r="I823" s="11"/>
      <c r="J823" s="78"/>
      <c r="K823" s="78"/>
      <c r="L823" s="146">
        <f t="shared" si="44"/>
        <v>13126700</v>
      </c>
      <c r="M823" s="73"/>
      <c r="N823" s="73"/>
      <c r="O823" s="7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 x14ac:dyDescent="0.35">
      <c r="A824" s="9">
        <f t="shared" si="45"/>
        <v>816</v>
      </c>
      <c r="B824" s="15"/>
      <c r="C824" s="11">
        <f t="shared" si="46"/>
        <v>1</v>
      </c>
      <c r="D824" s="11"/>
      <c r="E824" s="11"/>
      <c r="F824" s="11"/>
      <c r="G824" s="89">
        <f>IFERROR(VLOOKUP(F824,COA!$A$1:$K$26,2,FALSE),0)</f>
        <v>0</v>
      </c>
      <c r="H824" s="11"/>
      <c r="I824" s="11"/>
      <c r="J824" s="78"/>
      <c r="K824" s="78"/>
      <c r="L824" s="146">
        <f t="shared" si="44"/>
        <v>13126700</v>
      </c>
      <c r="M824" s="73"/>
      <c r="N824" s="73"/>
      <c r="O824" s="7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 x14ac:dyDescent="0.35">
      <c r="A825" s="9">
        <f t="shared" si="45"/>
        <v>817</v>
      </c>
      <c r="B825" s="15"/>
      <c r="C825" s="11">
        <f t="shared" si="46"/>
        <v>1</v>
      </c>
      <c r="D825" s="11"/>
      <c r="E825" s="11"/>
      <c r="F825" s="11"/>
      <c r="G825" s="89">
        <f>IFERROR(VLOOKUP(F825,COA!$A$1:$K$26,2,FALSE),0)</f>
        <v>0</v>
      </c>
      <c r="H825" s="11"/>
      <c r="I825" s="11"/>
      <c r="J825" s="78"/>
      <c r="K825" s="78"/>
      <c r="L825" s="146">
        <f t="shared" si="44"/>
        <v>13126700</v>
      </c>
      <c r="M825" s="73"/>
      <c r="N825" s="73"/>
      <c r="O825" s="7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 x14ac:dyDescent="0.35">
      <c r="A826" s="9">
        <f t="shared" si="45"/>
        <v>818</v>
      </c>
      <c r="B826" s="15"/>
      <c r="C826" s="11">
        <f t="shared" si="46"/>
        <v>1</v>
      </c>
      <c r="D826" s="11"/>
      <c r="E826" s="11"/>
      <c r="F826" s="11"/>
      <c r="G826" s="89">
        <f>IFERROR(VLOOKUP(F826,COA!$A$1:$K$26,2,FALSE),0)</f>
        <v>0</v>
      </c>
      <c r="H826" s="11"/>
      <c r="I826" s="11"/>
      <c r="J826" s="78"/>
      <c r="K826" s="78"/>
      <c r="L826" s="146">
        <f t="shared" si="44"/>
        <v>13126700</v>
      </c>
      <c r="M826" s="73"/>
      <c r="N826" s="73"/>
      <c r="O826" s="7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 x14ac:dyDescent="0.35">
      <c r="A827" s="9">
        <f t="shared" si="45"/>
        <v>819</v>
      </c>
      <c r="B827" s="15"/>
      <c r="C827" s="11">
        <f t="shared" si="46"/>
        <v>1</v>
      </c>
      <c r="D827" s="11"/>
      <c r="E827" s="11"/>
      <c r="F827" s="11"/>
      <c r="G827" s="89">
        <f>IFERROR(VLOOKUP(F827,COA!$A$1:$K$26,2,FALSE),0)</f>
        <v>0</v>
      </c>
      <c r="H827" s="11"/>
      <c r="I827" s="11"/>
      <c r="J827" s="78"/>
      <c r="K827" s="78"/>
      <c r="L827" s="146">
        <f t="shared" si="44"/>
        <v>13126700</v>
      </c>
      <c r="M827" s="73"/>
      <c r="N827" s="73"/>
      <c r="O827" s="7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 x14ac:dyDescent="0.35">
      <c r="A828" s="9">
        <f t="shared" si="45"/>
        <v>820</v>
      </c>
      <c r="B828" s="15"/>
      <c r="C828" s="11">
        <f t="shared" si="46"/>
        <v>1</v>
      </c>
      <c r="D828" s="11"/>
      <c r="E828" s="11"/>
      <c r="F828" s="11"/>
      <c r="G828" s="89">
        <f>IFERROR(VLOOKUP(F828,COA!$A$1:$K$26,2,FALSE),0)</f>
        <v>0</v>
      </c>
      <c r="H828" s="11"/>
      <c r="I828" s="11"/>
      <c r="J828" s="78"/>
      <c r="K828" s="78"/>
      <c r="L828" s="146">
        <f t="shared" si="44"/>
        <v>13126700</v>
      </c>
      <c r="M828" s="73"/>
      <c r="N828" s="73"/>
      <c r="O828" s="7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 x14ac:dyDescent="0.35">
      <c r="A829" s="9">
        <f t="shared" si="45"/>
        <v>821</v>
      </c>
      <c r="B829" s="15"/>
      <c r="C829" s="11">
        <f t="shared" si="46"/>
        <v>1</v>
      </c>
      <c r="D829" s="11"/>
      <c r="E829" s="11"/>
      <c r="F829" s="11"/>
      <c r="G829" s="89">
        <f>IFERROR(VLOOKUP(F829,COA!$A$1:$K$26,2,FALSE),0)</f>
        <v>0</v>
      </c>
      <c r="H829" s="13"/>
      <c r="I829" s="13"/>
      <c r="J829" s="78"/>
      <c r="K829" s="78"/>
      <c r="L829" s="146">
        <f t="shared" si="44"/>
        <v>13126700</v>
      </c>
      <c r="M829" s="73"/>
      <c r="N829" s="73"/>
      <c r="O829" s="7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 x14ac:dyDescent="0.35">
      <c r="A830" s="9">
        <f t="shared" si="45"/>
        <v>822</v>
      </c>
      <c r="B830" s="15"/>
      <c r="C830" s="11">
        <f t="shared" si="46"/>
        <v>1</v>
      </c>
      <c r="D830" s="11"/>
      <c r="E830" s="11"/>
      <c r="F830" s="11"/>
      <c r="G830" s="89">
        <f>IFERROR(VLOOKUP(F830,COA!$A$1:$K$26,2,FALSE),0)</f>
        <v>0</v>
      </c>
      <c r="H830" s="13"/>
      <c r="I830" s="13"/>
      <c r="J830" s="78"/>
      <c r="K830" s="78"/>
      <c r="L830" s="146">
        <f t="shared" si="44"/>
        <v>13126700</v>
      </c>
      <c r="M830" s="73"/>
      <c r="N830" s="73"/>
      <c r="O830" s="7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 x14ac:dyDescent="0.35">
      <c r="A831" s="9">
        <f t="shared" si="45"/>
        <v>823</v>
      </c>
      <c r="B831" s="15"/>
      <c r="C831" s="11">
        <f t="shared" si="46"/>
        <v>1</v>
      </c>
      <c r="D831" s="11"/>
      <c r="E831" s="11"/>
      <c r="F831" s="11"/>
      <c r="G831" s="89">
        <f>IFERROR(VLOOKUP(F831,COA!$A$1:$K$26,2,FALSE),0)</f>
        <v>0</v>
      </c>
      <c r="H831" s="11"/>
      <c r="I831" s="11"/>
      <c r="J831" s="78"/>
      <c r="K831" s="78"/>
      <c r="L831" s="146">
        <f t="shared" si="44"/>
        <v>13126700</v>
      </c>
      <c r="M831" s="73"/>
      <c r="N831" s="73"/>
      <c r="O831" s="7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 x14ac:dyDescent="0.35">
      <c r="A832" s="9">
        <f t="shared" si="45"/>
        <v>824</v>
      </c>
      <c r="B832" s="15"/>
      <c r="C832" s="11">
        <f t="shared" si="46"/>
        <v>1</v>
      </c>
      <c r="D832" s="11"/>
      <c r="E832" s="11"/>
      <c r="F832" s="11"/>
      <c r="G832" s="89">
        <f>IFERROR(VLOOKUP(F832,COA!$A$1:$K$26,2,FALSE),0)</f>
        <v>0</v>
      </c>
      <c r="H832" s="11"/>
      <c r="I832" s="11"/>
      <c r="J832" s="78"/>
      <c r="K832" s="78"/>
      <c r="L832" s="146">
        <f t="shared" si="44"/>
        <v>13126700</v>
      </c>
      <c r="M832" s="73"/>
      <c r="N832" s="73"/>
      <c r="O832" s="7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 x14ac:dyDescent="0.35">
      <c r="A833" s="9">
        <f t="shared" si="45"/>
        <v>825</v>
      </c>
      <c r="B833" s="15"/>
      <c r="C833" s="11">
        <f t="shared" si="46"/>
        <v>1</v>
      </c>
      <c r="D833" s="11"/>
      <c r="E833" s="11"/>
      <c r="F833" s="11"/>
      <c r="G833" s="89">
        <f>IFERROR(VLOOKUP(F833,COA!$A$1:$K$26,2,FALSE),0)</f>
        <v>0</v>
      </c>
      <c r="H833" s="11"/>
      <c r="I833" s="11"/>
      <c r="J833" s="78"/>
      <c r="K833" s="78"/>
      <c r="L833" s="146">
        <f t="shared" si="44"/>
        <v>13126700</v>
      </c>
      <c r="M833" s="73"/>
      <c r="N833" s="73"/>
      <c r="O833" s="7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 x14ac:dyDescent="0.35">
      <c r="A834" s="9">
        <f t="shared" si="45"/>
        <v>826</v>
      </c>
      <c r="B834" s="15"/>
      <c r="C834" s="11">
        <f t="shared" si="46"/>
        <v>1</v>
      </c>
      <c r="D834" s="11"/>
      <c r="E834" s="11"/>
      <c r="F834" s="11"/>
      <c r="G834" s="89">
        <f>IFERROR(VLOOKUP(F834,COA!$A$1:$K$26,2,FALSE),0)</f>
        <v>0</v>
      </c>
      <c r="H834" s="11"/>
      <c r="I834" s="11"/>
      <c r="J834" s="78"/>
      <c r="K834" s="78"/>
      <c r="L834" s="146">
        <f t="shared" si="44"/>
        <v>13126700</v>
      </c>
      <c r="M834" s="73"/>
      <c r="N834" s="73"/>
      <c r="O834" s="7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 x14ac:dyDescent="0.35">
      <c r="A835" s="9">
        <f t="shared" si="45"/>
        <v>827</v>
      </c>
      <c r="B835" s="15"/>
      <c r="C835" s="11">
        <f t="shared" si="46"/>
        <v>1</v>
      </c>
      <c r="D835" s="11"/>
      <c r="E835" s="11"/>
      <c r="F835" s="11"/>
      <c r="G835" s="89">
        <f>IFERROR(VLOOKUP(F835,COA!$A$1:$K$26,2,FALSE),0)</f>
        <v>0</v>
      </c>
      <c r="H835" s="11"/>
      <c r="I835" s="11"/>
      <c r="J835" s="78"/>
      <c r="K835" s="78"/>
      <c r="L835" s="146">
        <f t="shared" si="44"/>
        <v>13126700</v>
      </c>
      <c r="M835" s="73"/>
      <c r="N835" s="73"/>
      <c r="O835" s="7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 x14ac:dyDescent="0.35">
      <c r="A836" s="9">
        <f t="shared" si="45"/>
        <v>828</v>
      </c>
      <c r="B836" s="15"/>
      <c r="C836" s="11">
        <f t="shared" si="46"/>
        <v>1</v>
      </c>
      <c r="D836" s="11"/>
      <c r="E836" s="11"/>
      <c r="F836" s="11"/>
      <c r="G836" s="89">
        <f>IFERROR(VLOOKUP(F836,COA!$A$1:$K$26,2,FALSE),0)</f>
        <v>0</v>
      </c>
      <c r="H836" s="13"/>
      <c r="I836" s="13"/>
      <c r="J836" s="78"/>
      <c r="K836" s="78"/>
      <c r="L836" s="146">
        <f t="shared" si="44"/>
        <v>13126700</v>
      </c>
      <c r="M836" s="73"/>
      <c r="N836" s="73"/>
      <c r="O836" s="7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 x14ac:dyDescent="0.35">
      <c r="A837" s="9">
        <f t="shared" si="45"/>
        <v>829</v>
      </c>
      <c r="B837" s="15"/>
      <c r="C837" s="11">
        <f t="shared" si="46"/>
        <v>1</v>
      </c>
      <c r="D837" s="11"/>
      <c r="E837" s="11"/>
      <c r="F837" s="11"/>
      <c r="G837" s="89">
        <f>IFERROR(VLOOKUP(F837,COA!$A$1:$K$26,2,FALSE),0)</f>
        <v>0</v>
      </c>
      <c r="H837" s="11"/>
      <c r="I837" s="11"/>
      <c r="J837" s="78"/>
      <c r="K837" s="78"/>
      <c r="L837" s="146">
        <f t="shared" si="44"/>
        <v>13126700</v>
      </c>
      <c r="M837" s="73"/>
      <c r="N837" s="73"/>
      <c r="O837" s="7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 x14ac:dyDescent="0.35">
      <c r="A838" s="9">
        <f t="shared" si="45"/>
        <v>830</v>
      </c>
      <c r="B838" s="15"/>
      <c r="C838" s="11">
        <f t="shared" si="46"/>
        <v>1</v>
      </c>
      <c r="D838" s="11"/>
      <c r="E838" s="11"/>
      <c r="F838" s="11"/>
      <c r="G838" s="89">
        <f>IFERROR(VLOOKUP(F838,COA!$A$1:$K$26,2,FALSE),0)</f>
        <v>0</v>
      </c>
      <c r="H838" s="11"/>
      <c r="I838" s="11"/>
      <c r="J838" s="78"/>
      <c r="K838" s="78"/>
      <c r="L838" s="146">
        <f t="shared" si="44"/>
        <v>13126700</v>
      </c>
      <c r="M838" s="73"/>
      <c r="N838" s="73"/>
      <c r="O838" s="7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 x14ac:dyDescent="0.35">
      <c r="A839" s="9">
        <f t="shared" si="45"/>
        <v>831</v>
      </c>
      <c r="B839" s="15"/>
      <c r="C839" s="11">
        <f t="shared" si="46"/>
        <v>1</v>
      </c>
      <c r="D839" s="11"/>
      <c r="E839" s="11"/>
      <c r="F839" s="11"/>
      <c r="G839" s="89">
        <f>IFERROR(VLOOKUP(F839,COA!$A$1:$K$26,2,FALSE),0)</f>
        <v>0</v>
      </c>
      <c r="H839" s="11"/>
      <c r="I839" s="11"/>
      <c r="J839" s="78"/>
      <c r="K839" s="78"/>
      <c r="L839" s="146">
        <f t="shared" si="44"/>
        <v>13126700</v>
      </c>
      <c r="M839" s="73"/>
      <c r="N839" s="73"/>
      <c r="O839" s="7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 x14ac:dyDescent="0.35">
      <c r="A840" s="9">
        <f t="shared" si="45"/>
        <v>832</v>
      </c>
      <c r="B840" s="15"/>
      <c r="C840" s="11">
        <f t="shared" si="46"/>
        <v>1</v>
      </c>
      <c r="D840" s="11"/>
      <c r="E840" s="11"/>
      <c r="F840" s="11"/>
      <c r="G840" s="89">
        <f>IFERROR(VLOOKUP(F840,COA!$A$1:$K$26,2,FALSE),0)</f>
        <v>0</v>
      </c>
      <c r="H840" s="11"/>
      <c r="I840" s="11"/>
      <c r="J840" s="78"/>
      <c r="K840" s="78"/>
      <c r="L840" s="146">
        <f t="shared" si="44"/>
        <v>13126700</v>
      </c>
      <c r="M840" s="73"/>
      <c r="N840" s="73"/>
      <c r="O840" s="7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 x14ac:dyDescent="0.35">
      <c r="A841" s="9">
        <f t="shared" si="45"/>
        <v>833</v>
      </c>
      <c r="B841" s="15"/>
      <c r="C841" s="11">
        <f t="shared" si="46"/>
        <v>1</v>
      </c>
      <c r="D841" s="11"/>
      <c r="E841" s="11"/>
      <c r="F841" s="11"/>
      <c r="G841" s="89">
        <f>IFERROR(VLOOKUP(F841,COA!$A$1:$K$26,2,FALSE),0)</f>
        <v>0</v>
      </c>
      <c r="H841" s="11"/>
      <c r="I841" s="11"/>
      <c r="J841" s="78"/>
      <c r="K841" s="78"/>
      <c r="L841" s="146">
        <f t="shared" si="44"/>
        <v>13126700</v>
      </c>
      <c r="M841" s="73"/>
      <c r="N841" s="73"/>
      <c r="O841" s="7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 x14ac:dyDescent="0.35">
      <c r="A842" s="9">
        <f t="shared" si="45"/>
        <v>834</v>
      </c>
      <c r="B842" s="15"/>
      <c r="C842" s="11">
        <f t="shared" si="46"/>
        <v>1</v>
      </c>
      <c r="D842" s="11"/>
      <c r="E842" s="11"/>
      <c r="F842" s="11"/>
      <c r="G842" s="89">
        <f>IFERROR(VLOOKUP(F842,COA!$A$1:$K$26,2,FALSE),0)</f>
        <v>0</v>
      </c>
      <c r="H842" s="13"/>
      <c r="I842" s="13"/>
      <c r="J842" s="78"/>
      <c r="K842" s="78"/>
      <c r="L842" s="146">
        <f t="shared" si="44"/>
        <v>13126700</v>
      </c>
      <c r="M842" s="73"/>
      <c r="N842" s="73"/>
      <c r="O842" s="7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 x14ac:dyDescent="0.35">
      <c r="A843" s="9">
        <f t="shared" si="45"/>
        <v>835</v>
      </c>
      <c r="B843" s="15"/>
      <c r="C843" s="11">
        <f t="shared" si="46"/>
        <v>1</v>
      </c>
      <c r="D843" s="11"/>
      <c r="E843" s="11"/>
      <c r="F843" s="11"/>
      <c r="G843" s="89">
        <f>IFERROR(VLOOKUP(F843,COA!$A$1:$K$26,2,FALSE),0)</f>
        <v>0</v>
      </c>
      <c r="H843" s="11"/>
      <c r="I843" s="11"/>
      <c r="J843" s="78"/>
      <c r="K843" s="78"/>
      <c r="L843" s="146">
        <f t="shared" si="44"/>
        <v>13126700</v>
      </c>
      <c r="M843" s="73"/>
      <c r="N843" s="73"/>
      <c r="O843" s="7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 x14ac:dyDescent="0.35">
      <c r="A844" s="9">
        <f t="shared" si="45"/>
        <v>836</v>
      </c>
      <c r="B844" s="15"/>
      <c r="C844" s="11">
        <f t="shared" si="46"/>
        <v>1</v>
      </c>
      <c r="D844" s="11"/>
      <c r="E844" s="11"/>
      <c r="F844" s="11"/>
      <c r="G844" s="89">
        <f>IFERROR(VLOOKUP(F844,COA!$A$1:$K$26,2,FALSE),0)</f>
        <v>0</v>
      </c>
      <c r="H844" s="11"/>
      <c r="I844" s="11"/>
      <c r="J844" s="78"/>
      <c r="K844" s="78"/>
      <c r="L844" s="146">
        <f t="shared" si="44"/>
        <v>13126700</v>
      </c>
      <c r="M844" s="73"/>
      <c r="N844" s="73"/>
      <c r="O844" s="7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 x14ac:dyDescent="0.35">
      <c r="A845" s="9">
        <f t="shared" si="45"/>
        <v>837</v>
      </c>
      <c r="B845" s="15"/>
      <c r="C845" s="11">
        <f t="shared" si="46"/>
        <v>1</v>
      </c>
      <c r="D845" s="11"/>
      <c r="E845" s="11"/>
      <c r="F845" s="11"/>
      <c r="G845" s="89">
        <f>IFERROR(VLOOKUP(F845,COA!$A$1:$K$26,2,FALSE),0)</f>
        <v>0</v>
      </c>
      <c r="H845" s="11"/>
      <c r="I845" s="11"/>
      <c r="J845" s="78"/>
      <c r="K845" s="78"/>
      <c r="L845" s="146">
        <f t="shared" si="44"/>
        <v>13126700</v>
      </c>
      <c r="M845" s="73"/>
      <c r="N845" s="73"/>
      <c r="O845" s="7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 x14ac:dyDescent="0.35">
      <c r="A846" s="9">
        <f t="shared" si="45"/>
        <v>838</v>
      </c>
      <c r="B846" s="15"/>
      <c r="C846" s="11">
        <f t="shared" si="46"/>
        <v>1</v>
      </c>
      <c r="D846" s="11"/>
      <c r="E846" s="11"/>
      <c r="F846" s="11"/>
      <c r="G846" s="89">
        <f>IFERROR(VLOOKUP(F846,COA!$A$1:$K$26,2,FALSE),0)</f>
        <v>0</v>
      </c>
      <c r="H846" s="11"/>
      <c r="I846" s="11"/>
      <c r="J846" s="78"/>
      <c r="K846" s="78"/>
      <c r="L846" s="146">
        <f t="shared" si="44"/>
        <v>13126700</v>
      </c>
      <c r="M846" s="73"/>
      <c r="N846" s="73"/>
      <c r="O846" s="7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 x14ac:dyDescent="0.35">
      <c r="A847" s="9">
        <f t="shared" si="45"/>
        <v>839</v>
      </c>
      <c r="B847" s="15"/>
      <c r="C847" s="11">
        <f t="shared" si="46"/>
        <v>1</v>
      </c>
      <c r="D847" s="11"/>
      <c r="E847" s="11"/>
      <c r="F847" s="11"/>
      <c r="G847" s="89">
        <f>IFERROR(VLOOKUP(F847,COA!$A$1:$K$26,2,FALSE),0)</f>
        <v>0</v>
      </c>
      <c r="H847" s="11"/>
      <c r="I847" s="11"/>
      <c r="J847" s="78"/>
      <c r="K847" s="78"/>
      <c r="L847" s="146">
        <f t="shared" si="44"/>
        <v>13126700</v>
      </c>
      <c r="M847" s="73"/>
      <c r="N847" s="73"/>
      <c r="O847" s="7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 x14ac:dyDescent="0.35">
      <c r="A848" s="9">
        <f t="shared" si="45"/>
        <v>840</v>
      </c>
      <c r="B848" s="15"/>
      <c r="C848" s="11">
        <f t="shared" si="46"/>
        <v>1</v>
      </c>
      <c r="D848" s="11"/>
      <c r="E848" s="11"/>
      <c r="F848" s="11"/>
      <c r="G848" s="89">
        <f>IFERROR(VLOOKUP(F848,COA!$A$1:$K$26,2,FALSE),0)</f>
        <v>0</v>
      </c>
      <c r="H848" s="11"/>
      <c r="I848" s="11"/>
      <c r="J848" s="78"/>
      <c r="K848" s="78"/>
      <c r="L848" s="146">
        <f t="shared" ref="L848:L911" si="47">L847+J848-K848</f>
        <v>13126700</v>
      </c>
      <c r="M848" s="73"/>
      <c r="N848" s="73"/>
      <c r="O848" s="7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 x14ac:dyDescent="0.35">
      <c r="A849" s="9">
        <f t="shared" si="45"/>
        <v>841</v>
      </c>
      <c r="B849" s="15"/>
      <c r="C849" s="11">
        <f t="shared" si="46"/>
        <v>1</v>
      </c>
      <c r="D849" s="11"/>
      <c r="E849" s="11"/>
      <c r="F849" s="11"/>
      <c r="G849" s="89">
        <f>IFERROR(VLOOKUP(F849,COA!$A$1:$K$26,2,FALSE),0)</f>
        <v>0</v>
      </c>
      <c r="H849" s="11"/>
      <c r="I849" s="11"/>
      <c r="J849" s="78"/>
      <c r="K849" s="78"/>
      <c r="L849" s="146">
        <f t="shared" si="47"/>
        <v>13126700</v>
      </c>
      <c r="M849" s="73"/>
      <c r="N849" s="73"/>
      <c r="O849" s="7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 x14ac:dyDescent="0.35">
      <c r="A850" s="9">
        <f t="shared" ref="A850:A913" si="48">A849+1</f>
        <v>842</v>
      </c>
      <c r="B850" s="15"/>
      <c r="C850" s="11">
        <f t="shared" si="46"/>
        <v>1</v>
      </c>
      <c r="D850" s="11"/>
      <c r="E850" s="11"/>
      <c r="F850" s="11"/>
      <c r="G850" s="89">
        <f>IFERROR(VLOOKUP(F850,COA!$A$1:$K$26,2,FALSE),0)</f>
        <v>0</v>
      </c>
      <c r="H850" s="11"/>
      <c r="I850" s="11"/>
      <c r="J850" s="78"/>
      <c r="K850" s="78"/>
      <c r="L850" s="146">
        <f t="shared" si="47"/>
        <v>13126700</v>
      </c>
      <c r="M850" s="73"/>
      <c r="N850" s="73"/>
      <c r="O850" s="7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 x14ac:dyDescent="0.35">
      <c r="A851" s="9">
        <f t="shared" si="48"/>
        <v>843</v>
      </c>
      <c r="B851" s="15"/>
      <c r="C851" s="11">
        <f t="shared" si="46"/>
        <v>1</v>
      </c>
      <c r="D851" s="11"/>
      <c r="E851" s="11"/>
      <c r="F851" s="11"/>
      <c r="G851" s="89">
        <f>IFERROR(VLOOKUP(F851,COA!$A$1:$K$26,2,FALSE),0)</f>
        <v>0</v>
      </c>
      <c r="H851" s="13"/>
      <c r="I851" s="13"/>
      <c r="J851" s="78"/>
      <c r="K851" s="78"/>
      <c r="L851" s="146">
        <f t="shared" si="47"/>
        <v>13126700</v>
      </c>
      <c r="M851" s="73"/>
      <c r="N851" s="73"/>
      <c r="O851" s="7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 x14ac:dyDescent="0.35">
      <c r="A852" s="9">
        <f t="shared" si="48"/>
        <v>844</v>
      </c>
      <c r="B852" s="15"/>
      <c r="C852" s="11">
        <f t="shared" si="46"/>
        <v>1</v>
      </c>
      <c r="D852" s="11"/>
      <c r="E852" s="11"/>
      <c r="F852" s="11"/>
      <c r="G852" s="89">
        <f>IFERROR(VLOOKUP(F852,COA!$A$1:$K$26,2,FALSE),0)</f>
        <v>0</v>
      </c>
      <c r="H852" s="11"/>
      <c r="I852" s="11"/>
      <c r="J852" s="78"/>
      <c r="K852" s="78"/>
      <c r="L852" s="146">
        <f t="shared" si="47"/>
        <v>13126700</v>
      </c>
      <c r="M852" s="73"/>
      <c r="N852" s="73"/>
      <c r="O852" s="7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 x14ac:dyDescent="0.35">
      <c r="A853" s="9">
        <f t="shared" si="48"/>
        <v>845</v>
      </c>
      <c r="B853" s="15"/>
      <c r="C853" s="11">
        <f t="shared" si="46"/>
        <v>1</v>
      </c>
      <c r="D853" s="11"/>
      <c r="E853" s="11"/>
      <c r="F853" s="11"/>
      <c r="G853" s="89">
        <f>IFERROR(VLOOKUP(F853,COA!$A$1:$K$26,2,FALSE),0)</f>
        <v>0</v>
      </c>
      <c r="H853" s="11"/>
      <c r="I853" s="11"/>
      <c r="J853" s="78"/>
      <c r="K853" s="78"/>
      <c r="L853" s="146">
        <f t="shared" si="47"/>
        <v>13126700</v>
      </c>
      <c r="M853" s="73"/>
      <c r="N853" s="73"/>
      <c r="O853" s="7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 x14ac:dyDescent="0.35">
      <c r="A854" s="9">
        <f t="shared" si="48"/>
        <v>846</v>
      </c>
      <c r="B854" s="15"/>
      <c r="C854" s="11">
        <f t="shared" si="46"/>
        <v>1</v>
      </c>
      <c r="D854" s="11"/>
      <c r="E854" s="11"/>
      <c r="F854" s="11"/>
      <c r="G854" s="89">
        <f>IFERROR(VLOOKUP(F854,COA!$A$1:$K$26,2,FALSE),0)</f>
        <v>0</v>
      </c>
      <c r="H854" s="11"/>
      <c r="I854" s="11"/>
      <c r="J854" s="78"/>
      <c r="K854" s="78"/>
      <c r="L854" s="146">
        <f t="shared" si="47"/>
        <v>13126700</v>
      </c>
      <c r="M854" s="73"/>
      <c r="N854" s="73"/>
      <c r="O854" s="7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 x14ac:dyDescent="0.35">
      <c r="A855" s="9">
        <f t="shared" si="48"/>
        <v>847</v>
      </c>
      <c r="B855" s="15"/>
      <c r="C855" s="11">
        <f t="shared" si="46"/>
        <v>1</v>
      </c>
      <c r="D855" s="11"/>
      <c r="E855" s="11"/>
      <c r="F855" s="11"/>
      <c r="G855" s="89">
        <f>IFERROR(VLOOKUP(F855,COA!$A$1:$K$26,2,FALSE),0)</f>
        <v>0</v>
      </c>
      <c r="H855" s="11"/>
      <c r="I855" s="11"/>
      <c r="J855" s="78"/>
      <c r="K855" s="78"/>
      <c r="L855" s="146">
        <f t="shared" si="47"/>
        <v>13126700</v>
      </c>
      <c r="M855" s="73"/>
      <c r="N855" s="73"/>
      <c r="O855" s="7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 x14ac:dyDescent="0.35">
      <c r="A856" s="9">
        <f t="shared" si="48"/>
        <v>848</v>
      </c>
      <c r="B856" s="15"/>
      <c r="C856" s="11">
        <f t="shared" si="46"/>
        <v>1</v>
      </c>
      <c r="D856" s="11"/>
      <c r="E856" s="11"/>
      <c r="F856" s="11"/>
      <c r="G856" s="89">
        <f>IFERROR(VLOOKUP(F856,COA!$A$1:$K$26,2,FALSE),0)</f>
        <v>0</v>
      </c>
      <c r="H856" s="11"/>
      <c r="I856" s="11"/>
      <c r="J856" s="78"/>
      <c r="K856" s="78"/>
      <c r="L856" s="146">
        <f t="shared" si="47"/>
        <v>13126700</v>
      </c>
      <c r="M856" s="73"/>
      <c r="N856" s="73"/>
      <c r="O856" s="7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 x14ac:dyDescent="0.35">
      <c r="A857" s="9">
        <f t="shared" si="48"/>
        <v>849</v>
      </c>
      <c r="B857" s="15"/>
      <c r="C857" s="11">
        <f t="shared" si="46"/>
        <v>1</v>
      </c>
      <c r="D857" s="11"/>
      <c r="E857" s="11"/>
      <c r="F857" s="11"/>
      <c r="G857" s="89">
        <f>IFERROR(VLOOKUP(F857,COA!$A$1:$K$26,2,FALSE),0)</f>
        <v>0</v>
      </c>
      <c r="H857" s="11"/>
      <c r="I857" s="11"/>
      <c r="J857" s="78"/>
      <c r="K857" s="78"/>
      <c r="L857" s="146">
        <f t="shared" si="47"/>
        <v>13126700</v>
      </c>
      <c r="M857" s="73"/>
      <c r="N857" s="73"/>
      <c r="O857" s="7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 x14ac:dyDescent="0.35">
      <c r="A858" s="9">
        <f t="shared" si="48"/>
        <v>850</v>
      </c>
      <c r="B858" s="15"/>
      <c r="C858" s="11">
        <f t="shared" si="46"/>
        <v>1</v>
      </c>
      <c r="D858" s="11"/>
      <c r="E858" s="11"/>
      <c r="F858" s="11"/>
      <c r="G858" s="89">
        <f>IFERROR(VLOOKUP(F858,COA!$A$1:$K$26,2,FALSE),0)</f>
        <v>0</v>
      </c>
      <c r="H858" s="11"/>
      <c r="I858" s="11"/>
      <c r="J858" s="78"/>
      <c r="K858" s="78"/>
      <c r="L858" s="146">
        <f t="shared" si="47"/>
        <v>13126700</v>
      </c>
      <c r="M858" s="73"/>
      <c r="N858" s="73"/>
      <c r="O858" s="7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 x14ac:dyDescent="0.35">
      <c r="A859" s="9">
        <f t="shared" si="48"/>
        <v>851</v>
      </c>
      <c r="B859" s="15"/>
      <c r="C859" s="11">
        <f t="shared" si="46"/>
        <v>1</v>
      </c>
      <c r="D859" s="11"/>
      <c r="E859" s="11"/>
      <c r="F859" s="11"/>
      <c r="G859" s="89">
        <f>IFERROR(VLOOKUP(F859,COA!$A$1:$K$26,2,FALSE),0)</f>
        <v>0</v>
      </c>
      <c r="H859" s="11"/>
      <c r="I859" s="11"/>
      <c r="J859" s="78"/>
      <c r="K859" s="78"/>
      <c r="L859" s="146">
        <f t="shared" si="47"/>
        <v>13126700</v>
      </c>
      <c r="M859" s="73"/>
      <c r="N859" s="73"/>
      <c r="O859" s="7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 x14ac:dyDescent="0.35">
      <c r="A860" s="9">
        <f t="shared" si="48"/>
        <v>852</v>
      </c>
      <c r="B860" s="15"/>
      <c r="C860" s="11">
        <f t="shared" si="46"/>
        <v>1</v>
      </c>
      <c r="D860" s="11"/>
      <c r="E860" s="11"/>
      <c r="F860" s="11"/>
      <c r="G860" s="89">
        <f>IFERROR(VLOOKUP(F860,COA!$A$1:$K$26,2,FALSE),0)</f>
        <v>0</v>
      </c>
      <c r="H860" s="11"/>
      <c r="I860" s="11"/>
      <c r="J860" s="78"/>
      <c r="K860" s="78"/>
      <c r="L860" s="146">
        <f t="shared" si="47"/>
        <v>13126700</v>
      </c>
      <c r="M860" s="73"/>
      <c r="N860" s="73"/>
      <c r="O860" s="7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 x14ac:dyDescent="0.35">
      <c r="A861" s="9">
        <f t="shared" si="48"/>
        <v>853</v>
      </c>
      <c r="B861" s="15"/>
      <c r="C861" s="11">
        <f t="shared" si="46"/>
        <v>1</v>
      </c>
      <c r="D861" s="11"/>
      <c r="E861" s="11"/>
      <c r="F861" s="11"/>
      <c r="G861" s="89">
        <f>IFERROR(VLOOKUP(F861,COA!$A$1:$K$26,2,FALSE),0)</f>
        <v>0</v>
      </c>
      <c r="H861" s="13"/>
      <c r="I861" s="13"/>
      <c r="J861" s="78"/>
      <c r="K861" s="78"/>
      <c r="L861" s="146">
        <f t="shared" si="47"/>
        <v>13126700</v>
      </c>
      <c r="M861" s="73"/>
      <c r="N861" s="73"/>
      <c r="O861" s="7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 x14ac:dyDescent="0.35">
      <c r="A862" s="9">
        <f t="shared" si="48"/>
        <v>854</v>
      </c>
      <c r="B862" s="15"/>
      <c r="C862" s="11">
        <f t="shared" si="46"/>
        <v>1</v>
      </c>
      <c r="D862" s="11"/>
      <c r="E862" s="11"/>
      <c r="F862" s="11"/>
      <c r="G862" s="89">
        <f>IFERROR(VLOOKUP(F862,COA!$A$1:$K$26,2,FALSE),0)</f>
        <v>0</v>
      </c>
      <c r="H862" s="11"/>
      <c r="I862" s="11"/>
      <c r="J862" s="78"/>
      <c r="K862" s="78"/>
      <c r="L862" s="146">
        <f t="shared" si="47"/>
        <v>13126700</v>
      </c>
      <c r="M862" s="73"/>
      <c r="N862" s="73"/>
      <c r="O862" s="7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 x14ac:dyDescent="0.35">
      <c r="A863" s="9">
        <f t="shared" si="48"/>
        <v>855</v>
      </c>
      <c r="B863" s="15"/>
      <c r="C863" s="11">
        <f t="shared" si="46"/>
        <v>1</v>
      </c>
      <c r="D863" s="11"/>
      <c r="E863" s="11"/>
      <c r="F863" s="11"/>
      <c r="G863" s="89">
        <f>IFERROR(VLOOKUP(F863,COA!$A$1:$K$26,2,FALSE),0)</f>
        <v>0</v>
      </c>
      <c r="H863" s="11"/>
      <c r="I863" s="11"/>
      <c r="J863" s="78"/>
      <c r="K863" s="78"/>
      <c r="L863" s="146">
        <f t="shared" si="47"/>
        <v>13126700</v>
      </c>
      <c r="M863" s="73"/>
      <c r="N863" s="73"/>
      <c r="O863" s="7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 x14ac:dyDescent="0.35">
      <c r="A864" s="9">
        <f t="shared" si="48"/>
        <v>856</v>
      </c>
      <c r="B864" s="15"/>
      <c r="C864" s="11">
        <f t="shared" si="46"/>
        <v>1</v>
      </c>
      <c r="D864" s="11"/>
      <c r="E864" s="11"/>
      <c r="F864" s="11"/>
      <c r="G864" s="89">
        <f>IFERROR(VLOOKUP(F864,COA!$A$1:$K$26,2,FALSE),0)</f>
        <v>0</v>
      </c>
      <c r="H864" s="11"/>
      <c r="I864" s="11"/>
      <c r="J864" s="78"/>
      <c r="K864" s="78"/>
      <c r="L864" s="146">
        <f t="shared" si="47"/>
        <v>13126700</v>
      </c>
      <c r="M864" s="73"/>
      <c r="N864" s="73"/>
      <c r="O864" s="7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 x14ac:dyDescent="0.35">
      <c r="A865" s="9">
        <f t="shared" si="48"/>
        <v>857</v>
      </c>
      <c r="B865" s="15"/>
      <c r="C865" s="11">
        <f t="shared" si="46"/>
        <v>1</v>
      </c>
      <c r="D865" s="11"/>
      <c r="E865" s="11"/>
      <c r="F865" s="11"/>
      <c r="G865" s="89">
        <f>IFERROR(VLOOKUP(F865,COA!$A$1:$K$26,2,FALSE),0)</f>
        <v>0</v>
      </c>
      <c r="H865" s="11"/>
      <c r="I865" s="11"/>
      <c r="J865" s="78"/>
      <c r="K865" s="78"/>
      <c r="L865" s="146">
        <f t="shared" si="47"/>
        <v>13126700</v>
      </c>
      <c r="M865" s="73"/>
      <c r="N865" s="73"/>
      <c r="O865" s="7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 x14ac:dyDescent="0.35">
      <c r="A866" s="9">
        <f t="shared" si="48"/>
        <v>858</v>
      </c>
      <c r="B866" s="15"/>
      <c r="C866" s="11">
        <f t="shared" si="46"/>
        <v>1</v>
      </c>
      <c r="D866" s="11"/>
      <c r="E866" s="11"/>
      <c r="F866" s="11"/>
      <c r="G866" s="89">
        <f>IFERROR(VLOOKUP(F866,COA!$A$1:$K$26,2,FALSE),0)</f>
        <v>0</v>
      </c>
      <c r="H866" s="11"/>
      <c r="I866" s="11"/>
      <c r="J866" s="78"/>
      <c r="K866" s="78"/>
      <c r="L866" s="146">
        <f t="shared" si="47"/>
        <v>13126700</v>
      </c>
      <c r="M866" s="73"/>
      <c r="N866" s="73"/>
      <c r="O866" s="7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 x14ac:dyDescent="0.35">
      <c r="A867" s="9">
        <f t="shared" si="48"/>
        <v>859</v>
      </c>
      <c r="B867" s="15"/>
      <c r="C867" s="11">
        <f t="shared" si="46"/>
        <v>1</v>
      </c>
      <c r="D867" s="11"/>
      <c r="E867" s="11"/>
      <c r="F867" s="11"/>
      <c r="G867" s="89">
        <f>IFERROR(VLOOKUP(F867,COA!$A$1:$K$26,2,FALSE),0)</f>
        <v>0</v>
      </c>
      <c r="H867" s="13"/>
      <c r="I867" s="13"/>
      <c r="J867" s="78"/>
      <c r="K867" s="78"/>
      <c r="L867" s="146">
        <f t="shared" si="47"/>
        <v>13126700</v>
      </c>
      <c r="M867" s="73"/>
      <c r="N867" s="73"/>
      <c r="O867" s="7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 x14ac:dyDescent="0.35">
      <c r="A868" s="9">
        <f t="shared" si="48"/>
        <v>860</v>
      </c>
      <c r="B868" s="15"/>
      <c r="C868" s="11">
        <f t="shared" ref="C868:C931" si="49">MONTH(B868)</f>
        <v>1</v>
      </c>
      <c r="D868" s="11"/>
      <c r="E868" s="11"/>
      <c r="F868" s="11"/>
      <c r="G868" s="89">
        <f>IFERROR(VLOOKUP(F868,COA!$A$1:$K$26,2,FALSE),0)</f>
        <v>0</v>
      </c>
      <c r="H868" s="11"/>
      <c r="I868" s="11"/>
      <c r="J868" s="78"/>
      <c r="K868" s="78"/>
      <c r="L868" s="146">
        <f t="shared" si="47"/>
        <v>13126700</v>
      </c>
      <c r="M868" s="73"/>
      <c r="N868" s="73"/>
      <c r="O868" s="7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 x14ac:dyDescent="0.35">
      <c r="A869" s="9">
        <f t="shared" si="48"/>
        <v>861</v>
      </c>
      <c r="B869" s="15"/>
      <c r="C869" s="11">
        <f t="shared" si="49"/>
        <v>1</v>
      </c>
      <c r="D869" s="11"/>
      <c r="E869" s="11"/>
      <c r="F869" s="11"/>
      <c r="G869" s="89">
        <f>IFERROR(VLOOKUP(F869,COA!$A$1:$K$26,2,FALSE),0)</f>
        <v>0</v>
      </c>
      <c r="H869" s="11"/>
      <c r="I869" s="11"/>
      <c r="J869" s="78"/>
      <c r="K869" s="78"/>
      <c r="L869" s="146">
        <f t="shared" si="47"/>
        <v>13126700</v>
      </c>
      <c r="M869" s="73"/>
      <c r="N869" s="73"/>
      <c r="O869" s="7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 x14ac:dyDescent="0.35">
      <c r="A870" s="9">
        <f t="shared" si="48"/>
        <v>862</v>
      </c>
      <c r="B870" s="15"/>
      <c r="C870" s="11">
        <f t="shared" si="49"/>
        <v>1</v>
      </c>
      <c r="D870" s="11"/>
      <c r="E870" s="11"/>
      <c r="F870" s="11"/>
      <c r="G870" s="89">
        <f>IFERROR(VLOOKUP(F870,COA!$A$1:$K$26,2,FALSE),0)</f>
        <v>0</v>
      </c>
      <c r="H870" s="11"/>
      <c r="I870" s="11"/>
      <c r="J870" s="78"/>
      <c r="K870" s="78"/>
      <c r="L870" s="146">
        <f t="shared" si="47"/>
        <v>13126700</v>
      </c>
      <c r="M870" s="73"/>
      <c r="N870" s="73"/>
      <c r="O870" s="7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 x14ac:dyDescent="0.35">
      <c r="A871" s="9">
        <f t="shared" si="48"/>
        <v>863</v>
      </c>
      <c r="B871" s="15"/>
      <c r="C871" s="11">
        <f t="shared" si="49"/>
        <v>1</v>
      </c>
      <c r="D871" s="11"/>
      <c r="E871" s="11"/>
      <c r="F871" s="11"/>
      <c r="G871" s="89">
        <f>IFERROR(VLOOKUP(F871,COA!$A$1:$K$26,2,FALSE),0)</f>
        <v>0</v>
      </c>
      <c r="H871" s="11"/>
      <c r="I871" s="11"/>
      <c r="J871" s="78"/>
      <c r="K871" s="78"/>
      <c r="L871" s="146">
        <f t="shared" si="47"/>
        <v>13126700</v>
      </c>
      <c r="M871" s="73"/>
      <c r="N871" s="73"/>
      <c r="O871" s="7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 x14ac:dyDescent="0.35">
      <c r="A872" s="9">
        <f t="shared" si="48"/>
        <v>864</v>
      </c>
      <c r="B872" s="15"/>
      <c r="C872" s="11">
        <f t="shared" si="49"/>
        <v>1</v>
      </c>
      <c r="D872" s="11"/>
      <c r="E872" s="11"/>
      <c r="F872" s="11"/>
      <c r="G872" s="89">
        <f>IFERROR(VLOOKUP(F872,COA!$A$1:$K$26,2,FALSE),0)</f>
        <v>0</v>
      </c>
      <c r="H872" s="11"/>
      <c r="I872" s="11"/>
      <c r="J872" s="78"/>
      <c r="K872" s="78"/>
      <c r="L872" s="146">
        <f t="shared" si="47"/>
        <v>13126700</v>
      </c>
      <c r="M872" s="73"/>
      <c r="N872" s="73"/>
      <c r="O872" s="7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 x14ac:dyDescent="0.35">
      <c r="A873" s="9">
        <f t="shared" si="48"/>
        <v>865</v>
      </c>
      <c r="B873" s="15"/>
      <c r="C873" s="11">
        <f t="shared" si="49"/>
        <v>1</v>
      </c>
      <c r="D873" s="11"/>
      <c r="E873" s="11"/>
      <c r="F873" s="11"/>
      <c r="G873" s="89">
        <f>IFERROR(VLOOKUP(F873,COA!$A$1:$K$26,2,FALSE),0)</f>
        <v>0</v>
      </c>
      <c r="H873" s="13"/>
      <c r="I873" s="13"/>
      <c r="J873" s="78"/>
      <c r="K873" s="78"/>
      <c r="L873" s="146">
        <f t="shared" si="47"/>
        <v>13126700</v>
      </c>
      <c r="M873" s="73"/>
      <c r="N873" s="73"/>
      <c r="O873" s="7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 x14ac:dyDescent="0.35">
      <c r="A874" s="9">
        <f t="shared" si="48"/>
        <v>866</v>
      </c>
      <c r="B874" s="15"/>
      <c r="C874" s="11">
        <f t="shared" si="49"/>
        <v>1</v>
      </c>
      <c r="D874" s="11"/>
      <c r="E874" s="11"/>
      <c r="F874" s="11"/>
      <c r="G874" s="89">
        <f>IFERROR(VLOOKUP(F874,COA!$A$1:$K$26,2,FALSE),0)</f>
        <v>0</v>
      </c>
      <c r="H874" s="11"/>
      <c r="I874" s="11"/>
      <c r="J874" s="78"/>
      <c r="K874" s="78"/>
      <c r="L874" s="146">
        <f t="shared" si="47"/>
        <v>13126700</v>
      </c>
      <c r="M874" s="73"/>
      <c r="N874" s="73"/>
      <c r="O874" s="7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 x14ac:dyDescent="0.35">
      <c r="A875" s="9">
        <f t="shared" si="48"/>
        <v>867</v>
      </c>
      <c r="B875" s="15"/>
      <c r="C875" s="11">
        <f t="shared" si="49"/>
        <v>1</v>
      </c>
      <c r="D875" s="11"/>
      <c r="E875" s="11"/>
      <c r="F875" s="11"/>
      <c r="G875" s="89">
        <f>IFERROR(VLOOKUP(F875,COA!$A$1:$K$26,2,FALSE),0)</f>
        <v>0</v>
      </c>
      <c r="H875" s="11"/>
      <c r="I875" s="11"/>
      <c r="J875" s="78"/>
      <c r="K875" s="78"/>
      <c r="L875" s="146">
        <f t="shared" si="47"/>
        <v>13126700</v>
      </c>
      <c r="M875" s="73"/>
      <c r="N875" s="73"/>
      <c r="O875" s="7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 x14ac:dyDescent="0.35">
      <c r="A876" s="9">
        <f t="shared" si="48"/>
        <v>868</v>
      </c>
      <c r="B876" s="15"/>
      <c r="C876" s="11">
        <f t="shared" si="49"/>
        <v>1</v>
      </c>
      <c r="D876" s="11"/>
      <c r="E876" s="11"/>
      <c r="F876" s="11"/>
      <c r="G876" s="89">
        <f>IFERROR(VLOOKUP(F876,COA!$A$1:$K$26,2,FALSE),0)</f>
        <v>0</v>
      </c>
      <c r="H876" s="11"/>
      <c r="I876" s="11"/>
      <c r="J876" s="78"/>
      <c r="K876" s="78"/>
      <c r="L876" s="146">
        <f t="shared" si="47"/>
        <v>13126700</v>
      </c>
      <c r="M876" s="73"/>
      <c r="N876" s="73"/>
      <c r="O876" s="7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 x14ac:dyDescent="0.35">
      <c r="A877" s="9">
        <f t="shared" si="48"/>
        <v>869</v>
      </c>
      <c r="B877" s="15"/>
      <c r="C877" s="11">
        <f t="shared" si="49"/>
        <v>1</v>
      </c>
      <c r="D877" s="11"/>
      <c r="E877" s="11"/>
      <c r="F877" s="11"/>
      <c r="G877" s="89">
        <f>IFERROR(VLOOKUP(F877,COA!$A$1:$K$26,2,FALSE),0)</f>
        <v>0</v>
      </c>
      <c r="H877" s="11"/>
      <c r="I877" s="11"/>
      <c r="J877" s="78"/>
      <c r="K877" s="78"/>
      <c r="L877" s="146">
        <f t="shared" si="47"/>
        <v>13126700</v>
      </c>
      <c r="M877" s="73"/>
      <c r="N877" s="73"/>
      <c r="O877" s="7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 x14ac:dyDescent="0.35">
      <c r="A878" s="9">
        <f t="shared" si="48"/>
        <v>870</v>
      </c>
      <c r="B878" s="15"/>
      <c r="C878" s="11">
        <f t="shared" si="49"/>
        <v>1</v>
      </c>
      <c r="D878" s="11"/>
      <c r="E878" s="11"/>
      <c r="F878" s="11"/>
      <c r="G878" s="89">
        <f>IFERROR(VLOOKUP(F878,COA!$A$1:$K$26,2,FALSE),0)</f>
        <v>0</v>
      </c>
      <c r="H878" s="11"/>
      <c r="I878" s="11"/>
      <c r="J878" s="78"/>
      <c r="K878" s="78"/>
      <c r="L878" s="146">
        <f t="shared" si="47"/>
        <v>13126700</v>
      </c>
      <c r="M878" s="73"/>
      <c r="N878" s="73"/>
      <c r="O878" s="7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 x14ac:dyDescent="0.35">
      <c r="A879" s="9">
        <f t="shared" si="48"/>
        <v>871</v>
      </c>
      <c r="B879" s="15"/>
      <c r="C879" s="11">
        <f t="shared" si="49"/>
        <v>1</v>
      </c>
      <c r="D879" s="11"/>
      <c r="E879" s="11"/>
      <c r="F879" s="11"/>
      <c r="G879" s="89">
        <f>IFERROR(VLOOKUP(F879,COA!$A$1:$K$26,2,FALSE),0)</f>
        <v>0</v>
      </c>
      <c r="H879" s="13"/>
      <c r="I879" s="13"/>
      <c r="J879" s="78"/>
      <c r="K879" s="78"/>
      <c r="L879" s="146">
        <f t="shared" si="47"/>
        <v>13126700</v>
      </c>
      <c r="M879" s="73"/>
      <c r="N879" s="73"/>
      <c r="O879" s="7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 x14ac:dyDescent="0.35">
      <c r="A880" s="9">
        <f t="shared" si="48"/>
        <v>872</v>
      </c>
      <c r="B880" s="15"/>
      <c r="C880" s="11">
        <f t="shared" si="49"/>
        <v>1</v>
      </c>
      <c r="D880" s="11"/>
      <c r="E880" s="11"/>
      <c r="F880" s="11"/>
      <c r="G880" s="89">
        <f>IFERROR(VLOOKUP(F880,COA!$A$1:$K$26,2,FALSE),0)</f>
        <v>0</v>
      </c>
      <c r="H880" s="11"/>
      <c r="I880" s="11"/>
      <c r="J880" s="78"/>
      <c r="K880" s="78"/>
      <c r="L880" s="146">
        <f t="shared" si="47"/>
        <v>13126700</v>
      </c>
      <c r="M880" s="73"/>
      <c r="N880" s="73"/>
      <c r="O880" s="7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 x14ac:dyDescent="0.35">
      <c r="A881" s="9">
        <f t="shared" si="48"/>
        <v>873</v>
      </c>
      <c r="B881" s="15"/>
      <c r="C881" s="11">
        <f t="shared" si="49"/>
        <v>1</v>
      </c>
      <c r="D881" s="11"/>
      <c r="E881" s="11"/>
      <c r="F881" s="11"/>
      <c r="G881" s="89">
        <f>IFERROR(VLOOKUP(F881,COA!$A$1:$K$26,2,FALSE),0)</f>
        <v>0</v>
      </c>
      <c r="H881" s="11"/>
      <c r="I881" s="11"/>
      <c r="J881" s="78"/>
      <c r="K881" s="78"/>
      <c r="L881" s="146">
        <f t="shared" si="47"/>
        <v>13126700</v>
      </c>
      <c r="M881" s="73"/>
      <c r="N881" s="73"/>
      <c r="O881" s="7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 x14ac:dyDescent="0.35">
      <c r="A882" s="9">
        <f t="shared" si="48"/>
        <v>874</v>
      </c>
      <c r="B882" s="15"/>
      <c r="C882" s="11">
        <f t="shared" si="49"/>
        <v>1</v>
      </c>
      <c r="D882" s="11"/>
      <c r="E882" s="11"/>
      <c r="F882" s="11"/>
      <c r="G882" s="89">
        <f>IFERROR(VLOOKUP(F882,COA!$A$1:$K$26,2,FALSE),0)</f>
        <v>0</v>
      </c>
      <c r="H882" s="11"/>
      <c r="I882" s="11"/>
      <c r="J882" s="78"/>
      <c r="K882" s="78"/>
      <c r="L882" s="146">
        <f t="shared" si="47"/>
        <v>13126700</v>
      </c>
      <c r="M882" s="73"/>
      <c r="N882" s="73"/>
      <c r="O882" s="7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 x14ac:dyDescent="0.35">
      <c r="A883" s="9">
        <f t="shared" si="48"/>
        <v>875</v>
      </c>
      <c r="B883" s="15"/>
      <c r="C883" s="11">
        <f t="shared" si="49"/>
        <v>1</v>
      </c>
      <c r="D883" s="11"/>
      <c r="E883" s="11"/>
      <c r="F883" s="11"/>
      <c r="G883" s="89">
        <f>IFERROR(VLOOKUP(F883,COA!$A$1:$K$26,2,FALSE),0)</f>
        <v>0</v>
      </c>
      <c r="H883" s="11"/>
      <c r="I883" s="11"/>
      <c r="J883" s="78"/>
      <c r="K883" s="78"/>
      <c r="L883" s="146">
        <f t="shared" si="47"/>
        <v>13126700</v>
      </c>
      <c r="M883" s="73"/>
      <c r="N883" s="73"/>
      <c r="O883" s="7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 x14ac:dyDescent="0.35">
      <c r="A884" s="9">
        <f t="shared" si="48"/>
        <v>876</v>
      </c>
      <c r="B884" s="15"/>
      <c r="C884" s="11">
        <f t="shared" si="49"/>
        <v>1</v>
      </c>
      <c r="D884" s="11"/>
      <c r="E884" s="11"/>
      <c r="F884" s="11"/>
      <c r="G884" s="89">
        <f>IFERROR(VLOOKUP(F884,COA!$A$1:$K$26,2,FALSE),0)</f>
        <v>0</v>
      </c>
      <c r="H884" s="11"/>
      <c r="I884" s="11"/>
      <c r="J884" s="78"/>
      <c r="K884" s="78"/>
      <c r="L884" s="146">
        <f t="shared" si="47"/>
        <v>13126700</v>
      </c>
      <c r="M884" s="73"/>
      <c r="N884" s="73"/>
      <c r="O884" s="7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 x14ac:dyDescent="0.35">
      <c r="A885" s="9">
        <f t="shared" si="48"/>
        <v>877</v>
      </c>
      <c r="B885" s="15"/>
      <c r="C885" s="11">
        <f t="shared" si="49"/>
        <v>1</v>
      </c>
      <c r="D885" s="11"/>
      <c r="E885" s="11"/>
      <c r="F885" s="11"/>
      <c r="G885" s="89">
        <f>IFERROR(VLOOKUP(F885,COA!$A$1:$K$26,2,FALSE),0)</f>
        <v>0</v>
      </c>
      <c r="H885" s="11"/>
      <c r="I885" s="11"/>
      <c r="J885" s="78"/>
      <c r="K885" s="78"/>
      <c r="L885" s="146">
        <f t="shared" si="47"/>
        <v>13126700</v>
      </c>
      <c r="M885" s="73"/>
      <c r="N885" s="73"/>
      <c r="O885" s="7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 x14ac:dyDescent="0.35">
      <c r="A886" s="9">
        <f t="shared" si="48"/>
        <v>878</v>
      </c>
      <c r="B886" s="15"/>
      <c r="C886" s="11">
        <f t="shared" si="49"/>
        <v>1</v>
      </c>
      <c r="D886" s="11"/>
      <c r="E886" s="11"/>
      <c r="F886" s="11"/>
      <c r="G886" s="89">
        <f>IFERROR(VLOOKUP(F886,COA!$A$1:$K$26,2,FALSE),0)</f>
        <v>0</v>
      </c>
      <c r="H886" s="11"/>
      <c r="I886" s="11"/>
      <c r="J886" s="78"/>
      <c r="K886" s="78"/>
      <c r="L886" s="146">
        <f t="shared" si="47"/>
        <v>13126700</v>
      </c>
      <c r="M886" s="73"/>
      <c r="N886" s="73"/>
      <c r="O886" s="7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 x14ac:dyDescent="0.35">
      <c r="A887" s="9">
        <f t="shared" si="48"/>
        <v>879</v>
      </c>
      <c r="B887" s="15"/>
      <c r="C887" s="11">
        <f t="shared" si="49"/>
        <v>1</v>
      </c>
      <c r="D887" s="11"/>
      <c r="E887" s="11"/>
      <c r="F887" s="11"/>
      <c r="G887" s="89">
        <f>IFERROR(VLOOKUP(F887,COA!$A$1:$K$26,2,FALSE),0)</f>
        <v>0</v>
      </c>
      <c r="H887" s="11"/>
      <c r="I887" s="11"/>
      <c r="J887" s="78"/>
      <c r="K887" s="78"/>
      <c r="L887" s="146">
        <f t="shared" si="47"/>
        <v>13126700</v>
      </c>
      <c r="M887" s="73"/>
      <c r="N887" s="73"/>
      <c r="O887" s="7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 x14ac:dyDescent="0.35">
      <c r="A888" s="9">
        <f t="shared" si="48"/>
        <v>880</v>
      </c>
      <c r="B888" s="15"/>
      <c r="C888" s="11">
        <f t="shared" si="49"/>
        <v>1</v>
      </c>
      <c r="D888" s="11"/>
      <c r="E888" s="11"/>
      <c r="F888" s="11"/>
      <c r="G888" s="89">
        <f>IFERROR(VLOOKUP(F888,COA!$A$1:$K$26,2,FALSE),0)</f>
        <v>0</v>
      </c>
      <c r="H888" s="13"/>
      <c r="I888" s="13"/>
      <c r="J888" s="78"/>
      <c r="K888" s="78"/>
      <c r="L888" s="146">
        <f t="shared" si="47"/>
        <v>13126700</v>
      </c>
      <c r="M888" s="73"/>
      <c r="N888" s="73"/>
      <c r="O888" s="7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 x14ac:dyDescent="0.35">
      <c r="A889" s="9">
        <f t="shared" si="48"/>
        <v>881</v>
      </c>
      <c r="B889" s="15"/>
      <c r="C889" s="11">
        <f t="shared" si="49"/>
        <v>1</v>
      </c>
      <c r="D889" s="11"/>
      <c r="E889" s="11"/>
      <c r="F889" s="11"/>
      <c r="G889" s="89">
        <f>IFERROR(VLOOKUP(F889,COA!$A$1:$K$26,2,FALSE),0)</f>
        <v>0</v>
      </c>
      <c r="H889" s="11"/>
      <c r="I889" s="11"/>
      <c r="J889" s="78"/>
      <c r="K889" s="78"/>
      <c r="L889" s="146">
        <f t="shared" si="47"/>
        <v>13126700</v>
      </c>
      <c r="M889" s="73"/>
      <c r="N889" s="73"/>
      <c r="O889" s="7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 x14ac:dyDescent="0.35">
      <c r="A890" s="9">
        <f t="shared" si="48"/>
        <v>882</v>
      </c>
      <c r="B890" s="15"/>
      <c r="C890" s="11">
        <f t="shared" si="49"/>
        <v>1</v>
      </c>
      <c r="D890" s="11"/>
      <c r="E890" s="11"/>
      <c r="F890" s="11"/>
      <c r="G890" s="89">
        <f>IFERROR(VLOOKUP(F890,COA!$A$1:$K$26,2,FALSE),0)</f>
        <v>0</v>
      </c>
      <c r="H890" s="11"/>
      <c r="I890" s="11"/>
      <c r="J890" s="78"/>
      <c r="K890" s="78"/>
      <c r="L890" s="146">
        <f t="shared" si="47"/>
        <v>13126700</v>
      </c>
      <c r="M890" s="73"/>
      <c r="N890" s="73"/>
      <c r="O890" s="7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 x14ac:dyDescent="0.35">
      <c r="A891" s="9">
        <f t="shared" si="48"/>
        <v>883</v>
      </c>
      <c r="B891" s="15"/>
      <c r="C891" s="11">
        <f t="shared" si="49"/>
        <v>1</v>
      </c>
      <c r="D891" s="11"/>
      <c r="E891" s="11"/>
      <c r="F891" s="11"/>
      <c r="G891" s="89">
        <f>IFERROR(VLOOKUP(F891,COA!$A$1:$K$26,2,FALSE),0)</f>
        <v>0</v>
      </c>
      <c r="H891" s="11"/>
      <c r="I891" s="11"/>
      <c r="J891" s="78"/>
      <c r="K891" s="78"/>
      <c r="L891" s="146">
        <f t="shared" si="47"/>
        <v>13126700</v>
      </c>
      <c r="M891" s="73"/>
      <c r="N891" s="73"/>
      <c r="O891" s="7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 x14ac:dyDescent="0.35">
      <c r="A892" s="9">
        <f t="shared" si="48"/>
        <v>884</v>
      </c>
      <c r="B892" s="15"/>
      <c r="C892" s="11">
        <f t="shared" si="49"/>
        <v>1</v>
      </c>
      <c r="D892" s="11"/>
      <c r="E892" s="11"/>
      <c r="F892" s="11"/>
      <c r="G892" s="89">
        <f>IFERROR(VLOOKUP(F892,COA!$A$1:$K$26,2,FALSE),0)</f>
        <v>0</v>
      </c>
      <c r="H892" s="11"/>
      <c r="I892" s="11"/>
      <c r="J892" s="78"/>
      <c r="K892" s="78"/>
      <c r="L892" s="146">
        <f t="shared" si="47"/>
        <v>13126700</v>
      </c>
      <c r="M892" s="73"/>
      <c r="N892" s="73"/>
      <c r="O892" s="7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 x14ac:dyDescent="0.35">
      <c r="A893" s="9">
        <f t="shared" si="48"/>
        <v>885</v>
      </c>
      <c r="B893" s="15"/>
      <c r="C893" s="11">
        <f t="shared" si="49"/>
        <v>1</v>
      </c>
      <c r="D893" s="11"/>
      <c r="E893" s="11"/>
      <c r="F893" s="11"/>
      <c r="G893" s="89">
        <f>IFERROR(VLOOKUP(F893,COA!$A$1:$K$26,2,FALSE),0)</f>
        <v>0</v>
      </c>
      <c r="H893" s="11"/>
      <c r="I893" s="11"/>
      <c r="J893" s="78"/>
      <c r="K893" s="78"/>
      <c r="L893" s="146">
        <f t="shared" si="47"/>
        <v>13126700</v>
      </c>
      <c r="M893" s="73"/>
      <c r="N893" s="73"/>
      <c r="O893" s="7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 x14ac:dyDescent="0.35">
      <c r="A894" s="9">
        <f t="shared" si="48"/>
        <v>886</v>
      </c>
      <c r="B894" s="15"/>
      <c r="C894" s="11">
        <f t="shared" si="49"/>
        <v>1</v>
      </c>
      <c r="D894" s="11"/>
      <c r="E894" s="11"/>
      <c r="F894" s="11"/>
      <c r="G894" s="89">
        <f>IFERROR(VLOOKUP(F894,COA!$A$1:$K$26,2,FALSE),0)</f>
        <v>0</v>
      </c>
      <c r="H894" s="13"/>
      <c r="I894" s="13"/>
      <c r="J894" s="78"/>
      <c r="K894" s="78"/>
      <c r="L894" s="146">
        <f t="shared" si="47"/>
        <v>13126700</v>
      </c>
      <c r="M894" s="73"/>
      <c r="N894" s="73"/>
      <c r="O894" s="7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 x14ac:dyDescent="0.35">
      <c r="A895" s="9">
        <f t="shared" si="48"/>
        <v>887</v>
      </c>
      <c r="B895" s="15"/>
      <c r="C895" s="11">
        <f t="shared" si="49"/>
        <v>1</v>
      </c>
      <c r="D895" s="11"/>
      <c r="E895" s="11"/>
      <c r="F895" s="11"/>
      <c r="G895" s="89">
        <f>IFERROR(VLOOKUP(F895,COA!$A$1:$K$26,2,FALSE),0)</f>
        <v>0</v>
      </c>
      <c r="H895" s="11"/>
      <c r="I895" s="11"/>
      <c r="J895" s="78"/>
      <c r="K895" s="78"/>
      <c r="L895" s="146">
        <f t="shared" si="47"/>
        <v>13126700</v>
      </c>
      <c r="M895" s="73"/>
      <c r="N895" s="73"/>
      <c r="O895" s="7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 x14ac:dyDescent="0.35">
      <c r="A896" s="9">
        <f t="shared" si="48"/>
        <v>888</v>
      </c>
      <c r="B896" s="15"/>
      <c r="C896" s="11">
        <f t="shared" si="49"/>
        <v>1</v>
      </c>
      <c r="D896" s="11"/>
      <c r="E896" s="11"/>
      <c r="F896" s="11"/>
      <c r="G896" s="89">
        <f>IFERROR(VLOOKUP(F896,COA!$A$1:$K$26,2,FALSE),0)</f>
        <v>0</v>
      </c>
      <c r="H896" s="11"/>
      <c r="I896" s="11"/>
      <c r="J896" s="78"/>
      <c r="K896" s="78"/>
      <c r="L896" s="146">
        <f t="shared" si="47"/>
        <v>13126700</v>
      </c>
      <c r="M896" s="73"/>
      <c r="N896" s="73"/>
      <c r="O896" s="7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 x14ac:dyDescent="0.35">
      <c r="A897" s="9">
        <f t="shared" si="48"/>
        <v>889</v>
      </c>
      <c r="B897" s="15"/>
      <c r="C897" s="11">
        <f t="shared" si="49"/>
        <v>1</v>
      </c>
      <c r="D897" s="11"/>
      <c r="E897" s="11"/>
      <c r="F897" s="11"/>
      <c r="G897" s="89">
        <f>IFERROR(VLOOKUP(F897,COA!$A$1:$K$26,2,FALSE),0)</f>
        <v>0</v>
      </c>
      <c r="H897" s="11"/>
      <c r="I897" s="11"/>
      <c r="J897" s="78"/>
      <c r="K897" s="78"/>
      <c r="L897" s="146">
        <f t="shared" si="47"/>
        <v>13126700</v>
      </c>
      <c r="M897" s="73"/>
      <c r="N897" s="73"/>
      <c r="O897" s="7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 x14ac:dyDescent="0.35">
      <c r="A898" s="9">
        <f t="shared" si="48"/>
        <v>890</v>
      </c>
      <c r="B898" s="15"/>
      <c r="C898" s="11">
        <f t="shared" si="49"/>
        <v>1</v>
      </c>
      <c r="D898" s="11"/>
      <c r="E898" s="11"/>
      <c r="F898" s="11"/>
      <c r="G898" s="89">
        <f>IFERROR(VLOOKUP(F898,COA!$A$1:$K$26,2,FALSE),0)</f>
        <v>0</v>
      </c>
      <c r="H898" s="11"/>
      <c r="I898" s="11"/>
      <c r="J898" s="78"/>
      <c r="K898" s="78"/>
      <c r="L898" s="146">
        <f t="shared" si="47"/>
        <v>13126700</v>
      </c>
      <c r="M898" s="73"/>
      <c r="N898" s="73"/>
      <c r="O898" s="7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 x14ac:dyDescent="0.35">
      <c r="A899" s="9">
        <f t="shared" si="48"/>
        <v>891</v>
      </c>
      <c r="B899" s="15"/>
      <c r="C899" s="11">
        <f t="shared" si="49"/>
        <v>1</v>
      </c>
      <c r="D899" s="11"/>
      <c r="E899" s="11"/>
      <c r="F899" s="11"/>
      <c r="G899" s="89">
        <f>IFERROR(VLOOKUP(F899,COA!$A$1:$K$26,2,FALSE),0)</f>
        <v>0</v>
      </c>
      <c r="H899" s="11"/>
      <c r="I899" s="11"/>
      <c r="J899" s="78"/>
      <c r="K899" s="78"/>
      <c r="L899" s="146">
        <f t="shared" si="47"/>
        <v>13126700</v>
      </c>
      <c r="M899" s="73"/>
      <c r="N899" s="73"/>
      <c r="O899" s="7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 x14ac:dyDescent="0.35">
      <c r="A900" s="9">
        <f t="shared" si="48"/>
        <v>892</v>
      </c>
      <c r="B900" s="15"/>
      <c r="C900" s="11">
        <f t="shared" si="49"/>
        <v>1</v>
      </c>
      <c r="D900" s="11"/>
      <c r="E900" s="11"/>
      <c r="F900" s="11"/>
      <c r="G900" s="89">
        <f>IFERROR(VLOOKUP(F900,COA!$A$1:$K$26,2,FALSE),0)</f>
        <v>0</v>
      </c>
      <c r="H900" s="13"/>
      <c r="I900" s="13"/>
      <c r="J900" s="78"/>
      <c r="K900" s="78"/>
      <c r="L900" s="146">
        <f t="shared" si="47"/>
        <v>13126700</v>
      </c>
      <c r="M900" s="73"/>
      <c r="N900" s="73"/>
      <c r="O900" s="7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 x14ac:dyDescent="0.35">
      <c r="A901" s="9">
        <f t="shared" si="48"/>
        <v>893</v>
      </c>
      <c r="B901" s="15"/>
      <c r="C901" s="11">
        <f t="shared" si="49"/>
        <v>1</v>
      </c>
      <c r="D901" s="11"/>
      <c r="E901" s="11"/>
      <c r="F901" s="11"/>
      <c r="G901" s="89">
        <f>IFERROR(VLOOKUP(F901,COA!$A$1:$K$26,2,FALSE),0)</f>
        <v>0</v>
      </c>
      <c r="H901" s="11"/>
      <c r="I901" s="11"/>
      <c r="J901" s="78"/>
      <c r="K901" s="78"/>
      <c r="L901" s="146">
        <f t="shared" si="47"/>
        <v>13126700</v>
      </c>
      <c r="M901" s="73"/>
      <c r="N901" s="73"/>
      <c r="O901" s="7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 x14ac:dyDescent="0.35">
      <c r="A902" s="9">
        <f t="shared" si="48"/>
        <v>894</v>
      </c>
      <c r="B902" s="15"/>
      <c r="C902" s="11">
        <f t="shared" si="49"/>
        <v>1</v>
      </c>
      <c r="D902" s="11"/>
      <c r="E902" s="11"/>
      <c r="F902" s="11"/>
      <c r="G902" s="89">
        <f>IFERROR(VLOOKUP(F902,COA!$A$1:$K$26,2,FALSE),0)</f>
        <v>0</v>
      </c>
      <c r="H902" s="11"/>
      <c r="I902" s="11"/>
      <c r="J902" s="78"/>
      <c r="K902" s="78"/>
      <c r="L902" s="146">
        <f t="shared" si="47"/>
        <v>13126700</v>
      </c>
      <c r="M902" s="73"/>
      <c r="N902" s="73"/>
      <c r="O902" s="7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 x14ac:dyDescent="0.35">
      <c r="A903" s="9">
        <f t="shared" si="48"/>
        <v>895</v>
      </c>
      <c r="B903" s="15"/>
      <c r="C903" s="11">
        <f t="shared" si="49"/>
        <v>1</v>
      </c>
      <c r="D903" s="11"/>
      <c r="E903" s="11"/>
      <c r="F903" s="11"/>
      <c r="G903" s="89">
        <f>IFERROR(VLOOKUP(F903,COA!$A$1:$K$26,2,FALSE),0)</f>
        <v>0</v>
      </c>
      <c r="H903" s="11"/>
      <c r="I903" s="11"/>
      <c r="J903" s="78"/>
      <c r="K903" s="78"/>
      <c r="L903" s="146">
        <f t="shared" si="47"/>
        <v>13126700</v>
      </c>
      <c r="M903" s="73"/>
      <c r="N903" s="73"/>
      <c r="O903" s="7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 x14ac:dyDescent="0.35">
      <c r="A904" s="9">
        <f t="shared" si="48"/>
        <v>896</v>
      </c>
      <c r="B904" s="15"/>
      <c r="C904" s="11">
        <f t="shared" si="49"/>
        <v>1</v>
      </c>
      <c r="D904" s="11"/>
      <c r="E904" s="11"/>
      <c r="F904" s="11"/>
      <c r="G904" s="89">
        <f>IFERROR(VLOOKUP(F904,COA!$A$1:$K$26,2,FALSE),0)</f>
        <v>0</v>
      </c>
      <c r="H904" s="11"/>
      <c r="I904" s="11"/>
      <c r="J904" s="78"/>
      <c r="K904" s="78"/>
      <c r="L904" s="146">
        <f t="shared" si="47"/>
        <v>13126700</v>
      </c>
      <c r="M904" s="73"/>
      <c r="N904" s="73"/>
      <c r="O904" s="7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 x14ac:dyDescent="0.35">
      <c r="A905" s="9">
        <f t="shared" si="48"/>
        <v>897</v>
      </c>
      <c r="B905" s="15"/>
      <c r="C905" s="11">
        <f t="shared" si="49"/>
        <v>1</v>
      </c>
      <c r="D905" s="11"/>
      <c r="E905" s="11"/>
      <c r="F905" s="11"/>
      <c r="G905" s="89">
        <f>IFERROR(VLOOKUP(F905,COA!$A$1:$K$26,2,FALSE),0)</f>
        <v>0</v>
      </c>
      <c r="H905" s="11"/>
      <c r="I905" s="11"/>
      <c r="J905" s="78"/>
      <c r="K905" s="78"/>
      <c r="L905" s="146">
        <f t="shared" si="47"/>
        <v>13126700</v>
      </c>
      <c r="M905" s="73"/>
      <c r="N905" s="73"/>
      <c r="O905" s="7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 x14ac:dyDescent="0.35">
      <c r="A906" s="9">
        <f t="shared" si="48"/>
        <v>898</v>
      </c>
      <c r="B906" s="15"/>
      <c r="C906" s="11">
        <f t="shared" si="49"/>
        <v>1</v>
      </c>
      <c r="D906" s="11"/>
      <c r="E906" s="11"/>
      <c r="F906" s="11"/>
      <c r="G906" s="89">
        <f>IFERROR(VLOOKUP(F906,COA!$A$1:$K$26,2,FALSE),0)</f>
        <v>0</v>
      </c>
      <c r="H906" s="11"/>
      <c r="I906" s="11"/>
      <c r="J906" s="78"/>
      <c r="K906" s="78"/>
      <c r="L906" s="146">
        <f t="shared" si="47"/>
        <v>13126700</v>
      </c>
      <c r="M906" s="73"/>
      <c r="N906" s="73"/>
      <c r="O906" s="7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 x14ac:dyDescent="0.35">
      <c r="A907" s="9">
        <f t="shared" si="48"/>
        <v>899</v>
      </c>
      <c r="B907" s="15"/>
      <c r="C907" s="11">
        <f t="shared" si="49"/>
        <v>1</v>
      </c>
      <c r="D907" s="11"/>
      <c r="E907" s="11"/>
      <c r="F907" s="11"/>
      <c r="G907" s="89">
        <f>IFERROR(VLOOKUP(F907,COA!$A$1:$K$26,2,FALSE),0)</f>
        <v>0</v>
      </c>
      <c r="H907" s="13"/>
      <c r="I907" s="13"/>
      <c r="J907" s="78"/>
      <c r="K907" s="78"/>
      <c r="L907" s="146">
        <f t="shared" si="47"/>
        <v>13126700</v>
      </c>
      <c r="M907" s="73"/>
      <c r="N907" s="73"/>
      <c r="O907" s="7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 x14ac:dyDescent="0.35">
      <c r="A908" s="9">
        <f t="shared" si="48"/>
        <v>900</v>
      </c>
      <c r="B908" s="15"/>
      <c r="C908" s="11">
        <f t="shared" si="49"/>
        <v>1</v>
      </c>
      <c r="D908" s="11"/>
      <c r="E908" s="11"/>
      <c r="F908" s="11"/>
      <c r="G908" s="89">
        <f>IFERROR(VLOOKUP(F908,COA!$A$1:$K$26,2,FALSE),0)</f>
        <v>0</v>
      </c>
      <c r="H908" s="11"/>
      <c r="I908" s="11"/>
      <c r="J908" s="78"/>
      <c r="K908" s="78"/>
      <c r="L908" s="146">
        <f t="shared" si="47"/>
        <v>13126700</v>
      </c>
      <c r="M908" s="73"/>
      <c r="N908" s="73"/>
      <c r="O908" s="7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 x14ac:dyDescent="0.35">
      <c r="A909" s="9">
        <f t="shared" si="48"/>
        <v>901</v>
      </c>
      <c r="B909" s="15"/>
      <c r="C909" s="11">
        <f t="shared" si="49"/>
        <v>1</v>
      </c>
      <c r="D909" s="11"/>
      <c r="E909" s="11"/>
      <c r="F909" s="11"/>
      <c r="G909" s="89">
        <f>IFERROR(VLOOKUP(F909,COA!$A$1:$K$26,2,FALSE),0)</f>
        <v>0</v>
      </c>
      <c r="H909" s="11"/>
      <c r="I909" s="11"/>
      <c r="J909" s="78"/>
      <c r="K909" s="78"/>
      <c r="L909" s="146">
        <f t="shared" si="47"/>
        <v>13126700</v>
      </c>
      <c r="M909" s="73"/>
      <c r="N909" s="73"/>
      <c r="O909" s="7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 x14ac:dyDescent="0.35">
      <c r="A910" s="9">
        <f t="shared" si="48"/>
        <v>902</v>
      </c>
      <c r="B910" s="15"/>
      <c r="C910" s="11">
        <f t="shared" si="49"/>
        <v>1</v>
      </c>
      <c r="D910" s="11"/>
      <c r="E910" s="11"/>
      <c r="F910" s="11"/>
      <c r="G910" s="89">
        <f>IFERROR(VLOOKUP(F910,COA!$A$1:$K$26,2,FALSE),0)</f>
        <v>0</v>
      </c>
      <c r="H910" s="11"/>
      <c r="I910" s="11"/>
      <c r="J910" s="78"/>
      <c r="K910" s="78"/>
      <c r="L910" s="146">
        <f t="shared" si="47"/>
        <v>13126700</v>
      </c>
      <c r="M910" s="73"/>
      <c r="N910" s="73"/>
      <c r="O910" s="7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 x14ac:dyDescent="0.35">
      <c r="A911" s="9">
        <f t="shared" si="48"/>
        <v>903</v>
      </c>
      <c r="B911" s="15"/>
      <c r="C911" s="11">
        <f t="shared" si="49"/>
        <v>1</v>
      </c>
      <c r="D911" s="11"/>
      <c r="E911" s="11"/>
      <c r="F911" s="11"/>
      <c r="G911" s="89">
        <f>IFERROR(VLOOKUP(F911,COA!$A$1:$K$26,2,FALSE),0)</f>
        <v>0</v>
      </c>
      <c r="H911" s="11"/>
      <c r="I911" s="11"/>
      <c r="J911" s="78"/>
      <c r="K911" s="78"/>
      <c r="L911" s="146">
        <f t="shared" si="47"/>
        <v>13126700</v>
      </c>
      <c r="M911" s="73"/>
      <c r="N911" s="73"/>
      <c r="O911" s="7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 x14ac:dyDescent="0.35">
      <c r="A912" s="9">
        <f t="shared" si="48"/>
        <v>904</v>
      </c>
      <c r="B912" s="15"/>
      <c r="C912" s="11">
        <f t="shared" si="49"/>
        <v>1</v>
      </c>
      <c r="D912" s="11"/>
      <c r="E912" s="11"/>
      <c r="F912" s="11"/>
      <c r="G912" s="89">
        <f>IFERROR(VLOOKUP(F912,COA!$A$1:$K$26,2,FALSE),0)</f>
        <v>0</v>
      </c>
      <c r="H912" s="11"/>
      <c r="I912" s="11"/>
      <c r="J912" s="78"/>
      <c r="K912" s="78"/>
      <c r="L912" s="146">
        <f t="shared" ref="L912:L975" si="50">L911+J912-K912</f>
        <v>13126700</v>
      </c>
      <c r="M912" s="73"/>
      <c r="N912" s="73"/>
      <c r="O912" s="7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 x14ac:dyDescent="0.35">
      <c r="A913" s="9">
        <f t="shared" si="48"/>
        <v>905</v>
      </c>
      <c r="B913" s="15"/>
      <c r="C913" s="11">
        <f t="shared" si="49"/>
        <v>1</v>
      </c>
      <c r="D913" s="11"/>
      <c r="E913" s="11"/>
      <c r="F913" s="11"/>
      <c r="G913" s="89">
        <f>IFERROR(VLOOKUP(F913,COA!$A$1:$K$26,2,FALSE),0)</f>
        <v>0</v>
      </c>
      <c r="H913" s="11"/>
      <c r="I913" s="11"/>
      <c r="J913" s="78"/>
      <c r="K913" s="78"/>
      <c r="L913" s="146">
        <f t="shared" si="50"/>
        <v>13126700</v>
      </c>
      <c r="M913" s="73"/>
      <c r="N913" s="73"/>
      <c r="O913" s="7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 x14ac:dyDescent="0.35">
      <c r="A914" s="9">
        <f t="shared" ref="A914:A977" si="51">A913+1</f>
        <v>906</v>
      </c>
      <c r="B914" s="15"/>
      <c r="C914" s="11">
        <f t="shared" si="49"/>
        <v>1</v>
      </c>
      <c r="D914" s="11"/>
      <c r="E914" s="11"/>
      <c r="F914" s="11"/>
      <c r="G914" s="89">
        <f>IFERROR(VLOOKUP(F914,COA!$A$1:$K$26,2,FALSE),0)</f>
        <v>0</v>
      </c>
      <c r="H914" s="11"/>
      <c r="I914" s="11"/>
      <c r="J914" s="78"/>
      <c r="K914" s="78"/>
      <c r="L914" s="146">
        <f t="shared" si="50"/>
        <v>13126700</v>
      </c>
      <c r="M914" s="73"/>
      <c r="N914" s="73"/>
      <c r="O914" s="7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 x14ac:dyDescent="0.35">
      <c r="A915" s="9">
        <f t="shared" si="51"/>
        <v>907</v>
      </c>
      <c r="B915" s="15"/>
      <c r="C915" s="11">
        <f t="shared" si="49"/>
        <v>1</v>
      </c>
      <c r="D915" s="11"/>
      <c r="E915" s="11"/>
      <c r="F915" s="11"/>
      <c r="G915" s="89">
        <f>IFERROR(VLOOKUP(F915,COA!$A$1:$K$26,2,FALSE),0)</f>
        <v>0</v>
      </c>
      <c r="H915" s="11"/>
      <c r="I915" s="11"/>
      <c r="J915" s="78"/>
      <c r="K915" s="78"/>
      <c r="L915" s="146">
        <f t="shared" si="50"/>
        <v>13126700</v>
      </c>
      <c r="M915" s="73"/>
      <c r="N915" s="73"/>
      <c r="O915" s="7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 x14ac:dyDescent="0.35">
      <c r="A916" s="9">
        <f t="shared" si="51"/>
        <v>908</v>
      </c>
      <c r="B916" s="15"/>
      <c r="C916" s="11">
        <f t="shared" si="49"/>
        <v>1</v>
      </c>
      <c r="D916" s="11"/>
      <c r="E916" s="11"/>
      <c r="F916" s="11"/>
      <c r="G916" s="89">
        <f>IFERROR(VLOOKUP(F916,COA!$A$1:$K$26,2,FALSE),0)</f>
        <v>0</v>
      </c>
      <c r="H916" s="11"/>
      <c r="I916" s="11"/>
      <c r="J916" s="78"/>
      <c r="K916" s="78"/>
      <c r="L916" s="146">
        <f t="shared" si="50"/>
        <v>13126700</v>
      </c>
      <c r="M916" s="73"/>
      <c r="N916" s="73"/>
      <c r="O916" s="7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 x14ac:dyDescent="0.35">
      <c r="A917" s="9">
        <f t="shared" si="51"/>
        <v>909</v>
      </c>
      <c r="B917" s="15"/>
      <c r="C917" s="11">
        <f t="shared" si="49"/>
        <v>1</v>
      </c>
      <c r="D917" s="11"/>
      <c r="E917" s="11"/>
      <c r="F917" s="11"/>
      <c r="G917" s="89">
        <f>IFERROR(VLOOKUP(F917,COA!$A$1:$K$26,2,FALSE),0)</f>
        <v>0</v>
      </c>
      <c r="H917" s="11"/>
      <c r="I917" s="11"/>
      <c r="J917" s="78"/>
      <c r="K917" s="78"/>
      <c r="L917" s="146">
        <f t="shared" si="50"/>
        <v>13126700</v>
      </c>
      <c r="M917" s="73"/>
      <c r="N917" s="73"/>
      <c r="O917" s="7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 x14ac:dyDescent="0.35">
      <c r="A918" s="9">
        <f t="shared" si="51"/>
        <v>910</v>
      </c>
      <c r="B918" s="15"/>
      <c r="C918" s="11">
        <f t="shared" si="49"/>
        <v>1</v>
      </c>
      <c r="D918" s="11"/>
      <c r="E918" s="11"/>
      <c r="F918" s="11"/>
      <c r="G918" s="89">
        <f>IFERROR(VLOOKUP(F918,COA!$A$1:$K$26,2,FALSE),0)</f>
        <v>0</v>
      </c>
      <c r="H918" s="13"/>
      <c r="I918" s="13"/>
      <c r="J918" s="78"/>
      <c r="K918" s="78"/>
      <c r="L918" s="146">
        <f t="shared" si="50"/>
        <v>13126700</v>
      </c>
      <c r="M918" s="73"/>
      <c r="N918" s="73"/>
      <c r="O918" s="7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 x14ac:dyDescent="0.35">
      <c r="A919" s="9">
        <f t="shared" si="51"/>
        <v>911</v>
      </c>
      <c r="B919" s="15"/>
      <c r="C919" s="11">
        <f t="shared" si="49"/>
        <v>1</v>
      </c>
      <c r="D919" s="11"/>
      <c r="E919" s="11"/>
      <c r="F919" s="11"/>
      <c r="G919" s="89">
        <f>IFERROR(VLOOKUP(F919,COA!$A$1:$K$26,2,FALSE),0)</f>
        <v>0</v>
      </c>
      <c r="H919" s="11"/>
      <c r="I919" s="11"/>
      <c r="J919" s="78"/>
      <c r="K919" s="78"/>
      <c r="L919" s="146">
        <f t="shared" si="50"/>
        <v>13126700</v>
      </c>
      <c r="M919" s="73"/>
      <c r="N919" s="73"/>
      <c r="O919" s="7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 x14ac:dyDescent="0.35">
      <c r="A920" s="9">
        <f t="shared" si="51"/>
        <v>912</v>
      </c>
      <c r="B920" s="15"/>
      <c r="C920" s="11">
        <f t="shared" si="49"/>
        <v>1</v>
      </c>
      <c r="D920" s="11"/>
      <c r="E920" s="11"/>
      <c r="F920" s="11"/>
      <c r="G920" s="89">
        <f>IFERROR(VLOOKUP(F920,COA!$A$1:$K$26,2,FALSE),0)</f>
        <v>0</v>
      </c>
      <c r="H920" s="11"/>
      <c r="I920" s="11"/>
      <c r="J920" s="78"/>
      <c r="K920" s="78"/>
      <c r="L920" s="146">
        <f t="shared" si="50"/>
        <v>13126700</v>
      </c>
      <c r="M920" s="73"/>
      <c r="N920" s="73"/>
      <c r="O920" s="7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 x14ac:dyDescent="0.35">
      <c r="A921" s="9">
        <f t="shared" si="51"/>
        <v>913</v>
      </c>
      <c r="B921" s="15"/>
      <c r="C921" s="11">
        <f t="shared" si="49"/>
        <v>1</v>
      </c>
      <c r="D921" s="11"/>
      <c r="E921" s="11"/>
      <c r="F921" s="11"/>
      <c r="G921" s="89">
        <f>IFERROR(VLOOKUP(F921,COA!$A$1:$K$26,2,FALSE),0)</f>
        <v>0</v>
      </c>
      <c r="H921" s="11"/>
      <c r="I921" s="11"/>
      <c r="J921" s="78"/>
      <c r="K921" s="78"/>
      <c r="L921" s="146">
        <f t="shared" si="50"/>
        <v>13126700</v>
      </c>
      <c r="M921" s="73"/>
      <c r="N921" s="73"/>
      <c r="O921" s="7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 x14ac:dyDescent="0.35">
      <c r="A922" s="9">
        <f t="shared" si="51"/>
        <v>914</v>
      </c>
      <c r="B922" s="15"/>
      <c r="C922" s="11">
        <f t="shared" si="49"/>
        <v>1</v>
      </c>
      <c r="D922" s="11"/>
      <c r="E922" s="11"/>
      <c r="F922" s="11"/>
      <c r="G922" s="89">
        <f>IFERROR(VLOOKUP(F922,COA!$A$1:$K$26,2,FALSE),0)</f>
        <v>0</v>
      </c>
      <c r="H922" s="11"/>
      <c r="I922" s="11"/>
      <c r="J922" s="78"/>
      <c r="K922" s="78"/>
      <c r="L922" s="146">
        <f t="shared" si="50"/>
        <v>13126700</v>
      </c>
      <c r="M922" s="73"/>
      <c r="N922" s="73"/>
      <c r="O922" s="7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 x14ac:dyDescent="0.35">
      <c r="A923" s="9">
        <f t="shared" si="51"/>
        <v>915</v>
      </c>
      <c r="B923" s="15"/>
      <c r="C923" s="11">
        <f t="shared" si="49"/>
        <v>1</v>
      </c>
      <c r="D923" s="11"/>
      <c r="E923" s="11"/>
      <c r="F923" s="11"/>
      <c r="G923" s="89">
        <f>IFERROR(VLOOKUP(F923,COA!$A$1:$K$26,2,FALSE),0)</f>
        <v>0</v>
      </c>
      <c r="H923" s="11"/>
      <c r="I923" s="11"/>
      <c r="J923" s="78"/>
      <c r="K923" s="78"/>
      <c r="L923" s="146">
        <f t="shared" si="50"/>
        <v>13126700</v>
      </c>
      <c r="M923" s="73"/>
      <c r="N923" s="73"/>
      <c r="O923" s="7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 x14ac:dyDescent="0.35">
      <c r="A924" s="9">
        <f t="shared" si="51"/>
        <v>916</v>
      </c>
      <c r="B924" s="15"/>
      <c r="C924" s="11">
        <f t="shared" si="49"/>
        <v>1</v>
      </c>
      <c r="D924" s="11"/>
      <c r="E924" s="11"/>
      <c r="F924" s="11"/>
      <c r="G924" s="89">
        <f>IFERROR(VLOOKUP(F924,COA!$A$1:$K$26,2,FALSE),0)</f>
        <v>0</v>
      </c>
      <c r="H924" s="13"/>
      <c r="I924" s="13"/>
      <c r="J924" s="78"/>
      <c r="K924" s="78"/>
      <c r="L924" s="146">
        <f t="shared" si="50"/>
        <v>13126700</v>
      </c>
      <c r="M924" s="73"/>
      <c r="N924" s="73"/>
      <c r="O924" s="7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 x14ac:dyDescent="0.35">
      <c r="A925" s="9">
        <f t="shared" si="51"/>
        <v>917</v>
      </c>
      <c r="B925" s="15"/>
      <c r="C925" s="11">
        <f t="shared" si="49"/>
        <v>1</v>
      </c>
      <c r="D925" s="11"/>
      <c r="E925" s="11"/>
      <c r="F925" s="11"/>
      <c r="G925" s="89">
        <f>IFERROR(VLOOKUP(F925,COA!$A$1:$K$26,2,FALSE),0)</f>
        <v>0</v>
      </c>
      <c r="H925" s="11"/>
      <c r="I925" s="11"/>
      <c r="J925" s="78"/>
      <c r="K925" s="78"/>
      <c r="L925" s="146">
        <f t="shared" si="50"/>
        <v>13126700</v>
      </c>
      <c r="M925" s="73"/>
      <c r="N925" s="73"/>
      <c r="O925" s="7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 x14ac:dyDescent="0.35">
      <c r="A926" s="9">
        <f t="shared" si="51"/>
        <v>918</v>
      </c>
      <c r="B926" s="15"/>
      <c r="C926" s="11">
        <f t="shared" si="49"/>
        <v>1</v>
      </c>
      <c r="D926" s="11"/>
      <c r="E926" s="11"/>
      <c r="F926" s="11"/>
      <c r="G926" s="89">
        <f>IFERROR(VLOOKUP(F926,COA!$A$1:$K$26,2,FALSE),0)</f>
        <v>0</v>
      </c>
      <c r="H926" s="11"/>
      <c r="I926" s="11"/>
      <c r="J926" s="78"/>
      <c r="K926" s="78"/>
      <c r="L926" s="146">
        <f t="shared" si="50"/>
        <v>13126700</v>
      </c>
      <c r="M926" s="73"/>
      <c r="N926" s="73"/>
      <c r="O926" s="7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 x14ac:dyDescent="0.35">
      <c r="A927" s="9">
        <f t="shared" si="51"/>
        <v>919</v>
      </c>
      <c r="B927" s="15"/>
      <c r="C927" s="11">
        <f t="shared" si="49"/>
        <v>1</v>
      </c>
      <c r="D927" s="11"/>
      <c r="E927" s="11"/>
      <c r="F927" s="11"/>
      <c r="G927" s="89">
        <f>IFERROR(VLOOKUP(F927,COA!$A$1:$K$26,2,FALSE),0)</f>
        <v>0</v>
      </c>
      <c r="H927" s="11"/>
      <c r="I927" s="11"/>
      <c r="J927" s="78"/>
      <c r="K927" s="78"/>
      <c r="L927" s="146">
        <f t="shared" si="50"/>
        <v>13126700</v>
      </c>
      <c r="M927" s="73"/>
      <c r="N927" s="73"/>
      <c r="O927" s="7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 x14ac:dyDescent="0.35">
      <c r="A928" s="9">
        <f t="shared" si="51"/>
        <v>920</v>
      </c>
      <c r="B928" s="15"/>
      <c r="C928" s="11">
        <f t="shared" si="49"/>
        <v>1</v>
      </c>
      <c r="D928" s="11"/>
      <c r="E928" s="11"/>
      <c r="F928" s="11"/>
      <c r="G928" s="89">
        <f>IFERROR(VLOOKUP(F928,COA!$A$1:$K$26,2,FALSE),0)</f>
        <v>0</v>
      </c>
      <c r="H928" s="11"/>
      <c r="I928" s="11"/>
      <c r="J928" s="78"/>
      <c r="K928" s="78"/>
      <c r="L928" s="146">
        <f t="shared" si="50"/>
        <v>13126700</v>
      </c>
      <c r="M928" s="73"/>
      <c r="N928" s="73"/>
      <c r="O928" s="7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 x14ac:dyDescent="0.35">
      <c r="A929" s="9">
        <f t="shared" si="51"/>
        <v>921</v>
      </c>
      <c r="B929" s="15"/>
      <c r="C929" s="11">
        <f t="shared" si="49"/>
        <v>1</v>
      </c>
      <c r="D929" s="11"/>
      <c r="E929" s="11"/>
      <c r="F929" s="11"/>
      <c r="G929" s="89">
        <f>IFERROR(VLOOKUP(F929,COA!$A$1:$K$26,2,FALSE),0)</f>
        <v>0</v>
      </c>
      <c r="H929" s="11"/>
      <c r="I929" s="11"/>
      <c r="J929" s="78"/>
      <c r="K929" s="78"/>
      <c r="L929" s="146">
        <f t="shared" si="50"/>
        <v>13126700</v>
      </c>
      <c r="M929" s="73"/>
      <c r="N929" s="73"/>
      <c r="O929" s="7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 x14ac:dyDescent="0.35">
      <c r="A930" s="9">
        <f t="shared" si="51"/>
        <v>922</v>
      </c>
      <c r="B930" s="15"/>
      <c r="C930" s="11">
        <f t="shared" si="49"/>
        <v>1</v>
      </c>
      <c r="D930" s="11"/>
      <c r="E930" s="11"/>
      <c r="F930" s="11"/>
      <c r="G930" s="89">
        <f>IFERROR(VLOOKUP(F930,COA!$A$1:$K$26,2,FALSE),0)</f>
        <v>0</v>
      </c>
      <c r="H930" s="13"/>
      <c r="I930" s="13"/>
      <c r="J930" s="78"/>
      <c r="K930" s="78"/>
      <c r="L930" s="146">
        <f t="shared" si="50"/>
        <v>13126700</v>
      </c>
      <c r="M930" s="73"/>
      <c r="N930" s="73"/>
      <c r="O930" s="7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 x14ac:dyDescent="0.35">
      <c r="A931" s="9">
        <f t="shared" si="51"/>
        <v>923</v>
      </c>
      <c r="B931" s="15"/>
      <c r="C931" s="11">
        <f t="shared" si="49"/>
        <v>1</v>
      </c>
      <c r="D931" s="11"/>
      <c r="E931" s="11"/>
      <c r="F931" s="11"/>
      <c r="G931" s="89">
        <f>IFERROR(VLOOKUP(F931,COA!$A$1:$K$26,2,FALSE),0)</f>
        <v>0</v>
      </c>
      <c r="H931" s="11"/>
      <c r="I931" s="11"/>
      <c r="J931" s="78"/>
      <c r="K931" s="78"/>
      <c r="L931" s="146">
        <f t="shared" si="50"/>
        <v>13126700</v>
      </c>
      <c r="M931" s="73"/>
      <c r="N931" s="73"/>
      <c r="O931" s="7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 x14ac:dyDescent="0.35">
      <c r="A932" s="9">
        <f t="shared" si="51"/>
        <v>924</v>
      </c>
      <c r="B932" s="15"/>
      <c r="C932" s="11">
        <f t="shared" ref="C932:C995" si="52">MONTH(B932)</f>
        <v>1</v>
      </c>
      <c r="D932" s="11"/>
      <c r="E932" s="11"/>
      <c r="F932" s="11"/>
      <c r="G932" s="89">
        <f>IFERROR(VLOOKUP(F932,COA!$A$1:$K$26,2,FALSE),0)</f>
        <v>0</v>
      </c>
      <c r="H932" s="11"/>
      <c r="I932" s="11"/>
      <c r="J932" s="78"/>
      <c r="K932" s="78"/>
      <c r="L932" s="146">
        <f t="shared" si="50"/>
        <v>13126700</v>
      </c>
      <c r="M932" s="73"/>
      <c r="N932" s="73"/>
      <c r="O932" s="7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 x14ac:dyDescent="0.35">
      <c r="A933" s="9">
        <f t="shared" si="51"/>
        <v>925</v>
      </c>
      <c r="B933" s="15"/>
      <c r="C933" s="11">
        <f t="shared" si="52"/>
        <v>1</v>
      </c>
      <c r="D933" s="11"/>
      <c r="E933" s="11"/>
      <c r="F933" s="11"/>
      <c r="G933" s="89">
        <f>IFERROR(VLOOKUP(F933,COA!$A$1:$K$26,2,FALSE),0)</f>
        <v>0</v>
      </c>
      <c r="H933" s="11"/>
      <c r="I933" s="11"/>
      <c r="J933" s="78"/>
      <c r="K933" s="78"/>
      <c r="L933" s="146">
        <f t="shared" si="50"/>
        <v>13126700</v>
      </c>
      <c r="M933" s="73"/>
      <c r="N933" s="73"/>
      <c r="O933" s="7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 x14ac:dyDescent="0.35">
      <c r="A934" s="9">
        <f t="shared" si="51"/>
        <v>926</v>
      </c>
      <c r="B934" s="15"/>
      <c r="C934" s="11">
        <f t="shared" si="52"/>
        <v>1</v>
      </c>
      <c r="D934" s="11"/>
      <c r="E934" s="11"/>
      <c r="F934" s="11"/>
      <c r="G934" s="89">
        <f>IFERROR(VLOOKUP(F934,COA!$A$1:$K$26,2,FALSE),0)</f>
        <v>0</v>
      </c>
      <c r="H934" s="11"/>
      <c r="I934" s="11"/>
      <c r="J934" s="78"/>
      <c r="K934" s="78"/>
      <c r="L934" s="146">
        <f t="shared" si="50"/>
        <v>13126700</v>
      </c>
      <c r="M934" s="73"/>
      <c r="N934" s="73"/>
      <c r="O934" s="7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 x14ac:dyDescent="0.35">
      <c r="A935" s="9">
        <f t="shared" si="51"/>
        <v>927</v>
      </c>
      <c r="B935" s="15"/>
      <c r="C935" s="11">
        <f t="shared" si="52"/>
        <v>1</v>
      </c>
      <c r="D935" s="11"/>
      <c r="E935" s="11"/>
      <c r="F935" s="11"/>
      <c r="G935" s="89">
        <f>IFERROR(VLOOKUP(F935,COA!$A$1:$K$26,2,FALSE),0)</f>
        <v>0</v>
      </c>
      <c r="H935" s="11"/>
      <c r="I935" s="11"/>
      <c r="J935" s="78"/>
      <c r="K935" s="78"/>
      <c r="L935" s="146">
        <f t="shared" si="50"/>
        <v>13126700</v>
      </c>
      <c r="M935" s="73"/>
      <c r="N935" s="73"/>
      <c r="O935" s="7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 x14ac:dyDescent="0.35">
      <c r="A936" s="9">
        <f t="shared" si="51"/>
        <v>928</v>
      </c>
      <c r="B936" s="15"/>
      <c r="C936" s="11">
        <f t="shared" si="52"/>
        <v>1</v>
      </c>
      <c r="D936" s="11"/>
      <c r="E936" s="11"/>
      <c r="F936" s="11"/>
      <c r="G936" s="89">
        <f>IFERROR(VLOOKUP(F936,COA!$A$1:$K$26,2,FALSE),0)</f>
        <v>0</v>
      </c>
      <c r="H936" s="13"/>
      <c r="I936" s="13"/>
      <c r="J936" s="78"/>
      <c r="K936" s="78"/>
      <c r="L936" s="146">
        <f t="shared" si="50"/>
        <v>13126700</v>
      </c>
      <c r="M936" s="73"/>
      <c r="N936" s="73"/>
      <c r="O936" s="7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 x14ac:dyDescent="0.35">
      <c r="A937" s="9">
        <f t="shared" si="51"/>
        <v>929</v>
      </c>
      <c r="B937" s="15"/>
      <c r="C937" s="11">
        <f t="shared" si="52"/>
        <v>1</v>
      </c>
      <c r="D937" s="11"/>
      <c r="E937" s="11"/>
      <c r="F937" s="11"/>
      <c r="G937" s="89">
        <f>IFERROR(VLOOKUP(F937,COA!$A$1:$K$26,2,FALSE),0)</f>
        <v>0</v>
      </c>
      <c r="H937" s="11"/>
      <c r="I937" s="11"/>
      <c r="J937" s="78"/>
      <c r="K937" s="78"/>
      <c r="L937" s="146">
        <f t="shared" si="50"/>
        <v>13126700</v>
      </c>
      <c r="M937" s="73"/>
      <c r="N937" s="73"/>
      <c r="O937" s="7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 x14ac:dyDescent="0.35">
      <c r="A938" s="9">
        <f t="shared" si="51"/>
        <v>930</v>
      </c>
      <c r="B938" s="15"/>
      <c r="C938" s="11">
        <f t="shared" si="52"/>
        <v>1</v>
      </c>
      <c r="D938" s="11"/>
      <c r="E938" s="11"/>
      <c r="F938" s="11"/>
      <c r="G938" s="89">
        <f>IFERROR(VLOOKUP(F938,COA!$A$1:$K$26,2,FALSE),0)</f>
        <v>0</v>
      </c>
      <c r="H938" s="11"/>
      <c r="I938" s="11"/>
      <c r="J938" s="78"/>
      <c r="K938" s="78"/>
      <c r="L938" s="146">
        <f t="shared" si="50"/>
        <v>13126700</v>
      </c>
      <c r="M938" s="73"/>
      <c r="N938" s="73"/>
      <c r="O938" s="7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 x14ac:dyDescent="0.35">
      <c r="A939" s="9">
        <f t="shared" si="51"/>
        <v>931</v>
      </c>
      <c r="B939" s="15"/>
      <c r="C939" s="11">
        <f t="shared" si="52"/>
        <v>1</v>
      </c>
      <c r="D939" s="11"/>
      <c r="E939" s="11"/>
      <c r="F939" s="11"/>
      <c r="G939" s="89">
        <f>IFERROR(VLOOKUP(F939,COA!$A$1:$K$26,2,FALSE),0)</f>
        <v>0</v>
      </c>
      <c r="H939" s="11"/>
      <c r="I939" s="11"/>
      <c r="J939" s="78"/>
      <c r="K939" s="78"/>
      <c r="L939" s="146">
        <f t="shared" si="50"/>
        <v>13126700</v>
      </c>
      <c r="M939" s="73"/>
      <c r="N939" s="73"/>
      <c r="O939" s="7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 x14ac:dyDescent="0.35">
      <c r="A940" s="9">
        <f t="shared" si="51"/>
        <v>932</v>
      </c>
      <c r="B940" s="15"/>
      <c r="C940" s="11">
        <f t="shared" si="52"/>
        <v>1</v>
      </c>
      <c r="D940" s="11"/>
      <c r="E940" s="11"/>
      <c r="F940" s="11"/>
      <c r="G940" s="89">
        <f>IFERROR(VLOOKUP(F940,COA!$A$1:$K$26,2,FALSE),0)</f>
        <v>0</v>
      </c>
      <c r="H940" s="11"/>
      <c r="I940" s="11"/>
      <c r="J940" s="78"/>
      <c r="K940" s="78"/>
      <c r="L940" s="146">
        <f t="shared" si="50"/>
        <v>13126700</v>
      </c>
      <c r="M940" s="73"/>
      <c r="N940" s="73"/>
      <c r="O940" s="7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 x14ac:dyDescent="0.35">
      <c r="A941" s="9">
        <f t="shared" si="51"/>
        <v>933</v>
      </c>
      <c r="B941" s="15"/>
      <c r="C941" s="11">
        <f t="shared" si="52"/>
        <v>1</v>
      </c>
      <c r="D941" s="11"/>
      <c r="E941" s="11"/>
      <c r="F941" s="11"/>
      <c r="G941" s="89">
        <f>IFERROR(VLOOKUP(F941,COA!$A$1:$K$26,2,FALSE),0)</f>
        <v>0</v>
      </c>
      <c r="H941" s="11"/>
      <c r="I941" s="11"/>
      <c r="J941" s="78"/>
      <c r="K941" s="78"/>
      <c r="L941" s="146">
        <f t="shared" si="50"/>
        <v>13126700</v>
      </c>
      <c r="M941" s="73"/>
      <c r="N941" s="73"/>
      <c r="O941" s="7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 x14ac:dyDescent="0.35">
      <c r="A942" s="9">
        <f t="shared" si="51"/>
        <v>934</v>
      </c>
      <c r="B942" s="15"/>
      <c r="C942" s="11">
        <f t="shared" si="52"/>
        <v>1</v>
      </c>
      <c r="D942" s="11"/>
      <c r="E942" s="11"/>
      <c r="F942" s="11"/>
      <c r="G942" s="89">
        <f>IFERROR(VLOOKUP(F942,COA!$A$1:$K$26,2,FALSE),0)</f>
        <v>0</v>
      </c>
      <c r="H942" s="13"/>
      <c r="I942" s="13"/>
      <c r="J942" s="78"/>
      <c r="K942" s="78"/>
      <c r="L942" s="146">
        <f t="shared" si="50"/>
        <v>13126700</v>
      </c>
      <c r="M942" s="73"/>
      <c r="N942" s="73"/>
      <c r="O942" s="7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 x14ac:dyDescent="0.35">
      <c r="A943" s="9">
        <f t="shared" si="51"/>
        <v>935</v>
      </c>
      <c r="B943" s="15"/>
      <c r="C943" s="11">
        <f t="shared" si="52"/>
        <v>1</v>
      </c>
      <c r="D943" s="11"/>
      <c r="E943" s="11"/>
      <c r="F943" s="11"/>
      <c r="G943" s="89">
        <f>IFERROR(VLOOKUP(F943,COA!$A$1:$K$26,2,FALSE),0)</f>
        <v>0</v>
      </c>
      <c r="H943" s="11"/>
      <c r="I943" s="11"/>
      <c r="J943" s="78"/>
      <c r="K943" s="78"/>
      <c r="L943" s="146">
        <f t="shared" si="50"/>
        <v>13126700</v>
      </c>
      <c r="M943" s="73"/>
      <c r="N943" s="73"/>
      <c r="O943" s="7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 x14ac:dyDescent="0.35">
      <c r="A944" s="9">
        <f t="shared" si="51"/>
        <v>936</v>
      </c>
      <c r="B944" s="15"/>
      <c r="C944" s="11">
        <f t="shared" si="52"/>
        <v>1</v>
      </c>
      <c r="D944" s="11"/>
      <c r="E944" s="11"/>
      <c r="F944" s="11"/>
      <c r="G944" s="89">
        <f>IFERROR(VLOOKUP(F944,COA!$A$1:$K$26,2,FALSE),0)</f>
        <v>0</v>
      </c>
      <c r="H944" s="11"/>
      <c r="I944" s="11"/>
      <c r="J944" s="78"/>
      <c r="K944" s="78"/>
      <c r="L944" s="146">
        <f t="shared" si="50"/>
        <v>13126700</v>
      </c>
      <c r="M944" s="73"/>
      <c r="N944" s="73"/>
      <c r="O944" s="7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 x14ac:dyDescent="0.35">
      <c r="A945" s="9">
        <f t="shared" si="51"/>
        <v>937</v>
      </c>
      <c r="B945" s="15"/>
      <c r="C945" s="11">
        <f t="shared" si="52"/>
        <v>1</v>
      </c>
      <c r="D945" s="11"/>
      <c r="E945" s="11"/>
      <c r="F945" s="11"/>
      <c r="G945" s="89">
        <f>IFERROR(VLOOKUP(F945,COA!$A$1:$K$26,2,FALSE),0)</f>
        <v>0</v>
      </c>
      <c r="H945" s="11"/>
      <c r="I945" s="11"/>
      <c r="J945" s="78"/>
      <c r="K945" s="78"/>
      <c r="L945" s="146">
        <f t="shared" si="50"/>
        <v>13126700</v>
      </c>
      <c r="M945" s="73"/>
      <c r="N945" s="73"/>
      <c r="O945" s="7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 x14ac:dyDescent="0.35">
      <c r="A946" s="9">
        <f t="shared" si="51"/>
        <v>938</v>
      </c>
      <c r="B946" s="15"/>
      <c r="C946" s="11">
        <f t="shared" si="52"/>
        <v>1</v>
      </c>
      <c r="D946" s="11"/>
      <c r="E946" s="11"/>
      <c r="F946" s="11"/>
      <c r="G946" s="89">
        <f>IFERROR(VLOOKUP(F946,COA!$A$1:$K$26,2,FALSE),0)</f>
        <v>0</v>
      </c>
      <c r="H946" s="11"/>
      <c r="I946" s="11"/>
      <c r="J946" s="78"/>
      <c r="K946" s="78"/>
      <c r="L946" s="146">
        <f t="shared" si="50"/>
        <v>13126700</v>
      </c>
      <c r="M946" s="73"/>
      <c r="N946" s="73"/>
      <c r="O946" s="7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 x14ac:dyDescent="0.35">
      <c r="A947" s="9">
        <f t="shared" si="51"/>
        <v>939</v>
      </c>
      <c r="B947" s="15"/>
      <c r="C947" s="11">
        <f t="shared" si="52"/>
        <v>1</v>
      </c>
      <c r="D947" s="11"/>
      <c r="E947" s="11"/>
      <c r="F947" s="11"/>
      <c r="G947" s="89">
        <f>IFERROR(VLOOKUP(F947,COA!$A$1:$K$26,2,FALSE),0)</f>
        <v>0</v>
      </c>
      <c r="H947" s="11"/>
      <c r="I947" s="11"/>
      <c r="J947" s="78"/>
      <c r="K947" s="78"/>
      <c r="L947" s="146">
        <f t="shared" si="50"/>
        <v>13126700</v>
      </c>
      <c r="M947" s="73"/>
      <c r="N947" s="73"/>
      <c r="O947" s="7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 x14ac:dyDescent="0.35">
      <c r="A948" s="9">
        <f t="shared" si="51"/>
        <v>940</v>
      </c>
      <c r="B948" s="15"/>
      <c r="C948" s="11">
        <f t="shared" si="52"/>
        <v>1</v>
      </c>
      <c r="D948" s="11"/>
      <c r="E948" s="11"/>
      <c r="F948" s="11"/>
      <c r="G948" s="89">
        <f>IFERROR(VLOOKUP(F948,COA!$A$1:$K$26,2,FALSE),0)</f>
        <v>0</v>
      </c>
      <c r="H948" s="13"/>
      <c r="I948" s="13"/>
      <c r="J948" s="78"/>
      <c r="K948" s="78"/>
      <c r="L948" s="146">
        <f t="shared" si="50"/>
        <v>13126700</v>
      </c>
      <c r="M948" s="73"/>
      <c r="N948" s="73"/>
      <c r="O948" s="7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 x14ac:dyDescent="0.35">
      <c r="A949" s="9">
        <f t="shared" si="51"/>
        <v>941</v>
      </c>
      <c r="B949" s="15"/>
      <c r="C949" s="11">
        <f t="shared" si="52"/>
        <v>1</v>
      </c>
      <c r="D949" s="11"/>
      <c r="E949" s="11"/>
      <c r="F949" s="11"/>
      <c r="G949" s="89">
        <f>IFERROR(VLOOKUP(F949,COA!$A$1:$K$26,2,FALSE),0)</f>
        <v>0</v>
      </c>
      <c r="H949" s="11"/>
      <c r="I949" s="11"/>
      <c r="J949" s="78"/>
      <c r="K949" s="78"/>
      <c r="L949" s="146">
        <f t="shared" si="50"/>
        <v>13126700</v>
      </c>
      <c r="M949" s="73"/>
      <c r="N949" s="73"/>
      <c r="O949" s="7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 x14ac:dyDescent="0.35">
      <c r="A950" s="9">
        <f t="shared" si="51"/>
        <v>942</v>
      </c>
      <c r="B950" s="15"/>
      <c r="C950" s="11">
        <f t="shared" si="52"/>
        <v>1</v>
      </c>
      <c r="D950" s="11"/>
      <c r="E950" s="11"/>
      <c r="F950" s="11"/>
      <c r="G950" s="89">
        <f>IFERROR(VLOOKUP(F950,COA!$A$1:$K$26,2,FALSE),0)</f>
        <v>0</v>
      </c>
      <c r="H950" s="11"/>
      <c r="I950" s="11"/>
      <c r="J950" s="78"/>
      <c r="K950" s="78"/>
      <c r="L950" s="146">
        <f t="shared" si="50"/>
        <v>13126700</v>
      </c>
      <c r="M950" s="73"/>
      <c r="N950" s="73"/>
      <c r="O950" s="7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 x14ac:dyDescent="0.35">
      <c r="A951" s="9">
        <f t="shared" si="51"/>
        <v>943</v>
      </c>
      <c r="B951" s="15"/>
      <c r="C951" s="11">
        <f t="shared" si="52"/>
        <v>1</v>
      </c>
      <c r="D951" s="11"/>
      <c r="E951" s="11"/>
      <c r="F951" s="11"/>
      <c r="G951" s="89">
        <f>IFERROR(VLOOKUP(F951,COA!$A$1:$K$26,2,FALSE),0)</f>
        <v>0</v>
      </c>
      <c r="H951" s="11"/>
      <c r="I951" s="11"/>
      <c r="J951" s="78"/>
      <c r="K951" s="78"/>
      <c r="L951" s="146">
        <f t="shared" si="50"/>
        <v>13126700</v>
      </c>
      <c r="M951" s="73"/>
      <c r="N951" s="73"/>
      <c r="O951" s="7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 x14ac:dyDescent="0.35">
      <c r="A952" s="9">
        <f t="shared" si="51"/>
        <v>944</v>
      </c>
      <c r="B952" s="15"/>
      <c r="C952" s="11">
        <f t="shared" si="52"/>
        <v>1</v>
      </c>
      <c r="D952" s="11"/>
      <c r="E952" s="11"/>
      <c r="F952" s="11"/>
      <c r="G952" s="89">
        <f>IFERROR(VLOOKUP(F952,COA!$A$1:$K$26,2,FALSE),0)</f>
        <v>0</v>
      </c>
      <c r="H952" s="11"/>
      <c r="I952" s="11"/>
      <c r="J952" s="78"/>
      <c r="K952" s="78"/>
      <c r="L952" s="146">
        <f t="shared" si="50"/>
        <v>13126700</v>
      </c>
      <c r="M952" s="73"/>
      <c r="N952" s="73"/>
      <c r="O952" s="7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 x14ac:dyDescent="0.35">
      <c r="A953" s="9">
        <f t="shared" si="51"/>
        <v>945</v>
      </c>
      <c r="B953" s="15"/>
      <c r="C953" s="11">
        <f t="shared" si="52"/>
        <v>1</v>
      </c>
      <c r="D953" s="11"/>
      <c r="E953" s="11"/>
      <c r="F953" s="11"/>
      <c r="G953" s="89">
        <f>IFERROR(VLOOKUP(F953,COA!$A$1:$K$26,2,FALSE),0)</f>
        <v>0</v>
      </c>
      <c r="H953" s="11"/>
      <c r="I953" s="11"/>
      <c r="J953" s="78"/>
      <c r="K953" s="78"/>
      <c r="L953" s="146">
        <f t="shared" si="50"/>
        <v>13126700</v>
      </c>
      <c r="M953" s="73"/>
      <c r="N953" s="73"/>
      <c r="O953" s="7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 x14ac:dyDescent="0.35">
      <c r="A954" s="9">
        <f t="shared" si="51"/>
        <v>946</v>
      </c>
      <c r="B954" s="15"/>
      <c r="C954" s="11">
        <f t="shared" si="52"/>
        <v>1</v>
      </c>
      <c r="D954" s="11"/>
      <c r="E954" s="11"/>
      <c r="F954" s="11"/>
      <c r="G954" s="89">
        <f>IFERROR(VLOOKUP(F954,COA!$A$1:$K$26,2,FALSE),0)</f>
        <v>0</v>
      </c>
      <c r="H954" s="11"/>
      <c r="I954" s="11"/>
      <c r="J954" s="78"/>
      <c r="K954" s="78"/>
      <c r="L954" s="146">
        <f t="shared" si="50"/>
        <v>13126700</v>
      </c>
      <c r="M954" s="73"/>
      <c r="N954" s="73"/>
      <c r="O954" s="7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 x14ac:dyDescent="0.35">
      <c r="A955" s="9">
        <f t="shared" si="51"/>
        <v>947</v>
      </c>
      <c r="B955" s="15"/>
      <c r="C955" s="11">
        <f t="shared" si="52"/>
        <v>1</v>
      </c>
      <c r="D955" s="11"/>
      <c r="E955" s="11"/>
      <c r="F955" s="11"/>
      <c r="G955" s="89">
        <f>IFERROR(VLOOKUP(F955,COA!$A$1:$K$26,2,FALSE),0)</f>
        <v>0</v>
      </c>
      <c r="H955" s="13"/>
      <c r="I955" s="13"/>
      <c r="J955" s="78"/>
      <c r="K955" s="78"/>
      <c r="L955" s="146">
        <f t="shared" si="50"/>
        <v>13126700</v>
      </c>
      <c r="M955" s="73"/>
      <c r="N955" s="73"/>
      <c r="O955" s="7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 x14ac:dyDescent="0.35">
      <c r="A956" s="9">
        <f t="shared" si="51"/>
        <v>948</v>
      </c>
      <c r="B956" s="15"/>
      <c r="C956" s="11">
        <f t="shared" si="52"/>
        <v>1</v>
      </c>
      <c r="D956" s="11"/>
      <c r="E956" s="11"/>
      <c r="F956" s="11"/>
      <c r="G956" s="89">
        <f>IFERROR(VLOOKUP(F956,COA!$A$1:$K$26,2,FALSE),0)</f>
        <v>0</v>
      </c>
      <c r="H956" s="11"/>
      <c r="I956" s="11"/>
      <c r="J956" s="78"/>
      <c r="K956" s="78"/>
      <c r="L956" s="146">
        <f t="shared" si="50"/>
        <v>13126700</v>
      </c>
      <c r="M956" s="73"/>
      <c r="N956" s="73"/>
      <c r="O956" s="7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 x14ac:dyDescent="0.35">
      <c r="A957" s="9">
        <f t="shared" si="51"/>
        <v>949</v>
      </c>
      <c r="B957" s="15"/>
      <c r="C957" s="11">
        <f t="shared" si="52"/>
        <v>1</v>
      </c>
      <c r="D957" s="11"/>
      <c r="E957" s="11"/>
      <c r="F957" s="11"/>
      <c r="G957" s="89">
        <f>IFERROR(VLOOKUP(F957,COA!$A$1:$K$26,2,FALSE),0)</f>
        <v>0</v>
      </c>
      <c r="H957" s="11"/>
      <c r="I957" s="11"/>
      <c r="J957" s="78"/>
      <c r="K957" s="78"/>
      <c r="L957" s="146">
        <f t="shared" si="50"/>
        <v>13126700</v>
      </c>
      <c r="M957" s="73"/>
      <c r="N957" s="73"/>
      <c r="O957" s="7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 x14ac:dyDescent="0.35">
      <c r="A958" s="9">
        <f t="shared" si="51"/>
        <v>950</v>
      </c>
      <c r="B958" s="15"/>
      <c r="C958" s="11">
        <f t="shared" si="52"/>
        <v>1</v>
      </c>
      <c r="D958" s="11"/>
      <c r="E958" s="11"/>
      <c r="F958" s="11"/>
      <c r="G958" s="89">
        <f>IFERROR(VLOOKUP(F958,COA!$A$1:$K$26,2,FALSE),0)</f>
        <v>0</v>
      </c>
      <c r="H958" s="11"/>
      <c r="I958" s="11"/>
      <c r="J958" s="78"/>
      <c r="K958" s="78"/>
      <c r="L958" s="146">
        <f t="shared" si="50"/>
        <v>13126700</v>
      </c>
      <c r="M958" s="73"/>
      <c r="N958" s="73"/>
      <c r="O958" s="7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 x14ac:dyDescent="0.35">
      <c r="A959" s="9">
        <f t="shared" si="51"/>
        <v>951</v>
      </c>
      <c r="B959" s="15"/>
      <c r="C959" s="11">
        <f t="shared" si="52"/>
        <v>1</v>
      </c>
      <c r="D959" s="11"/>
      <c r="E959" s="11"/>
      <c r="F959" s="11"/>
      <c r="G959" s="89">
        <f>IFERROR(VLOOKUP(F959,COA!$A$1:$K$26,2,FALSE),0)</f>
        <v>0</v>
      </c>
      <c r="H959" s="11"/>
      <c r="I959" s="11"/>
      <c r="J959" s="78"/>
      <c r="K959" s="78"/>
      <c r="L959" s="146">
        <f t="shared" si="50"/>
        <v>13126700</v>
      </c>
      <c r="M959" s="73"/>
      <c r="N959" s="73"/>
      <c r="O959" s="7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 x14ac:dyDescent="0.35">
      <c r="A960" s="9">
        <f t="shared" si="51"/>
        <v>952</v>
      </c>
      <c r="B960" s="15"/>
      <c r="C960" s="11">
        <f t="shared" si="52"/>
        <v>1</v>
      </c>
      <c r="D960" s="11"/>
      <c r="E960" s="11"/>
      <c r="F960" s="11"/>
      <c r="G960" s="89">
        <f>IFERROR(VLOOKUP(F960,COA!$A$1:$K$26,2,FALSE),0)</f>
        <v>0</v>
      </c>
      <c r="H960" s="11"/>
      <c r="I960" s="11"/>
      <c r="J960" s="78"/>
      <c r="K960" s="78"/>
      <c r="L960" s="146">
        <f t="shared" si="50"/>
        <v>13126700</v>
      </c>
      <c r="M960" s="73"/>
      <c r="N960" s="73"/>
      <c r="O960" s="7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 x14ac:dyDescent="0.35">
      <c r="A961" s="9">
        <f t="shared" si="51"/>
        <v>953</v>
      </c>
      <c r="B961" s="15"/>
      <c r="C961" s="11">
        <f t="shared" si="52"/>
        <v>1</v>
      </c>
      <c r="D961" s="11"/>
      <c r="E961" s="11"/>
      <c r="F961" s="11"/>
      <c r="G961" s="89">
        <f>IFERROR(VLOOKUP(F961,COA!$A$1:$K$26,2,FALSE),0)</f>
        <v>0</v>
      </c>
      <c r="H961" s="13"/>
      <c r="I961" s="13"/>
      <c r="J961" s="78"/>
      <c r="K961" s="78"/>
      <c r="L961" s="146">
        <f t="shared" si="50"/>
        <v>13126700</v>
      </c>
      <c r="M961" s="73"/>
      <c r="N961" s="73"/>
      <c r="O961" s="7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 x14ac:dyDescent="0.35">
      <c r="A962" s="9">
        <f t="shared" si="51"/>
        <v>954</v>
      </c>
      <c r="B962" s="15"/>
      <c r="C962" s="11">
        <f t="shared" si="52"/>
        <v>1</v>
      </c>
      <c r="D962" s="11"/>
      <c r="E962" s="11"/>
      <c r="F962" s="11"/>
      <c r="G962" s="89">
        <f>IFERROR(VLOOKUP(F962,COA!$A$1:$K$26,2,FALSE),0)</f>
        <v>0</v>
      </c>
      <c r="H962" s="11"/>
      <c r="I962" s="11"/>
      <c r="J962" s="78"/>
      <c r="K962" s="78"/>
      <c r="L962" s="146">
        <f t="shared" si="50"/>
        <v>13126700</v>
      </c>
      <c r="M962" s="73"/>
      <c r="N962" s="73"/>
      <c r="O962" s="7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 x14ac:dyDescent="0.35">
      <c r="A963" s="9">
        <f t="shared" si="51"/>
        <v>955</v>
      </c>
      <c r="B963" s="15"/>
      <c r="C963" s="11">
        <f t="shared" si="52"/>
        <v>1</v>
      </c>
      <c r="D963" s="11"/>
      <c r="E963" s="11"/>
      <c r="F963" s="11"/>
      <c r="G963" s="89">
        <f>IFERROR(VLOOKUP(F963,COA!$A$1:$K$26,2,FALSE),0)</f>
        <v>0</v>
      </c>
      <c r="H963" s="11"/>
      <c r="I963" s="11"/>
      <c r="J963" s="78"/>
      <c r="K963" s="78"/>
      <c r="L963" s="146">
        <f t="shared" si="50"/>
        <v>13126700</v>
      </c>
      <c r="M963" s="73"/>
      <c r="N963" s="73"/>
      <c r="O963" s="7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 x14ac:dyDescent="0.35">
      <c r="A964" s="9">
        <f t="shared" si="51"/>
        <v>956</v>
      </c>
      <c r="B964" s="15"/>
      <c r="C964" s="11">
        <f t="shared" si="52"/>
        <v>1</v>
      </c>
      <c r="D964" s="11"/>
      <c r="E964" s="11"/>
      <c r="F964" s="11"/>
      <c r="G964" s="89">
        <f>IFERROR(VLOOKUP(F964,COA!$A$1:$K$26,2,FALSE),0)</f>
        <v>0</v>
      </c>
      <c r="H964" s="11"/>
      <c r="I964" s="11"/>
      <c r="J964" s="78"/>
      <c r="K964" s="78"/>
      <c r="L964" s="146">
        <f t="shared" si="50"/>
        <v>13126700</v>
      </c>
      <c r="M964" s="73"/>
      <c r="N964" s="73"/>
      <c r="O964" s="7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 x14ac:dyDescent="0.35">
      <c r="A965" s="9">
        <f t="shared" si="51"/>
        <v>957</v>
      </c>
      <c r="B965" s="15"/>
      <c r="C965" s="11">
        <f t="shared" si="52"/>
        <v>1</v>
      </c>
      <c r="D965" s="11"/>
      <c r="E965" s="11"/>
      <c r="F965" s="11"/>
      <c r="G965" s="89">
        <f>IFERROR(VLOOKUP(F965,COA!$A$1:$K$26,2,FALSE),0)</f>
        <v>0</v>
      </c>
      <c r="H965" s="11"/>
      <c r="I965" s="11"/>
      <c r="J965" s="78"/>
      <c r="K965" s="78"/>
      <c r="L965" s="146">
        <f t="shared" si="50"/>
        <v>13126700</v>
      </c>
      <c r="M965" s="73"/>
      <c r="N965" s="73"/>
      <c r="O965" s="7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 x14ac:dyDescent="0.35">
      <c r="A966" s="9">
        <f t="shared" si="51"/>
        <v>958</v>
      </c>
      <c r="B966" s="15"/>
      <c r="C966" s="11">
        <f t="shared" si="52"/>
        <v>1</v>
      </c>
      <c r="D966" s="11"/>
      <c r="E966" s="11"/>
      <c r="F966" s="11"/>
      <c r="G966" s="89">
        <f>IFERROR(VLOOKUP(F966,COA!$A$1:$K$26,2,FALSE),0)</f>
        <v>0</v>
      </c>
      <c r="H966" s="11"/>
      <c r="I966" s="11"/>
      <c r="J966" s="78"/>
      <c r="K966" s="78"/>
      <c r="L966" s="146">
        <f t="shared" si="50"/>
        <v>13126700</v>
      </c>
      <c r="M966" s="73"/>
      <c r="N966" s="73"/>
      <c r="O966" s="7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 x14ac:dyDescent="0.35">
      <c r="A967" s="9">
        <f t="shared" si="51"/>
        <v>959</v>
      </c>
      <c r="B967" s="15"/>
      <c r="C967" s="11">
        <f t="shared" si="52"/>
        <v>1</v>
      </c>
      <c r="D967" s="11"/>
      <c r="E967" s="11"/>
      <c r="F967" s="11"/>
      <c r="G967" s="89">
        <f>IFERROR(VLOOKUP(F967,COA!$A$1:$K$26,2,FALSE),0)</f>
        <v>0</v>
      </c>
      <c r="H967" s="13"/>
      <c r="I967" s="13"/>
      <c r="J967" s="78"/>
      <c r="K967" s="78"/>
      <c r="L967" s="146">
        <f t="shared" si="50"/>
        <v>13126700</v>
      </c>
      <c r="M967" s="73"/>
      <c r="N967" s="73"/>
      <c r="O967" s="7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 x14ac:dyDescent="0.35">
      <c r="A968" s="9">
        <f t="shared" si="51"/>
        <v>960</v>
      </c>
      <c r="B968" s="15"/>
      <c r="C968" s="11">
        <f t="shared" si="52"/>
        <v>1</v>
      </c>
      <c r="D968" s="11"/>
      <c r="E968" s="11"/>
      <c r="F968" s="11"/>
      <c r="G968" s="89">
        <f>IFERROR(VLOOKUP(F968,COA!$A$1:$K$26,2,FALSE),0)</f>
        <v>0</v>
      </c>
      <c r="H968" s="11"/>
      <c r="I968" s="11"/>
      <c r="J968" s="78"/>
      <c r="K968" s="78"/>
      <c r="L968" s="146">
        <f t="shared" si="50"/>
        <v>13126700</v>
      </c>
      <c r="M968" s="73"/>
      <c r="N968" s="73"/>
      <c r="O968" s="7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 x14ac:dyDescent="0.35">
      <c r="A969" s="9">
        <f t="shared" si="51"/>
        <v>961</v>
      </c>
      <c r="B969" s="15"/>
      <c r="C969" s="11">
        <f t="shared" si="52"/>
        <v>1</v>
      </c>
      <c r="D969" s="11"/>
      <c r="E969" s="11"/>
      <c r="F969" s="11"/>
      <c r="G969" s="89">
        <f>IFERROR(VLOOKUP(F969,COA!$A$1:$K$26,2,FALSE),0)</f>
        <v>0</v>
      </c>
      <c r="H969" s="11"/>
      <c r="I969" s="11"/>
      <c r="J969" s="78"/>
      <c r="K969" s="78"/>
      <c r="L969" s="146">
        <f t="shared" si="50"/>
        <v>13126700</v>
      </c>
      <c r="M969" s="73"/>
      <c r="N969" s="73"/>
      <c r="O969" s="7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 x14ac:dyDescent="0.35">
      <c r="A970" s="9">
        <f t="shared" si="51"/>
        <v>962</v>
      </c>
      <c r="B970" s="15"/>
      <c r="C970" s="11">
        <f t="shared" si="52"/>
        <v>1</v>
      </c>
      <c r="D970" s="11"/>
      <c r="E970" s="11"/>
      <c r="F970" s="11"/>
      <c r="G970" s="89">
        <f>IFERROR(VLOOKUP(F970,COA!$A$1:$K$26,2,FALSE),0)</f>
        <v>0</v>
      </c>
      <c r="H970" s="11"/>
      <c r="I970" s="11"/>
      <c r="J970" s="78"/>
      <c r="K970" s="78"/>
      <c r="L970" s="146">
        <f t="shared" si="50"/>
        <v>13126700</v>
      </c>
      <c r="M970" s="73"/>
      <c r="N970" s="73"/>
      <c r="O970" s="7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 x14ac:dyDescent="0.35">
      <c r="A971" s="9">
        <f t="shared" si="51"/>
        <v>963</v>
      </c>
      <c r="B971" s="15"/>
      <c r="C971" s="11">
        <f t="shared" si="52"/>
        <v>1</v>
      </c>
      <c r="D971" s="11"/>
      <c r="E971" s="11"/>
      <c r="F971" s="11"/>
      <c r="G971" s="89">
        <f>IFERROR(VLOOKUP(F971,COA!$A$1:$K$26,2,FALSE),0)</f>
        <v>0</v>
      </c>
      <c r="H971" s="11"/>
      <c r="I971" s="11"/>
      <c r="J971" s="78"/>
      <c r="K971" s="78"/>
      <c r="L971" s="146">
        <f t="shared" si="50"/>
        <v>13126700</v>
      </c>
      <c r="M971" s="73"/>
      <c r="N971" s="73"/>
      <c r="O971" s="7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 x14ac:dyDescent="0.35">
      <c r="A972" s="9">
        <f t="shared" si="51"/>
        <v>964</v>
      </c>
      <c r="B972" s="15"/>
      <c r="C972" s="11">
        <f t="shared" si="52"/>
        <v>1</v>
      </c>
      <c r="D972" s="11"/>
      <c r="E972" s="11"/>
      <c r="F972" s="11"/>
      <c r="G972" s="89">
        <f>IFERROR(VLOOKUP(F972,COA!$A$1:$K$26,2,FALSE),0)</f>
        <v>0</v>
      </c>
      <c r="H972" s="11"/>
      <c r="I972" s="11"/>
      <c r="J972" s="78"/>
      <c r="K972" s="78"/>
      <c r="L972" s="146">
        <f t="shared" si="50"/>
        <v>13126700</v>
      </c>
      <c r="M972" s="73"/>
      <c r="N972" s="73"/>
      <c r="O972" s="7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 x14ac:dyDescent="0.35">
      <c r="A973" s="9">
        <f t="shared" si="51"/>
        <v>965</v>
      </c>
      <c r="B973" s="15"/>
      <c r="C973" s="11">
        <f t="shared" si="52"/>
        <v>1</v>
      </c>
      <c r="D973" s="11"/>
      <c r="E973" s="11"/>
      <c r="F973" s="11"/>
      <c r="G973" s="89">
        <f>IFERROR(VLOOKUP(F973,COA!$A$1:$K$26,2,FALSE),0)</f>
        <v>0</v>
      </c>
      <c r="H973" s="11"/>
      <c r="I973" s="11"/>
      <c r="J973" s="78"/>
      <c r="K973" s="78"/>
      <c r="L973" s="146">
        <f t="shared" si="50"/>
        <v>13126700</v>
      </c>
      <c r="M973" s="73"/>
      <c r="N973" s="73"/>
      <c r="O973" s="7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 x14ac:dyDescent="0.35">
      <c r="A974" s="9">
        <f t="shared" si="51"/>
        <v>966</v>
      </c>
      <c r="B974" s="15"/>
      <c r="C974" s="11">
        <f t="shared" si="52"/>
        <v>1</v>
      </c>
      <c r="D974" s="11"/>
      <c r="E974" s="11"/>
      <c r="F974" s="11"/>
      <c r="G974" s="89">
        <f>IFERROR(VLOOKUP(F974,COA!$A$1:$K$26,2,FALSE),0)</f>
        <v>0</v>
      </c>
      <c r="H974" s="11"/>
      <c r="I974" s="11"/>
      <c r="J974" s="78"/>
      <c r="K974" s="78"/>
      <c r="L974" s="146">
        <f t="shared" si="50"/>
        <v>13126700</v>
      </c>
      <c r="M974" s="73"/>
      <c r="N974" s="73"/>
      <c r="O974" s="7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 x14ac:dyDescent="0.35">
      <c r="A975" s="9">
        <f t="shared" si="51"/>
        <v>967</v>
      </c>
      <c r="B975" s="15"/>
      <c r="C975" s="11">
        <f t="shared" si="52"/>
        <v>1</v>
      </c>
      <c r="D975" s="11"/>
      <c r="E975" s="11"/>
      <c r="F975" s="11"/>
      <c r="G975" s="89">
        <f>IFERROR(VLOOKUP(F975,COA!$A$1:$K$26,2,FALSE),0)</f>
        <v>0</v>
      </c>
      <c r="H975" s="11"/>
      <c r="I975" s="11"/>
      <c r="J975" s="78"/>
      <c r="K975" s="78"/>
      <c r="L975" s="146">
        <f t="shared" si="50"/>
        <v>13126700</v>
      </c>
      <c r="M975" s="73"/>
      <c r="N975" s="73"/>
      <c r="O975" s="7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 x14ac:dyDescent="0.35">
      <c r="A976" s="9">
        <f t="shared" si="51"/>
        <v>968</v>
      </c>
      <c r="B976" s="15"/>
      <c r="C976" s="11">
        <f t="shared" si="52"/>
        <v>1</v>
      </c>
      <c r="D976" s="11"/>
      <c r="E976" s="11"/>
      <c r="F976" s="11"/>
      <c r="G976" s="89">
        <f>IFERROR(VLOOKUP(F976,COA!$A$1:$K$26,2,FALSE),0)</f>
        <v>0</v>
      </c>
      <c r="H976" s="11"/>
      <c r="I976" s="11"/>
      <c r="J976" s="78"/>
      <c r="K976" s="78"/>
      <c r="L976" s="146">
        <f t="shared" ref="L976:L1039" si="53">L975+J976-K976</f>
        <v>13126700</v>
      </c>
      <c r="M976" s="73"/>
      <c r="N976" s="73"/>
      <c r="O976" s="7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 x14ac:dyDescent="0.35">
      <c r="A977" s="9">
        <f t="shared" si="51"/>
        <v>969</v>
      </c>
      <c r="B977" s="15"/>
      <c r="C977" s="11">
        <f t="shared" si="52"/>
        <v>1</v>
      </c>
      <c r="D977" s="11"/>
      <c r="E977" s="11"/>
      <c r="F977" s="11"/>
      <c r="G977" s="89">
        <f>IFERROR(VLOOKUP(F977,COA!$A$1:$K$26,2,FALSE),0)</f>
        <v>0</v>
      </c>
      <c r="H977" s="11"/>
      <c r="I977" s="11"/>
      <c r="J977" s="78"/>
      <c r="K977" s="78"/>
      <c r="L977" s="146">
        <f t="shared" si="53"/>
        <v>13126700</v>
      </c>
      <c r="M977" s="73"/>
      <c r="N977" s="73"/>
      <c r="O977" s="7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 x14ac:dyDescent="0.35">
      <c r="A978" s="9">
        <f t="shared" ref="A978:A1041" si="54">A977+1</f>
        <v>970</v>
      </c>
      <c r="B978" s="15"/>
      <c r="C978" s="11">
        <f t="shared" si="52"/>
        <v>1</v>
      </c>
      <c r="D978" s="11"/>
      <c r="E978" s="11"/>
      <c r="F978" s="11"/>
      <c r="G978" s="89">
        <f>IFERROR(VLOOKUP(F978,COA!$A$1:$K$26,2,FALSE),0)</f>
        <v>0</v>
      </c>
      <c r="H978" s="11"/>
      <c r="I978" s="11"/>
      <c r="J978" s="78"/>
      <c r="K978" s="78"/>
      <c r="L978" s="146">
        <f t="shared" si="53"/>
        <v>13126700</v>
      </c>
      <c r="M978" s="73"/>
      <c r="N978" s="73"/>
      <c r="O978" s="7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 x14ac:dyDescent="0.35">
      <c r="A979" s="9">
        <f t="shared" si="54"/>
        <v>971</v>
      </c>
      <c r="B979" s="15"/>
      <c r="C979" s="11">
        <f t="shared" si="52"/>
        <v>1</v>
      </c>
      <c r="D979" s="11"/>
      <c r="E979" s="11"/>
      <c r="F979" s="11"/>
      <c r="G979" s="89">
        <f>IFERROR(VLOOKUP(F979,COA!$A$1:$K$26,2,FALSE),0)</f>
        <v>0</v>
      </c>
      <c r="H979" s="11"/>
      <c r="I979" s="11"/>
      <c r="J979" s="78"/>
      <c r="K979" s="78"/>
      <c r="L979" s="146">
        <f t="shared" si="53"/>
        <v>13126700</v>
      </c>
      <c r="M979" s="73"/>
      <c r="N979" s="73"/>
      <c r="O979" s="7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 x14ac:dyDescent="0.35">
      <c r="A980" s="9">
        <f t="shared" si="54"/>
        <v>972</v>
      </c>
      <c r="B980" s="15"/>
      <c r="C980" s="11">
        <f t="shared" si="52"/>
        <v>1</v>
      </c>
      <c r="D980" s="11"/>
      <c r="E980" s="11"/>
      <c r="F980" s="11"/>
      <c r="G980" s="89">
        <f>IFERROR(VLOOKUP(F980,COA!$A$1:$K$26,2,FALSE),0)</f>
        <v>0</v>
      </c>
      <c r="H980" s="11"/>
      <c r="I980" s="11"/>
      <c r="J980" s="78"/>
      <c r="K980" s="78"/>
      <c r="L980" s="146">
        <f t="shared" si="53"/>
        <v>13126700</v>
      </c>
      <c r="M980" s="73"/>
      <c r="N980" s="73"/>
      <c r="O980" s="7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 x14ac:dyDescent="0.35">
      <c r="A981" s="9">
        <f t="shared" si="54"/>
        <v>973</v>
      </c>
      <c r="B981" s="15"/>
      <c r="C981" s="11">
        <f t="shared" si="52"/>
        <v>1</v>
      </c>
      <c r="D981" s="11"/>
      <c r="E981" s="11"/>
      <c r="F981" s="11"/>
      <c r="G981" s="89">
        <f>IFERROR(VLOOKUP(F981,COA!$A$1:$K$26,2,FALSE),0)</f>
        <v>0</v>
      </c>
      <c r="H981" s="11"/>
      <c r="I981" s="11"/>
      <c r="J981" s="78"/>
      <c r="K981" s="78"/>
      <c r="L981" s="146">
        <f t="shared" si="53"/>
        <v>13126700</v>
      </c>
      <c r="M981" s="73"/>
      <c r="N981" s="73"/>
      <c r="O981" s="7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 x14ac:dyDescent="0.35">
      <c r="A982" s="9">
        <f t="shared" si="54"/>
        <v>974</v>
      </c>
      <c r="B982" s="15"/>
      <c r="C982" s="11">
        <f t="shared" si="52"/>
        <v>1</v>
      </c>
      <c r="D982" s="11"/>
      <c r="E982" s="11"/>
      <c r="F982" s="11"/>
      <c r="G982" s="89">
        <f>IFERROR(VLOOKUP(F982,COA!$A$1:$K$26,2,FALSE),0)</f>
        <v>0</v>
      </c>
      <c r="H982" s="11"/>
      <c r="I982" s="11"/>
      <c r="J982" s="78"/>
      <c r="K982" s="78"/>
      <c r="L982" s="146">
        <f t="shared" si="53"/>
        <v>13126700</v>
      </c>
      <c r="M982" s="73"/>
      <c r="N982" s="73"/>
      <c r="O982" s="7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 x14ac:dyDescent="0.35">
      <c r="A983" s="9">
        <f t="shared" si="54"/>
        <v>975</v>
      </c>
      <c r="B983" s="15"/>
      <c r="C983" s="11">
        <f t="shared" si="52"/>
        <v>1</v>
      </c>
      <c r="D983" s="11"/>
      <c r="E983" s="11"/>
      <c r="F983" s="11"/>
      <c r="G983" s="89">
        <f>IFERROR(VLOOKUP(F983,COA!$A$1:$K$26,2,FALSE),0)</f>
        <v>0</v>
      </c>
      <c r="H983" s="11"/>
      <c r="I983" s="11"/>
      <c r="J983" s="78"/>
      <c r="K983" s="78"/>
      <c r="L983" s="146">
        <f t="shared" si="53"/>
        <v>13126700</v>
      </c>
      <c r="M983" s="73"/>
      <c r="N983" s="73"/>
      <c r="O983" s="7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 x14ac:dyDescent="0.35">
      <c r="A984" s="9">
        <f t="shared" si="54"/>
        <v>976</v>
      </c>
      <c r="B984" s="15"/>
      <c r="C984" s="11">
        <f t="shared" si="52"/>
        <v>1</v>
      </c>
      <c r="D984" s="11"/>
      <c r="E984" s="11"/>
      <c r="F984" s="11"/>
      <c r="G984" s="89">
        <f>IFERROR(VLOOKUP(F984,COA!$A$1:$K$26,2,FALSE),0)</f>
        <v>0</v>
      </c>
      <c r="H984" s="11"/>
      <c r="I984" s="11"/>
      <c r="J984" s="78"/>
      <c r="K984" s="78"/>
      <c r="L984" s="146">
        <f t="shared" si="53"/>
        <v>13126700</v>
      </c>
      <c r="M984" s="73"/>
      <c r="N984" s="73"/>
      <c r="O984" s="7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 x14ac:dyDescent="0.35">
      <c r="A985" s="9">
        <f t="shared" si="54"/>
        <v>977</v>
      </c>
      <c r="B985" s="15"/>
      <c r="C985" s="11">
        <f t="shared" si="52"/>
        <v>1</v>
      </c>
      <c r="D985" s="11"/>
      <c r="E985" s="11"/>
      <c r="F985" s="11"/>
      <c r="G985" s="89">
        <f>IFERROR(VLOOKUP(F985,COA!$A$1:$K$26,2,FALSE),0)</f>
        <v>0</v>
      </c>
      <c r="H985" s="11"/>
      <c r="I985" s="11"/>
      <c r="J985" s="78"/>
      <c r="K985" s="78"/>
      <c r="L985" s="146">
        <f t="shared" si="53"/>
        <v>13126700</v>
      </c>
      <c r="M985" s="73"/>
      <c r="N985" s="73"/>
      <c r="O985" s="7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 x14ac:dyDescent="0.35">
      <c r="A986" s="9">
        <f t="shared" si="54"/>
        <v>978</v>
      </c>
      <c r="B986" s="15"/>
      <c r="C986" s="11">
        <f t="shared" si="52"/>
        <v>1</v>
      </c>
      <c r="D986" s="11"/>
      <c r="E986" s="11"/>
      <c r="F986" s="11"/>
      <c r="G986" s="89">
        <f>IFERROR(VLOOKUP(F986,COA!$A$1:$K$26,2,FALSE),0)</f>
        <v>0</v>
      </c>
      <c r="H986" s="11"/>
      <c r="I986" s="11"/>
      <c r="J986" s="78"/>
      <c r="K986" s="78"/>
      <c r="L986" s="146">
        <f t="shared" si="53"/>
        <v>13126700</v>
      </c>
      <c r="M986" s="73"/>
      <c r="N986" s="73"/>
      <c r="O986" s="7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 x14ac:dyDescent="0.35">
      <c r="A987" s="9">
        <f t="shared" si="54"/>
        <v>979</v>
      </c>
      <c r="B987" s="15"/>
      <c r="C987" s="11">
        <f t="shared" si="52"/>
        <v>1</v>
      </c>
      <c r="D987" s="11"/>
      <c r="E987" s="11"/>
      <c r="F987" s="11"/>
      <c r="G987" s="89">
        <f>IFERROR(VLOOKUP(F987,COA!$A$1:$K$26,2,FALSE),0)</f>
        <v>0</v>
      </c>
      <c r="H987" s="11"/>
      <c r="I987" s="11"/>
      <c r="J987" s="78"/>
      <c r="K987" s="78"/>
      <c r="L987" s="146">
        <f t="shared" si="53"/>
        <v>13126700</v>
      </c>
      <c r="M987" s="73"/>
      <c r="N987" s="73"/>
      <c r="O987" s="7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 x14ac:dyDescent="0.35">
      <c r="A988" s="9">
        <f t="shared" si="54"/>
        <v>980</v>
      </c>
      <c r="B988" s="15"/>
      <c r="C988" s="11">
        <f t="shared" si="52"/>
        <v>1</v>
      </c>
      <c r="D988" s="11"/>
      <c r="E988" s="11"/>
      <c r="F988" s="11"/>
      <c r="G988" s="89">
        <f>IFERROR(VLOOKUP(F988,COA!$A$1:$K$26,2,FALSE),0)</f>
        <v>0</v>
      </c>
      <c r="H988" s="11"/>
      <c r="I988" s="11"/>
      <c r="J988" s="78"/>
      <c r="K988" s="78"/>
      <c r="L988" s="146">
        <f t="shared" si="53"/>
        <v>13126700</v>
      </c>
      <c r="M988" s="73"/>
      <c r="N988" s="73"/>
      <c r="O988" s="7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 x14ac:dyDescent="0.35">
      <c r="A989" s="9">
        <f t="shared" si="54"/>
        <v>981</v>
      </c>
      <c r="B989" s="15"/>
      <c r="C989" s="11">
        <f t="shared" si="52"/>
        <v>1</v>
      </c>
      <c r="D989" s="11"/>
      <c r="E989" s="11"/>
      <c r="F989" s="11"/>
      <c r="G989" s="89">
        <f>IFERROR(VLOOKUP(F989,COA!$A$1:$K$26,2,FALSE),0)</f>
        <v>0</v>
      </c>
      <c r="H989" s="11"/>
      <c r="I989" s="11"/>
      <c r="J989" s="78"/>
      <c r="K989" s="78"/>
      <c r="L989" s="146">
        <f t="shared" si="53"/>
        <v>13126700</v>
      </c>
      <c r="M989" s="73"/>
      <c r="N989" s="73"/>
      <c r="O989" s="7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 x14ac:dyDescent="0.35">
      <c r="A990" s="9">
        <f t="shared" si="54"/>
        <v>982</v>
      </c>
      <c r="B990" s="15"/>
      <c r="C990" s="11">
        <f t="shared" si="52"/>
        <v>1</v>
      </c>
      <c r="D990" s="11"/>
      <c r="E990" s="11"/>
      <c r="F990" s="11"/>
      <c r="G990" s="89">
        <f>IFERROR(VLOOKUP(F990,COA!$A$1:$K$26,2,FALSE),0)</f>
        <v>0</v>
      </c>
      <c r="H990" s="11"/>
      <c r="I990" s="11"/>
      <c r="J990" s="78"/>
      <c r="K990" s="78"/>
      <c r="L990" s="146">
        <f t="shared" si="53"/>
        <v>13126700</v>
      </c>
      <c r="M990" s="73"/>
      <c r="N990" s="73"/>
      <c r="O990" s="7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 x14ac:dyDescent="0.35">
      <c r="A991" s="9">
        <f t="shared" si="54"/>
        <v>983</v>
      </c>
      <c r="B991" s="15"/>
      <c r="C991" s="11">
        <f t="shared" si="52"/>
        <v>1</v>
      </c>
      <c r="D991" s="11"/>
      <c r="E991" s="11"/>
      <c r="F991" s="11"/>
      <c r="G991" s="89">
        <f>IFERROR(VLOOKUP(F991,COA!$A$1:$K$26,2,FALSE),0)</f>
        <v>0</v>
      </c>
      <c r="H991" s="11"/>
      <c r="I991" s="11"/>
      <c r="J991" s="78"/>
      <c r="K991" s="78"/>
      <c r="L991" s="146">
        <f t="shared" si="53"/>
        <v>13126700</v>
      </c>
      <c r="M991" s="73"/>
      <c r="N991" s="73"/>
      <c r="O991" s="7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 x14ac:dyDescent="0.35">
      <c r="A992" s="9">
        <f t="shared" si="54"/>
        <v>984</v>
      </c>
      <c r="B992" s="15"/>
      <c r="C992" s="11">
        <f t="shared" si="52"/>
        <v>1</v>
      </c>
      <c r="D992" s="11"/>
      <c r="E992" s="11"/>
      <c r="F992" s="11"/>
      <c r="G992" s="89">
        <f>IFERROR(VLOOKUP(F992,COA!$A$1:$K$26,2,FALSE),0)</f>
        <v>0</v>
      </c>
      <c r="H992" s="11"/>
      <c r="I992" s="11"/>
      <c r="J992" s="78"/>
      <c r="K992" s="78"/>
      <c r="L992" s="146">
        <f t="shared" si="53"/>
        <v>13126700</v>
      </c>
      <c r="M992" s="73"/>
      <c r="N992" s="73"/>
      <c r="O992" s="7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 x14ac:dyDescent="0.35">
      <c r="A993" s="9">
        <f t="shared" si="54"/>
        <v>985</v>
      </c>
      <c r="B993" s="15"/>
      <c r="C993" s="11">
        <f t="shared" si="52"/>
        <v>1</v>
      </c>
      <c r="D993" s="11"/>
      <c r="E993" s="11"/>
      <c r="F993" s="11"/>
      <c r="G993" s="89">
        <f>IFERROR(VLOOKUP(F993,COA!$A$1:$K$26,2,FALSE),0)</f>
        <v>0</v>
      </c>
      <c r="H993" s="11"/>
      <c r="I993" s="11"/>
      <c r="J993" s="78"/>
      <c r="K993" s="78"/>
      <c r="L993" s="146">
        <f t="shared" si="53"/>
        <v>13126700</v>
      </c>
      <c r="M993" s="73"/>
      <c r="N993" s="73"/>
      <c r="O993" s="7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 x14ac:dyDescent="0.35">
      <c r="A994" s="9">
        <f t="shared" si="54"/>
        <v>986</v>
      </c>
      <c r="B994" s="15"/>
      <c r="C994" s="11">
        <f t="shared" si="52"/>
        <v>1</v>
      </c>
      <c r="D994" s="11"/>
      <c r="E994" s="11"/>
      <c r="F994" s="11"/>
      <c r="G994" s="89">
        <f>IFERROR(VLOOKUP(F994,COA!$A$1:$K$26,2,FALSE),0)</f>
        <v>0</v>
      </c>
      <c r="H994" s="11"/>
      <c r="I994" s="11"/>
      <c r="J994" s="78"/>
      <c r="K994" s="78"/>
      <c r="L994" s="146">
        <f t="shared" si="53"/>
        <v>13126700</v>
      </c>
      <c r="M994" s="73"/>
      <c r="N994" s="73"/>
      <c r="O994" s="7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 x14ac:dyDescent="0.35">
      <c r="A995" s="9">
        <f t="shared" si="54"/>
        <v>987</v>
      </c>
      <c r="B995" s="15"/>
      <c r="C995" s="11">
        <f t="shared" si="52"/>
        <v>1</v>
      </c>
      <c r="D995" s="11"/>
      <c r="E995" s="11"/>
      <c r="F995" s="11"/>
      <c r="G995" s="89">
        <f>IFERROR(VLOOKUP(F995,COA!$A$1:$K$26,2,FALSE),0)</f>
        <v>0</v>
      </c>
      <c r="H995" s="11"/>
      <c r="I995" s="11"/>
      <c r="J995" s="78"/>
      <c r="K995" s="78"/>
      <c r="L995" s="146">
        <f t="shared" si="53"/>
        <v>13126700</v>
      </c>
      <c r="M995" s="73"/>
      <c r="N995" s="73"/>
      <c r="O995" s="7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 x14ac:dyDescent="0.35">
      <c r="A996" s="9">
        <f t="shared" si="54"/>
        <v>988</v>
      </c>
      <c r="B996" s="15"/>
      <c r="C996" s="11">
        <f t="shared" ref="C996:C1059" si="55">MONTH(B996)</f>
        <v>1</v>
      </c>
      <c r="D996" s="11"/>
      <c r="E996" s="11"/>
      <c r="F996" s="11"/>
      <c r="G996" s="89">
        <f>IFERROR(VLOOKUP(F996,COA!$A$1:$K$26,2,FALSE),0)</f>
        <v>0</v>
      </c>
      <c r="H996" s="11"/>
      <c r="I996" s="11"/>
      <c r="J996" s="78"/>
      <c r="K996" s="78"/>
      <c r="L996" s="146">
        <f t="shared" si="53"/>
        <v>13126700</v>
      </c>
      <c r="M996" s="73"/>
      <c r="N996" s="73"/>
      <c r="O996" s="7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 x14ac:dyDescent="0.35">
      <c r="A997" s="9">
        <f t="shared" si="54"/>
        <v>989</v>
      </c>
      <c r="B997" s="15"/>
      <c r="C997" s="11">
        <f t="shared" si="55"/>
        <v>1</v>
      </c>
      <c r="D997" s="11"/>
      <c r="E997" s="11"/>
      <c r="F997" s="11"/>
      <c r="G997" s="89">
        <f>IFERROR(VLOOKUP(F997,COA!$A$1:$K$26,2,FALSE),0)</f>
        <v>0</v>
      </c>
      <c r="H997" s="11"/>
      <c r="I997" s="11"/>
      <c r="J997" s="78"/>
      <c r="K997" s="78"/>
      <c r="L997" s="146">
        <f t="shared" si="53"/>
        <v>13126700</v>
      </c>
      <c r="M997" s="73"/>
      <c r="N997" s="73"/>
      <c r="O997" s="7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 x14ac:dyDescent="0.35">
      <c r="A998" s="9">
        <f t="shared" si="54"/>
        <v>990</v>
      </c>
      <c r="B998" s="15"/>
      <c r="C998" s="11">
        <f t="shared" si="55"/>
        <v>1</v>
      </c>
      <c r="D998" s="11"/>
      <c r="E998" s="11"/>
      <c r="F998" s="11"/>
      <c r="G998" s="89">
        <f>IFERROR(VLOOKUP(F998,COA!$A$1:$K$26,2,FALSE),0)</f>
        <v>0</v>
      </c>
      <c r="H998" s="11"/>
      <c r="I998" s="11"/>
      <c r="J998" s="78"/>
      <c r="K998" s="78"/>
      <c r="L998" s="146">
        <f t="shared" si="53"/>
        <v>13126700</v>
      </c>
      <c r="M998" s="73"/>
      <c r="N998" s="73"/>
      <c r="O998" s="7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 x14ac:dyDescent="0.35">
      <c r="A999" s="9">
        <f t="shared" si="54"/>
        <v>991</v>
      </c>
      <c r="B999" s="15"/>
      <c r="C999" s="11">
        <f t="shared" si="55"/>
        <v>1</v>
      </c>
      <c r="D999" s="11"/>
      <c r="E999" s="11"/>
      <c r="F999" s="11"/>
      <c r="G999" s="89">
        <f>IFERROR(VLOOKUP(F999,COA!$A$1:$K$26,2,FALSE),0)</f>
        <v>0</v>
      </c>
      <c r="H999" s="11"/>
      <c r="I999" s="11"/>
      <c r="J999" s="78"/>
      <c r="K999" s="78"/>
      <c r="L999" s="146">
        <f t="shared" si="53"/>
        <v>13126700</v>
      </c>
      <c r="M999" s="73"/>
      <c r="N999" s="73"/>
      <c r="O999" s="7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 x14ac:dyDescent="0.35">
      <c r="A1000" s="9">
        <f t="shared" si="54"/>
        <v>992</v>
      </c>
      <c r="B1000" s="15"/>
      <c r="C1000" s="11">
        <f t="shared" si="55"/>
        <v>1</v>
      </c>
      <c r="D1000" s="11"/>
      <c r="E1000" s="11"/>
      <c r="F1000" s="11"/>
      <c r="G1000" s="89">
        <f>IFERROR(VLOOKUP(F1000,COA!$A$1:$K$26,2,FALSE),0)</f>
        <v>0</v>
      </c>
      <c r="H1000" s="11"/>
      <c r="I1000" s="11"/>
      <c r="J1000" s="78"/>
      <c r="K1000" s="78"/>
      <c r="L1000" s="146">
        <f t="shared" si="53"/>
        <v>13126700</v>
      </c>
      <c r="M1000" s="73"/>
      <c r="N1000" s="73"/>
      <c r="O1000" s="7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4.25" customHeight="1" x14ac:dyDescent="0.35">
      <c r="A1001" s="9">
        <f t="shared" si="54"/>
        <v>993</v>
      </c>
      <c r="B1001" s="15"/>
      <c r="C1001" s="11">
        <f t="shared" si="55"/>
        <v>1</v>
      </c>
      <c r="D1001" s="11"/>
      <c r="E1001" s="11"/>
      <c r="F1001" s="11"/>
      <c r="G1001" s="89">
        <f>IFERROR(VLOOKUP(F1001,COA!$A$1:$K$26,2,FALSE),0)</f>
        <v>0</v>
      </c>
      <c r="H1001" s="11"/>
      <c r="I1001" s="11"/>
      <c r="J1001" s="78"/>
      <c r="K1001" s="78"/>
      <c r="L1001" s="146">
        <f t="shared" si="53"/>
        <v>13126700</v>
      </c>
      <c r="M1001" s="73"/>
      <c r="N1001" s="73"/>
      <c r="O1001" s="7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4.25" customHeight="1" x14ac:dyDescent="0.35">
      <c r="A1002" s="9">
        <f t="shared" si="54"/>
        <v>994</v>
      </c>
      <c r="B1002" s="15"/>
      <c r="C1002" s="11">
        <f t="shared" si="55"/>
        <v>1</v>
      </c>
      <c r="D1002" s="11"/>
      <c r="E1002" s="11"/>
      <c r="F1002" s="11"/>
      <c r="G1002" s="89">
        <f>IFERROR(VLOOKUP(F1002,COA!$A$1:$K$26,2,FALSE),0)</f>
        <v>0</v>
      </c>
      <c r="H1002" s="11"/>
      <c r="I1002" s="11"/>
      <c r="J1002" s="78"/>
      <c r="K1002" s="78"/>
      <c r="L1002" s="146">
        <f t="shared" si="53"/>
        <v>13126700</v>
      </c>
      <c r="M1002" s="73"/>
      <c r="N1002" s="73"/>
      <c r="O1002" s="7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4.25" customHeight="1" x14ac:dyDescent="0.35">
      <c r="A1003" s="9">
        <f t="shared" si="54"/>
        <v>995</v>
      </c>
      <c r="B1003" s="15"/>
      <c r="C1003" s="11">
        <f t="shared" si="55"/>
        <v>1</v>
      </c>
      <c r="D1003" s="11"/>
      <c r="E1003" s="11"/>
      <c r="F1003" s="11"/>
      <c r="G1003" s="89">
        <f>IFERROR(VLOOKUP(F1003,COA!$A$1:$K$26,2,FALSE),0)</f>
        <v>0</v>
      </c>
      <c r="H1003" s="11"/>
      <c r="I1003" s="11"/>
      <c r="J1003" s="78"/>
      <c r="K1003" s="78"/>
      <c r="L1003" s="146">
        <f t="shared" si="53"/>
        <v>13126700</v>
      </c>
      <c r="M1003" s="73"/>
      <c r="N1003" s="73"/>
      <c r="O1003" s="7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4.25" customHeight="1" x14ac:dyDescent="0.35">
      <c r="A1004" s="9">
        <f t="shared" si="54"/>
        <v>996</v>
      </c>
      <c r="B1004" s="15"/>
      <c r="C1004" s="11">
        <f t="shared" si="55"/>
        <v>1</v>
      </c>
      <c r="D1004" s="11"/>
      <c r="E1004" s="11"/>
      <c r="F1004" s="11"/>
      <c r="G1004" s="89">
        <f>IFERROR(VLOOKUP(F1004,COA!$A$1:$K$26,2,FALSE),0)</f>
        <v>0</v>
      </c>
      <c r="H1004" s="11"/>
      <c r="I1004" s="11"/>
      <c r="J1004" s="78"/>
      <c r="K1004" s="78"/>
      <c r="L1004" s="146">
        <f t="shared" si="53"/>
        <v>13126700</v>
      </c>
      <c r="M1004" s="73"/>
      <c r="N1004" s="73"/>
      <c r="O1004" s="7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4.25" customHeight="1" x14ac:dyDescent="0.35">
      <c r="A1005" s="9">
        <f t="shared" si="54"/>
        <v>997</v>
      </c>
      <c r="B1005" s="15"/>
      <c r="C1005" s="11">
        <f t="shared" si="55"/>
        <v>1</v>
      </c>
      <c r="D1005" s="11"/>
      <c r="E1005" s="11"/>
      <c r="F1005" s="11"/>
      <c r="G1005" s="89">
        <f>IFERROR(VLOOKUP(F1005,COA!$A$1:$K$26,2,FALSE),0)</f>
        <v>0</v>
      </c>
      <c r="H1005" s="11"/>
      <c r="I1005" s="11"/>
      <c r="J1005" s="78"/>
      <c r="K1005" s="78"/>
      <c r="L1005" s="146">
        <f t="shared" si="53"/>
        <v>13126700</v>
      </c>
      <c r="M1005" s="73"/>
      <c r="N1005" s="73"/>
      <c r="O1005" s="7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4.25" customHeight="1" x14ac:dyDescent="0.35">
      <c r="A1006" s="9">
        <f t="shared" si="54"/>
        <v>998</v>
      </c>
      <c r="B1006" s="15"/>
      <c r="C1006" s="11">
        <f t="shared" si="55"/>
        <v>1</v>
      </c>
      <c r="D1006" s="11"/>
      <c r="E1006" s="11"/>
      <c r="F1006" s="11"/>
      <c r="G1006" s="89">
        <f>IFERROR(VLOOKUP(F1006,COA!$A$1:$K$26,2,FALSE),0)</f>
        <v>0</v>
      </c>
      <c r="H1006" s="11"/>
      <c r="I1006" s="11"/>
      <c r="J1006" s="78"/>
      <c r="K1006" s="78"/>
      <c r="L1006" s="146">
        <f t="shared" si="53"/>
        <v>13126700</v>
      </c>
      <c r="M1006" s="73"/>
      <c r="N1006" s="73"/>
      <c r="O1006" s="7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4.25" customHeight="1" x14ac:dyDescent="0.35">
      <c r="A1007" s="9">
        <f t="shared" si="54"/>
        <v>999</v>
      </c>
      <c r="B1007" s="15"/>
      <c r="C1007" s="11">
        <f t="shared" si="55"/>
        <v>1</v>
      </c>
      <c r="D1007" s="11"/>
      <c r="E1007" s="11"/>
      <c r="F1007" s="11"/>
      <c r="G1007" s="89">
        <f>IFERROR(VLOOKUP(F1007,COA!$A$1:$K$26,2,FALSE),0)</f>
        <v>0</v>
      </c>
      <c r="H1007" s="11"/>
      <c r="I1007" s="11"/>
      <c r="J1007" s="78"/>
      <c r="K1007" s="78"/>
      <c r="L1007" s="146">
        <f t="shared" si="53"/>
        <v>13126700</v>
      </c>
      <c r="M1007" s="73"/>
      <c r="N1007" s="73"/>
      <c r="O1007" s="7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4.25" customHeight="1" x14ac:dyDescent="0.35">
      <c r="A1008" s="9">
        <f t="shared" si="54"/>
        <v>1000</v>
      </c>
      <c r="B1008" s="15"/>
      <c r="C1008" s="11">
        <f t="shared" si="55"/>
        <v>1</v>
      </c>
      <c r="D1008" s="11"/>
      <c r="E1008" s="11"/>
      <c r="F1008" s="11"/>
      <c r="G1008" s="89">
        <f>IFERROR(VLOOKUP(F1008,COA!$A$1:$K$26,2,FALSE),0)</f>
        <v>0</v>
      </c>
      <c r="H1008" s="11"/>
      <c r="I1008" s="11"/>
      <c r="J1008" s="78"/>
      <c r="K1008" s="78"/>
      <c r="L1008" s="146">
        <f t="shared" si="53"/>
        <v>13126700</v>
      </c>
      <c r="M1008" s="73"/>
      <c r="N1008" s="73"/>
      <c r="O1008" s="7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4.25" customHeight="1" x14ac:dyDescent="0.35">
      <c r="A1009" s="9">
        <f t="shared" si="54"/>
        <v>1001</v>
      </c>
      <c r="B1009" s="15"/>
      <c r="C1009" s="11">
        <f t="shared" si="55"/>
        <v>1</v>
      </c>
      <c r="D1009" s="11"/>
      <c r="E1009" s="11"/>
      <c r="F1009" s="11"/>
      <c r="G1009" s="89">
        <f>IFERROR(VLOOKUP(F1009,COA!$A$1:$K$26,2,FALSE),0)</f>
        <v>0</v>
      </c>
      <c r="H1009" s="11"/>
      <c r="I1009" s="11"/>
      <c r="J1009" s="78"/>
      <c r="K1009" s="78"/>
      <c r="L1009" s="146">
        <f t="shared" si="53"/>
        <v>13126700</v>
      </c>
      <c r="M1009" s="73"/>
      <c r="N1009" s="73"/>
      <c r="O1009" s="7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4.25" customHeight="1" x14ac:dyDescent="0.35">
      <c r="A1010" s="9">
        <f t="shared" si="54"/>
        <v>1002</v>
      </c>
      <c r="B1010" s="15"/>
      <c r="C1010" s="11">
        <f t="shared" si="55"/>
        <v>1</v>
      </c>
      <c r="D1010" s="11"/>
      <c r="E1010" s="11"/>
      <c r="F1010" s="11"/>
      <c r="G1010" s="89">
        <f>IFERROR(VLOOKUP(F1010,COA!$A$1:$K$26,2,FALSE),0)</f>
        <v>0</v>
      </c>
      <c r="H1010" s="11"/>
      <c r="I1010" s="11"/>
      <c r="J1010" s="78"/>
      <c r="K1010" s="78"/>
      <c r="L1010" s="146">
        <f t="shared" si="53"/>
        <v>13126700</v>
      </c>
      <c r="M1010" s="73"/>
      <c r="N1010" s="73"/>
      <c r="O1010" s="7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14.25" customHeight="1" x14ac:dyDescent="0.35">
      <c r="A1011" s="9">
        <f t="shared" si="54"/>
        <v>1003</v>
      </c>
      <c r="B1011" s="15"/>
      <c r="C1011" s="11">
        <f t="shared" si="55"/>
        <v>1</v>
      </c>
      <c r="D1011" s="11"/>
      <c r="E1011" s="11"/>
      <c r="F1011" s="11"/>
      <c r="G1011" s="89">
        <f>IFERROR(VLOOKUP(F1011,COA!$A$1:$K$26,2,FALSE),0)</f>
        <v>0</v>
      </c>
      <c r="H1011" s="11"/>
      <c r="I1011" s="11"/>
      <c r="J1011" s="78"/>
      <c r="K1011" s="78"/>
      <c r="L1011" s="146">
        <f t="shared" si="53"/>
        <v>13126700</v>
      </c>
      <c r="M1011" s="73"/>
      <c r="N1011" s="73"/>
      <c r="O1011" s="7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14.25" customHeight="1" x14ac:dyDescent="0.35">
      <c r="A1012" s="9">
        <f t="shared" si="54"/>
        <v>1004</v>
      </c>
      <c r="B1012" s="15"/>
      <c r="C1012" s="11">
        <f t="shared" si="55"/>
        <v>1</v>
      </c>
      <c r="D1012" s="11"/>
      <c r="E1012" s="11"/>
      <c r="F1012" s="11"/>
      <c r="G1012" s="89">
        <f>IFERROR(VLOOKUP(F1012,COA!$A$1:$K$26,2,FALSE),0)</f>
        <v>0</v>
      </c>
      <c r="H1012" s="11"/>
      <c r="I1012" s="11"/>
      <c r="J1012" s="78"/>
      <c r="K1012" s="78"/>
      <c r="L1012" s="146">
        <f t="shared" si="53"/>
        <v>13126700</v>
      </c>
      <c r="M1012" s="73"/>
      <c r="N1012" s="73"/>
      <c r="O1012" s="7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14.25" customHeight="1" x14ac:dyDescent="0.35">
      <c r="A1013" s="9">
        <f t="shared" si="54"/>
        <v>1005</v>
      </c>
      <c r="B1013" s="15"/>
      <c r="C1013" s="11">
        <f t="shared" si="55"/>
        <v>1</v>
      </c>
      <c r="D1013" s="11"/>
      <c r="E1013" s="11"/>
      <c r="F1013" s="11"/>
      <c r="G1013" s="89">
        <f>IFERROR(VLOOKUP(F1013,COA!$A$1:$K$26,2,FALSE),0)</f>
        <v>0</v>
      </c>
      <c r="H1013" s="11"/>
      <c r="I1013" s="11"/>
      <c r="J1013" s="78"/>
      <c r="K1013" s="78"/>
      <c r="L1013" s="146">
        <f t="shared" si="53"/>
        <v>13126700</v>
      </c>
      <c r="M1013" s="73"/>
      <c r="N1013" s="73"/>
      <c r="O1013" s="7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14.25" customHeight="1" x14ac:dyDescent="0.35">
      <c r="A1014" s="9">
        <f t="shared" si="54"/>
        <v>1006</v>
      </c>
      <c r="B1014" s="15"/>
      <c r="C1014" s="11">
        <f t="shared" si="55"/>
        <v>1</v>
      </c>
      <c r="D1014" s="11"/>
      <c r="E1014" s="11"/>
      <c r="F1014" s="11"/>
      <c r="G1014" s="89">
        <f>IFERROR(VLOOKUP(F1014,COA!$A$1:$K$26,2,FALSE),0)</f>
        <v>0</v>
      </c>
      <c r="H1014" s="11"/>
      <c r="I1014" s="11"/>
      <c r="J1014" s="78"/>
      <c r="K1014" s="78"/>
      <c r="L1014" s="146">
        <f t="shared" si="53"/>
        <v>13126700</v>
      </c>
      <c r="M1014" s="73"/>
      <c r="N1014" s="73"/>
      <c r="O1014" s="7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14.25" customHeight="1" x14ac:dyDescent="0.35">
      <c r="A1015" s="9">
        <f t="shared" si="54"/>
        <v>1007</v>
      </c>
      <c r="B1015" s="15"/>
      <c r="C1015" s="11">
        <f t="shared" si="55"/>
        <v>1</v>
      </c>
      <c r="D1015" s="11"/>
      <c r="E1015" s="11"/>
      <c r="F1015" s="11"/>
      <c r="G1015" s="89">
        <f>IFERROR(VLOOKUP(F1015,COA!$A$1:$K$26,2,FALSE),0)</f>
        <v>0</v>
      </c>
      <c r="H1015" s="11"/>
      <c r="I1015" s="11"/>
      <c r="J1015" s="78"/>
      <c r="K1015" s="78"/>
      <c r="L1015" s="146">
        <f t="shared" si="53"/>
        <v>13126700</v>
      </c>
      <c r="M1015" s="73"/>
      <c r="N1015" s="73"/>
      <c r="O1015" s="7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14.25" customHeight="1" x14ac:dyDescent="0.35">
      <c r="A1016" s="9">
        <f t="shared" si="54"/>
        <v>1008</v>
      </c>
      <c r="B1016" s="15"/>
      <c r="C1016" s="11">
        <f t="shared" si="55"/>
        <v>1</v>
      </c>
      <c r="D1016" s="11"/>
      <c r="E1016" s="11"/>
      <c r="F1016" s="11"/>
      <c r="G1016" s="89">
        <f>IFERROR(VLOOKUP(F1016,COA!$A$1:$K$26,2,FALSE),0)</f>
        <v>0</v>
      </c>
      <c r="H1016" s="11"/>
      <c r="I1016" s="11"/>
      <c r="J1016" s="78"/>
      <c r="K1016" s="78"/>
      <c r="L1016" s="146">
        <f t="shared" si="53"/>
        <v>13126700</v>
      </c>
      <c r="M1016" s="73"/>
      <c r="N1016" s="73"/>
      <c r="O1016" s="7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14.25" customHeight="1" x14ac:dyDescent="0.35">
      <c r="A1017" s="9">
        <f t="shared" si="54"/>
        <v>1009</v>
      </c>
      <c r="B1017" s="15"/>
      <c r="C1017" s="11">
        <f t="shared" si="55"/>
        <v>1</v>
      </c>
      <c r="D1017" s="11"/>
      <c r="E1017" s="11"/>
      <c r="F1017" s="11"/>
      <c r="G1017" s="89">
        <f>IFERROR(VLOOKUP(F1017,COA!$A$1:$K$26,2,FALSE),0)</f>
        <v>0</v>
      </c>
      <c r="H1017" s="11"/>
      <c r="I1017" s="11"/>
      <c r="J1017" s="78"/>
      <c r="K1017" s="78"/>
      <c r="L1017" s="146">
        <f t="shared" si="53"/>
        <v>13126700</v>
      </c>
      <c r="M1017" s="73"/>
      <c r="N1017" s="73"/>
      <c r="O1017" s="7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14.25" customHeight="1" x14ac:dyDescent="0.35">
      <c r="A1018" s="9">
        <f t="shared" si="54"/>
        <v>1010</v>
      </c>
      <c r="B1018" s="15"/>
      <c r="C1018" s="11">
        <f t="shared" si="55"/>
        <v>1</v>
      </c>
      <c r="D1018" s="11"/>
      <c r="E1018" s="11"/>
      <c r="F1018" s="11"/>
      <c r="G1018" s="89">
        <f>IFERROR(VLOOKUP(F1018,COA!$A$1:$K$26,2,FALSE),0)</f>
        <v>0</v>
      </c>
      <c r="H1018" s="11"/>
      <c r="I1018" s="11"/>
      <c r="J1018" s="78"/>
      <c r="K1018" s="78"/>
      <c r="L1018" s="146">
        <f t="shared" si="53"/>
        <v>13126700</v>
      </c>
      <c r="M1018" s="73"/>
      <c r="N1018" s="73"/>
      <c r="O1018" s="7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14.25" customHeight="1" x14ac:dyDescent="0.35">
      <c r="A1019" s="9">
        <f t="shared" si="54"/>
        <v>1011</v>
      </c>
      <c r="B1019" s="15"/>
      <c r="C1019" s="11">
        <f t="shared" si="55"/>
        <v>1</v>
      </c>
      <c r="D1019" s="11"/>
      <c r="E1019" s="11"/>
      <c r="F1019" s="11"/>
      <c r="G1019" s="89">
        <f>IFERROR(VLOOKUP(F1019,COA!$A$1:$K$26,2,FALSE),0)</f>
        <v>0</v>
      </c>
      <c r="H1019" s="11"/>
      <c r="I1019" s="11"/>
      <c r="J1019" s="78"/>
      <c r="K1019" s="78"/>
      <c r="L1019" s="146">
        <f t="shared" si="53"/>
        <v>13126700</v>
      </c>
      <c r="M1019" s="73"/>
      <c r="N1019" s="73"/>
      <c r="O1019" s="7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14.25" customHeight="1" x14ac:dyDescent="0.35">
      <c r="A1020" s="9">
        <f t="shared" si="54"/>
        <v>1012</v>
      </c>
      <c r="B1020" s="15"/>
      <c r="C1020" s="11">
        <f t="shared" si="55"/>
        <v>1</v>
      </c>
      <c r="D1020" s="11"/>
      <c r="E1020" s="11"/>
      <c r="F1020" s="11"/>
      <c r="G1020" s="89">
        <f>IFERROR(VLOOKUP(F1020,COA!$A$1:$K$26,2,FALSE),0)</f>
        <v>0</v>
      </c>
      <c r="H1020" s="11"/>
      <c r="I1020" s="11"/>
      <c r="J1020" s="78"/>
      <c r="K1020" s="78"/>
      <c r="L1020" s="146">
        <f t="shared" si="53"/>
        <v>13126700</v>
      </c>
      <c r="M1020" s="73"/>
      <c r="N1020" s="73"/>
      <c r="O1020" s="7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14.25" customHeight="1" x14ac:dyDescent="0.35">
      <c r="A1021" s="9">
        <f t="shared" si="54"/>
        <v>1013</v>
      </c>
      <c r="B1021" s="15"/>
      <c r="C1021" s="11">
        <f t="shared" si="55"/>
        <v>1</v>
      </c>
      <c r="D1021" s="11"/>
      <c r="E1021" s="11"/>
      <c r="F1021" s="11"/>
      <c r="G1021" s="89">
        <f>IFERROR(VLOOKUP(F1021,COA!$A$1:$K$26,2,FALSE),0)</f>
        <v>0</v>
      </c>
      <c r="H1021" s="11"/>
      <c r="I1021" s="11"/>
      <c r="J1021" s="78"/>
      <c r="K1021" s="78"/>
      <c r="L1021" s="146">
        <f t="shared" si="53"/>
        <v>13126700</v>
      </c>
      <c r="M1021" s="73"/>
      <c r="N1021" s="73"/>
      <c r="O1021" s="7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14.25" customHeight="1" x14ac:dyDescent="0.35">
      <c r="A1022" s="9">
        <f t="shared" si="54"/>
        <v>1014</v>
      </c>
      <c r="B1022" s="15"/>
      <c r="C1022" s="11">
        <f t="shared" si="55"/>
        <v>1</v>
      </c>
      <c r="D1022" s="11"/>
      <c r="E1022" s="11"/>
      <c r="F1022" s="11"/>
      <c r="G1022" s="89">
        <f>IFERROR(VLOOKUP(F1022,COA!$A$1:$K$26,2,FALSE),0)</f>
        <v>0</v>
      </c>
      <c r="H1022" s="11"/>
      <c r="I1022" s="11"/>
      <c r="J1022" s="78"/>
      <c r="K1022" s="78"/>
      <c r="L1022" s="146">
        <f t="shared" si="53"/>
        <v>13126700</v>
      </c>
      <c r="M1022" s="73"/>
      <c r="N1022" s="73"/>
      <c r="O1022" s="7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14.25" customHeight="1" x14ac:dyDescent="0.35">
      <c r="A1023" s="9">
        <f t="shared" si="54"/>
        <v>1015</v>
      </c>
      <c r="B1023" s="15"/>
      <c r="C1023" s="11">
        <f t="shared" si="55"/>
        <v>1</v>
      </c>
      <c r="D1023" s="11"/>
      <c r="E1023" s="11"/>
      <c r="F1023" s="11"/>
      <c r="G1023" s="89">
        <f>IFERROR(VLOOKUP(F1023,COA!$A$1:$K$26,2,FALSE),0)</f>
        <v>0</v>
      </c>
      <c r="H1023" s="11"/>
      <c r="I1023" s="11"/>
      <c r="J1023" s="78"/>
      <c r="K1023" s="78"/>
      <c r="L1023" s="146">
        <f t="shared" si="53"/>
        <v>13126700</v>
      </c>
      <c r="M1023" s="73"/>
      <c r="N1023" s="73"/>
      <c r="O1023" s="7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14.25" customHeight="1" x14ac:dyDescent="0.35">
      <c r="A1024" s="9">
        <f t="shared" si="54"/>
        <v>1016</v>
      </c>
      <c r="B1024" s="15"/>
      <c r="C1024" s="11">
        <f t="shared" si="55"/>
        <v>1</v>
      </c>
      <c r="D1024" s="11"/>
      <c r="E1024" s="11"/>
      <c r="F1024" s="11"/>
      <c r="G1024" s="89">
        <f>IFERROR(VLOOKUP(F1024,COA!$A$1:$K$26,2,FALSE),0)</f>
        <v>0</v>
      </c>
      <c r="H1024" s="11"/>
      <c r="I1024" s="11"/>
      <c r="J1024" s="78"/>
      <c r="K1024" s="78"/>
      <c r="L1024" s="146">
        <f t="shared" si="53"/>
        <v>13126700</v>
      </c>
      <c r="M1024" s="73"/>
      <c r="N1024" s="73"/>
      <c r="O1024" s="7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14.25" customHeight="1" x14ac:dyDescent="0.35">
      <c r="A1025" s="9">
        <f t="shared" si="54"/>
        <v>1017</v>
      </c>
      <c r="B1025" s="15"/>
      <c r="C1025" s="11">
        <f t="shared" si="55"/>
        <v>1</v>
      </c>
      <c r="D1025" s="11"/>
      <c r="E1025" s="11"/>
      <c r="F1025" s="11"/>
      <c r="G1025" s="89">
        <f>IFERROR(VLOOKUP(F1025,COA!$A$1:$K$26,2,FALSE),0)</f>
        <v>0</v>
      </c>
      <c r="H1025" s="11"/>
      <c r="I1025" s="11"/>
      <c r="J1025" s="78"/>
      <c r="K1025" s="78"/>
      <c r="L1025" s="146">
        <f t="shared" si="53"/>
        <v>13126700</v>
      </c>
      <c r="M1025" s="73"/>
      <c r="N1025" s="73"/>
      <c r="O1025" s="7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14.25" customHeight="1" x14ac:dyDescent="0.35">
      <c r="A1026" s="9">
        <f t="shared" si="54"/>
        <v>1018</v>
      </c>
      <c r="B1026" s="15"/>
      <c r="C1026" s="11">
        <f t="shared" si="55"/>
        <v>1</v>
      </c>
      <c r="D1026" s="11"/>
      <c r="E1026" s="11"/>
      <c r="F1026" s="11"/>
      <c r="G1026" s="89">
        <f>IFERROR(VLOOKUP(F1026,COA!$A$1:$K$26,2,FALSE),0)</f>
        <v>0</v>
      </c>
      <c r="H1026" s="11"/>
      <c r="I1026" s="11"/>
      <c r="J1026" s="78"/>
      <c r="K1026" s="78"/>
      <c r="L1026" s="146">
        <f t="shared" si="53"/>
        <v>13126700</v>
      </c>
      <c r="M1026" s="73"/>
      <c r="N1026" s="73"/>
      <c r="O1026" s="7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14.25" customHeight="1" x14ac:dyDescent="0.35">
      <c r="A1027" s="9">
        <f t="shared" si="54"/>
        <v>1019</v>
      </c>
      <c r="B1027" s="15"/>
      <c r="C1027" s="11">
        <f t="shared" si="55"/>
        <v>1</v>
      </c>
      <c r="D1027" s="11"/>
      <c r="E1027" s="11"/>
      <c r="F1027" s="11"/>
      <c r="G1027" s="89">
        <f>IFERROR(VLOOKUP(F1027,COA!$A$1:$K$26,2,FALSE),0)</f>
        <v>0</v>
      </c>
      <c r="H1027" s="11"/>
      <c r="I1027" s="11"/>
      <c r="J1027" s="78"/>
      <c r="K1027" s="78"/>
      <c r="L1027" s="146">
        <f t="shared" si="53"/>
        <v>13126700</v>
      </c>
      <c r="M1027" s="73"/>
      <c r="N1027" s="73"/>
      <c r="O1027" s="7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14.25" customHeight="1" x14ac:dyDescent="0.35">
      <c r="A1028" s="9">
        <f t="shared" si="54"/>
        <v>1020</v>
      </c>
      <c r="B1028" s="15"/>
      <c r="C1028" s="11">
        <f t="shared" si="55"/>
        <v>1</v>
      </c>
      <c r="D1028" s="11"/>
      <c r="E1028" s="11"/>
      <c r="F1028" s="11"/>
      <c r="G1028" s="89">
        <f>IFERROR(VLOOKUP(F1028,COA!$A$1:$K$26,2,FALSE),0)</f>
        <v>0</v>
      </c>
      <c r="H1028" s="11"/>
      <c r="I1028" s="11"/>
      <c r="J1028" s="78"/>
      <c r="K1028" s="78"/>
      <c r="L1028" s="146">
        <f t="shared" si="53"/>
        <v>13126700</v>
      </c>
      <c r="M1028" s="73"/>
      <c r="N1028" s="73"/>
      <c r="O1028" s="7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14.25" customHeight="1" x14ac:dyDescent="0.35">
      <c r="A1029" s="9">
        <f t="shared" si="54"/>
        <v>1021</v>
      </c>
      <c r="B1029" s="15"/>
      <c r="C1029" s="11">
        <f t="shared" si="55"/>
        <v>1</v>
      </c>
      <c r="D1029" s="11"/>
      <c r="E1029" s="11"/>
      <c r="F1029" s="11"/>
      <c r="G1029" s="89">
        <f>IFERROR(VLOOKUP(F1029,COA!$A$1:$K$26,2,FALSE),0)</f>
        <v>0</v>
      </c>
      <c r="H1029" s="11"/>
      <c r="I1029" s="11"/>
      <c r="J1029" s="78"/>
      <c r="K1029" s="78"/>
      <c r="L1029" s="146">
        <f t="shared" si="53"/>
        <v>13126700</v>
      </c>
      <c r="M1029" s="73"/>
      <c r="N1029" s="73"/>
      <c r="O1029" s="7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14.25" customHeight="1" x14ac:dyDescent="0.35">
      <c r="A1030" s="9">
        <f t="shared" si="54"/>
        <v>1022</v>
      </c>
      <c r="B1030" s="15"/>
      <c r="C1030" s="11">
        <f t="shared" si="55"/>
        <v>1</v>
      </c>
      <c r="D1030" s="11"/>
      <c r="E1030" s="11"/>
      <c r="F1030" s="11"/>
      <c r="G1030" s="89">
        <f>IFERROR(VLOOKUP(F1030,COA!$A$1:$K$26,2,FALSE),0)</f>
        <v>0</v>
      </c>
      <c r="H1030" s="11"/>
      <c r="I1030" s="11"/>
      <c r="J1030" s="78"/>
      <c r="K1030" s="78"/>
      <c r="L1030" s="146">
        <f t="shared" si="53"/>
        <v>13126700</v>
      </c>
      <c r="M1030" s="73"/>
      <c r="N1030" s="73"/>
      <c r="O1030" s="7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14.25" customHeight="1" x14ac:dyDescent="0.35">
      <c r="A1031" s="9">
        <f t="shared" si="54"/>
        <v>1023</v>
      </c>
      <c r="B1031" s="15"/>
      <c r="C1031" s="11">
        <f t="shared" si="55"/>
        <v>1</v>
      </c>
      <c r="D1031" s="11"/>
      <c r="E1031" s="11"/>
      <c r="F1031" s="11"/>
      <c r="G1031" s="89">
        <f>IFERROR(VLOOKUP(F1031,COA!$A$1:$K$26,2,FALSE),0)</f>
        <v>0</v>
      </c>
      <c r="H1031" s="11"/>
      <c r="I1031" s="11"/>
      <c r="J1031" s="78"/>
      <c r="K1031" s="78"/>
      <c r="L1031" s="146">
        <f t="shared" si="53"/>
        <v>13126700</v>
      </c>
      <c r="M1031" s="73"/>
      <c r="N1031" s="73"/>
      <c r="O1031" s="7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14.25" customHeight="1" x14ac:dyDescent="0.35">
      <c r="A1032" s="9">
        <f t="shared" si="54"/>
        <v>1024</v>
      </c>
      <c r="B1032" s="15"/>
      <c r="C1032" s="11">
        <f t="shared" si="55"/>
        <v>1</v>
      </c>
      <c r="D1032" s="11"/>
      <c r="E1032" s="11"/>
      <c r="F1032" s="11"/>
      <c r="G1032" s="89">
        <f>IFERROR(VLOOKUP(F1032,COA!$A$1:$K$26,2,FALSE),0)</f>
        <v>0</v>
      </c>
      <c r="H1032" s="11"/>
      <c r="I1032" s="11"/>
      <c r="J1032" s="78"/>
      <c r="K1032" s="78"/>
      <c r="L1032" s="146">
        <f t="shared" si="53"/>
        <v>13126700</v>
      </c>
      <c r="M1032" s="73"/>
      <c r="N1032" s="73"/>
      <c r="O1032" s="7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14.25" customHeight="1" x14ac:dyDescent="0.35">
      <c r="A1033" s="9">
        <f t="shared" si="54"/>
        <v>1025</v>
      </c>
      <c r="B1033" s="15"/>
      <c r="C1033" s="11">
        <f t="shared" si="55"/>
        <v>1</v>
      </c>
      <c r="D1033" s="11"/>
      <c r="E1033" s="11"/>
      <c r="F1033" s="11"/>
      <c r="G1033" s="89">
        <f>IFERROR(VLOOKUP(F1033,COA!$A$1:$K$26,2,FALSE),0)</f>
        <v>0</v>
      </c>
      <c r="H1033" s="11"/>
      <c r="I1033" s="11"/>
      <c r="J1033" s="78"/>
      <c r="K1033" s="78"/>
      <c r="L1033" s="146">
        <f t="shared" si="53"/>
        <v>13126700</v>
      </c>
      <c r="M1033" s="73"/>
      <c r="N1033" s="73"/>
      <c r="O1033" s="7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14.25" customHeight="1" x14ac:dyDescent="0.35">
      <c r="A1034" s="9">
        <f t="shared" si="54"/>
        <v>1026</v>
      </c>
      <c r="B1034" s="15"/>
      <c r="C1034" s="11">
        <f t="shared" si="55"/>
        <v>1</v>
      </c>
      <c r="D1034" s="11"/>
      <c r="E1034" s="11"/>
      <c r="F1034" s="11"/>
      <c r="G1034" s="89">
        <f>IFERROR(VLOOKUP(F1034,COA!$A$1:$K$26,2,FALSE),0)</f>
        <v>0</v>
      </c>
      <c r="H1034" s="11"/>
      <c r="I1034" s="11"/>
      <c r="J1034" s="78"/>
      <c r="K1034" s="78"/>
      <c r="L1034" s="146">
        <f t="shared" si="53"/>
        <v>13126700</v>
      </c>
      <c r="M1034" s="73"/>
      <c r="N1034" s="73"/>
      <c r="O1034" s="7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14.25" customHeight="1" x14ac:dyDescent="0.35">
      <c r="A1035" s="9">
        <f t="shared" si="54"/>
        <v>1027</v>
      </c>
      <c r="B1035" s="15"/>
      <c r="C1035" s="11">
        <f t="shared" si="55"/>
        <v>1</v>
      </c>
      <c r="D1035" s="11"/>
      <c r="E1035" s="11"/>
      <c r="F1035" s="11"/>
      <c r="G1035" s="89">
        <f>IFERROR(VLOOKUP(F1035,COA!$A$1:$K$26,2,FALSE),0)</f>
        <v>0</v>
      </c>
      <c r="H1035" s="11"/>
      <c r="I1035" s="11"/>
      <c r="J1035" s="78"/>
      <c r="K1035" s="78"/>
      <c r="L1035" s="146">
        <f t="shared" si="53"/>
        <v>13126700</v>
      </c>
      <c r="M1035" s="73"/>
      <c r="N1035" s="73"/>
      <c r="O1035" s="7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14.25" customHeight="1" x14ac:dyDescent="0.35">
      <c r="A1036" s="9">
        <f t="shared" si="54"/>
        <v>1028</v>
      </c>
      <c r="B1036" s="15"/>
      <c r="C1036" s="11">
        <f t="shared" si="55"/>
        <v>1</v>
      </c>
      <c r="D1036" s="11"/>
      <c r="E1036" s="11"/>
      <c r="F1036" s="11"/>
      <c r="G1036" s="89">
        <f>IFERROR(VLOOKUP(F1036,COA!$A$1:$K$26,2,FALSE),0)</f>
        <v>0</v>
      </c>
      <c r="H1036" s="11"/>
      <c r="I1036" s="11"/>
      <c r="J1036" s="78"/>
      <c r="K1036" s="78"/>
      <c r="L1036" s="146">
        <f t="shared" si="53"/>
        <v>13126700</v>
      </c>
      <c r="M1036" s="73"/>
      <c r="N1036" s="73"/>
      <c r="O1036" s="7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14.25" customHeight="1" x14ac:dyDescent="0.35">
      <c r="A1037" s="9">
        <f t="shared" si="54"/>
        <v>1029</v>
      </c>
      <c r="B1037" s="15"/>
      <c r="C1037" s="11">
        <f t="shared" si="55"/>
        <v>1</v>
      </c>
      <c r="D1037" s="11"/>
      <c r="E1037" s="11"/>
      <c r="F1037" s="11"/>
      <c r="G1037" s="89">
        <f>IFERROR(VLOOKUP(F1037,COA!$A$1:$K$26,2,FALSE),0)</f>
        <v>0</v>
      </c>
      <c r="H1037" s="11"/>
      <c r="I1037" s="11"/>
      <c r="J1037" s="78"/>
      <c r="K1037" s="78"/>
      <c r="L1037" s="146">
        <f t="shared" si="53"/>
        <v>13126700</v>
      </c>
      <c r="M1037" s="73"/>
      <c r="N1037" s="73"/>
      <c r="O1037" s="7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14.25" customHeight="1" x14ac:dyDescent="0.35">
      <c r="A1038" s="9">
        <f t="shared" si="54"/>
        <v>1030</v>
      </c>
      <c r="B1038" s="15"/>
      <c r="C1038" s="11">
        <f t="shared" si="55"/>
        <v>1</v>
      </c>
      <c r="D1038" s="11"/>
      <c r="E1038" s="11"/>
      <c r="F1038" s="11"/>
      <c r="G1038" s="89">
        <f>IFERROR(VLOOKUP(F1038,COA!$A$1:$K$26,2,FALSE),0)</f>
        <v>0</v>
      </c>
      <c r="H1038" s="11"/>
      <c r="I1038" s="11"/>
      <c r="J1038" s="78"/>
      <c r="K1038" s="78"/>
      <c r="L1038" s="146">
        <f t="shared" si="53"/>
        <v>13126700</v>
      </c>
      <c r="M1038" s="73"/>
      <c r="N1038" s="73"/>
      <c r="O1038" s="7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14.25" customHeight="1" x14ac:dyDescent="0.35">
      <c r="A1039" s="9">
        <f t="shared" si="54"/>
        <v>1031</v>
      </c>
      <c r="B1039" s="15"/>
      <c r="C1039" s="11">
        <f t="shared" si="55"/>
        <v>1</v>
      </c>
      <c r="D1039" s="11"/>
      <c r="E1039" s="11"/>
      <c r="F1039" s="11"/>
      <c r="G1039" s="89">
        <f>IFERROR(VLOOKUP(F1039,COA!$A$1:$K$26,2,FALSE),0)</f>
        <v>0</v>
      </c>
      <c r="H1039" s="11"/>
      <c r="I1039" s="11"/>
      <c r="J1039" s="78"/>
      <c r="K1039" s="78"/>
      <c r="L1039" s="146">
        <f t="shared" si="53"/>
        <v>13126700</v>
      </c>
      <c r="M1039" s="73"/>
      <c r="N1039" s="73"/>
      <c r="O1039" s="7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4.25" customHeight="1" x14ac:dyDescent="0.35">
      <c r="A1040" s="9">
        <f t="shared" si="54"/>
        <v>1032</v>
      </c>
      <c r="B1040" s="15"/>
      <c r="C1040" s="11">
        <f t="shared" si="55"/>
        <v>1</v>
      </c>
      <c r="D1040" s="11"/>
      <c r="E1040" s="11"/>
      <c r="F1040" s="11"/>
      <c r="G1040" s="89">
        <f>IFERROR(VLOOKUP(F1040,COA!$A$1:$K$26,2,FALSE),0)</f>
        <v>0</v>
      </c>
      <c r="H1040" s="11"/>
      <c r="I1040" s="11"/>
      <c r="J1040" s="78"/>
      <c r="K1040" s="78"/>
      <c r="L1040" s="146">
        <f t="shared" ref="L1040:L1103" si="56">L1039+J1040-K1040</f>
        <v>13126700</v>
      </c>
      <c r="M1040" s="73"/>
      <c r="N1040" s="73"/>
      <c r="O1040" s="73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14.25" customHeight="1" x14ac:dyDescent="0.35">
      <c r="A1041" s="9">
        <f t="shared" si="54"/>
        <v>1033</v>
      </c>
      <c r="B1041" s="15"/>
      <c r="C1041" s="11">
        <f t="shared" si="55"/>
        <v>1</v>
      </c>
      <c r="D1041" s="11"/>
      <c r="E1041" s="11"/>
      <c r="F1041" s="11"/>
      <c r="G1041" s="89">
        <f>IFERROR(VLOOKUP(F1041,COA!$A$1:$K$26,2,FALSE),0)</f>
        <v>0</v>
      </c>
      <c r="H1041" s="11"/>
      <c r="I1041" s="11"/>
      <c r="J1041" s="78"/>
      <c r="K1041" s="78"/>
      <c r="L1041" s="146">
        <f t="shared" si="56"/>
        <v>13126700</v>
      </c>
      <c r="M1041" s="73"/>
      <c r="N1041" s="73"/>
      <c r="O1041" s="73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4.25" customHeight="1" x14ac:dyDescent="0.35">
      <c r="A1042" s="9">
        <f t="shared" ref="A1042:A1105" si="57">A1041+1</f>
        <v>1034</v>
      </c>
      <c r="B1042" s="15"/>
      <c r="C1042" s="11">
        <f t="shared" si="55"/>
        <v>1</v>
      </c>
      <c r="D1042" s="11"/>
      <c r="E1042" s="11"/>
      <c r="F1042" s="11"/>
      <c r="G1042" s="89">
        <f>IFERROR(VLOOKUP(F1042,COA!$A$1:$K$26,2,FALSE),0)</f>
        <v>0</v>
      </c>
      <c r="H1042" s="11"/>
      <c r="I1042" s="11"/>
      <c r="J1042" s="78"/>
      <c r="K1042" s="78"/>
      <c r="L1042" s="146">
        <f t="shared" si="56"/>
        <v>13126700</v>
      </c>
      <c r="M1042" s="73"/>
      <c r="N1042" s="73"/>
      <c r="O1042" s="73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14.25" customHeight="1" x14ac:dyDescent="0.35">
      <c r="A1043" s="9">
        <f t="shared" si="57"/>
        <v>1035</v>
      </c>
      <c r="B1043" s="15"/>
      <c r="C1043" s="11">
        <f t="shared" si="55"/>
        <v>1</v>
      </c>
      <c r="D1043" s="11"/>
      <c r="E1043" s="11"/>
      <c r="F1043" s="11"/>
      <c r="G1043" s="89">
        <f>IFERROR(VLOOKUP(F1043,COA!$A$1:$K$26,2,FALSE),0)</f>
        <v>0</v>
      </c>
      <c r="H1043" s="11"/>
      <c r="I1043" s="11"/>
      <c r="J1043" s="78"/>
      <c r="K1043" s="78"/>
      <c r="L1043" s="146">
        <f t="shared" si="56"/>
        <v>13126700</v>
      </c>
      <c r="M1043" s="73"/>
      <c r="N1043" s="73"/>
      <c r="O1043" s="73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14.25" customHeight="1" x14ac:dyDescent="0.35">
      <c r="A1044" s="9">
        <f t="shared" si="57"/>
        <v>1036</v>
      </c>
      <c r="B1044" s="15"/>
      <c r="C1044" s="11">
        <f t="shared" si="55"/>
        <v>1</v>
      </c>
      <c r="D1044" s="11"/>
      <c r="E1044" s="11"/>
      <c r="F1044" s="11"/>
      <c r="G1044" s="89">
        <f>IFERROR(VLOOKUP(F1044,COA!$A$1:$K$26,2,FALSE),0)</f>
        <v>0</v>
      </c>
      <c r="H1044" s="11"/>
      <c r="I1044" s="11"/>
      <c r="J1044" s="78"/>
      <c r="K1044" s="78"/>
      <c r="L1044" s="146">
        <f t="shared" si="56"/>
        <v>13126700</v>
      </c>
      <c r="M1044" s="73"/>
      <c r="N1044" s="73"/>
      <c r="O1044" s="73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14.25" customHeight="1" x14ac:dyDescent="0.35">
      <c r="A1045" s="9">
        <f t="shared" si="57"/>
        <v>1037</v>
      </c>
      <c r="B1045" s="15"/>
      <c r="C1045" s="11">
        <f t="shared" si="55"/>
        <v>1</v>
      </c>
      <c r="D1045" s="11"/>
      <c r="E1045" s="11"/>
      <c r="F1045" s="11"/>
      <c r="G1045" s="89">
        <f>IFERROR(VLOOKUP(F1045,COA!$A$1:$K$26,2,FALSE),0)</f>
        <v>0</v>
      </c>
      <c r="H1045" s="11"/>
      <c r="I1045" s="11"/>
      <c r="J1045" s="78"/>
      <c r="K1045" s="78"/>
      <c r="L1045" s="146">
        <f t="shared" si="56"/>
        <v>13126700</v>
      </c>
      <c r="M1045" s="73"/>
      <c r="N1045" s="73"/>
      <c r="O1045" s="73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14.25" customHeight="1" x14ac:dyDescent="0.35">
      <c r="A1046" s="9">
        <f t="shared" si="57"/>
        <v>1038</v>
      </c>
      <c r="B1046" s="15"/>
      <c r="C1046" s="11">
        <f t="shared" si="55"/>
        <v>1</v>
      </c>
      <c r="D1046" s="11"/>
      <c r="E1046" s="11"/>
      <c r="F1046" s="11"/>
      <c r="G1046" s="89">
        <f>IFERROR(VLOOKUP(F1046,COA!$A$1:$K$26,2,FALSE),0)</f>
        <v>0</v>
      </c>
      <c r="H1046" s="11"/>
      <c r="I1046" s="11"/>
      <c r="J1046" s="78"/>
      <c r="K1046" s="78"/>
      <c r="L1046" s="146">
        <f t="shared" si="56"/>
        <v>13126700</v>
      </c>
      <c r="M1046" s="73"/>
      <c r="N1046" s="73"/>
      <c r="O1046" s="73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14.25" customHeight="1" x14ac:dyDescent="0.35">
      <c r="A1047" s="9">
        <f t="shared" si="57"/>
        <v>1039</v>
      </c>
      <c r="B1047" s="15"/>
      <c r="C1047" s="11">
        <f t="shared" si="55"/>
        <v>1</v>
      </c>
      <c r="D1047" s="11"/>
      <c r="E1047" s="11"/>
      <c r="F1047" s="11"/>
      <c r="G1047" s="89">
        <f>IFERROR(VLOOKUP(F1047,COA!$A$1:$K$26,2,FALSE),0)</f>
        <v>0</v>
      </c>
      <c r="H1047" s="11"/>
      <c r="I1047" s="11"/>
      <c r="J1047" s="78"/>
      <c r="K1047" s="78"/>
      <c r="L1047" s="146">
        <f t="shared" si="56"/>
        <v>13126700</v>
      </c>
      <c r="M1047" s="73"/>
      <c r="N1047" s="73"/>
      <c r="O1047" s="73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14.25" customHeight="1" x14ac:dyDescent="0.35">
      <c r="A1048" s="9">
        <f t="shared" si="57"/>
        <v>1040</v>
      </c>
      <c r="B1048" s="15"/>
      <c r="C1048" s="11">
        <f t="shared" si="55"/>
        <v>1</v>
      </c>
      <c r="D1048" s="11"/>
      <c r="E1048" s="11"/>
      <c r="F1048" s="11"/>
      <c r="G1048" s="89">
        <f>IFERROR(VLOOKUP(F1048,COA!$A$1:$K$26,2,FALSE),0)</f>
        <v>0</v>
      </c>
      <c r="H1048" s="11"/>
      <c r="I1048" s="11"/>
      <c r="J1048" s="78"/>
      <c r="K1048" s="78"/>
      <c r="L1048" s="146">
        <f t="shared" si="56"/>
        <v>13126700</v>
      </c>
      <c r="M1048" s="73"/>
      <c r="N1048" s="73"/>
      <c r="O1048" s="73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14.25" customHeight="1" x14ac:dyDescent="0.35">
      <c r="A1049" s="9">
        <f t="shared" si="57"/>
        <v>1041</v>
      </c>
      <c r="B1049" s="15"/>
      <c r="C1049" s="11">
        <f t="shared" si="55"/>
        <v>1</v>
      </c>
      <c r="D1049" s="11"/>
      <c r="E1049" s="11"/>
      <c r="F1049" s="11"/>
      <c r="G1049" s="89">
        <f>IFERROR(VLOOKUP(F1049,COA!$A$1:$K$26,2,FALSE),0)</f>
        <v>0</v>
      </c>
      <c r="H1049" s="11"/>
      <c r="I1049" s="11"/>
      <c r="J1049" s="78"/>
      <c r="K1049" s="78"/>
      <c r="L1049" s="146">
        <f t="shared" si="56"/>
        <v>13126700</v>
      </c>
      <c r="M1049" s="73"/>
      <c r="N1049" s="73"/>
      <c r="O1049" s="73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14.25" customHeight="1" x14ac:dyDescent="0.35">
      <c r="A1050" s="9">
        <f t="shared" si="57"/>
        <v>1042</v>
      </c>
      <c r="B1050" s="15"/>
      <c r="C1050" s="11">
        <f t="shared" si="55"/>
        <v>1</v>
      </c>
      <c r="D1050" s="11"/>
      <c r="E1050" s="11"/>
      <c r="F1050" s="11"/>
      <c r="G1050" s="89">
        <f>IFERROR(VLOOKUP(F1050,COA!$A$1:$K$26,2,FALSE),0)</f>
        <v>0</v>
      </c>
      <c r="H1050" s="11"/>
      <c r="I1050" s="11"/>
      <c r="J1050" s="78"/>
      <c r="K1050" s="78"/>
      <c r="L1050" s="146">
        <f t="shared" si="56"/>
        <v>13126700</v>
      </c>
      <c r="M1050" s="73"/>
      <c r="N1050" s="73"/>
      <c r="O1050" s="73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14.25" customHeight="1" x14ac:dyDescent="0.35">
      <c r="A1051" s="9">
        <f t="shared" si="57"/>
        <v>1043</v>
      </c>
      <c r="B1051" s="15"/>
      <c r="C1051" s="11">
        <f t="shared" si="55"/>
        <v>1</v>
      </c>
      <c r="D1051" s="11"/>
      <c r="E1051" s="11"/>
      <c r="F1051" s="11"/>
      <c r="G1051" s="89">
        <f>IFERROR(VLOOKUP(F1051,COA!$A$1:$K$26,2,FALSE),0)</f>
        <v>0</v>
      </c>
      <c r="H1051" s="11"/>
      <c r="I1051" s="11"/>
      <c r="J1051" s="78"/>
      <c r="K1051" s="78"/>
      <c r="L1051" s="146">
        <f t="shared" si="56"/>
        <v>13126700</v>
      </c>
      <c r="M1051" s="73"/>
      <c r="N1051" s="73"/>
      <c r="O1051" s="73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14.25" customHeight="1" x14ac:dyDescent="0.35">
      <c r="A1052" s="9">
        <f t="shared" si="57"/>
        <v>1044</v>
      </c>
      <c r="B1052" s="15"/>
      <c r="C1052" s="11">
        <f t="shared" si="55"/>
        <v>1</v>
      </c>
      <c r="D1052" s="11"/>
      <c r="E1052" s="11"/>
      <c r="F1052" s="11"/>
      <c r="G1052" s="89">
        <f>IFERROR(VLOOKUP(F1052,COA!$A$1:$K$26,2,FALSE),0)</f>
        <v>0</v>
      </c>
      <c r="H1052" s="11"/>
      <c r="I1052" s="11"/>
      <c r="J1052" s="78"/>
      <c r="K1052" s="78"/>
      <c r="L1052" s="146">
        <f t="shared" si="56"/>
        <v>13126700</v>
      </c>
      <c r="M1052" s="73"/>
      <c r="N1052" s="73"/>
      <c r="O1052" s="73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14.25" customHeight="1" x14ac:dyDescent="0.35">
      <c r="A1053" s="9">
        <f t="shared" si="57"/>
        <v>1045</v>
      </c>
      <c r="B1053" s="15"/>
      <c r="C1053" s="11">
        <f t="shared" si="55"/>
        <v>1</v>
      </c>
      <c r="D1053" s="11"/>
      <c r="E1053" s="11"/>
      <c r="F1053" s="11"/>
      <c r="G1053" s="89">
        <f>IFERROR(VLOOKUP(F1053,COA!$A$1:$K$26,2,FALSE),0)</f>
        <v>0</v>
      </c>
      <c r="H1053" s="11"/>
      <c r="I1053" s="11"/>
      <c r="J1053" s="78"/>
      <c r="K1053" s="78"/>
      <c r="L1053" s="146">
        <f t="shared" si="56"/>
        <v>13126700</v>
      </c>
      <c r="M1053" s="73"/>
      <c r="N1053" s="73"/>
      <c r="O1053" s="73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14.25" customHeight="1" x14ac:dyDescent="0.35">
      <c r="A1054" s="9">
        <f t="shared" si="57"/>
        <v>1046</v>
      </c>
      <c r="B1054" s="15"/>
      <c r="C1054" s="11">
        <f t="shared" si="55"/>
        <v>1</v>
      </c>
      <c r="D1054" s="11"/>
      <c r="E1054" s="11"/>
      <c r="F1054" s="11"/>
      <c r="G1054" s="89">
        <f>IFERROR(VLOOKUP(F1054,COA!$A$1:$K$26,2,FALSE),0)</f>
        <v>0</v>
      </c>
      <c r="H1054" s="11"/>
      <c r="I1054" s="11"/>
      <c r="J1054" s="78"/>
      <c r="K1054" s="78"/>
      <c r="L1054" s="146">
        <f t="shared" si="56"/>
        <v>13126700</v>
      </c>
      <c r="M1054" s="73"/>
      <c r="N1054" s="73"/>
      <c r="O1054" s="73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14.25" customHeight="1" x14ac:dyDescent="0.35">
      <c r="A1055" s="9">
        <f t="shared" si="57"/>
        <v>1047</v>
      </c>
      <c r="B1055" s="15"/>
      <c r="C1055" s="11">
        <f t="shared" si="55"/>
        <v>1</v>
      </c>
      <c r="D1055" s="11"/>
      <c r="E1055" s="11"/>
      <c r="F1055" s="11"/>
      <c r="G1055" s="89">
        <f>IFERROR(VLOOKUP(F1055,COA!$A$1:$K$26,2,FALSE),0)</f>
        <v>0</v>
      </c>
      <c r="H1055" s="11"/>
      <c r="I1055" s="11"/>
      <c r="J1055" s="78"/>
      <c r="K1055" s="78"/>
      <c r="L1055" s="146">
        <f t="shared" si="56"/>
        <v>13126700</v>
      </c>
      <c r="M1055" s="73"/>
      <c r="N1055" s="73"/>
      <c r="O1055" s="73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14.25" customHeight="1" x14ac:dyDescent="0.35">
      <c r="A1056" s="9">
        <f t="shared" si="57"/>
        <v>1048</v>
      </c>
      <c r="B1056" s="15"/>
      <c r="C1056" s="11">
        <f t="shared" si="55"/>
        <v>1</v>
      </c>
      <c r="D1056" s="11"/>
      <c r="E1056" s="11"/>
      <c r="F1056" s="11"/>
      <c r="G1056" s="89">
        <f>IFERROR(VLOOKUP(F1056,COA!$A$1:$K$26,2,FALSE),0)</f>
        <v>0</v>
      </c>
      <c r="H1056" s="11"/>
      <c r="I1056" s="11"/>
      <c r="J1056" s="78"/>
      <c r="K1056" s="78"/>
      <c r="L1056" s="146">
        <f t="shared" si="56"/>
        <v>13126700</v>
      </c>
      <c r="M1056" s="73"/>
      <c r="N1056" s="73"/>
      <c r="O1056" s="73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14.25" customHeight="1" x14ac:dyDescent="0.35">
      <c r="A1057" s="9">
        <f t="shared" si="57"/>
        <v>1049</v>
      </c>
      <c r="B1057" s="15"/>
      <c r="C1057" s="11">
        <f t="shared" si="55"/>
        <v>1</v>
      </c>
      <c r="D1057" s="11"/>
      <c r="E1057" s="11"/>
      <c r="F1057" s="11"/>
      <c r="G1057" s="89">
        <f>IFERROR(VLOOKUP(F1057,COA!$A$1:$K$26,2,FALSE),0)</f>
        <v>0</v>
      </c>
      <c r="H1057" s="11"/>
      <c r="I1057" s="11"/>
      <c r="J1057" s="78"/>
      <c r="K1057" s="78"/>
      <c r="L1057" s="146">
        <f t="shared" si="56"/>
        <v>13126700</v>
      </c>
      <c r="M1057" s="73"/>
      <c r="N1057" s="73"/>
      <c r="O1057" s="73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14.25" customHeight="1" x14ac:dyDescent="0.35">
      <c r="A1058" s="9">
        <f t="shared" si="57"/>
        <v>1050</v>
      </c>
      <c r="B1058" s="15"/>
      <c r="C1058" s="11">
        <f t="shared" si="55"/>
        <v>1</v>
      </c>
      <c r="D1058" s="11"/>
      <c r="E1058" s="11"/>
      <c r="F1058" s="11"/>
      <c r="G1058" s="89">
        <f>IFERROR(VLOOKUP(F1058,COA!$A$1:$K$26,2,FALSE),0)</f>
        <v>0</v>
      </c>
      <c r="H1058" s="11"/>
      <c r="I1058" s="11"/>
      <c r="J1058" s="78"/>
      <c r="K1058" s="78"/>
      <c r="L1058" s="146">
        <f t="shared" si="56"/>
        <v>13126700</v>
      </c>
      <c r="M1058" s="73"/>
      <c r="N1058" s="73"/>
      <c r="O1058" s="73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14.25" customHeight="1" x14ac:dyDescent="0.35">
      <c r="A1059" s="9">
        <f t="shared" si="57"/>
        <v>1051</v>
      </c>
      <c r="B1059" s="15"/>
      <c r="C1059" s="11">
        <f t="shared" si="55"/>
        <v>1</v>
      </c>
      <c r="D1059" s="11"/>
      <c r="E1059" s="11"/>
      <c r="F1059" s="11"/>
      <c r="G1059" s="89">
        <f>IFERROR(VLOOKUP(F1059,COA!$A$1:$K$26,2,FALSE),0)</f>
        <v>0</v>
      </c>
      <c r="H1059" s="11"/>
      <c r="I1059" s="11"/>
      <c r="J1059" s="78"/>
      <c r="K1059" s="78"/>
      <c r="L1059" s="146">
        <f t="shared" si="56"/>
        <v>13126700</v>
      </c>
      <c r="M1059" s="73"/>
      <c r="N1059" s="73"/>
      <c r="O1059" s="73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14.25" customHeight="1" x14ac:dyDescent="0.35">
      <c r="A1060" s="9">
        <f t="shared" si="57"/>
        <v>1052</v>
      </c>
      <c r="B1060" s="15"/>
      <c r="C1060" s="11">
        <f t="shared" ref="C1060:C1123" si="58">MONTH(B1060)</f>
        <v>1</v>
      </c>
      <c r="D1060" s="11"/>
      <c r="E1060" s="11"/>
      <c r="F1060" s="11"/>
      <c r="G1060" s="89">
        <f>IFERROR(VLOOKUP(F1060,COA!$A$1:$K$26,2,FALSE),0)</f>
        <v>0</v>
      </c>
      <c r="H1060" s="11"/>
      <c r="I1060" s="11"/>
      <c r="J1060" s="78"/>
      <c r="K1060" s="78"/>
      <c r="L1060" s="146">
        <f t="shared" si="56"/>
        <v>13126700</v>
      </c>
      <c r="M1060" s="73"/>
      <c r="N1060" s="73"/>
      <c r="O1060" s="73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14.25" customHeight="1" x14ac:dyDescent="0.35">
      <c r="A1061" s="9">
        <f t="shared" si="57"/>
        <v>1053</v>
      </c>
      <c r="B1061" s="15"/>
      <c r="C1061" s="11">
        <f t="shared" si="58"/>
        <v>1</v>
      </c>
      <c r="D1061" s="11"/>
      <c r="E1061" s="11"/>
      <c r="F1061" s="11"/>
      <c r="G1061" s="89">
        <f>IFERROR(VLOOKUP(F1061,COA!$A$1:$K$26,2,FALSE),0)</f>
        <v>0</v>
      </c>
      <c r="H1061" s="11"/>
      <c r="I1061" s="11"/>
      <c r="J1061" s="78"/>
      <c r="K1061" s="78"/>
      <c r="L1061" s="146">
        <f t="shared" si="56"/>
        <v>13126700</v>
      </c>
      <c r="M1061" s="73"/>
      <c r="N1061" s="73"/>
      <c r="O1061" s="73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14.25" customHeight="1" x14ac:dyDescent="0.35">
      <c r="A1062" s="9">
        <f t="shared" si="57"/>
        <v>1054</v>
      </c>
      <c r="B1062" s="15"/>
      <c r="C1062" s="11">
        <f t="shared" si="58"/>
        <v>1</v>
      </c>
      <c r="D1062" s="11"/>
      <c r="E1062" s="11"/>
      <c r="F1062" s="11"/>
      <c r="G1062" s="89">
        <f>IFERROR(VLOOKUP(F1062,COA!$A$1:$K$26,2,FALSE),0)</f>
        <v>0</v>
      </c>
      <c r="H1062" s="11"/>
      <c r="I1062" s="11"/>
      <c r="J1062" s="78"/>
      <c r="K1062" s="78"/>
      <c r="L1062" s="146">
        <f t="shared" si="56"/>
        <v>13126700</v>
      </c>
      <c r="M1062" s="73"/>
      <c r="N1062" s="73"/>
      <c r="O1062" s="73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14.25" customHeight="1" x14ac:dyDescent="0.35">
      <c r="A1063" s="9">
        <f t="shared" si="57"/>
        <v>1055</v>
      </c>
      <c r="B1063" s="15"/>
      <c r="C1063" s="11">
        <f t="shared" si="58"/>
        <v>1</v>
      </c>
      <c r="D1063" s="11"/>
      <c r="E1063" s="11"/>
      <c r="F1063" s="11"/>
      <c r="G1063" s="89">
        <f>IFERROR(VLOOKUP(F1063,COA!$A$1:$K$26,2,FALSE),0)</f>
        <v>0</v>
      </c>
      <c r="H1063" s="11"/>
      <c r="I1063" s="11"/>
      <c r="J1063" s="78"/>
      <c r="K1063" s="78"/>
      <c r="L1063" s="146">
        <f t="shared" si="56"/>
        <v>13126700</v>
      </c>
      <c r="M1063" s="73"/>
      <c r="N1063" s="73"/>
      <c r="O1063" s="73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14.25" customHeight="1" x14ac:dyDescent="0.35">
      <c r="A1064" s="9">
        <f t="shared" si="57"/>
        <v>1056</v>
      </c>
      <c r="B1064" s="15"/>
      <c r="C1064" s="11">
        <f t="shared" si="58"/>
        <v>1</v>
      </c>
      <c r="D1064" s="11"/>
      <c r="E1064" s="11"/>
      <c r="F1064" s="11"/>
      <c r="G1064" s="89">
        <f>IFERROR(VLOOKUP(F1064,COA!$A$1:$K$26,2,FALSE),0)</f>
        <v>0</v>
      </c>
      <c r="H1064" s="11"/>
      <c r="I1064" s="11"/>
      <c r="J1064" s="78"/>
      <c r="K1064" s="78"/>
      <c r="L1064" s="146">
        <f t="shared" si="56"/>
        <v>13126700</v>
      </c>
      <c r="M1064" s="73"/>
      <c r="N1064" s="73"/>
      <c r="O1064" s="73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14.25" customHeight="1" x14ac:dyDescent="0.35">
      <c r="A1065" s="9">
        <f t="shared" si="57"/>
        <v>1057</v>
      </c>
      <c r="B1065" s="15"/>
      <c r="C1065" s="11">
        <f t="shared" si="58"/>
        <v>1</v>
      </c>
      <c r="D1065" s="11"/>
      <c r="E1065" s="11"/>
      <c r="F1065" s="11"/>
      <c r="G1065" s="89">
        <f>IFERROR(VLOOKUP(F1065,COA!$A$1:$K$26,2,FALSE),0)</f>
        <v>0</v>
      </c>
      <c r="H1065" s="11"/>
      <c r="I1065" s="11"/>
      <c r="J1065" s="78"/>
      <c r="K1065" s="78"/>
      <c r="L1065" s="146">
        <f t="shared" si="56"/>
        <v>13126700</v>
      </c>
      <c r="M1065" s="73"/>
      <c r="N1065" s="73"/>
      <c r="O1065" s="73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14.25" customHeight="1" x14ac:dyDescent="0.35">
      <c r="A1066" s="9">
        <f t="shared" si="57"/>
        <v>1058</v>
      </c>
      <c r="B1066" s="15"/>
      <c r="C1066" s="11">
        <f t="shared" si="58"/>
        <v>1</v>
      </c>
      <c r="D1066" s="11"/>
      <c r="E1066" s="11"/>
      <c r="F1066" s="11"/>
      <c r="G1066" s="89">
        <f>IFERROR(VLOOKUP(F1066,COA!$A$1:$K$26,2,FALSE),0)</f>
        <v>0</v>
      </c>
      <c r="H1066" s="11"/>
      <c r="I1066" s="11"/>
      <c r="J1066" s="78"/>
      <c r="K1066" s="78"/>
      <c r="L1066" s="146">
        <f t="shared" si="56"/>
        <v>13126700</v>
      </c>
      <c r="M1066" s="73"/>
      <c r="N1066" s="73"/>
      <c r="O1066" s="73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14.25" customHeight="1" x14ac:dyDescent="0.35">
      <c r="A1067" s="9">
        <f t="shared" si="57"/>
        <v>1059</v>
      </c>
      <c r="B1067" s="15"/>
      <c r="C1067" s="11">
        <f t="shared" si="58"/>
        <v>1</v>
      </c>
      <c r="D1067" s="11"/>
      <c r="E1067" s="11"/>
      <c r="F1067" s="11"/>
      <c r="G1067" s="89">
        <f>IFERROR(VLOOKUP(F1067,COA!$A$1:$K$26,2,FALSE),0)</f>
        <v>0</v>
      </c>
      <c r="H1067" s="11"/>
      <c r="I1067" s="11"/>
      <c r="J1067" s="78"/>
      <c r="K1067" s="78"/>
      <c r="L1067" s="146">
        <f t="shared" si="56"/>
        <v>13126700</v>
      </c>
      <c r="M1067" s="73"/>
      <c r="N1067" s="73"/>
      <c r="O1067" s="73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14.25" customHeight="1" x14ac:dyDescent="0.35">
      <c r="A1068" s="9">
        <f t="shared" si="57"/>
        <v>1060</v>
      </c>
      <c r="B1068" s="15"/>
      <c r="C1068" s="11">
        <f t="shared" si="58"/>
        <v>1</v>
      </c>
      <c r="D1068" s="11"/>
      <c r="E1068" s="11"/>
      <c r="F1068" s="11"/>
      <c r="G1068" s="89">
        <f>IFERROR(VLOOKUP(F1068,COA!$A$1:$K$26,2,FALSE),0)</f>
        <v>0</v>
      </c>
      <c r="H1068" s="11"/>
      <c r="I1068" s="11"/>
      <c r="J1068" s="78"/>
      <c r="K1068" s="78"/>
      <c r="L1068" s="146">
        <f t="shared" si="56"/>
        <v>13126700</v>
      </c>
      <c r="M1068" s="73"/>
      <c r="N1068" s="73"/>
      <c r="O1068" s="73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14.25" customHeight="1" x14ac:dyDescent="0.35">
      <c r="A1069" s="9">
        <f t="shared" si="57"/>
        <v>1061</v>
      </c>
      <c r="B1069" s="15"/>
      <c r="C1069" s="11">
        <f t="shared" si="58"/>
        <v>1</v>
      </c>
      <c r="D1069" s="11"/>
      <c r="E1069" s="11"/>
      <c r="F1069" s="11"/>
      <c r="G1069" s="89">
        <f>IFERROR(VLOOKUP(F1069,COA!$A$1:$K$26,2,FALSE),0)</f>
        <v>0</v>
      </c>
      <c r="H1069" s="11"/>
      <c r="I1069" s="11"/>
      <c r="J1069" s="78"/>
      <c r="K1069" s="78"/>
      <c r="L1069" s="146">
        <f t="shared" si="56"/>
        <v>13126700</v>
      </c>
      <c r="M1069" s="73"/>
      <c r="N1069" s="73"/>
      <c r="O1069" s="73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14.25" customHeight="1" x14ac:dyDescent="0.35">
      <c r="A1070" s="9">
        <f t="shared" si="57"/>
        <v>1062</v>
      </c>
      <c r="B1070" s="15"/>
      <c r="C1070" s="11">
        <f t="shared" si="58"/>
        <v>1</v>
      </c>
      <c r="D1070" s="11"/>
      <c r="E1070" s="11"/>
      <c r="F1070" s="11"/>
      <c r="G1070" s="89">
        <f>IFERROR(VLOOKUP(F1070,COA!$A$1:$K$26,2,FALSE),0)</f>
        <v>0</v>
      </c>
      <c r="H1070" s="11"/>
      <c r="I1070" s="11"/>
      <c r="J1070" s="78"/>
      <c r="K1070" s="78"/>
      <c r="L1070" s="146">
        <f t="shared" si="56"/>
        <v>13126700</v>
      </c>
      <c r="M1070" s="73"/>
      <c r="N1070" s="73"/>
      <c r="O1070" s="73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14.25" customHeight="1" x14ac:dyDescent="0.35">
      <c r="A1071" s="9">
        <f t="shared" si="57"/>
        <v>1063</v>
      </c>
      <c r="B1071" s="15"/>
      <c r="C1071" s="11">
        <f t="shared" si="58"/>
        <v>1</v>
      </c>
      <c r="D1071" s="11"/>
      <c r="E1071" s="11"/>
      <c r="F1071" s="11"/>
      <c r="G1071" s="89">
        <f>IFERROR(VLOOKUP(F1071,COA!$A$1:$K$26,2,FALSE),0)</f>
        <v>0</v>
      </c>
      <c r="H1071" s="11"/>
      <c r="I1071" s="11"/>
      <c r="J1071" s="78"/>
      <c r="K1071" s="78"/>
      <c r="L1071" s="146">
        <f t="shared" si="56"/>
        <v>13126700</v>
      </c>
      <c r="M1071" s="73"/>
      <c r="N1071" s="73"/>
      <c r="O1071" s="73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14.25" customHeight="1" x14ac:dyDescent="0.35">
      <c r="A1072" s="9">
        <f t="shared" si="57"/>
        <v>1064</v>
      </c>
      <c r="B1072" s="15"/>
      <c r="C1072" s="11">
        <f t="shared" si="58"/>
        <v>1</v>
      </c>
      <c r="D1072" s="11"/>
      <c r="E1072" s="11"/>
      <c r="F1072" s="11"/>
      <c r="G1072" s="89">
        <f>IFERROR(VLOOKUP(F1072,COA!$A$1:$K$26,2,FALSE),0)</f>
        <v>0</v>
      </c>
      <c r="H1072" s="11"/>
      <c r="I1072" s="11"/>
      <c r="J1072" s="78"/>
      <c r="K1072" s="78"/>
      <c r="L1072" s="146">
        <f t="shared" si="56"/>
        <v>13126700</v>
      </c>
      <c r="M1072" s="73"/>
      <c r="N1072" s="73"/>
      <c r="O1072" s="73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14.25" customHeight="1" x14ac:dyDescent="0.35">
      <c r="A1073" s="9">
        <f t="shared" si="57"/>
        <v>1065</v>
      </c>
      <c r="B1073" s="15"/>
      <c r="C1073" s="11">
        <f t="shared" si="58"/>
        <v>1</v>
      </c>
      <c r="D1073" s="11"/>
      <c r="E1073" s="11"/>
      <c r="F1073" s="11"/>
      <c r="G1073" s="89">
        <f>IFERROR(VLOOKUP(F1073,COA!$A$1:$K$26,2,FALSE),0)</f>
        <v>0</v>
      </c>
      <c r="H1073" s="11"/>
      <c r="I1073" s="11"/>
      <c r="J1073" s="78"/>
      <c r="K1073" s="78"/>
      <c r="L1073" s="146">
        <f t="shared" si="56"/>
        <v>13126700</v>
      </c>
      <c r="M1073" s="73"/>
      <c r="N1073" s="73"/>
      <c r="O1073" s="73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14.25" customHeight="1" x14ac:dyDescent="0.35">
      <c r="A1074" s="9">
        <f t="shared" si="57"/>
        <v>1066</v>
      </c>
      <c r="B1074" s="15"/>
      <c r="C1074" s="11">
        <f t="shared" si="58"/>
        <v>1</v>
      </c>
      <c r="D1074" s="11"/>
      <c r="E1074" s="11"/>
      <c r="F1074" s="11"/>
      <c r="G1074" s="89">
        <f>IFERROR(VLOOKUP(F1074,COA!$A$1:$K$26,2,FALSE),0)</f>
        <v>0</v>
      </c>
      <c r="H1074" s="11"/>
      <c r="I1074" s="11"/>
      <c r="J1074" s="78"/>
      <c r="K1074" s="78"/>
      <c r="L1074" s="146">
        <f t="shared" si="56"/>
        <v>13126700</v>
      </c>
      <c r="M1074" s="73"/>
      <c r="N1074" s="73"/>
      <c r="O1074" s="73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14.25" customHeight="1" x14ac:dyDescent="0.35">
      <c r="A1075" s="9">
        <f t="shared" si="57"/>
        <v>1067</v>
      </c>
      <c r="B1075" s="15"/>
      <c r="C1075" s="11">
        <f t="shared" si="58"/>
        <v>1</v>
      </c>
      <c r="D1075" s="11"/>
      <c r="E1075" s="11"/>
      <c r="F1075" s="11"/>
      <c r="G1075" s="89">
        <f>IFERROR(VLOOKUP(F1075,COA!$A$1:$K$26,2,FALSE),0)</f>
        <v>0</v>
      </c>
      <c r="H1075" s="11"/>
      <c r="I1075" s="11"/>
      <c r="J1075" s="78"/>
      <c r="K1075" s="78"/>
      <c r="L1075" s="146">
        <f t="shared" si="56"/>
        <v>13126700</v>
      </c>
      <c r="M1075" s="73"/>
      <c r="N1075" s="73"/>
      <c r="O1075" s="73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14.25" customHeight="1" x14ac:dyDescent="0.35">
      <c r="A1076" s="9">
        <f t="shared" si="57"/>
        <v>1068</v>
      </c>
      <c r="B1076" s="15"/>
      <c r="C1076" s="11">
        <f t="shared" si="58"/>
        <v>1</v>
      </c>
      <c r="D1076" s="11"/>
      <c r="E1076" s="11"/>
      <c r="F1076" s="11"/>
      <c r="G1076" s="89">
        <f>IFERROR(VLOOKUP(F1076,COA!$A$1:$K$26,2,FALSE),0)</f>
        <v>0</v>
      </c>
      <c r="H1076" s="11"/>
      <c r="I1076" s="11"/>
      <c r="J1076" s="78"/>
      <c r="K1076" s="78"/>
      <c r="L1076" s="146">
        <f t="shared" si="56"/>
        <v>13126700</v>
      </c>
      <c r="M1076" s="73"/>
      <c r="N1076" s="73"/>
      <c r="O1076" s="73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14.25" customHeight="1" x14ac:dyDescent="0.35">
      <c r="A1077" s="9">
        <f t="shared" si="57"/>
        <v>1069</v>
      </c>
      <c r="B1077" s="15"/>
      <c r="C1077" s="11">
        <f t="shared" si="58"/>
        <v>1</v>
      </c>
      <c r="D1077" s="11"/>
      <c r="E1077" s="11"/>
      <c r="F1077" s="11"/>
      <c r="G1077" s="89">
        <f>IFERROR(VLOOKUP(F1077,COA!$A$1:$K$26,2,FALSE),0)</f>
        <v>0</v>
      </c>
      <c r="H1077" s="11"/>
      <c r="I1077" s="11"/>
      <c r="J1077" s="78"/>
      <c r="K1077" s="78"/>
      <c r="L1077" s="146">
        <f t="shared" si="56"/>
        <v>13126700</v>
      </c>
      <c r="M1077" s="73"/>
      <c r="N1077" s="73"/>
      <c r="O1077" s="73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14.25" customHeight="1" x14ac:dyDescent="0.35">
      <c r="A1078" s="9">
        <f t="shared" si="57"/>
        <v>1070</v>
      </c>
      <c r="B1078" s="15"/>
      <c r="C1078" s="11">
        <f t="shared" si="58"/>
        <v>1</v>
      </c>
      <c r="D1078" s="11"/>
      <c r="E1078" s="11"/>
      <c r="F1078" s="11"/>
      <c r="G1078" s="89">
        <f>IFERROR(VLOOKUP(F1078,COA!$A$1:$K$26,2,FALSE),0)</f>
        <v>0</v>
      </c>
      <c r="H1078" s="11"/>
      <c r="I1078" s="11"/>
      <c r="J1078" s="78"/>
      <c r="K1078" s="78"/>
      <c r="L1078" s="146">
        <f t="shared" si="56"/>
        <v>13126700</v>
      </c>
      <c r="M1078" s="73"/>
      <c r="N1078" s="73"/>
      <c r="O1078" s="73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14.25" customHeight="1" x14ac:dyDescent="0.35">
      <c r="A1079" s="9">
        <f t="shared" si="57"/>
        <v>1071</v>
      </c>
      <c r="B1079" s="15"/>
      <c r="C1079" s="11">
        <f t="shared" si="58"/>
        <v>1</v>
      </c>
      <c r="D1079" s="11"/>
      <c r="E1079" s="11"/>
      <c r="F1079" s="11"/>
      <c r="G1079" s="89">
        <f>IFERROR(VLOOKUP(F1079,COA!$A$1:$K$26,2,FALSE),0)</f>
        <v>0</v>
      </c>
      <c r="H1079" s="11"/>
      <c r="I1079" s="11"/>
      <c r="J1079" s="78"/>
      <c r="K1079" s="78"/>
      <c r="L1079" s="146">
        <f t="shared" si="56"/>
        <v>13126700</v>
      </c>
      <c r="M1079" s="73"/>
      <c r="N1079" s="73"/>
      <c r="O1079" s="73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14.25" customHeight="1" x14ac:dyDescent="0.35">
      <c r="A1080" s="9">
        <f t="shared" si="57"/>
        <v>1072</v>
      </c>
      <c r="B1080" s="15"/>
      <c r="C1080" s="11">
        <f t="shared" si="58"/>
        <v>1</v>
      </c>
      <c r="D1080" s="11"/>
      <c r="E1080" s="11"/>
      <c r="F1080" s="11"/>
      <c r="G1080" s="89">
        <f>IFERROR(VLOOKUP(F1080,COA!$A$1:$K$26,2,FALSE),0)</f>
        <v>0</v>
      </c>
      <c r="H1080" s="11"/>
      <c r="I1080" s="11"/>
      <c r="J1080" s="78"/>
      <c r="K1080" s="78"/>
      <c r="L1080" s="146">
        <f t="shared" si="56"/>
        <v>13126700</v>
      </c>
      <c r="M1080" s="73"/>
      <c r="N1080" s="73"/>
      <c r="O1080" s="73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14.25" customHeight="1" x14ac:dyDescent="0.35">
      <c r="A1081" s="9">
        <f t="shared" si="57"/>
        <v>1073</v>
      </c>
      <c r="B1081" s="15"/>
      <c r="C1081" s="11">
        <f t="shared" si="58"/>
        <v>1</v>
      </c>
      <c r="D1081" s="11"/>
      <c r="E1081" s="11"/>
      <c r="F1081" s="11"/>
      <c r="G1081" s="89">
        <f>IFERROR(VLOOKUP(F1081,COA!$A$1:$K$26,2,FALSE),0)</f>
        <v>0</v>
      </c>
      <c r="H1081" s="11"/>
      <c r="I1081" s="11"/>
      <c r="J1081" s="78"/>
      <c r="K1081" s="78"/>
      <c r="L1081" s="146">
        <f t="shared" si="56"/>
        <v>13126700</v>
      </c>
      <c r="M1081" s="73"/>
      <c r="N1081" s="73"/>
      <c r="O1081" s="73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14.25" customHeight="1" x14ac:dyDescent="0.35">
      <c r="A1082" s="9">
        <f t="shared" si="57"/>
        <v>1074</v>
      </c>
      <c r="B1082" s="15"/>
      <c r="C1082" s="11">
        <f t="shared" si="58"/>
        <v>1</v>
      </c>
      <c r="D1082" s="11"/>
      <c r="E1082" s="11"/>
      <c r="F1082" s="11"/>
      <c r="G1082" s="89">
        <f>IFERROR(VLOOKUP(F1082,COA!$A$1:$K$26,2,FALSE),0)</f>
        <v>0</v>
      </c>
      <c r="H1082" s="11"/>
      <c r="I1082" s="11"/>
      <c r="J1082" s="78"/>
      <c r="K1082" s="78"/>
      <c r="L1082" s="146">
        <f t="shared" si="56"/>
        <v>13126700</v>
      </c>
      <c r="M1082" s="73"/>
      <c r="N1082" s="73"/>
      <c r="O1082" s="73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14.25" customHeight="1" x14ac:dyDescent="0.35">
      <c r="A1083" s="9">
        <f t="shared" si="57"/>
        <v>1075</v>
      </c>
      <c r="B1083" s="15"/>
      <c r="C1083" s="11">
        <f t="shared" si="58"/>
        <v>1</v>
      </c>
      <c r="D1083" s="11"/>
      <c r="E1083" s="11"/>
      <c r="F1083" s="11"/>
      <c r="G1083" s="89">
        <f>IFERROR(VLOOKUP(F1083,COA!$A$1:$K$26,2,FALSE),0)</f>
        <v>0</v>
      </c>
      <c r="H1083" s="11"/>
      <c r="I1083" s="11"/>
      <c r="J1083" s="78"/>
      <c r="K1083" s="78"/>
      <c r="L1083" s="146">
        <f t="shared" si="56"/>
        <v>13126700</v>
      </c>
      <c r="M1083" s="73"/>
      <c r="N1083" s="73"/>
      <c r="O1083" s="73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14.25" customHeight="1" x14ac:dyDescent="0.35">
      <c r="A1084" s="9">
        <f t="shared" si="57"/>
        <v>1076</v>
      </c>
      <c r="B1084" s="15"/>
      <c r="C1084" s="11">
        <f t="shared" si="58"/>
        <v>1</v>
      </c>
      <c r="D1084" s="11"/>
      <c r="E1084" s="11"/>
      <c r="F1084" s="11"/>
      <c r="G1084" s="89">
        <f>IFERROR(VLOOKUP(F1084,COA!$A$1:$K$26,2,FALSE),0)</f>
        <v>0</v>
      </c>
      <c r="H1084" s="11"/>
      <c r="I1084" s="11"/>
      <c r="J1084" s="78"/>
      <c r="K1084" s="78"/>
      <c r="L1084" s="146">
        <f t="shared" si="56"/>
        <v>13126700</v>
      </c>
      <c r="M1084" s="73"/>
      <c r="N1084" s="73"/>
      <c r="O1084" s="73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14.25" customHeight="1" x14ac:dyDescent="0.35">
      <c r="A1085" s="9">
        <f t="shared" si="57"/>
        <v>1077</v>
      </c>
      <c r="B1085" s="15"/>
      <c r="C1085" s="11">
        <f t="shared" si="58"/>
        <v>1</v>
      </c>
      <c r="D1085" s="11"/>
      <c r="E1085" s="11"/>
      <c r="F1085" s="11"/>
      <c r="G1085" s="89">
        <f>IFERROR(VLOOKUP(F1085,COA!$A$1:$K$26,2,FALSE),0)</f>
        <v>0</v>
      </c>
      <c r="H1085" s="11"/>
      <c r="I1085" s="11"/>
      <c r="J1085" s="78"/>
      <c r="K1085" s="78"/>
      <c r="L1085" s="146">
        <f t="shared" si="56"/>
        <v>13126700</v>
      </c>
      <c r="M1085" s="73"/>
      <c r="N1085" s="73"/>
      <c r="O1085" s="73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14.25" customHeight="1" x14ac:dyDescent="0.35">
      <c r="A1086" s="9">
        <f t="shared" si="57"/>
        <v>1078</v>
      </c>
      <c r="B1086" s="15"/>
      <c r="C1086" s="11">
        <f t="shared" si="58"/>
        <v>1</v>
      </c>
      <c r="D1086" s="11"/>
      <c r="E1086" s="11"/>
      <c r="F1086" s="11"/>
      <c r="G1086" s="89">
        <f>IFERROR(VLOOKUP(F1086,COA!$A$1:$K$26,2,FALSE),0)</f>
        <v>0</v>
      </c>
      <c r="H1086" s="11"/>
      <c r="I1086" s="11"/>
      <c r="J1086" s="78"/>
      <c r="K1086" s="78"/>
      <c r="L1086" s="146">
        <f t="shared" si="56"/>
        <v>13126700</v>
      </c>
      <c r="M1086" s="73"/>
      <c r="N1086" s="73"/>
      <c r="O1086" s="73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14.25" customHeight="1" x14ac:dyDescent="0.35">
      <c r="A1087" s="9">
        <f t="shared" si="57"/>
        <v>1079</v>
      </c>
      <c r="B1087" s="15"/>
      <c r="C1087" s="11">
        <f t="shared" si="58"/>
        <v>1</v>
      </c>
      <c r="D1087" s="11"/>
      <c r="E1087" s="11"/>
      <c r="F1087" s="11"/>
      <c r="G1087" s="89">
        <f>IFERROR(VLOOKUP(F1087,COA!$A$1:$K$26,2,FALSE),0)</f>
        <v>0</v>
      </c>
      <c r="H1087" s="11"/>
      <c r="I1087" s="11"/>
      <c r="J1087" s="78"/>
      <c r="K1087" s="78"/>
      <c r="L1087" s="146">
        <f t="shared" si="56"/>
        <v>13126700</v>
      </c>
      <c r="M1087" s="73"/>
      <c r="N1087" s="73"/>
      <c r="O1087" s="73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14.25" customHeight="1" x14ac:dyDescent="0.35">
      <c r="A1088" s="9">
        <f t="shared" si="57"/>
        <v>1080</v>
      </c>
      <c r="B1088" s="15"/>
      <c r="C1088" s="11">
        <f t="shared" si="58"/>
        <v>1</v>
      </c>
      <c r="D1088" s="11"/>
      <c r="E1088" s="11"/>
      <c r="F1088" s="11"/>
      <c r="G1088" s="89">
        <f>IFERROR(VLOOKUP(F1088,COA!$A$1:$K$26,2,FALSE),0)</f>
        <v>0</v>
      </c>
      <c r="H1088" s="11"/>
      <c r="I1088" s="11"/>
      <c r="J1088" s="78"/>
      <c r="K1088" s="78"/>
      <c r="L1088" s="146">
        <f t="shared" si="56"/>
        <v>13126700</v>
      </c>
      <c r="M1088" s="73"/>
      <c r="N1088" s="73"/>
      <c r="O1088" s="73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14.25" customHeight="1" x14ac:dyDescent="0.35">
      <c r="A1089" s="9">
        <f t="shared" si="57"/>
        <v>1081</v>
      </c>
      <c r="B1089" s="15"/>
      <c r="C1089" s="11">
        <f t="shared" si="58"/>
        <v>1</v>
      </c>
      <c r="D1089" s="11"/>
      <c r="E1089" s="11"/>
      <c r="F1089" s="11"/>
      <c r="G1089" s="89">
        <f>IFERROR(VLOOKUP(F1089,COA!$A$1:$K$26,2,FALSE),0)</f>
        <v>0</v>
      </c>
      <c r="H1089" s="11"/>
      <c r="I1089" s="11"/>
      <c r="J1089" s="78"/>
      <c r="K1089" s="78"/>
      <c r="L1089" s="146">
        <f t="shared" si="56"/>
        <v>13126700</v>
      </c>
      <c r="M1089" s="73"/>
      <c r="N1089" s="73"/>
      <c r="O1089" s="73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14.25" customHeight="1" x14ac:dyDescent="0.35">
      <c r="A1090" s="9">
        <f t="shared" si="57"/>
        <v>1082</v>
      </c>
      <c r="B1090" s="15"/>
      <c r="C1090" s="11">
        <f t="shared" si="58"/>
        <v>1</v>
      </c>
      <c r="D1090" s="11"/>
      <c r="E1090" s="11"/>
      <c r="F1090" s="11"/>
      <c r="G1090" s="89">
        <f>IFERROR(VLOOKUP(F1090,COA!$A$1:$K$26,2,FALSE),0)</f>
        <v>0</v>
      </c>
      <c r="H1090" s="11"/>
      <c r="I1090" s="11"/>
      <c r="J1090" s="78"/>
      <c r="K1090" s="78"/>
      <c r="L1090" s="146">
        <f t="shared" si="56"/>
        <v>13126700</v>
      </c>
      <c r="M1090" s="73"/>
      <c r="N1090" s="73"/>
      <c r="O1090" s="73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14.25" customHeight="1" x14ac:dyDescent="0.35">
      <c r="A1091" s="9">
        <f t="shared" si="57"/>
        <v>1083</v>
      </c>
      <c r="B1091" s="15"/>
      <c r="C1091" s="11">
        <f t="shared" si="58"/>
        <v>1</v>
      </c>
      <c r="D1091" s="11"/>
      <c r="E1091" s="11"/>
      <c r="F1091" s="11"/>
      <c r="G1091" s="89">
        <f>IFERROR(VLOOKUP(F1091,COA!$A$1:$K$26,2,FALSE),0)</f>
        <v>0</v>
      </c>
      <c r="H1091" s="11"/>
      <c r="I1091" s="11"/>
      <c r="J1091" s="78"/>
      <c r="K1091" s="78"/>
      <c r="L1091" s="146">
        <f t="shared" si="56"/>
        <v>13126700</v>
      </c>
      <c r="M1091" s="73"/>
      <c r="N1091" s="73"/>
      <c r="O1091" s="73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14.25" customHeight="1" x14ac:dyDescent="0.35">
      <c r="A1092" s="9">
        <f t="shared" si="57"/>
        <v>1084</v>
      </c>
      <c r="B1092" s="15"/>
      <c r="C1092" s="11">
        <f t="shared" si="58"/>
        <v>1</v>
      </c>
      <c r="D1092" s="11"/>
      <c r="E1092" s="11"/>
      <c r="F1092" s="11"/>
      <c r="G1092" s="89">
        <f>IFERROR(VLOOKUP(F1092,COA!$A$1:$K$26,2,FALSE),0)</f>
        <v>0</v>
      </c>
      <c r="H1092" s="11"/>
      <c r="I1092" s="11"/>
      <c r="J1092" s="78"/>
      <c r="K1092" s="78"/>
      <c r="L1092" s="146">
        <f t="shared" si="56"/>
        <v>13126700</v>
      </c>
      <c r="M1092" s="73"/>
      <c r="N1092" s="73"/>
      <c r="O1092" s="73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14.25" customHeight="1" x14ac:dyDescent="0.35">
      <c r="A1093" s="9">
        <f t="shared" si="57"/>
        <v>1085</v>
      </c>
      <c r="B1093" s="15"/>
      <c r="C1093" s="11">
        <f t="shared" si="58"/>
        <v>1</v>
      </c>
      <c r="D1093" s="11"/>
      <c r="E1093" s="11"/>
      <c r="F1093" s="11"/>
      <c r="G1093" s="89">
        <f>IFERROR(VLOOKUP(F1093,COA!$A$1:$K$26,2,FALSE),0)</f>
        <v>0</v>
      </c>
      <c r="H1093" s="11"/>
      <c r="I1093" s="11"/>
      <c r="J1093" s="78"/>
      <c r="K1093" s="78"/>
      <c r="L1093" s="146">
        <f t="shared" si="56"/>
        <v>13126700</v>
      </c>
      <c r="M1093" s="73"/>
      <c r="N1093" s="73"/>
      <c r="O1093" s="73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14.25" customHeight="1" x14ac:dyDescent="0.35">
      <c r="A1094" s="9">
        <f t="shared" si="57"/>
        <v>1086</v>
      </c>
      <c r="B1094" s="15"/>
      <c r="C1094" s="11">
        <f t="shared" si="58"/>
        <v>1</v>
      </c>
      <c r="D1094" s="11"/>
      <c r="E1094" s="11"/>
      <c r="F1094" s="11"/>
      <c r="G1094" s="89">
        <f>IFERROR(VLOOKUP(F1094,COA!$A$1:$K$26,2,FALSE),0)</f>
        <v>0</v>
      </c>
      <c r="H1094" s="11"/>
      <c r="I1094" s="11"/>
      <c r="J1094" s="78"/>
      <c r="K1094" s="78"/>
      <c r="L1094" s="146">
        <f t="shared" si="56"/>
        <v>13126700</v>
      </c>
      <c r="M1094" s="73"/>
      <c r="N1094" s="73"/>
      <c r="O1094" s="73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14.25" customHeight="1" x14ac:dyDescent="0.35">
      <c r="A1095" s="9">
        <f t="shared" si="57"/>
        <v>1087</v>
      </c>
      <c r="B1095" s="15"/>
      <c r="C1095" s="11">
        <f t="shared" si="58"/>
        <v>1</v>
      </c>
      <c r="D1095" s="11"/>
      <c r="E1095" s="11"/>
      <c r="F1095" s="11"/>
      <c r="G1095" s="89">
        <f>IFERROR(VLOOKUP(F1095,COA!$A$1:$K$26,2,FALSE),0)</f>
        <v>0</v>
      </c>
      <c r="H1095" s="11"/>
      <c r="I1095" s="11"/>
      <c r="J1095" s="78"/>
      <c r="K1095" s="78"/>
      <c r="L1095" s="146">
        <f t="shared" si="56"/>
        <v>13126700</v>
      </c>
      <c r="M1095" s="73"/>
      <c r="N1095" s="73"/>
      <c r="O1095" s="73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14.25" customHeight="1" x14ac:dyDescent="0.35">
      <c r="A1096" s="9">
        <f t="shared" si="57"/>
        <v>1088</v>
      </c>
      <c r="B1096" s="15"/>
      <c r="C1096" s="11">
        <f t="shared" si="58"/>
        <v>1</v>
      </c>
      <c r="D1096" s="11"/>
      <c r="E1096" s="11"/>
      <c r="F1096" s="11"/>
      <c r="G1096" s="89">
        <f>IFERROR(VLOOKUP(F1096,COA!$A$1:$K$26,2,FALSE),0)</f>
        <v>0</v>
      </c>
      <c r="H1096" s="11"/>
      <c r="I1096" s="11"/>
      <c r="J1096" s="78"/>
      <c r="K1096" s="78"/>
      <c r="L1096" s="146">
        <f t="shared" si="56"/>
        <v>13126700</v>
      </c>
      <c r="M1096" s="73"/>
      <c r="N1096" s="73"/>
      <c r="O1096" s="73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14.25" customHeight="1" x14ac:dyDescent="0.35">
      <c r="A1097" s="9">
        <f t="shared" si="57"/>
        <v>1089</v>
      </c>
      <c r="B1097" s="15"/>
      <c r="C1097" s="11">
        <f t="shared" si="58"/>
        <v>1</v>
      </c>
      <c r="D1097" s="11"/>
      <c r="E1097" s="11"/>
      <c r="F1097" s="11"/>
      <c r="G1097" s="89">
        <f>IFERROR(VLOOKUP(F1097,COA!$A$1:$K$26,2,FALSE),0)</f>
        <v>0</v>
      </c>
      <c r="H1097" s="11"/>
      <c r="I1097" s="11"/>
      <c r="J1097" s="78"/>
      <c r="K1097" s="78"/>
      <c r="L1097" s="146">
        <f t="shared" si="56"/>
        <v>13126700</v>
      </c>
      <c r="M1097" s="73"/>
      <c r="N1097" s="73"/>
      <c r="O1097" s="73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14.25" customHeight="1" x14ac:dyDescent="0.35">
      <c r="A1098" s="9">
        <f t="shared" si="57"/>
        <v>1090</v>
      </c>
      <c r="B1098" s="15"/>
      <c r="C1098" s="11">
        <f t="shared" si="58"/>
        <v>1</v>
      </c>
      <c r="D1098" s="11"/>
      <c r="E1098" s="11"/>
      <c r="F1098" s="11"/>
      <c r="G1098" s="89">
        <f>IFERROR(VLOOKUP(F1098,COA!$A$1:$K$26,2,FALSE),0)</f>
        <v>0</v>
      </c>
      <c r="H1098" s="11"/>
      <c r="I1098" s="11"/>
      <c r="J1098" s="78"/>
      <c r="K1098" s="78"/>
      <c r="L1098" s="146">
        <f t="shared" si="56"/>
        <v>13126700</v>
      </c>
      <c r="M1098" s="73"/>
      <c r="N1098" s="73"/>
      <c r="O1098" s="73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14.25" customHeight="1" x14ac:dyDescent="0.35">
      <c r="A1099" s="9">
        <f t="shared" si="57"/>
        <v>1091</v>
      </c>
      <c r="B1099" s="15"/>
      <c r="C1099" s="11">
        <f t="shared" si="58"/>
        <v>1</v>
      </c>
      <c r="D1099" s="11"/>
      <c r="E1099" s="11"/>
      <c r="F1099" s="11"/>
      <c r="G1099" s="89">
        <f>IFERROR(VLOOKUP(F1099,COA!$A$1:$K$26,2,FALSE),0)</f>
        <v>0</v>
      </c>
      <c r="H1099" s="11"/>
      <c r="I1099" s="11"/>
      <c r="J1099" s="78"/>
      <c r="K1099" s="78"/>
      <c r="L1099" s="146">
        <f t="shared" si="56"/>
        <v>13126700</v>
      </c>
      <c r="M1099" s="73"/>
      <c r="N1099" s="73"/>
      <c r="O1099" s="73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14.25" customHeight="1" x14ac:dyDescent="0.35">
      <c r="A1100" s="9">
        <f t="shared" si="57"/>
        <v>1092</v>
      </c>
      <c r="B1100" s="15"/>
      <c r="C1100" s="11">
        <f t="shared" si="58"/>
        <v>1</v>
      </c>
      <c r="D1100" s="11"/>
      <c r="E1100" s="11"/>
      <c r="F1100" s="11"/>
      <c r="G1100" s="89">
        <f>IFERROR(VLOOKUP(F1100,COA!$A$1:$K$26,2,FALSE),0)</f>
        <v>0</v>
      </c>
      <c r="H1100" s="11"/>
      <c r="I1100" s="11"/>
      <c r="J1100" s="78"/>
      <c r="K1100" s="78"/>
      <c r="L1100" s="146">
        <f t="shared" si="56"/>
        <v>13126700</v>
      </c>
      <c r="M1100" s="73"/>
      <c r="N1100" s="73"/>
      <c r="O1100" s="73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14.25" customHeight="1" x14ac:dyDescent="0.35">
      <c r="A1101" s="9">
        <f t="shared" si="57"/>
        <v>1093</v>
      </c>
      <c r="B1101" s="15"/>
      <c r="C1101" s="11">
        <f t="shared" si="58"/>
        <v>1</v>
      </c>
      <c r="D1101" s="11"/>
      <c r="E1101" s="11"/>
      <c r="F1101" s="11"/>
      <c r="G1101" s="89">
        <f>IFERROR(VLOOKUP(F1101,COA!$A$1:$K$26,2,FALSE),0)</f>
        <v>0</v>
      </c>
      <c r="H1101" s="11"/>
      <c r="I1101" s="11"/>
      <c r="J1101" s="78"/>
      <c r="K1101" s="78"/>
      <c r="L1101" s="146">
        <f t="shared" si="56"/>
        <v>13126700</v>
      </c>
      <c r="M1101" s="73"/>
      <c r="N1101" s="73"/>
      <c r="O1101" s="73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14.25" customHeight="1" x14ac:dyDescent="0.35">
      <c r="A1102" s="9">
        <f t="shared" si="57"/>
        <v>1094</v>
      </c>
      <c r="B1102" s="15"/>
      <c r="C1102" s="11">
        <f t="shared" si="58"/>
        <v>1</v>
      </c>
      <c r="D1102" s="11"/>
      <c r="E1102" s="11"/>
      <c r="F1102" s="11"/>
      <c r="G1102" s="89">
        <f>IFERROR(VLOOKUP(F1102,COA!$A$1:$K$26,2,FALSE),0)</f>
        <v>0</v>
      </c>
      <c r="H1102" s="11"/>
      <c r="I1102" s="11"/>
      <c r="J1102" s="78"/>
      <c r="K1102" s="78"/>
      <c r="L1102" s="146">
        <f t="shared" si="56"/>
        <v>13126700</v>
      </c>
      <c r="M1102" s="73"/>
      <c r="N1102" s="73"/>
      <c r="O1102" s="73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14.25" customHeight="1" x14ac:dyDescent="0.35">
      <c r="A1103" s="9">
        <f t="shared" si="57"/>
        <v>1095</v>
      </c>
      <c r="B1103" s="15"/>
      <c r="C1103" s="11">
        <f t="shared" si="58"/>
        <v>1</v>
      </c>
      <c r="D1103" s="11"/>
      <c r="E1103" s="11"/>
      <c r="F1103" s="11"/>
      <c r="G1103" s="89">
        <f>IFERROR(VLOOKUP(F1103,COA!$A$1:$K$26,2,FALSE),0)</f>
        <v>0</v>
      </c>
      <c r="H1103" s="11"/>
      <c r="I1103" s="11"/>
      <c r="J1103" s="78"/>
      <c r="K1103" s="78"/>
      <c r="L1103" s="146">
        <f t="shared" si="56"/>
        <v>13126700</v>
      </c>
      <c r="M1103" s="73"/>
      <c r="N1103" s="73"/>
      <c r="O1103" s="73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14.25" customHeight="1" x14ac:dyDescent="0.35">
      <c r="A1104" s="9">
        <f t="shared" si="57"/>
        <v>1096</v>
      </c>
      <c r="B1104" s="15"/>
      <c r="C1104" s="11">
        <f t="shared" si="58"/>
        <v>1</v>
      </c>
      <c r="D1104" s="11"/>
      <c r="E1104" s="11"/>
      <c r="F1104" s="11"/>
      <c r="G1104" s="89">
        <f>IFERROR(VLOOKUP(F1104,COA!$A$1:$K$26,2,FALSE),0)</f>
        <v>0</v>
      </c>
      <c r="H1104" s="11"/>
      <c r="I1104" s="11"/>
      <c r="J1104" s="78"/>
      <c r="K1104" s="78"/>
      <c r="L1104" s="146">
        <f t="shared" ref="L1104:L1167" si="59">L1103+J1104-K1104</f>
        <v>13126700</v>
      </c>
      <c r="M1104" s="73"/>
      <c r="N1104" s="73"/>
      <c r="O1104" s="73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14.25" customHeight="1" x14ac:dyDescent="0.35">
      <c r="A1105" s="9">
        <f t="shared" si="57"/>
        <v>1097</v>
      </c>
      <c r="B1105" s="15"/>
      <c r="C1105" s="11">
        <f t="shared" si="58"/>
        <v>1</v>
      </c>
      <c r="D1105" s="11"/>
      <c r="E1105" s="11"/>
      <c r="F1105" s="11"/>
      <c r="G1105" s="89">
        <f>IFERROR(VLOOKUP(F1105,COA!$A$1:$K$26,2,FALSE),0)</f>
        <v>0</v>
      </c>
      <c r="H1105" s="11"/>
      <c r="I1105" s="11"/>
      <c r="J1105" s="78"/>
      <c r="K1105" s="78"/>
      <c r="L1105" s="146">
        <f t="shared" si="59"/>
        <v>13126700</v>
      </c>
      <c r="M1105" s="73"/>
      <c r="N1105" s="73"/>
      <c r="O1105" s="73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14.25" customHeight="1" x14ac:dyDescent="0.35">
      <c r="A1106" s="9">
        <f t="shared" ref="A1106:A1169" si="60">A1105+1</f>
        <v>1098</v>
      </c>
      <c r="B1106" s="15"/>
      <c r="C1106" s="11">
        <f t="shared" si="58"/>
        <v>1</v>
      </c>
      <c r="D1106" s="11"/>
      <c r="E1106" s="11"/>
      <c r="F1106" s="11"/>
      <c r="G1106" s="89">
        <f>IFERROR(VLOOKUP(F1106,COA!$A$1:$K$26,2,FALSE),0)</f>
        <v>0</v>
      </c>
      <c r="H1106" s="11"/>
      <c r="I1106" s="11"/>
      <c r="J1106" s="78"/>
      <c r="K1106" s="78"/>
      <c r="L1106" s="146">
        <f t="shared" si="59"/>
        <v>13126700</v>
      </c>
      <c r="M1106" s="73"/>
      <c r="N1106" s="73"/>
      <c r="O1106" s="73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14.25" customHeight="1" x14ac:dyDescent="0.35">
      <c r="A1107" s="9">
        <f t="shared" si="60"/>
        <v>1099</v>
      </c>
      <c r="B1107" s="15"/>
      <c r="C1107" s="11">
        <f t="shared" si="58"/>
        <v>1</v>
      </c>
      <c r="D1107" s="11"/>
      <c r="E1107" s="11"/>
      <c r="F1107" s="11"/>
      <c r="G1107" s="89">
        <f>IFERROR(VLOOKUP(F1107,COA!$A$1:$K$26,2,FALSE),0)</f>
        <v>0</v>
      </c>
      <c r="H1107" s="11"/>
      <c r="I1107" s="11"/>
      <c r="J1107" s="78"/>
      <c r="K1107" s="78"/>
      <c r="L1107" s="146">
        <f t="shared" si="59"/>
        <v>13126700</v>
      </c>
      <c r="M1107" s="73"/>
      <c r="N1107" s="73"/>
      <c r="O1107" s="73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14.25" customHeight="1" x14ac:dyDescent="0.35">
      <c r="A1108" s="9">
        <f t="shared" si="60"/>
        <v>1100</v>
      </c>
      <c r="B1108" s="15"/>
      <c r="C1108" s="11">
        <f t="shared" si="58"/>
        <v>1</v>
      </c>
      <c r="D1108" s="11"/>
      <c r="E1108" s="11"/>
      <c r="F1108" s="11"/>
      <c r="G1108" s="89">
        <f>IFERROR(VLOOKUP(F1108,COA!$A$1:$K$26,2,FALSE),0)</f>
        <v>0</v>
      </c>
      <c r="H1108" s="11"/>
      <c r="I1108" s="11"/>
      <c r="J1108" s="78"/>
      <c r="K1108" s="78"/>
      <c r="L1108" s="146">
        <f t="shared" si="59"/>
        <v>13126700</v>
      </c>
      <c r="M1108" s="73"/>
      <c r="N1108" s="73"/>
      <c r="O1108" s="73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14.25" customHeight="1" x14ac:dyDescent="0.35">
      <c r="A1109" s="9">
        <f t="shared" si="60"/>
        <v>1101</v>
      </c>
      <c r="B1109" s="15"/>
      <c r="C1109" s="11">
        <f t="shared" si="58"/>
        <v>1</v>
      </c>
      <c r="D1109" s="11"/>
      <c r="E1109" s="11"/>
      <c r="F1109" s="11"/>
      <c r="G1109" s="89">
        <f>IFERROR(VLOOKUP(F1109,COA!$A$1:$K$26,2,FALSE),0)</f>
        <v>0</v>
      </c>
      <c r="H1109" s="11"/>
      <c r="I1109" s="11"/>
      <c r="J1109" s="78"/>
      <c r="K1109" s="78"/>
      <c r="L1109" s="146">
        <f t="shared" si="59"/>
        <v>13126700</v>
      </c>
      <c r="M1109" s="73"/>
      <c r="N1109" s="73"/>
      <c r="O1109" s="73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14.25" customHeight="1" x14ac:dyDescent="0.35">
      <c r="A1110" s="9">
        <f t="shared" si="60"/>
        <v>1102</v>
      </c>
      <c r="B1110" s="15"/>
      <c r="C1110" s="11">
        <f t="shared" si="58"/>
        <v>1</v>
      </c>
      <c r="D1110" s="11"/>
      <c r="E1110" s="11"/>
      <c r="F1110" s="11"/>
      <c r="G1110" s="89">
        <f>IFERROR(VLOOKUP(F1110,COA!$A$1:$K$26,2,FALSE),0)</f>
        <v>0</v>
      </c>
      <c r="H1110" s="11"/>
      <c r="I1110" s="11"/>
      <c r="J1110" s="78"/>
      <c r="K1110" s="78"/>
      <c r="L1110" s="146">
        <f t="shared" si="59"/>
        <v>13126700</v>
      </c>
      <c r="M1110" s="73"/>
      <c r="N1110" s="73"/>
      <c r="O1110" s="73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14.25" customHeight="1" x14ac:dyDescent="0.35">
      <c r="A1111" s="9">
        <f t="shared" si="60"/>
        <v>1103</v>
      </c>
      <c r="B1111" s="15"/>
      <c r="C1111" s="11">
        <f t="shared" si="58"/>
        <v>1</v>
      </c>
      <c r="D1111" s="11"/>
      <c r="E1111" s="11"/>
      <c r="F1111" s="11"/>
      <c r="G1111" s="89">
        <f>IFERROR(VLOOKUP(F1111,COA!$A$1:$K$26,2,FALSE),0)</f>
        <v>0</v>
      </c>
      <c r="H1111" s="11"/>
      <c r="I1111" s="11"/>
      <c r="J1111" s="78"/>
      <c r="K1111" s="78"/>
      <c r="L1111" s="146">
        <f t="shared" si="59"/>
        <v>13126700</v>
      </c>
      <c r="M1111" s="73"/>
      <c r="N1111" s="73"/>
      <c r="O1111" s="73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14.25" customHeight="1" x14ac:dyDescent="0.35">
      <c r="A1112" s="9">
        <f t="shared" si="60"/>
        <v>1104</v>
      </c>
      <c r="B1112" s="15"/>
      <c r="C1112" s="11">
        <f t="shared" si="58"/>
        <v>1</v>
      </c>
      <c r="D1112" s="11"/>
      <c r="E1112" s="11"/>
      <c r="F1112" s="11"/>
      <c r="G1112" s="89">
        <f>IFERROR(VLOOKUP(F1112,COA!$A$1:$K$26,2,FALSE),0)</f>
        <v>0</v>
      </c>
      <c r="H1112" s="11"/>
      <c r="I1112" s="11"/>
      <c r="J1112" s="78"/>
      <c r="K1112" s="78"/>
      <c r="L1112" s="146">
        <f t="shared" si="59"/>
        <v>13126700</v>
      </c>
      <c r="M1112" s="73"/>
      <c r="N1112" s="73"/>
      <c r="O1112" s="73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14.25" customHeight="1" x14ac:dyDescent="0.35">
      <c r="A1113" s="9">
        <f t="shared" si="60"/>
        <v>1105</v>
      </c>
      <c r="B1113" s="15"/>
      <c r="C1113" s="11">
        <f t="shared" si="58"/>
        <v>1</v>
      </c>
      <c r="D1113" s="11"/>
      <c r="E1113" s="11"/>
      <c r="F1113" s="11"/>
      <c r="G1113" s="89">
        <f>IFERROR(VLOOKUP(F1113,COA!$A$1:$K$26,2,FALSE),0)</f>
        <v>0</v>
      </c>
      <c r="H1113" s="11"/>
      <c r="I1113" s="11"/>
      <c r="J1113" s="78"/>
      <c r="K1113" s="78"/>
      <c r="L1113" s="146">
        <f t="shared" si="59"/>
        <v>13126700</v>
      </c>
      <c r="M1113" s="73"/>
      <c r="N1113" s="73"/>
      <c r="O1113" s="73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14.25" customHeight="1" x14ac:dyDescent="0.35">
      <c r="A1114" s="9">
        <f t="shared" si="60"/>
        <v>1106</v>
      </c>
      <c r="B1114" s="15"/>
      <c r="C1114" s="11">
        <f t="shared" si="58"/>
        <v>1</v>
      </c>
      <c r="D1114" s="11"/>
      <c r="E1114" s="11"/>
      <c r="F1114" s="11"/>
      <c r="G1114" s="89">
        <f>IFERROR(VLOOKUP(F1114,COA!$A$1:$K$26,2,FALSE),0)</f>
        <v>0</v>
      </c>
      <c r="H1114" s="11"/>
      <c r="I1114" s="11"/>
      <c r="J1114" s="78"/>
      <c r="K1114" s="78"/>
      <c r="L1114" s="146">
        <f t="shared" si="59"/>
        <v>13126700</v>
      </c>
      <c r="M1114" s="73"/>
      <c r="N1114" s="73"/>
      <c r="O1114" s="73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14.25" customHeight="1" x14ac:dyDescent="0.35">
      <c r="A1115" s="9">
        <f t="shared" si="60"/>
        <v>1107</v>
      </c>
      <c r="B1115" s="15"/>
      <c r="C1115" s="11">
        <f t="shared" si="58"/>
        <v>1</v>
      </c>
      <c r="D1115" s="11"/>
      <c r="E1115" s="11"/>
      <c r="F1115" s="11"/>
      <c r="G1115" s="89">
        <f>IFERROR(VLOOKUP(F1115,COA!$A$1:$K$26,2,FALSE),0)</f>
        <v>0</v>
      </c>
      <c r="H1115" s="11"/>
      <c r="I1115" s="11"/>
      <c r="J1115" s="78"/>
      <c r="K1115" s="78"/>
      <c r="L1115" s="146">
        <f t="shared" si="59"/>
        <v>13126700</v>
      </c>
      <c r="M1115" s="73"/>
      <c r="N1115" s="73"/>
      <c r="O1115" s="73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14.25" customHeight="1" x14ac:dyDescent="0.35">
      <c r="A1116" s="9">
        <f t="shared" si="60"/>
        <v>1108</v>
      </c>
      <c r="B1116" s="15"/>
      <c r="C1116" s="11">
        <f t="shared" si="58"/>
        <v>1</v>
      </c>
      <c r="D1116" s="11"/>
      <c r="E1116" s="11"/>
      <c r="F1116" s="11"/>
      <c r="G1116" s="89">
        <f>IFERROR(VLOOKUP(F1116,COA!$A$1:$K$26,2,FALSE),0)</f>
        <v>0</v>
      </c>
      <c r="H1116" s="11"/>
      <c r="I1116" s="11"/>
      <c r="J1116" s="78"/>
      <c r="K1116" s="78"/>
      <c r="L1116" s="146">
        <f t="shared" si="59"/>
        <v>13126700</v>
      </c>
      <c r="M1116" s="73"/>
      <c r="N1116" s="73"/>
      <c r="O1116" s="73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14.25" customHeight="1" x14ac:dyDescent="0.35">
      <c r="A1117" s="9">
        <f t="shared" si="60"/>
        <v>1109</v>
      </c>
      <c r="B1117" s="15"/>
      <c r="C1117" s="11">
        <f t="shared" si="58"/>
        <v>1</v>
      </c>
      <c r="D1117" s="11"/>
      <c r="E1117" s="11"/>
      <c r="F1117" s="11"/>
      <c r="G1117" s="89">
        <f>IFERROR(VLOOKUP(F1117,COA!$A$1:$K$26,2,FALSE),0)</f>
        <v>0</v>
      </c>
      <c r="H1117" s="11"/>
      <c r="I1117" s="11"/>
      <c r="J1117" s="78"/>
      <c r="K1117" s="78"/>
      <c r="L1117" s="146">
        <f t="shared" si="59"/>
        <v>13126700</v>
      </c>
      <c r="M1117" s="73"/>
      <c r="N1117" s="73"/>
      <c r="O1117" s="73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14.25" customHeight="1" x14ac:dyDescent="0.35">
      <c r="A1118" s="9">
        <f t="shared" si="60"/>
        <v>1110</v>
      </c>
      <c r="B1118" s="15"/>
      <c r="C1118" s="11">
        <f t="shared" si="58"/>
        <v>1</v>
      </c>
      <c r="D1118" s="11"/>
      <c r="E1118" s="11"/>
      <c r="F1118" s="11"/>
      <c r="G1118" s="89">
        <f>IFERROR(VLOOKUP(F1118,COA!$A$1:$K$26,2,FALSE),0)</f>
        <v>0</v>
      </c>
      <c r="H1118" s="11"/>
      <c r="I1118" s="11"/>
      <c r="J1118" s="78"/>
      <c r="K1118" s="78"/>
      <c r="L1118" s="146">
        <f t="shared" si="59"/>
        <v>13126700</v>
      </c>
      <c r="M1118" s="73"/>
      <c r="N1118" s="73"/>
      <c r="O1118" s="73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14.25" customHeight="1" x14ac:dyDescent="0.35">
      <c r="A1119" s="9">
        <f t="shared" si="60"/>
        <v>1111</v>
      </c>
      <c r="B1119" s="15"/>
      <c r="C1119" s="11">
        <f t="shared" si="58"/>
        <v>1</v>
      </c>
      <c r="D1119" s="11"/>
      <c r="E1119" s="11"/>
      <c r="F1119" s="11"/>
      <c r="G1119" s="89">
        <f>IFERROR(VLOOKUP(F1119,COA!$A$1:$K$26,2,FALSE),0)</f>
        <v>0</v>
      </c>
      <c r="H1119" s="11"/>
      <c r="I1119" s="11"/>
      <c r="J1119" s="78"/>
      <c r="K1119" s="78"/>
      <c r="L1119" s="146">
        <f t="shared" si="59"/>
        <v>13126700</v>
      </c>
      <c r="M1119" s="73"/>
      <c r="N1119" s="73"/>
      <c r="O1119" s="73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14.25" customHeight="1" x14ac:dyDescent="0.35">
      <c r="A1120" s="9">
        <f t="shared" si="60"/>
        <v>1112</v>
      </c>
      <c r="B1120" s="15"/>
      <c r="C1120" s="11">
        <f t="shared" si="58"/>
        <v>1</v>
      </c>
      <c r="D1120" s="11"/>
      <c r="E1120" s="11"/>
      <c r="F1120" s="11"/>
      <c r="G1120" s="89">
        <f>IFERROR(VLOOKUP(F1120,COA!$A$1:$K$26,2,FALSE),0)</f>
        <v>0</v>
      </c>
      <c r="H1120" s="11"/>
      <c r="I1120" s="11"/>
      <c r="J1120" s="78"/>
      <c r="K1120" s="78"/>
      <c r="L1120" s="146">
        <f t="shared" si="59"/>
        <v>13126700</v>
      </c>
      <c r="M1120" s="73"/>
      <c r="N1120" s="73"/>
      <c r="O1120" s="73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14.25" customHeight="1" x14ac:dyDescent="0.35">
      <c r="A1121" s="9">
        <f t="shared" si="60"/>
        <v>1113</v>
      </c>
      <c r="B1121" s="15"/>
      <c r="C1121" s="11">
        <f t="shared" si="58"/>
        <v>1</v>
      </c>
      <c r="D1121" s="11"/>
      <c r="E1121" s="11"/>
      <c r="F1121" s="11"/>
      <c r="G1121" s="89">
        <f>IFERROR(VLOOKUP(F1121,COA!$A$1:$K$26,2,FALSE),0)</f>
        <v>0</v>
      </c>
      <c r="H1121" s="11"/>
      <c r="I1121" s="11"/>
      <c r="J1121" s="78"/>
      <c r="K1121" s="78"/>
      <c r="L1121" s="146">
        <f t="shared" si="59"/>
        <v>13126700</v>
      </c>
      <c r="M1121" s="73"/>
      <c r="N1121" s="73"/>
      <c r="O1121" s="73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14.25" customHeight="1" x14ac:dyDescent="0.35">
      <c r="A1122" s="9">
        <f t="shared" si="60"/>
        <v>1114</v>
      </c>
      <c r="B1122" s="15"/>
      <c r="C1122" s="11">
        <f t="shared" si="58"/>
        <v>1</v>
      </c>
      <c r="D1122" s="11"/>
      <c r="E1122" s="11"/>
      <c r="F1122" s="11"/>
      <c r="G1122" s="89">
        <f>IFERROR(VLOOKUP(F1122,COA!$A$1:$K$26,2,FALSE),0)</f>
        <v>0</v>
      </c>
      <c r="H1122" s="11"/>
      <c r="I1122" s="11"/>
      <c r="J1122" s="78"/>
      <c r="K1122" s="78"/>
      <c r="L1122" s="146">
        <f t="shared" si="59"/>
        <v>13126700</v>
      </c>
      <c r="M1122" s="73"/>
      <c r="N1122" s="73"/>
      <c r="O1122" s="73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14.25" customHeight="1" x14ac:dyDescent="0.35">
      <c r="A1123" s="9">
        <f t="shared" si="60"/>
        <v>1115</v>
      </c>
      <c r="B1123" s="15"/>
      <c r="C1123" s="11">
        <f t="shared" si="58"/>
        <v>1</v>
      </c>
      <c r="D1123" s="11"/>
      <c r="E1123" s="11"/>
      <c r="F1123" s="11"/>
      <c r="G1123" s="89">
        <f>IFERROR(VLOOKUP(F1123,COA!$A$1:$K$26,2,FALSE),0)</f>
        <v>0</v>
      </c>
      <c r="H1123" s="11"/>
      <c r="I1123" s="11"/>
      <c r="J1123" s="78"/>
      <c r="K1123" s="78"/>
      <c r="L1123" s="146">
        <f t="shared" si="59"/>
        <v>13126700</v>
      </c>
      <c r="M1123" s="73"/>
      <c r="N1123" s="73"/>
      <c r="O1123" s="73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14.25" customHeight="1" x14ac:dyDescent="0.35">
      <c r="A1124" s="9">
        <f t="shared" si="60"/>
        <v>1116</v>
      </c>
      <c r="B1124" s="15"/>
      <c r="C1124" s="11">
        <f t="shared" ref="C1124:C1187" si="61">MONTH(B1124)</f>
        <v>1</v>
      </c>
      <c r="D1124" s="11"/>
      <c r="E1124" s="11"/>
      <c r="F1124" s="11"/>
      <c r="G1124" s="89">
        <f>IFERROR(VLOOKUP(F1124,COA!$A$1:$K$26,2,FALSE),0)</f>
        <v>0</v>
      </c>
      <c r="H1124" s="11"/>
      <c r="I1124" s="11"/>
      <c r="J1124" s="78"/>
      <c r="K1124" s="78"/>
      <c r="L1124" s="146">
        <f t="shared" si="59"/>
        <v>13126700</v>
      </c>
      <c r="M1124" s="73"/>
      <c r="N1124" s="73"/>
      <c r="O1124" s="73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14.25" customHeight="1" x14ac:dyDescent="0.35">
      <c r="A1125" s="9">
        <f t="shared" si="60"/>
        <v>1117</v>
      </c>
      <c r="B1125" s="15"/>
      <c r="C1125" s="11">
        <f t="shared" si="61"/>
        <v>1</v>
      </c>
      <c r="D1125" s="11"/>
      <c r="E1125" s="11"/>
      <c r="F1125" s="11"/>
      <c r="G1125" s="89">
        <f>IFERROR(VLOOKUP(F1125,COA!$A$1:$K$26,2,FALSE),0)</f>
        <v>0</v>
      </c>
      <c r="H1125" s="11"/>
      <c r="I1125" s="11"/>
      <c r="J1125" s="78"/>
      <c r="K1125" s="78"/>
      <c r="L1125" s="146">
        <f t="shared" si="59"/>
        <v>13126700</v>
      </c>
      <c r="M1125" s="73"/>
      <c r="N1125" s="73"/>
      <c r="O1125" s="73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14.25" customHeight="1" x14ac:dyDescent="0.35">
      <c r="A1126" s="9">
        <f t="shared" si="60"/>
        <v>1118</v>
      </c>
      <c r="B1126" s="15"/>
      <c r="C1126" s="11">
        <f t="shared" si="61"/>
        <v>1</v>
      </c>
      <c r="D1126" s="11"/>
      <c r="E1126" s="11"/>
      <c r="F1126" s="11"/>
      <c r="G1126" s="89">
        <f>IFERROR(VLOOKUP(F1126,COA!$A$1:$K$26,2,FALSE),0)</f>
        <v>0</v>
      </c>
      <c r="H1126" s="11"/>
      <c r="I1126" s="11"/>
      <c r="J1126" s="78"/>
      <c r="K1126" s="78"/>
      <c r="L1126" s="146">
        <f t="shared" si="59"/>
        <v>13126700</v>
      </c>
      <c r="M1126" s="73"/>
      <c r="N1126" s="73"/>
      <c r="O1126" s="73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14.25" customHeight="1" x14ac:dyDescent="0.35">
      <c r="A1127" s="9">
        <f t="shared" si="60"/>
        <v>1119</v>
      </c>
      <c r="B1127" s="15"/>
      <c r="C1127" s="11">
        <f t="shared" si="61"/>
        <v>1</v>
      </c>
      <c r="D1127" s="11"/>
      <c r="E1127" s="11"/>
      <c r="F1127" s="11"/>
      <c r="G1127" s="89">
        <f>IFERROR(VLOOKUP(F1127,COA!$A$1:$K$26,2,FALSE),0)</f>
        <v>0</v>
      </c>
      <c r="H1127" s="11"/>
      <c r="I1127" s="11"/>
      <c r="J1127" s="78"/>
      <c r="K1127" s="78"/>
      <c r="L1127" s="146">
        <f t="shared" si="59"/>
        <v>13126700</v>
      </c>
      <c r="M1127" s="73"/>
      <c r="N1127" s="73"/>
      <c r="O1127" s="73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14.25" customHeight="1" x14ac:dyDescent="0.35">
      <c r="A1128" s="9">
        <f t="shared" si="60"/>
        <v>1120</v>
      </c>
      <c r="B1128" s="15"/>
      <c r="C1128" s="11">
        <f t="shared" si="61"/>
        <v>1</v>
      </c>
      <c r="D1128" s="11"/>
      <c r="E1128" s="11"/>
      <c r="F1128" s="11"/>
      <c r="G1128" s="89">
        <f>IFERROR(VLOOKUP(F1128,COA!$A$1:$K$26,2,FALSE),0)</f>
        <v>0</v>
      </c>
      <c r="H1128" s="11"/>
      <c r="I1128" s="11"/>
      <c r="J1128" s="78"/>
      <c r="K1128" s="78"/>
      <c r="L1128" s="146">
        <f t="shared" si="59"/>
        <v>13126700</v>
      </c>
      <c r="M1128" s="73"/>
      <c r="N1128" s="73"/>
      <c r="O1128" s="73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14.25" customHeight="1" x14ac:dyDescent="0.35">
      <c r="A1129" s="9">
        <f t="shared" si="60"/>
        <v>1121</v>
      </c>
      <c r="B1129" s="15"/>
      <c r="C1129" s="11">
        <f t="shared" si="61"/>
        <v>1</v>
      </c>
      <c r="D1129" s="11"/>
      <c r="E1129" s="11"/>
      <c r="F1129" s="11"/>
      <c r="G1129" s="89">
        <f>IFERROR(VLOOKUP(F1129,COA!$A$1:$K$26,2,FALSE),0)</f>
        <v>0</v>
      </c>
      <c r="H1129" s="11"/>
      <c r="I1129" s="11"/>
      <c r="J1129" s="78"/>
      <c r="K1129" s="78"/>
      <c r="L1129" s="146">
        <f t="shared" si="59"/>
        <v>13126700</v>
      </c>
      <c r="M1129" s="73"/>
      <c r="N1129" s="73"/>
      <c r="O1129" s="73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14.25" customHeight="1" x14ac:dyDescent="0.35">
      <c r="A1130" s="9">
        <f t="shared" si="60"/>
        <v>1122</v>
      </c>
      <c r="B1130" s="15"/>
      <c r="C1130" s="11">
        <f t="shared" si="61"/>
        <v>1</v>
      </c>
      <c r="D1130" s="11"/>
      <c r="E1130" s="11"/>
      <c r="F1130" s="11"/>
      <c r="G1130" s="89">
        <f>IFERROR(VLOOKUP(F1130,COA!$A$1:$K$26,2,FALSE),0)</f>
        <v>0</v>
      </c>
      <c r="H1130" s="11"/>
      <c r="I1130" s="11"/>
      <c r="J1130" s="78"/>
      <c r="K1130" s="78"/>
      <c r="L1130" s="146">
        <f t="shared" si="59"/>
        <v>13126700</v>
      </c>
      <c r="M1130" s="73"/>
      <c r="N1130" s="73"/>
      <c r="O1130" s="73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14.25" customHeight="1" x14ac:dyDescent="0.35">
      <c r="A1131" s="9">
        <f t="shared" si="60"/>
        <v>1123</v>
      </c>
      <c r="B1131" s="15"/>
      <c r="C1131" s="11">
        <f t="shared" si="61"/>
        <v>1</v>
      </c>
      <c r="D1131" s="11"/>
      <c r="E1131" s="11"/>
      <c r="F1131" s="11"/>
      <c r="G1131" s="89">
        <f>IFERROR(VLOOKUP(F1131,COA!$A$1:$K$26,2,FALSE),0)</f>
        <v>0</v>
      </c>
      <c r="H1131" s="11"/>
      <c r="I1131" s="11"/>
      <c r="J1131" s="78"/>
      <c r="K1131" s="78"/>
      <c r="L1131" s="146">
        <f t="shared" si="59"/>
        <v>13126700</v>
      </c>
      <c r="M1131" s="73"/>
      <c r="N1131" s="73"/>
      <c r="O1131" s="73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14.25" customHeight="1" x14ac:dyDescent="0.35">
      <c r="A1132" s="9">
        <f t="shared" si="60"/>
        <v>1124</v>
      </c>
      <c r="B1132" s="15"/>
      <c r="C1132" s="11">
        <f t="shared" si="61"/>
        <v>1</v>
      </c>
      <c r="D1132" s="11"/>
      <c r="E1132" s="11"/>
      <c r="F1132" s="11"/>
      <c r="G1132" s="89">
        <f>IFERROR(VLOOKUP(F1132,COA!$A$1:$K$26,2,FALSE),0)</f>
        <v>0</v>
      </c>
      <c r="H1132" s="11"/>
      <c r="I1132" s="11"/>
      <c r="J1132" s="78"/>
      <c r="K1132" s="78"/>
      <c r="L1132" s="146">
        <f t="shared" si="59"/>
        <v>13126700</v>
      </c>
      <c r="M1132" s="73"/>
      <c r="N1132" s="73"/>
      <c r="O1132" s="73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14.25" customHeight="1" x14ac:dyDescent="0.35">
      <c r="A1133" s="9">
        <f t="shared" si="60"/>
        <v>1125</v>
      </c>
      <c r="B1133" s="15"/>
      <c r="C1133" s="11">
        <f t="shared" si="61"/>
        <v>1</v>
      </c>
      <c r="D1133" s="11"/>
      <c r="E1133" s="11"/>
      <c r="F1133" s="11"/>
      <c r="G1133" s="89">
        <f>IFERROR(VLOOKUP(F1133,COA!$A$1:$K$26,2,FALSE),0)</f>
        <v>0</v>
      </c>
      <c r="H1133" s="11"/>
      <c r="I1133" s="11"/>
      <c r="J1133" s="78"/>
      <c r="K1133" s="78"/>
      <c r="L1133" s="146">
        <f t="shared" si="59"/>
        <v>13126700</v>
      </c>
      <c r="M1133" s="73"/>
      <c r="N1133" s="73"/>
      <c r="O1133" s="73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14.25" customHeight="1" x14ac:dyDescent="0.35">
      <c r="A1134" s="9">
        <f t="shared" si="60"/>
        <v>1126</v>
      </c>
      <c r="B1134" s="15"/>
      <c r="C1134" s="11">
        <f t="shared" si="61"/>
        <v>1</v>
      </c>
      <c r="D1134" s="11"/>
      <c r="E1134" s="11"/>
      <c r="F1134" s="11"/>
      <c r="G1134" s="89">
        <f>IFERROR(VLOOKUP(F1134,COA!$A$1:$K$26,2,FALSE),0)</f>
        <v>0</v>
      </c>
      <c r="H1134" s="11"/>
      <c r="I1134" s="11"/>
      <c r="J1134" s="78"/>
      <c r="K1134" s="78"/>
      <c r="L1134" s="146">
        <f t="shared" si="59"/>
        <v>13126700</v>
      </c>
      <c r="M1134" s="73"/>
      <c r="N1134" s="73"/>
      <c r="O1134" s="73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14.25" customHeight="1" x14ac:dyDescent="0.35">
      <c r="A1135" s="9">
        <f t="shared" si="60"/>
        <v>1127</v>
      </c>
      <c r="B1135" s="15"/>
      <c r="C1135" s="11">
        <f t="shared" si="61"/>
        <v>1</v>
      </c>
      <c r="D1135" s="11"/>
      <c r="E1135" s="11"/>
      <c r="F1135" s="11"/>
      <c r="G1135" s="89">
        <f>IFERROR(VLOOKUP(F1135,COA!$A$1:$K$26,2,FALSE),0)</f>
        <v>0</v>
      </c>
      <c r="H1135" s="11"/>
      <c r="I1135" s="11"/>
      <c r="J1135" s="78"/>
      <c r="K1135" s="78"/>
      <c r="L1135" s="146">
        <f t="shared" si="59"/>
        <v>13126700</v>
      </c>
      <c r="M1135" s="73"/>
      <c r="N1135" s="73"/>
      <c r="O1135" s="73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14.25" customHeight="1" x14ac:dyDescent="0.35">
      <c r="A1136" s="9">
        <f t="shared" si="60"/>
        <v>1128</v>
      </c>
      <c r="B1136" s="15"/>
      <c r="C1136" s="11">
        <f t="shared" si="61"/>
        <v>1</v>
      </c>
      <c r="D1136" s="11"/>
      <c r="E1136" s="11"/>
      <c r="F1136" s="11"/>
      <c r="G1136" s="89">
        <f>IFERROR(VLOOKUP(F1136,COA!$A$1:$K$26,2,FALSE),0)</f>
        <v>0</v>
      </c>
      <c r="H1136" s="11"/>
      <c r="I1136" s="11"/>
      <c r="J1136" s="78"/>
      <c r="K1136" s="78"/>
      <c r="L1136" s="146">
        <f t="shared" si="59"/>
        <v>13126700</v>
      </c>
      <c r="M1136" s="73"/>
      <c r="N1136" s="73"/>
      <c r="O1136" s="73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14.25" customHeight="1" x14ac:dyDescent="0.35">
      <c r="A1137" s="9">
        <f t="shared" si="60"/>
        <v>1129</v>
      </c>
      <c r="B1137" s="15"/>
      <c r="C1137" s="11">
        <f t="shared" si="61"/>
        <v>1</v>
      </c>
      <c r="D1137" s="11"/>
      <c r="E1137" s="11"/>
      <c r="F1137" s="11"/>
      <c r="G1137" s="89">
        <f>IFERROR(VLOOKUP(F1137,COA!$A$1:$K$26,2,FALSE),0)</f>
        <v>0</v>
      </c>
      <c r="H1137" s="11"/>
      <c r="I1137" s="11"/>
      <c r="J1137" s="78"/>
      <c r="K1137" s="78"/>
      <c r="L1137" s="146">
        <f t="shared" si="59"/>
        <v>13126700</v>
      </c>
      <c r="M1137" s="73"/>
      <c r="N1137" s="73"/>
      <c r="O1137" s="73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14.25" customHeight="1" x14ac:dyDescent="0.35">
      <c r="A1138" s="9">
        <f t="shared" si="60"/>
        <v>1130</v>
      </c>
      <c r="B1138" s="15"/>
      <c r="C1138" s="11">
        <f t="shared" si="61"/>
        <v>1</v>
      </c>
      <c r="D1138" s="11"/>
      <c r="E1138" s="11"/>
      <c r="F1138" s="11"/>
      <c r="G1138" s="89">
        <f>IFERROR(VLOOKUP(F1138,COA!$A$1:$K$26,2,FALSE),0)</f>
        <v>0</v>
      </c>
      <c r="H1138" s="11"/>
      <c r="I1138" s="11"/>
      <c r="J1138" s="78"/>
      <c r="K1138" s="78"/>
      <c r="L1138" s="146">
        <f t="shared" si="59"/>
        <v>13126700</v>
      </c>
      <c r="M1138" s="73"/>
      <c r="N1138" s="73"/>
      <c r="O1138" s="73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14.25" customHeight="1" x14ac:dyDescent="0.35">
      <c r="A1139" s="9">
        <f t="shared" si="60"/>
        <v>1131</v>
      </c>
      <c r="B1139" s="15"/>
      <c r="C1139" s="11">
        <f t="shared" si="61"/>
        <v>1</v>
      </c>
      <c r="D1139" s="11"/>
      <c r="E1139" s="11"/>
      <c r="F1139" s="11"/>
      <c r="G1139" s="89">
        <f>IFERROR(VLOOKUP(F1139,COA!$A$1:$K$26,2,FALSE),0)</f>
        <v>0</v>
      </c>
      <c r="H1139" s="11"/>
      <c r="I1139" s="11"/>
      <c r="J1139" s="78"/>
      <c r="K1139" s="78"/>
      <c r="L1139" s="146">
        <f t="shared" si="59"/>
        <v>13126700</v>
      </c>
      <c r="M1139" s="73"/>
      <c r="N1139" s="73"/>
      <c r="O1139" s="73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14.25" customHeight="1" x14ac:dyDescent="0.35">
      <c r="A1140" s="9">
        <f t="shared" si="60"/>
        <v>1132</v>
      </c>
      <c r="B1140" s="15"/>
      <c r="C1140" s="11">
        <f t="shared" si="61"/>
        <v>1</v>
      </c>
      <c r="D1140" s="11"/>
      <c r="E1140" s="11"/>
      <c r="F1140" s="11"/>
      <c r="G1140" s="89">
        <f>IFERROR(VLOOKUP(F1140,COA!$A$1:$K$26,2,FALSE),0)</f>
        <v>0</v>
      </c>
      <c r="H1140" s="11"/>
      <c r="I1140" s="11"/>
      <c r="J1140" s="78"/>
      <c r="K1140" s="78"/>
      <c r="L1140" s="146">
        <f t="shared" si="59"/>
        <v>13126700</v>
      </c>
      <c r="M1140" s="73"/>
      <c r="N1140" s="73"/>
      <c r="O1140" s="73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14.25" customHeight="1" x14ac:dyDescent="0.35">
      <c r="A1141" s="9">
        <f t="shared" si="60"/>
        <v>1133</v>
      </c>
      <c r="B1141" s="15"/>
      <c r="C1141" s="11">
        <f t="shared" si="61"/>
        <v>1</v>
      </c>
      <c r="D1141" s="11"/>
      <c r="E1141" s="11"/>
      <c r="F1141" s="11"/>
      <c r="G1141" s="89">
        <f>IFERROR(VLOOKUP(F1141,COA!$A$1:$K$26,2,FALSE),0)</f>
        <v>0</v>
      </c>
      <c r="H1141" s="11"/>
      <c r="I1141" s="11"/>
      <c r="J1141" s="78"/>
      <c r="K1141" s="78"/>
      <c r="L1141" s="146">
        <f t="shared" si="59"/>
        <v>13126700</v>
      </c>
      <c r="M1141" s="73"/>
      <c r="N1141" s="73"/>
      <c r="O1141" s="73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14.25" customHeight="1" x14ac:dyDescent="0.35">
      <c r="A1142" s="9">
        <f t="shared" si="60"/>
        <v>1134</v>
      </c>
      <c r="B1142" s="15"/>
      <c r="C1142" s="11">
        <f t="shared" si="61"/>
        <v>1</v>
      </c>
      <c r="D1142" s="11"/>
      <c r="E1142" s="11"/>
      <c r="F1142" s="11"/>
      <c r="G1142" s="89">
        <f>IFERROR(VLOOKUP(F1142,COA!$A$1:$K$26,2,FALSE),0)</f>
        <v>0</v>
      </c>
      <c r="H1142" s="11"/>
      <c r="I1142" s="11"/>
      <c r="J1142" s="78"/>
      <c r="K1142" s="78"/>
      <c r="L1142" s="146">
        <f t="shared" si="59"/>
        <v>13126700</v>
      </c>
      <c r="M1142" s="73"/>
      <c r="N1142" s="73"/>
      <c r="O1142" s="73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14.25" customHeight="1" x14ac:dyDescent="0.35">
      <c r="A1143" s="9">
        <f t="shared" si="60"/>
        <v>1135</v>
      </c>
      <c r="B1143" s="15"/>
      <c r="C1143" s="11">
        <f t="shared" si="61"/>
        <v>1</v>
      </c>
      <c r="D1143" s="11"/>
      <c r="E1143" s="11"/>
      <c r="F1143" s="11"/>
      <c r="G1143" s="89">
        <f>IFERROR(VLOOKUP(F1143,COA!$A$1:$K$26,2,FALSE),0)</f>
        <v>0</v>
      </c>
      <c r="H1143" s="11"/>
      <c r="I1143" s="11"/>
      <c r="J1143" s="78"/>
      <c r="K1143" s="78"/>
      <c r="L1143" s="146">
        <f t="shared" si="59"/>
        <v>13126700</v>
      </c>
      <c r="M1143" s="73"/>
      <c r="N1143" s="73"/>
      <c r="O1143" s="73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14.25" customHeight="1" x14ac:dyDescent="0.35">
      <c r="A1144" s="9">
        <f t="shared" si="60"/>
        <v>1136</v>
      </c>
      <c r="B1144" s="15"/>
      <c r="C1144" s="11">
        <f t="shared" si="61"/>
        <v>1</v>
      </c>
      <c r="D1144" s="11"/>
      <c r="E1144" s="11"/>
      <c r="F1144" s="11"/>
      <c r="G1144" s="89">
        <f>IFERROR(VLOOKUP(F1144,COA!$A$1:$K$26,2,FALSE),0)</f>
        <v>0</v>
      </c>
      <c r="H1144" s="11"/>
      <c r="I1144" s="11"/>
      <c r="J1144" s="78"/>
      <c r="K1144" s="78"/>
      <c r="L1144" s="146">
        <f t="shared" si="59"/>
        <v>13126700</v>
      </c>
      <c r="M1144" s="73"/>
      <c r="N1144" s="73"/>
      <c r="O1144" s="73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14.25" customHeight="1" x14ac:dyDescent="0.35">
      <c r="A1145" s="9">
        <f t="shared" si="60"/>
        <v>1137</v>
      </c>
      <c r="B1145" s="15"/>
      <c r="C1145" s="11">
        <f t="shared" si="61"/>
        <v>1</v>
      </c>
      <c r="D1145" s="11"/>
      <c r="E1145" s="11"/>
      <c r="F1145" s="11"/>
      <c r="G1145" s="89">
        <f>IFERROR(VLOOKUP(F1145,COA!$A$1:$K$26,2,FALSE),0)</f>
        <v>0</v>
      </c>
      <c r="H1145" s="11"/>
      <c r="I1145" s="11"/>
      <c r="J1145" s="78"/>
      <c r="K1145" s="78"/>
      <c r="L1145" s="146">
        <f t="shared" si="59"/>
        <v>13126700</v>
      </c>
      <c r="M1145" s="73"/>
      <c r="N1145" s="73"/>
      <c r="O1145" s="73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14.25" customHeight="1" x14ac:dyDescent="0.35">
      <c r="A1146" s="9">
        <f t="shared" si="60"/>
        <v>1138</v>
      </c>
      <c r="B1146" s="15"/>
      <c r="C1146" s="11">
        <f t="shared" si="61"/>
        <v>1</v>
      </c>
      <c r="D1146" s="11"/>
      <c r="E1146" s="11"/>
      <c r="F1146" s="11"/>
      <c r="G1146" s="89">
        <f>IFERROR(VLOOKUP(F1146,COA!$A$1:$K$26,2,FALSE),0)</f>
        <v>0</v>
      </c>
      <c r="H1146" s="11"/>
      <c r="I1146" s="11"/>
      <c r="J1146" s="78"/>
      <c r="K1146" s="78"/>
      <c r="L1146" s="146">
        <f t="shared" si="59"/>
        <v>13126700</v>
      </c>
      <c r="M1146" s="73"/>
      <c r="N1146" s="73"/>
      <c r="O1146" s="73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14.25" customHeight="1" x14ac:dyDescent="0.35">
      <c r="A1147" s="9">
        <f t="shared" si="60"/>
        <v>1139</v>
      </c>
      <c r="B1147" s="15"/>
      <c r="C1147" s="11">
        <f t="shared" si="61"/>
        <v>1</v>
      </c>
      <c r="D1147" s="11"/>
      <c r="E1147" s="11"/>
      <c r="F1147" s="11"/>
      <c r="G1147" s="89">
        <f>IFERROR(VLOOKUP(F1147,COA!$A$1:$K$26,2,FALSE),0)</f>
        <v>0</v>
      </c>
      <c r="H1147" s="11"/>
      <c r="I1147" s="11"/>
      <c r="J1147" s="78"/>
      <c r="K1147" s="78"/>
      <c r="L1147" s="146">
        <f t="shared" si="59"/>
        <v>13126700</v>
      </c>
      <c r="M1147" s="73"/>
      <c r="N1147" s="73"/>
      <c r="O1147" s="73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14.25" customHeight="1" x14ac:dyDescent="0.35">
      <c r="A1148" s="9">
        <f t="shared" si="60"/>
        <v>1140</v>
      </c>
      <c r="B1148" s="15"/>
      <c r="C1148" s="11">
        <f t="shared" si="61"/>
        <v>1</v>
      </c>
      <c r="D1148" s="11"/>
      <c r="E1148" s="11"/>
      <c r="F1148" s="11"/>
      <c r="G1148" s="89">
        <f>IFERROR(VLOOKUP(F1148,COA!$A$1:$K$26,2,FALSE),0)</f>
        <v>0</v>
      </c>
      <c r="H1148" s="11"/>
      <c r="I1148" s="11"/>
      <c r="J1148" s="78"/>
      <c r="K1148" s="78"/>
      <c r="L1148" s="146">
        <f t="shared" si="59"/>
        <v>13126700</v>
      </c>
      <c r="M1148" s="73"/>
      <c r="N1148" s="73"/>
      <c r="O1148" s="73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14.25" customHeight="1" x14ac:dyDescent="0.35">
      <c r="A1149" s="9">
        <f t="shared" si="60"/>
        <v>1141</v>
      </c>
      <c r="B1149" s="15"/>
      <c r="C1149" s="11">
        <f t="shared" si="61"/>
        <v>1</v>
      </c>
      <c r="D1149" s="11"/>
      <c r="E1149" s="11"/>
      <c r="F1149" s="11"/>
      <c r="G1149" s="89">
        <f>IFERROR(VLOOKUP(F1149,COA!$A$1:$K$26,2,FALSE),0)</f>
        <v>0</v>
      </c>
      <c r="H1149" s="11"/>
      <c r="I1149" s="11"/>
      <c r="J1149" s="78"/>
      <c r="K1149" s="78"/>
      <c r="L1149" s="146">
        <f t="shared" si="59"/>
        <v>13126700</v>
      </c>
      <c r="M1149" s="73"/>
      <c r="N1149" s="73"/>
      <c r="O1149" s="73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14.25" customHeight="1" x14ac:dyDescent="0.35">
      <c r="A1150" s="9">
        <f t="shared" si="60"/>
        <v>1142</v>
      </c>
      <c r="B1150" s="15"/>
      <c r="C1150" s="11">
        <f t="shared" si="61"/>
        <v>1</v>
      </c>
      <c r="D1150" s="11"/>
      <c r="E1150" s="11"/>
      <c r="F1150" s="11"/>
      <c r="G1150" s="89">
        <f>IFERROR(VLOOKUP(F1150,COA!$A$1:$K$26,2,FALSE),0)</f>
        <v>0</v>
      </c>
      <c r="H1150" s="11"/>
      <c r="I1150" s="11"/>
      <c r="J1150" s="78"/>
      <c r="K1150" s="78"/>
      <c r="L1150" s="146">
        <f t="shared" si="59"/>
        <v>13126700</v>
      </c>
      <c r="M1150" s="73"/>
      <c r="N1150" s="73"/>
      <c r="O1150" s="73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14.25" customHeight="1" x14ac:dyDescent="0.35">
      <c r="A1151" s="9">
        <f t="shared" si="60"/>
        <v>1143</v>
      </c>
      <c r="B1151" s="15"/>
      <c r="C1151" s="11">
        <f t="shared" si="61"/>
        <v>1</v>
      </c>
      <c r="D1151" s="11"/>
      <c r="E1151" s="11"/>
      <c r="F1151" s="11"/>
      <c r="G1151" s="89">
        <f>IFERROR(VLOOKUP(F1151,COA!$A$1:$K$26,2,FALSE),0)</f>
        <v>0</v>
      </c>
      <c r="H1151" s="11"/>
      <c r="I1151" s="11"/>
      <c r="J1151" s="78"/>
      <c r="K1151" s="78"/>
      <c r="L1151" s="146">
        <f t="shared" si="59"/>
        <v>13126700</v>
      </c>
      <c r="M1151" s="73"/>
      <c r="N1151" s="73"/>
      <c r="O1151" s="73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14.25" customHeight="1" x14ac:dyDescent="0.35">
      <c r="A1152" s="9">
        <f t="shared" si="60"/>
        <v>1144</v>
      </c>
      <c r="B1152" s="15"/>
      <c r="C1152" s="11">
        <f t="shared" si="61"/>
        <v>1</v>
      </c>
      <c r="D1152" s="11"/>
      <c r="E1152" s="11"/>
      <c r="F1152" s="11"/>
      <c r="G1152" s="89">
        <f>IFERROR(VLOOKUP(F1152,COA!$A$1:$K$26,2,FALSE),0)</f>
        <v>0</v>
      </c>
      <c r="H1152" s="11"/>
      <c r="I1152" s="11"/>
      <c r="J1152" s="78"/>
      <c r="K1152" s="78"/>
      <c r="L1152" s="146">
        <f t="shared" si="59"/>
        <v>13126700</v>
      </c>
      <c r="M1152" s="73"/>
      <c r="N1152" s="73"/>
      <c r="O1152" s="73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14.25" customHeight="1" x14ac:dyDescent="0.35">
      <c r="A1153" s="9">
        <f t="shared" si="60"/>
        <v>1145</v>
      </c>
      <c r="B1153" s="15"/>
      <c r="C1153" s="11">
        <f t="shared" si="61"/>
        <v>1</v>
      </c>
      <c r="D1153" s="11"/>
      <c r="E1153" s="11"/>
      <c r="F1153" s="11"/>
      <c r="G1153" s="89">
        <f>IFERROR(VLOOKUP(F1153,COA!$A$1:$K$26,2,FALSE),0)</f>
        <v>0</v>
      </c>
      <c r="H1153" s="11"/>
      <c r="I1153" s="11"/>
      <c r="J1153" s="78"/>
      <c r="K1153" s="78"/>
      <c r="L1153" s="146">
        <f t="shared" si="59"/>
        <v>13126700</v>
      </c>
      <c r="M1153" s="73"/>
      <c r="N1153" s="73"/>
      <c r="O1153" s="73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14.25" customHeight="1" x14ac:dyDescent="0.35">
      <c r="A1154" s="9">
        <f t="shared" si="60"/>
        <v>1146</v>
      </c>
      <c r="B1154" s="15"/>
      <c r="C1154" s="11">
        <f t="shared" si="61"/>
        <v>1</v>
      </c>
      <c r="D1154" s="11"/>
      <c r="E1154" s="11"/>
      <c r="F1154" s="11"/>
      <c r="G1154" s="89">
        <f>IFERROR(VLOOKUP(F1154,COA!$A$1:$K$26,2,FALSE),0)</f>
        <v>0</v>
      </c>
      <c r="H1154" s="11"/>
      <c r="I1154" s="11"/>
      <c r="J1154" s="78"/>
      <c r="K1154" s="78"/>
      <c r="L1154" s="146">
        <f t="shared" si="59"/>
        <v>13126700</v>
      </c>
      <c r="M1154" s="73"/>
      <c r="N1154" s="73"/>
      <c r="O1154" s="73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14.25" customHeight="1" x14ac:dyDescent="0.35">
      <c r="A1155" s="9">
        <f t="shared" si="60"/>
        <v>1147</v>
      </c>
      <c r="B1155" s="15"/>
      <c r="C1155" s="11">
        <f t="shared" si="61"/>
        <v>1</v>
      </c>
      <c r="D1155" s="11"/>
      <c r="E1155" s="11"/>
      <c r="F1155" s="11"/>
      <c r="G1155" s="89">
        <f>IFERROR(VLOOKUP(F1155,COA!$A$1:$K$26,2,FALSE),0)</f>
        <v>0</v>
      </c>
      <c r="H1155" s="11"/>
      <c r="I1155" s="11"/>
      <c r="J1155" s="78"/>
      <c r="K1155" s="78"/>
      <c r="L1155" s="146">
        <f t="shared" si="59"/>
        <v>13126700</v>
      </c>
      <c r="M1155" s="73"/>
      <c r="N1155" s="73"/>
      <c r="O1155" s="73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14.25" customHeight="1" x14ac:dyDescent="0.35">
      <c r="A1156" s="9">
        <f t="shared" si="60"/>
        <v>1148</v>
      </c>
      <c r="B1156" s="15"/>
      <c r="C1156" s="11">
        <f t="shared" si="61"/>
        <v>1</v>
      </c>
      <c r="D1156" s="11"/>
      <c r="E1156" s="11"/>
      <c r="F1156" s="11"/>
      <c r="G1156" s="89">
        <f>IFERROR(VLOOKUP(F1156,COA!$A$1:$K$26,2,FALSE),0)</f>
        <v>0</v>
      </c>
      <c r="H1156" s="11"/>
      <c r="I1156" s="11"/>
      <c r="J1156" s="78"/>
      <c r="K1156" s="78"/>
      <c r="L1156" s="146">
        <f t="shared" si="59"/>
        <v>13126700</v>
      </c>
      <c r="M1156" s="73"/>
      <c r="N1156" s="73"/>
      <c r="O1156" s="73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14.25" customHeight="1" x14ac:dyDescent="0.35">
      <c r="A1157" s="9">
        <f t="shared" si="60"/>
        <v>1149</v>
      </c>
      <c r="B1157" s="15"/>
      <c r="C1157" s="11">
        <f t="shared" si="61"/>
        <v>1</v>
      </c>
      <c r="D1157" s="11"/>
      <c r="E1157" s="11"/>
      <c r="F1157" s="11"/>
      <c r="G1157" s="89">
        <f>IFERROR(VLOOKUP(F1157,COA!$A$1:$K$26,2,FALSE),0)</f>
        <v>0</v>
      </c>
      <c r="H1157" s="11"/>
      <c r="I1157" s="11"/>
      <c r="J1157" s="78"/>
      <c r="K1157" s="78"/>
      <c r="L1157" s="146">
        <f t="shared" si="59"/>
        <v>13126700</v>
      </c>
      <c r="M1157" s="73"/>
      <c r="N1157" s="73"/>
      <c r="O1157" s="73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14.25" customHeight="1" x14ac:dyDescent="0.35">
      <c r="A1158" s="9">
        <f t="shared" si="60"/>
        <v>1150</v>
      </c>
      <c r="B1158" s="15"/>
      <c r="C1158" s="11">
        <f t="shared" si="61"/>
        <v>1</v>
      </c>
      <c r="D1158" s="11"/>
      <c r="E1158" s="11"/>
      <c r="F1158" s="11"/>
      <c r="G1158" s="89">
        <f>IFERROR(VLOOKUP(F1158,COA!$A$1:$K$26,2,FALSE),0)</f>
        <v>0</v>
      </c>
      <c r="H1158" s="11"/>
      <c r="I1158" s="11"/>
      <c r="J1158" s="78"/>
      <c r="K1158" s="78"/>
      <c r="L1158" s="146">
        <f t="shared" si="59"/>
        <v>13126700</v>
      </c>
      <c r="M1158" s="73"/>
      <c r="N1158" s="73"/>
      <c r="O1158" s="73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14.25" customHeight="1" x14ac:dyDescent="0.35">
      <c r="A1159" s="9">
        <f t="shared" si="60"/>
        <v>1151</v>
      </c>
      <c r="B1159" s="15"/>
      <c r="C1159" s="11">
        <f t="shared" si="61"/>
        <v>1</v>
      </c>
      <c r="D1159" s="11"/>
      <c r="E1159" s="11"/>
      <c r="F1159" s="11"/>
      <c r="G1159" s="89">
        <f>IFERROR(VLOOKUP(F1159,COA!$A$1:$K$26,2,FALSE),0)</f>
        <v>0</v>
      </c>
      <c r="H1159" s="11"/>
      <c r="I1159" s="11"/>
      <c r="J1159" s="78"/>
      <c r="K1159" s="78"/>
      <c r="L1159" s="146">
        <f t="shared" si="59"/>
        <v>13126700</v>
      </c>
      <c r="M1159" s="73"/>
      <c r="N1159" s="73"/>
      <c r="O1159" s="73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14.25" customHeight="1" x14ac:dyDescent="0.35">
      <c r="A1160" s="9">
        <f t="shared" si="60"/>
        <v>1152</v>
      </c>
      <c r="B1160" s="15"/>
      <c r="C1160" s="11">
        <f t="shared" si="61"/>
        <v>1</v>
      </c>
      <c r="D1160" s="11"/>
      <c r="E1160" s="11"/>
      <c r="F1160" s="11"/>
      <c r="G1160" s="89">
        <f>IFERROR(VLOOKUP(F1160,COA!$A$1:$K$26,2,FALSE),0)</f>
        <v>0</v>
      </c>
      <c r="H1160" s="11"/>
      <c r="I1160" s="11"/>
      <c r="J1160" s="78"/>
      <c r="K1160" s="78"/>
      <c r="L1160" s="146">
        <f t="shared" si="59"/>
        <v>13126700</v>
      </c>
      <c r="M1160" s="73"/>
      <c r="N1160" s="73"/>
      <c r="O1160" s="73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14.25" customHeight="1" x14ac:dyDescent="0.35">
      <c r="A1161" s="9">
        <f t="shared" si="60"/>
        <v>1153</v>
      </c>
      <c r="B1161" s="15"/>
      <c r="C1161" s="11">
        <f t="shared" si="61"/>
        <v>1</v>
      </c>
      <c r="D1161" s="11"/>
      <c r="E1161" s="11"/>
      <c r="F1161" s="11"/>
      <c r="G1161" s="89">
        <f>IFERROR(VLOOKUP(F1161,COA!$A$1:$K$26,2,FALSE),0)</f>
        <v>0</v>
      </c>
      <c r="H1161" s="11"/>
      <c r="I1161" s="11"/>
      <c r="J1161" s="78"/>
      <c r="K1161" s="78"/>
      <c r="L1161" s="146">
        <f t="shared" si="59"/>
        <v>13126700</v>
      </c>
      <c r="M1161" s="73"/>
      <c r="N1161" s="73"/>
      <c r="O1161" s="73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14.25" customHeight="1" x14ac:dyDescent="0.35">
      <c r="A1162" s="9">
        <f t="shared" si="60"/>
        <v>1154</v>
      </c>
      <c r="B1162" s="15"/>
      <c r="C1162" s="11">
        <f t="shared" si="61"/>
        <v>1</v>
      </c>
      <c r="D1162" s="11"/>
      <c r="E1162" s="11"/>
      <c r="F1162" s="11"/>
      <c r="G1162" s="89">
        <f>IFERROR(VLOOKUP(F1162,COA!$A$1:$K$26,2,FALSE),0)</f>
        <v>0</v>
      </c>
      <c r="H1162" s="11"/>
      <c r="I1162" s="11"/>
      <c r="J1162" s="78"/>
      <c r="K1162" s="78"/>
      <c r="L1162" s="146">
        <f t="shared" si="59"/>
        <v>13126700</v>
      </c>
      <c r="M1162" s="73"/>
      <c r="N1162" s="73"/>
      <c r="O1162" s="73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14.25" customHeight="1" x14ac:dyDescent="0.35">
      <c r="A1163" s="9">
        <f t="shared" si="60"/>
        <v>1155</v>
      </c>
      <c r="B1163" s="15"/>
      <c r="C1163" s="11">
        <f t="shared" si="61"/>
        <v>1</v>
      </c>
      <c r="D1163" s="11"/>
      <c r="E1163" s="11"/>
      <c r="F1163" s="11"/>
      <c r="G1163" s="89">
        <f>IFERROR(VLOOKUP(F1163,COA!$A$1:$K$26,2,FALSE),0)</f>
        <v>0</v>
      </c>
      <c r="H1163" s="11"/>
      <c r="I1163" s="11"/>
      <c r="J1163" s="78"/>
      <c r="K1163" s="78"/>
      <c r="L1163" s="146">
        <f t="shared" si="59"/>
        <v>13126700</v>
      </c>
      <c r="M1163" s="73"/>
      <c r="N1163" s="73"/>
      <c r="O1163" s="73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14.25" customHeight="1" x14ac:dyDescent="0.35">
      <c r="A1164" s="9">
        <f t="shared" si="60"/>
        <v>1156</v>
      </c>
      <c r="B1164" s="15"/>
      <c r="C1164" s="11">
        <f t="shared" si="61"/>
        <v>1</v>
      </c>
      <c r="D1164" s="11"/>
      <c r="E1164" s="11"/>
      <c r="F1164" s="11"/>
      <c r="G1164" s="89">
        <f>IFERROR(VLOOKUP(F1164,COA!$A$1:$K$26,2,FALSE),0)</f>
        <v>0</v>
      </c>
      <c r="H1164" s="11"/>
      <c r="I1164" s="11"/>
      <c r="J1164" s="78"/>
      <c r="K1164" s="78"/>
      <c r="L1164" s="146">
        <f t="shared" si="59"/>
        <v>13126700</v>
      </c>
      <c r="M1164" s="73"/>
      <c r="N1164" s="73"/>
      <c r="O1164" s="73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14.25" customHeight="1" x14ac:dyDescent="0.35">
      <c r="A1165" s="9">
        <f t="shared" si="60"/>
        <v>1157</v>
      </c>
      <c r="B1165" s="15"/>
      <c r="C1165" s="11">
        <f t="shared" si="61"/>
        <v>1</v>
      </c>
      <c r="D1165" s="11"/>
      <c r="E1165" s="11"/>
      <c r="F1165" s="11"/>
      <c r="G1165" s="89">
        <f>IFERROR(VLOOKUP(F1165,COA!$A$1:$K$26,2,FALSE),0)</f>
        <v>0</v>
      </c>
      <c r="H1165" s="11"/>
      <c r="I1165" s="11"/>
      <c r="J1165" s="78"/>
      <c r="K1165" s="78"/>
      <c r="L1165" s="146">
        <f t="shared" si="59"/>
        <v>13126700</v>
      </c>
      <c r="M1165" s="73"/>
      <c r="N1165" s="73"/>
      <c r="O1165" s="73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14.25" customHeight="1" x14ac:dyDescent="0.35">
      <c r="A1166" s="9">
        <f t="shared" si="60"/>
        <v>1158</v>
      </c>
      <c r="B1166" s="15"/>
      <c r="C1166" s="11">
        <f t="shared" si="61"/>
        <v>1</v>
      </c>
      <c r="D1166" s="11"/>
      <c r="E1166" s="11"/>
      <c r="F1166" s="11"/>
      <c r="G1166" s="89">
        <f>IFERROR(VLOOKUP(F1166,COA!$A$1:$K$26,2,FALSE),0)</f>
        <v>0</v>
      </c>
      <c r="H1166" s="11"/>
      <c r="I1166" s="11"/>
      <c r="J1166" s="78"/>
      <c r="K1166" s="78"/>
      <c r="L1166" s="146">
        <f t="shared" si="59"/>
        <v>13126700</v>
      </c>
      <c r="M1166" s="73"/>
      <c r="N1166" s="73"/>
      <c r="O1166" s="73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14.25" customHeight="1" x14ac:dyDescent="0.35">
      <c r="A1167" s="9">
        <f t="shared" si="60"/>
        <v>1159</v>
      </c>
      <c r="B1167" s="15"/>
      <c r="C1167" s="11">
        <f t="shared" si="61"/>
        <v>1</v>
      </c>
      <c r="D1167" s="11"/>
      <c r="E1167" s="11"/>
      <c r="F1167" s="11"/>
      <c r="G1167" s="89">
        <f>IFERROR(VLOOKUP(F1167,COA!$A$1:$K$26,2,FALSE),0)</f>
        <v>0</v>
      </c>
      <c r="H1167" s="11"/>
      <c r="I1167" s="11"/>
      <c r="J1167" s="78"/>
      <c r="K1167" s="78"/>
      <c r="L1167" s="146">
        <f t="shared" si="59"/>
        <v>13126700</v>
      </c>
      <c r="M1167" s="73"/>
      <c r="N1167" s="73"/>
      <c r="O1167" s="73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14.25" customHeight="1" x14ac:dyDescent="0.35">
      <c r="A1168" s="9">
        <f t="shared" si="60"/>
        <v>1160</v>
      </c>
      <c r="B1168" s="15"/>
      <c r="C1168" s="11">
        <f t="shared" si="61"/>
        <v>1</v>
      </c>
      <c r="D1168" s="11"/>
      <c r="E1168" s="11"/>
      <c r="F1168" s="11"/>
      <c r="G1168" s="89">
        <f>IFERROR(VLOOKUP(F1168,COA!$A$1:$K$26,2,FALSE),0)</f>
        <v>0</v>
      </c>
      <c r="H1168" s="11"/>
      <c r="I1168" s="11"/>
      <c r="J1168" s="78"/>
      <c r="K1168" s="78"/>
      <c r="L1168" s="146">
        <f t="shared" ref="L1168:L1231" si="62">L1167+J1168-K1168</f>
        <v>13126700</v>
      </c>
      <c r="M1168" s="73"/>
      <c r="N1168" s="73"/>
      <c r="O1168" s="73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14.25" customHeight="1" x14ac:dyDescent="0.35">
      <c r="A1169" s="9">
        <f t="shared" si="60"/>
        <v>1161</v>
      </c>
      <c r="B1169" s="15"/>
      <c r="C1169" s="11">
        <f t="shared" si="61"/>
        <v>1</v>
      </c>
      <c r="D1169" s="11"/>
      <c r="E1169" s="11"/>
      <c r="F1169" s="11"/>
      <c r="G1169" s="89">
        <f>IFERROR(VLOOKUP(F1169,COA!$A$1:$K$26,2,FALSE),0)</f>
        <v>0</v>
      </c>
      <c r="H1169" s="11"/>
      <c r="I1169" s="11"/>
      <c r="J1169" s="78"/>
      <c r="K1169" s="78"/>
      <c r="L1169" s="146">
        <f t="shared" si="62"/>
        <v>13126700</v>
      </c>
      <c r="M1169" s="73"/>
      <c r="N1169" s="73"/>
      <c r="O1169" s="73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14.25" customHeight="1" x14ac:dyDescent="0.35">
      <c r="A1170" s="9">
        <f t="shared" ref="A1170:A1233" si="63">A1169+1</f>
        <v>1162</v>
      </c>
      <c r="B1170" s="15"/>
      <c r="C1170" s="11">
        <f t="shared" si="61"/>
        <v>1</v>
      </c>
      <c r="D1170" s="11"/>
      <c r="E1170" s="11"/>
      <c r="F1170" s="11"/>
      <c r="G1170" s="89">
        <f>IFERROR(VLOOKUP(F1170,COA!$A$1:$K$26,2,FALSE),0)</f>
        <v>0</v>
      </c>
      <c r="H1170" s="11"/>
      <c r="I1170" s="11"/>
      <c r="J1170" s="78"/>
      <c r="K1170" s="78"/>
      <c r="L1170" s="146">
        <f t="shared" si="62"/>
        <v>13126700</v>
      </c>
      <c r="M1170" s="73"/>
      <c r="N1170" s="73"/>
      <c r="O1170" s="73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14.25" customHeight="1" x14ac:dyDescent="0.35">
      <c r="A1171" s="9">
        <f t="shared" si="63"/>
        <v>1163</v>
      </c>
      <c r="B1171" s="15"/>
      <c r="C1171" s="11">
        <f t="shared" si="61"/>
        <v>1</v>
      </c>
      <c r="D1171" s="11"/>
      <c r="E1171" s="11"/>
      <c r="F1171" s="11"/>
      <c r="G1171" s="89">
        <f>IFERROR(VLOOKUP(F1171,COA!$A$1:$K$26,2,FALSE),0)</f>
        <v>0</v>
      </c>
      <c r="H1171" s="11"/>
      <c r="I1171" s="11"/>
      <c r="J1171" s="78"/>
      <c r="K1171" s="78"/>
      <c r="L1171" s="146">
        <f t="shared" si="62"/>
        <v>13126700</v>
      </c>
      <c r="M1171" s="73"/>
      <c r="N1171" s="73"/>
      <c r="O1171" s="73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14.25" customHeight="1" x14ac:dyDescent="0.35">
      <c r="A1172" s="9">
        <f t="shared" si="63"/>
        <v>1164</v>
      </c>
      <c r="B1172" s="15"/>
      <c r="C1172" s="11">
        <f t="shared" si="61"/>
        <v>1</v>
      </c>
      <c r="D1172" s="11"/>
      <c r="E1172" s="11"/>
      <c r="F1172" s="11"/>
      <c r="G1172" s="89">
        <f>IFERROR(VLOOKUP(F1172,COA!$A$1:$K$26,2,FALSE),0)</f>
        <v>0</v>
      </c>
      <c r="H1172" s="11"/>
      <c r="I1172" s="11"/>
      <c r="J1172" s="78"/>
      <c r="K1172" s="78"/>
      <c r="L1172" s="146">
        <f t="shared" si="62"/>
        <v>13126700</v>
      </c>
      <c r="M1172" s="73"/>
      <c r="N1172" s="73"/>
      <c r="O1172" s="73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14.25" customHeight="1" x14ac:dyDescent="0.35">
      <c r="A1173" s="9">
        <f t="shared" si="63"/>
        <v>1165</v>
      </c>
      <c r="B1173" s="15"/>
      <c r="C1173" s="11">
        <f t="shared" si="61"/>
        <v>1</v>
      </c>
      <c r="D1173" s="11"/>
      <c r="E1173" s="11"/>
      <c r="F1173" s="11"/>
      <c r="G1173" s="89">
        <f>IFERROR(VLOOKUP(F1173,COA!$A$1:$K$26,2,FALSE),0)</f>
        <v>0</v>
      </c>
      <c r="H1173" s="11"/>
      <c r="I1173" s="11"/>
      <c r="J1173" s="78"/>
      <c r="K1173" s="78"/>
      <c r="L1173" s="146">
        <f t="shared" si="62"/>
        <v>13126700</v>
      </c>
      <c r="M1173" s="73"/>
      <c r="N1173" s="73"/>
      <c r="O1173" s="73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14.25" customHeight="1" x14ac:dyDescent="0.35">
      <c r="A1174" s="9">
        <f t="shared" si="63"/>
        <v>1166</v>
      </c>
      <c r="B1174" s="15"/>
      <c r="C1174" s="11">
        <f t="shared" si="61"/>
        <v>1</v>
      </c>
      <c r="D1174" s="11"/>
      <c r="E1174" s="11"/>
      <c r="F1174" s="11"/>
      <c r="G1174" s="89">
        <f>IFERROR(VLOOKUP(F1174,COA!$A$1:$K$26,2,FALSE),0)</f>
        <v>0</v>
      </c>
      <c r="H1174" s="11"/>
      <c r="I1174" s="11"/>
      <c r="J1174" s="78"/>
      <c r="K1174" s="78"/>
      <c r="L1174" s="146">
        <f t="shared" si="62"/>
        <v>13126700</v>
      </c>
      <c r="M1174" s="73"/>
      <c r="N1174" s="73"/>
      <c r="O1174" s="73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14.25" customHeight="1" x14ac:dyDescent="0.35">
      <c r="A1175" s="9">
        <f t="shared" si="63"/>
        <v>1167</v>
      </c>
      <c r="B1175" s="15"/>
      <c r="C1175" s="11">
        <f t="shared" si="61"/>
        <v>1</v>
      </c>
      <c r="D1175" s="11"/>
      <c r="E1175" s="11"/>
      <c r="F1175" s="11"/>
      <c r="G1175" s="89">
        <f>IFERROR(VLOOKUP(F1175,COA!$A$1:$K$26,2,FALSE),0)</f>
        <v>0</v>
      </c>
      <c r="H1175" s="11"/>
      <c r="I1175" s="11"/>
      <c r="J1175" s="78"/>
      <c r="K1175" s="78"/>
      <c r="L1175" s="146">
        <f t="shared" si="62"/>
        <v>13126700</v>
      </c>
      <c r="M1175" s="73"/>
      <c r="N1175" s="73"/>
      <c r="O1175" s="73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14.25" customHeight="1" x14ac:dyDescent="0.35">
      <c r="A1176" s="9">
        <f t="shared" si="63"/>
        <v>1168</v>
      </c>
      <c r="B1176" s="15"/>
      <c r="C1176" s="11">
        <f t="shared" si="61"/>
        <v>1</v>
      </c>
      <c r="D1176" s="11"/>
      <c r="E1176" s="11"/>
      <c r="F1176" s="11"/>
      <c r="G1176" s="89">
        <f>IFERROR(VLOOKUP(F1176,COA!$A$1:$K$26,2,FALSE),0)</f>
        <v>0</v>
      </c>
      <c r="H1176" s="11"/>
      <c r="I1176" s="11"/>
      <c r="J1176" s="78"/>
      <c r="K1176" s="78"/>
      <c r="L1176" s="146">
        <f t="shared" si="62"/>
        <v>13126700</v>
      </c>
      <c r="M1176" s="73"/>
      <c r="N1176" s="73"/>
      <c r="O1176" s="73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14.25" customHeight="1" x14ac:dyDescent="0.35">
      <c r="A1177" s="9">
        <f t="shared" si="63"/>
        <v>1169</v>
      </c>
      <c r="B1177" s="15"/>
      <c r="C1177" s="11">
        <f t="shared" si="61"/>
        <v>1</v>
      </c>
      <c r="D1177" s="11"/>
      <c r="E1177" s="11"/>
      <c r="F1177" s="11"/>
      <c r="G1177" s="89">
        <f>IFERROR(VLOOKUP(F1177,COA!$A$1:$K$26,2,FALSE),0)</f>
        <v>0</v>
      </c>
      <c r="H1177" s="11"/>
      <c r="I1177" s="11"/>
      <c r="J1177" s="78"/>
      <c r="K1177" s="78"/>
      <c r="L1177" s="146">
        <f t="shared" si="62"/>
        <v>13126700</v>
      </c>
      <c r="M1177" s="73"/>
      <c r="N1177" s="73"/>
      <c r="O1177" s="73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14.25" customHeight="1" x14ac:dyDescent="0.35">
      <c r="A1178" s="9">
        <f t="shared" si="63"/>
        <v>1170</v>
      </c>
      <c r="B1178" s="15"/>
      <c r="C1178" s="11">
        <f t="shared" si="61"/>
        <v>1</v>
      </c>
      <c r="D1178" s="11"/>
      <c r="E1178" s="11"/>
      <c r="F1178" s="11"/>
      <c r="G1178" s="89">
        <f>IFERROR(VLOOKUP(F1178,COA!$A$1:$K$26,2,FALSE),0)</f>
        <v>0</v>
      </c>
      <c r="H1178" s="11"/>
      <c r="I1178" s="11"/>
      <c r="J1178" s="78"/>
      <c r="K1178" s="78"/>
      <c r="L1178" s="146">
        <f t="shared" si="62"/>
        <v>13126700</v>
      </c>
      <c r="M1178" s="73"/>
      <c r="N1178" s="73"/>
      <c r="O1178" s="73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14.25" customHeight="1" x14ac:dyDescent="0.35">
      <c r="A1179" s="9">
        <f t="shared" si="63"/>
        <v>1171</v>
      </c>
      <c r="B1179" s="15"/>
      <c r="C1179" s="11">
        <f t="shared" si="61"/>
        <v>1</v>
      </c>
      <c r="D1179" s="11"/>
      <c r="E1179" s="11"/>
      <c r="F1179" s="11"/>
      <c r="G1179" s="89">
        <f>IFERROR(VLOOKUP(F1179,COA!$A$1:$K$26,2,FALSE),0)</f>
        <v>0</v>
      </c>
      <c r="H1179" s="11"/>
      <c r="I1179" s="11"/>
      <c r="J1179" s="78"/>
      <c r="K1179" s="78"/>
      <c r="L1179" s="146">
        <f t="shared" si="62"/>
        <v>13126700</v>
      </c>
      <c r="M1179" s="73"/>
      <c r="N1179" s="73"/>
      <c r="O1179" s="73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14.25" customHeight="1" x14ac:dyDescent="0.35">
      <c r="A1180" s="9">
        <f t="shared" si="63"/>
        <v>1172</v>
      </c>
      <c r="B1180" s="15"/>
      <c r="C1180" s="11">
        <f t="shared" si="61"/>
        <v>1</v>
      </c>
      <c r="D1180" s="11"/>
      <c r="E1180" s="11"/>
      <c r="F1180" s="11"/>
      <c r="G1180" s="89">
        <f>IFERROR(VLOOKUP(F1180,COA!$A$1:$K$26,2,FALSE),0)</f>
        <v>0</v>
      </c>
      <c r="H1180" s="11"/>
      <c r="I1180" s="11"/>
      <c r="J1180" s="78"/>
      <c r="K1180" s="78"/>
      <c r="L1180" s="146">
        <f t="shared" si="62"/>
        <v>13126700</v>
      </c>
      <c r="M1180" s="73"/>
      <c r="N1180" s="73"/>
      <c r="O1180" s="73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14.25" customHeight="1" x14ac:dyDescent="0.35">
      <c r="A1181" s="9">
        <f t="shared" si="63"/>
        <v>1173</v>
      </c>
      <c r="B1181" s="15"/>
      <c r="C1181" s="11">
        <f t="shared" si="61"/>
        <v>1</v>
      </c>
      <c r="D1181" s="11"/>
      <c r="E1181" s="11"/>
      <c r="F1181" s="11"/>
      <c r="G1181" s="89">
        <f>IFERROR(VLOOKUP(F1181,COA!$A$1:$K$26,2,FALSE),0)</f>
        <v>0</v>
      </c>
      <c r="H1181" s="11"/>
      <c r="I1181" s="11"/>
      <c r="J1181" s="78"/>
      <c r="K1181" s="78"/>
      <c r="L1181" s="146">
        <f t="shared" si="62"/>
        <v>13126700</v>
      </c>
      <c r="M1181" s="73"/>
      <c r="N1181" s="73"/>
      <c r="O1181" s="73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14.25" customHeight="1" x14ac:dyDescent="0.35">
      <c r="A1182" s="9">
        <f t="shared" si="63"/>
        <v>1174</v>
      </c>
      <c r="B1182" s="15"/>
      <c r="C1182" s="11">
        <f t="shared" si="61"/>
        <v>1</v>
      </c>
      <c r="D1182" s="11"/>
      <c r="E1182" s="11"/>
      <c r="F1182" s="11"/>
      <c r="G1182" s="89">
        <f>IFERROR(VLOOKUP(F1182,COA!$A$1:$K$26,2,FALSE),0)</f>
        <v>0</v>
      </c>
      <c r="H1182" s="11"/>
      <c r="I1182" s="11"/>
      <c r="J1182" s="78"/>
      <c r="K1182" s="78"/>
      <c r="L1182" s="146">
        <f t="shared" si="62"/>
        <v>13126700</v>
      </c>
      <c r="M1182" s="73"/>
      <c r="N1182" s="73"/>
      <c r="O1182" s="73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14.25" customHeight="1" x14ac:dyDescent="0.35">
      <c r="A1183" s="9">
        <f t="shared" si="63"/>
        <v>1175</v>
      </c>
      <c r="B1183" s="15"/>
      <c r="C1183" s="11">
        <f t="shared" si="61"/>
        <v>1</v>
      </c>
      <c r="D1183" s="11"/>
      <c r="E1183" s="11"/>
      <c r="F1183" s="11"/>
      <c r="G1183" s="89">
        <f>IFERROR(VLOOKUP(F1183,COA!$A$1:$K$26,2,FALSE),0)</f>
        <v>0</v>
      </c>
      <c r="H1183" s="11"/>
      <c r="I1183" s="11"/>
      <c r="J1183" s="78"/>
      <c r="K1183" s="78"/>
      <c r="L1183" s="146">
        <f t="shared" si="62"/>
        <v>13126700</v>
      </c>
      <c r="M1183" s="73"/>
      <c r="N1183" s="73"/>
      <c r="O1183" s="73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14.25" customHeight="1" x14ac:dyDescent="0.35">
      <c r="A1184" s="9">
        <f t="shared" si="63"/>
        <v>1176</v>
      </c>
      <c r="B1184" s="15"/>
      <c r="C1184" s="11">
        <f t="shared" si="61"/>
        <v>1</v>
      </c>
      <c r="D1184" s="11"/>
      <c r="E1184" s="11"/>
      <c r="F1184" s="11"/>
      <c r="G1184" s="89">
        <f>IFERROR(VLOOKUP(F1184,COA!$A$1:$K$26,2,FALSE),0)</f>
        <v>0</v>
      </c>
      <c r="H1184" s="11"/>
      <c r="I1184" s="11"/>
      <c r="J1184" s="78"/>
      <c r="K1184" s="78"/>
      <c r="L1184" s="146">
        <f t="shared" si="62"/>
        <v>13126700</v>
      </c>
      <c r="M1184" s="73"/>
      <c r="N1184" s="73"/>
      <c r="O1184" s="73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14.25" customHeight="1" x14ac:dyDescent="0.35">
      <c r="A1185" s="9">
        <f t="shared" si="63"/>
        <v>1177</v>
      </c>
      <c r="B1185" s="15"/>
      <c r="C1185" s="11">
        <f t="shared" si="61"/>
        <v>1</v>
      </c>
      <c r="D1185" s="11"/>
      <c r="E1185" s="11"/>
      <c r="F1185" s="11"/>
      <c r="G1185" s="89">
        <f>IFERROR(VLOOKUP(F1185,COA!$A$1:$K$26,2,FALSE),0)</f>
        <v>0</v>
      </c>
      <c r="H1185" s="11"/>
      <c r="I1185" s="11"/>
      <c r="J1185" s="78"/>
      <c r="K1185" s="78"/>
      <c r="L1185" s="146">
        <f t="shared" si="62"/>
        <v>13126700</v>
      </c>
      <c r="M1185" s="73"/>
      <c r="N1185" s="73"/>
      <c r="O1185" s="73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14.25" customHeight="1" x14ac:dyDescent="0.35">
      <c r="A1186" s="9">
        <f t="shared" si="63"/>
        <v>1178</v>
      </c>
      <c r="B1186" s="15"/>
      <c r="C1186" s="11">
        <f t="shared" si="61"/>
        <v>1</v>
      </c>
      <c r="D1186" s="11"/>
      <c r="E1186" s="11"/>
      <c r="F1186" s="11"/>
      <c r="G1186" s="89">
        <f>IFERROR(VLOOKUP(F1186,COA!$A$1:$K$26,2,FALSE),0)</f>
        <v>0</v>
      </c>
      <c r="H1186" s="11"/>
      <c r="I1186" s="11"/>
      <c r="J1186" s="78"/>
      <c r="K1186" s="78"/>
      <c r="L1186" s="146">
        <f t="shared" si="62"/>
        <v>13126700</v>
      </c>
      <c r="M1186" s="73"/>
      <c r="N1186" s="73"/>
      <c r="O1186" s="73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14.25" customHeight="1" x14ac:dyDescent="0.35">
      <c r="A1187" s="9">
        <f t="shared" si="63"/>
        <v>1179</v>
      </c>
      <c r="B1187" s="15"/>
      <c r="C1187" s="11">
        <f t="shared" si="61"/>
        <v>1</v>
      </c>
      <c r="D1187" s="11"/>
      <c r="E1187" s="11"/>
      <c r="F1187" s="11"/>
      <c r="G1187" s="89">
        <f>IFERROR(VLOOKUP(F1187,COA!$A$1:$K$26,2,FALSE),0)</f>
        <v>0</v>
      </c>
      <c r="H1187" s="11"/>
      <c r="I1187" s="11"/>
      <c r="J1187" s="78"/>
      <c r="K1187" s="78"/>
      <c r="L1187" s="146">
        <f t="shared" si="62"/>
        <v>13126700</v>
      </c>
      <c r="M1187" s="73"/>
      <c r="N1187" s="73"/>
      <c r="O1187" s="73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14.25" customHeight="1" x14ac:dyDescent="0.35">
      <c r="A1188" s="9">
        <f t="shared" si="63"/>
        <v>1180</v>
      </c>
      <c r="B1188" s="15"/>
      <c r="C1188" s="11">
        <f t="shared" ref="C1188:C1251" si="64">MONTH(B1188)</f>
        <v>1</v>
      </c>
      <c r="D1188" s="11"/>
      <c r="E1188" s="11"/>
      <c r="F1188" s="11"/>
      <c r="G1188" s="89">
        <f>IFERROR(VLOOKUP(F1188,COA!$A$1:$K$26,2,FALSE),0)</f>
        <v>0</v>
      </c>
      <c r="H1188" s="11"/>
      <c r="I1188" s="11"/>
      <c r="J1188" s="78"/>
      <c r="K1188" s="78"/>
      <c r="L1188" s="146">
        <f t="shared" si="62"/>
        <v>13126700</v>
      </c>
      <c r="M1188" s="73"/>
      <c r="N1188" s="73"/>
      <c r="O1188" s="73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14.25" customHeight="1" x14ac:dyDescent="0.35">
      <c r="A1189" s="9">
        <f t="shared" si="63"/>
        <v>1181</v>
      </c>
      <c r="B1189" s="15"/>
      <c r="C1189" s="11">
        <f t="shared" si="64"/>
        <v>1</v>
      </c>
      <c r="D1189" s="11"/>
      <c r="E1189" s="11"/>
      <c r="F1189" s="11"/>
      <c r="G1189" s="89">
        <f>IFERROR(VLOOKUP(F1189,COA!$A$1:$K$26,2,FALSE),0)</f>
        <v>0</v>
      </c>
      <c r="H1189" s="11"/>
      <c r="I1189" s="11"/>
      <c r="J1189" s="78"/>
      <c r="K1189" s="78"/>
      <c r="L1189" s="146">
        <f t="shared" si="62"/>
        <v>13126700</v>
      </c>
      <c r="M1189" s="73"/>
      <c r="N1189" s="73"/>
      <c r="O1189" s="73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14.25" customHeight="1" x14ac:dyDescent="0.35">
      <c r="A1190" s="9">
        <f t="shared" si="63"/>
        <v>1182</v>
      </c>
      <c r="B1190" s="15"/>
      <c r="C1190" s="11">
        <f t="shared" si="64"/>
        <v>1</v>
      </c>
      <c r="D1190" s="11"/>
      <c r="E1190" s="11"/>
      <c r="F1190" s="11"/>
      <c r="G1190" s="89">
        <f>IFERROR(VLOOKUP(F1190,COA!$A$1:$K$26,2,FALSE),0)</f>
        <v>0</v>
      </c>
      <c r="H1190" s="11"/>
      <c r="I1190" s="11"/>
      <c r="J1190" s="78"/>
      <c r="K1190" s="78"/>
      <c r="L1190" s="146">
        <f t="shared" si="62"/>
        <v>13126700</v>
      </c>
      <c r="M1190" s="73"/>
      <c r="N1190" s="73"/>
      <c r="O1190" s="73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14.25" customHeight="1" x14ac:dyDescent="0.35">
      <c r="A1191" s="9">
        <f t="shared" si="63"/>
        <v>1183</v>
      </c>
      <c r="B1191" s="15"/>
      <c r="C1191" s="11">
        <f t="shared" si="64"/>
        <v>1</v>
      </c>
      <c r="D1191" s="11"/>
      <c r="E1191" s="11"/>
      <c r="F1191" s="11"/>
      <c r="G1191" s="89">
        <f>IFERROR(VLOOKUP(F1191,COA!$A$1:$K$26,2,FALSE),0)</f>
        <v>0</v>
      </c>
      <c r="H1191" s="11"/>
      <c r="I1191" s="11"/>
      <c r="J1191" s="78"/>
      <c r="K1191" s="78"/>
      <c r="L1191" s="146">
        <f t="shared" si="62"/>
        <v>13126700</v>
      </c>
      <c r="M1191" s="73"/>
      <c r="N1191" s="73"/>
      <c r="O1191" s="73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14.25" customHeight="1" x14ac:dyDescent="0.35">
      <c r="A1192" s="9">
        <f t="shared" si="63"/>
        <v>1184</v>
      </c>
      <c r="B1192" s="15"/>
      <c r="C1192" s="11">
        <f t="shared" si="64"/>
        <v>1</v>
      </c>
      <c r="D1192" s="11"/>
      <c r="E1192" s="11"/>
      <c r="F1192" s="11"/>
      <c r="G1192" s="89">
        <f>IFERROR(VLOOKUP(F1192,COA!$A$1:$K$26,2,FALSE),0)</f>
        <v>0</v>
      </c>
      <c r="H1192" s="11"/>
      <c r="I1192" s="11"/>
      <c r="J1192" s="78"/>
      <c r="K1192" s="78"/>
      <c r="L1192" s="146">
        <f t="shared" si="62"/>
        <v>13126700</v>
      </c>
      <c r="M1192" s="73"/>
      <c r="N1192" s="73"/>
      <c r="O1192" s="73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14.25" customHeight="1" x14ac:dyDescent="0.35">
      <c r="A1193" s="9">
        <f t="shared" si="63"/>
        <v>1185</v>
      </c>
      <c r="B1193" s="15"/>
      <c r="C1193" s="11">
        <f t="shared" si="64"/>
        <v>1</v>
      </c>
      <c r="D1193" s="11"/>
      <c r="E1193" s="11"/>
      <c r="F1193" s="11"/>
      <c r="G1193" s="89">
        <f>IFERROR(VLOOKUP(F1193,COA!$A$1:$K$26,2,FALSE),0)</f>
        <v>0</v>
      </c>
      <c r="H1193" s="11"/>
      <c r="I1193" s="11"/>
      <c r="J1193" s="78"/>
      <c r="K1193" s="78"/>
      <c r="L1193" s="146">
        <f t="shared" si="62"/>
        <v>13126700</v>
      </c>
      <c r="M1193" s="73"/>
      <c r="N1193" s="73"/>
      <c r="O1193" s="73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14.25" customHeight="1" x14ac:dyDescent="0.35">
      <c r="A1194" s="9">
        <f t="shared" si="63"/>
        <v>1186</v>
      </c>
      <c r="B1194" s="15"/>
      <c r="C1194" s="11">
        <f t="shared" si="64"/>
        <v>1</v>
      </c>
      <c r="D1194" s="11"/>
      <c r="E1194" s="11"/>
      <c r="F1194" s="11"/>
      <c r="G1194" s="89">
        <f>IFERROR(VLOOKUP(F1194,COA!$A$1:$K$26,2,FALSE),0)</f>
        <v>0</v>
      </c>
      <c r="H1194" s="11"/>
      <c r="I1194" s="11"/>
      <c r="J1194" s="78"/>
      <c r="K1194" s="78"/>
      <c r="L1194" s="146">
        <f t="shared" si="62"/>
        <v>13126700</v>
      </c>
      <c r="M1194" s="73"/>
      <c r="N1194" s="73"/>
      <c r="O1194" s="73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14.25" customHeight="1" x14ac:dyDescent="0.35">
      <c r="A1195" s="9">
        <f t="shared" si="63"/>
        <v>1187</v>
      </c>
      <c r="B1195" s="15"/>
      <c r="C1195" s="11">
        <f t="shared" si="64"/>
        <v>1</v>
      </c>
      <c r="D1195" s="11"/>
      <c r="E1195" s="11"/>
      <c r="F1195" s="11"/>
      <c r="G1195" s="89">
        <f>IFERROR(VLOOKUP(F1195,COA!$A$1:$K$26,2,FALSE),0)</f>
        <v>0</v>
      </c>
      <c r="H1195" s="11"/>
      <c r="I1195" s="11"/>
      <c r="J1195" s="78"/>
      <c r="K1195" s="78"/>
      <c r="L1195" s="146">
        <f t="shared" si="62"/>
        <v>13126700</v>
      </c>
      <c r="M1195" s="73"/>
      <c r="N1195" s="73"/>
      <c r="O1195" s="73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14.25" customHeight="1" x14ac:dyDescent="0.35">
      <c r="A1196" s="9">
        <f t="shared" si="63"/>
        <v>1188</v>
      </c>
      <c r="B1196" s="15"/>
      <c r="C1196" s="11">
        <f t="shared" si="64"/>
        <v>1</v>
      </c>
      <c r="D1196" s="11"/>
      <c r="E1196" s="11"/>
      <c r="F1196" s="11"/>
      <c r="G1196" s="89">
        <f>IFERROR(VLOOKUP(F1196,COA!$A$1:$K$26,2,FALSE),0)</f>
        <v>0</v>
      </c>
      <c r="H1196" s="11"/>
      <c r="I1196" s="11"/>
      <c r="J1196" s="78"/>
      <c r="K1196" s="78"/>
      <c r="L1196" s="146">
        <f t="shared" si="62"/>
        <v>13126700</v>
      </c>
      <c r="M1196" s="73"/>
      <c r="N1196" s="73"/>
      <c r="O1196" s="73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14.25" customHeight="1" x14ac:dyDescent="0.35">
      <c r="A1197" s="9">
        <f t="shared" si="63"/>
        <v>1189</v>
      </c>
      <c r="B1197" s="15"/>
      <c r="C1197" s="11">
        <f t="shared" si="64"/>
        <v>1</v>
      </c>
      <c r="D1197" s="11"/>
      <c r="E1197" s="11"/>
      <c r="F1197" s="11"/>
      <c r="G1197" s="89">
        <f>IFERROR(VLOOKUP(F1197,COA!$A$1:$K$26,2,FALSE),0)</f>
        <v>0</v>
      </c>
      <c r="H1197" s="11"/>
      <c r="I1197" s="11"/>
      <c r="J1197" s="78"/>
      <c r="K1197" s="78"/>
      <c r="L1197" s="146">
        <f t="shared" si="62"/>
        <v>13126700</v>
      </c>
      <c r="M1197" s="73"/>
      <c r="N1197" s="73"/>
      <c r="O1197" s="73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14.25" customHeight="1" x14ac:dyDescent="0.35">
      <c r="A1198" s="9">
        <f t="shared" si="63"/>
        <v>1190</v>
      </c>
      <c r="B1198" s="15"/>
      <c r="C1198" s="11">
        <f t="shared" si="64"/>
        <v>1</v>
      </c>
      <c r="D1198" s="11"/>
      <c r="E1198" s="11"/>
      <c r="F1198" s="11"/>
      <c r="G1198" s="89">
        <f>IFERROR(VLOOKUP(F1198,COA!$A$1:$K$26,2,FALSE),0)</f>
        <v>0</v>
      </c>
      <c r="H1198" s="11"/>
      <c r="I1198" s="11"/>
      <c r="J1198" s="78"/>
      <c r="K1198" s="78"/>
      <c r="L1198" s="146">
        <f t="shared" si="62"/>
        <v>13126700</v>
      </c>
      <c r="M1198" s="73"/>
      <c r="N1198" s="73"/>
      <c r="O1198" s="73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14.25" customHeight="1" x14ac:dyDescent="0.35">
      <c r="A1199" s="9">
        <f t="shared" si="63"/>
        <v>1191</v>
      </c>
      <c r="B1199" s="15"/>
      <c r="C1199" s="11">
        <f t="shared" si="64"/>
        <v>1</v>
      </c>
      <c r="D1199" s="11"/>
      <c r="E1199" s="11"/>
      <c r="F1199" s="11"/>
      <c r="G1199" s="89">
        <f>IFERROR(VLOOKUP(F1199,COA!$A$1:$K$26,2,FALSE),0)</f>
        <v>0</v>
      </c>
      <c r="H1199" s="11"/>
      <c r="I1199" s="11"/>
      <c r="J1199" s="78"/>
      <c r="K1199" s="78"/>
      <c r="L1199" s="146">
        <f t="shared" si="62"/>
        <v>13126700</v>
      </c>
      <c r="M1199" s="73"/>
      <c r="N1199" s="73"/>
      <c r="O1199" s="73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14.25" customHeight="1" x14ac:dyDescent="0.35">
      <c r="A1200" s="9">
        <f t="shared" si="63"/>
        <v>1192</v>
      </c>
      <c r="B1200" s="15"/>
      <c r="C1200" s="11">
        <f t="shared" si="64"/>
        <v>1</v>
      </c>
      <c r="D1200" s="11"/>
      <c r="E1200" s="11"/>
      <c r="F1200" s="11"/>
      <c r="G1200" s="89">
        <f>IFERROR(VLOOKUP(F1200,COA!$A$1:$K$26,2,FALSE),0)</f>
        <v>0</v>
      </c>
      <c r="H1200" s="11"/>
      <c r="I1200" s="11"/>
      <c r="J1200" s="78"/>
      <c r="K1200" s="78"/>
      <c r="L1200" s="146">
        <f t="shared" si="62"/>
        <v>13126700</v>
      </c>
      <c r="M1200" s="73"/>
      <c r="N1200" s="73"/>
      <c r="O1200" s="73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14.25" customHeight="1" x14ac:dyDescent="0.35">
      <c r="A1201" s="9">
        <f t="shared" si="63"/>
        <v>1193</v>
      </c>
      <c r="B1201" s="15"/>
      <c r="C1201" s="11">
        <f t="shared" si="64"/>
        <v>1</v>
      </c>
      <c r="D1201" s="11"/>
      <c r="E1201" s="11"/>
      <c r="F1201" s="11"/>
      <c r="G1201" s="89">
        <f>IFERROR(VLOOKUP(F1201,COA!$A$1:$K$26,2,FALSE),0)</f>
        <v>0</v>
      </c>
      <c r="H1201" s="11"/>
      <c r="I1201" s="11"/>
      <c r="J1201" s="78"/>
      <c r="K1201" s="78"/>
      <c r="L1201" s="146">
        <f t="shared" si="62"/>
        <v>13126700</v>
      </c>
      <c r="M1201" s="73"/>
      <c r="N1201" s="73"/>
      <c r="O1201" s="73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14.25" customHeight="1" x14ac:dyDescent="0.35">
      <c r="A1202" s="9">
        <f t="shared" si="63"/>
        <v>1194</v>
      </c>
      <c r="B1202" s="15"/>
      <c r="C1202" s="11">
        <f t="shared" si="64"/>
        <v>1</v>
      </c>
      <c r="D1202" s="11"/>
      <c r="E1202" s="11"/>
      <c r="F1202" s="11"/>
      <c r="G1202" s="89">
        <f>IFERROR(VLOOKUP(F1202,COA!$A$1:$K$26,2,FALSE),0)</f>
        <v>0</v>
      </c>
      <c r="H1202" s="11"/>
      <c r="I1202" s="11"/>
      <c r="J1202" s="78"/>
      <c r="K1202" s="78"/>
      <c r="L1202" s="146">
        <f t="shared" si="62"/>
        <v>13126700</v>
      </c>
      <c r="M1202" s="73"/>
      <c r="N1202" s="73"/>
      <c r="O1202" s="73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14.25" customHeight="1" x14ac:dyDescent="0.35">
      <c r="A1203" s="9">
        <f t="shared" si="63"/>
        <v>1195</v>
      </c>
      <c r="B1203" s="15"/>
      <c r="C1203" s="11">
        <f t="shared" si="64"/>
        <v>1</v>
      </c>
      <c r="D1203" s="11"/>
      <c r="E1203" s="11"/>
      <c r="F1203" s="11"/>
      <c r="G1203" s="89">
        <f>IFERROR(VLOOKUP(F1203,COA!$A$1:$K$26,2,FALSE),0)</f>
        <v>0</v>
      </c>
      <c r="H1203" s="11"/>
      <c r="I1203" s="11"/>
      <c r="J1203" s="78"/>
      <c r="K1203" s="78"/>
      <c r="L1203" s="146">
        <f t="shared" si="62"/>
        <v>13126700</v>
      </c>
      <c r="M1203" s="73"/>
      <c r="N1203" s="73"/>
      <c r="O1203" s="73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14.25" customHeight="1" x14ac:dyDescent="0.35">
      <c r="A1204" s="9">
        <f t="shared" si="63"/>
        <v>1196</v>
      </c>
      <c r="B1204" s="15"/>
      <c r="C1204" s="11">
        <f t="shared" si="64"/>
        <v>1</v>
      </c>
      <c r="D1204" s="11"/>
      <c r="E1204" s="11"/>
      <c r="F1204" s="11"/>
      <c r="G1204" s="89">
        <f>IFERROR(VLOOKUP(F1204,COA!$A$1:$K$26,2,FALSE),0)</f>
        <v>0</v>
      </c>
      <c r="H1204" s="11"/>
      <c r="I1204" s="11"/>
      <c r="J1204" s="78"/>
      <c r="K1204" s="78"/>
      <c r="L1204" s="146">
        <f t="shared" si="62"/>
        <v>13126700</v>
      </c>
      <c r="M1204" s="73"/>
      <c r="N1204" s="73"/>
      <c r="O1204" s="73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14.25" customHeight="1" x14ac:dyDescent="0.35">
      <c r="A1205" s="9">
        <f t="shared" si="63"/>
        <v>1197</v>
      </c>
      <c r="B1205" s="15"/>
      <c r="C1205" s="11">
        <f t="shared" si="64"/>
        <v>1</v>
      </c>
      <c r="D1205" s="11"/>
      <c r="E1205" s="11"/>
      <c r="F1205" s="11"/>
      <c r="G1205" s="89">
        <f>IFERROR(VLOOKUP(F1205,COA!$A$1:$K$26,2,FALSE),0)</f>
        <v>0</v>
      </c>
      <c r="H1205" s="11"/>
      <c r="I1205" s="11"/>
      <c r="J1205" s="78"/>
      <c r="K1205" s="78"/>
      <c r="L1205" s="146">
        <f t="shared" si="62"/>
        <v>13126700</v>
      </c>
      <c r="M1205" s="73"/>
      <c r="N1205" s="73"/>
      <c r="O1205" s="73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14.25" customHeight="1" x14ac:dyDescent="0.35">
      <c r="A1206" s="9">
        <f t="shared" si="63"/>
        <v>1198</v>
      </c>
      <c r="B1206" s="15"/>
      <c r="C1206" s="11">
        <f t="shared" si="64"/>
        <v>1</v>
      </c>
      <c r="D1206" s="11"/>
      <c r="E1206" s="11"/>
      <c r="F1206" s="11"/>
      <c r="G1206" s="89">
        <f>IFERROR(VLOOKUP(F1206,COA!$A$1:$K$26,2,FALSE),0)</f>
        <v>0</v>
      </c>
      <c r="H1206" s="11"/>
      <c r="I1206" s="11"/>
      <c r="J1206" s="78"/>
      <c r="K1206" s="78"/>
      <c r="L1206" s="146">
        <f t="shared" si="62"/>
        <v>13126700</v>
      </c>
      <c r="M1206" s="73"/>
      <c r="N1206" s="73"/>
      <c r="O1206" s="73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14.25" customHeight="1" x14ac:dyDescent="0.35">
      <c r="A1207" s="9">
        <f t="shared" si="63"/>
        <v>1199</v>
      </c>
      <c r="B1207" s="15"/>
      <c r="C1207" s="11">
        <f t="shared" si="64"/>
        <v>1</v>
      </c>
      <c r="D1207" s="11"/>
      <c r="E1207" s="11"/>
      <c r="F1207" s="11"/>
      <c r="G1207" s="89">
        <f>IFERROR(VLOOKUP(F1207,COA!$A$1:$K$26,2,FALSE),0)</f>
        <v>0</v>
      </c>
      <c r="H1207" s="11"/>
      <c r="I1207" s="11"/>
      <c r="J1207" s="78"/>
      <c r="K1207" s="78"/>
      <c r="L1207" s="146">
        <f t="shared" si="62"/>
        <v>13126700</v>
      </c>
      <c r="M1207" s="73"/>
      <c r="N1207" s="73"/>
      <c r="O1207" s="73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14.25" customHeight="1" x14ac:dyDescent="0.35">
      <c r="A1208" s="9">
        <f t="shared" si="63"/>
        <v>1200</v>
      </c>
      <c r="B1208" s="15"/>
      <c r="C1208" s="11">
        <f t="shared" si="64"/>
        <v>1</v>
      </c>
      <c r="D1208" s="11"/>
      <c r="E1208" s="11"/>
      <c r="F1208" s="11"/>
      <c r="G1208" s="89">
        <f>IFERROR(VLOOKUP(F1208,COA!$A$1:$K$26,2,FALSE),0)</f>
        <v>0</v>
      </c>
      <c r="H1208" s="11"/>
      <c r="I1208" s="11"/>
      <c r="J1208" s="78"/>
      <c r="K1208" s="78"/>
      <c r="L1208" s="146">
        <f t="shared" si="62"/>
        <v>13126700</v>
      </c>
      <c r="M1208" s="73"/>
      <c r="N1208" s="73"/>
      <c r="O1208" s="73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14.25" customHeight="1" x14ac:dyDescent="0.35">
      <c r="A1209" s="9">
        <f t="shared" si="63"/>
        <v>1201</v>
      </c>
      <c r="B1209" s="15"/>
      <c r="C1209" s="11">
        <f t="shared" si="64"/>
        <v>1</v>
      </c>
      <c r="D1209" s="11"/>
      <c r="E1209" s="11"/>
      <c r="F1209" s="11"/>
      <c r="G1209" s="89">
        <f>IFERROR(VLOOKUP(F1209,COA!$A$1:$K$26,2,FALSE),0)</f>
        <v>0</v>
      </c>
      <c r="H1209" s="11"/>
      <c r="I1209" s="11"/>
      <c r="J1209" s="78"/>
      <c r="K1209" s="78"/>
      <c r="L1209" s="146">
        <f t="shared" si="62"/>
        <v>13126700</v>
      </c>
      <c r="M1209" s="73"/>
      <c r="N1209" s="73"/>
      <c r="O1209" s="73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14.25" customHeight="1" x14ac:dyDescent="0.35">
      <c r="A1210" s="9">
        <f t="shared" si="63"/>
        <v>1202</v>
      </c>
      <c r="B1210" s="15"/>
      <c r="C1210" s="11">
        <f t="shared" si="64"/>
        <v>1</v>
      </c>
      <c r="D1210" s="11"/>
      <c r="E1210" s="11"/>
      <c r="F1210" s="11"/>
      <c r="G1210" s="89">
        <f>IFERROR(VLOOKUP(F1210,COA!$A$1:$K$26,2,FALSE),0)</f>
        <v>0</v>
      </c>
      <c r="H1210" s="11"/>
      <c r="I1210" s="11"/>
      <c r="J1210" s="78"/>
      <c r="K1210" s="78"/>
      <c r="L1210" s="146">
        <f t="shared" si="62"/>
        <v>13126700</v>
      </c>
      <c r="M1210" s="73"/>
      <c r="N1210" s="73"/>
      <c r="O1210" s="73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14.25" customHeight="1" x14ac:dyDescent="0.35">
      <c r="A1211" s="9">
        <f t="shared" si="63"/>
        <v>1203</v>
      </c>
      <c r="B1211" s="15"/>
      <c r="C1211" s="11">
        <f t="shared" si="64"/>
        <v>1</v>
      </c>
      <c r="D1211" s="11"/>
      <c r="E1211" s="11"/>
      <c r="F1211" s="11"/>
      <c r="G1211" s="89">
        <f>IFERROR(VLOOKUP(F1211,COA!$A$1:$K$26,2,FALSE),0)</f>
        <v>0</v>
      </c>
      <c r="H1211" s="11"/>
      <c r="I1211" s="11"/>
      <c r="J1211" s="78"/>
      <c r="K1211" s="78"/>
      <c r="L1211" s="146">
        <f t="shared" si="62"/>
        <v>13126700</v>
      </c>
      <c r="M1211" s="73"/>
      <c r="N1211" s="73"/>
      <c r="O1211" s="73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14.25" customHeight="1" x14ac:dyDescent="0.35">
      <c r="A1212" s="9">
        <f t="shared" si="63"/>
        <v>1204</v>
      </c>
      <c r="B1212" s="15"/>
      <c r="C1212" s="11">
        <f t="shared" si="64"/>
        <v>1</v>
      </c>
      <c r="D1212" s="11"/>
      <c r="E1212" s="11"/>
      <c r="F1212" s="11"/>
      <c r="G1212" s="89">
        <f>IFERROR(VLOOKUP(F1212,COA!$A$1:$K$26,2,FALSE),0)</f>
        <v>0</v>
      </c>
      <c r="H1212" s="11"/>
      <c r="I1212" s="11"/>
      <c r="J1212" s="78"/>
      <c r="K1212" s="78"/>
      <c r="L1212" s="146">
        <f t="shared" si="62"/>
        <v>13126700</v>
      </c>
      <c r="M1212" s="73"/>
      <c r="N1212" s="73"/>
      <c r="O1212" s="73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14.25" customHeight="1" x14ac:dyDescent="0.35">
      <c r="A1213" s="9">
        <f t="shared" si="63"/>
        <v>1205</v>
      </c>
      <c r="B1213" s="15"/>
      <c r="C1213" s="11">
        <f t="shared" si="64"/>
        <v>1</v>
      </c>
      <c r="D1213" s="11"/>
      <c r="E1213" s="11"/>
      <c r="F1213" s="11"/>
      <c r="G1213" s="89">
        <f>IFERROR(VLOOKUP(F1213,COA!$A$1:$K$26,2,FALSE),0)</f>
        <v>0</v>
      </c>
      <c r="H1213" s="11"/>
      <c r="I1213" s="11"/>
      <c r="J1213" s="78"/>
      <c r="K1213" s="78"/>
      <c r="L1213" s="146">
        <f t="shared" si="62"/>
        <v>13126700</v>
      </c>
      <c r="M1213" s="73"/>
      <c r="N1213" s="73"/>
      <c r="O1213" s="73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14.25" customHeight="1" x14ac:dyDescent="0.35">
      <c r="A1214" s="9">
        <f t="shared" si="63"/>
        <v>1206</v>
      </c>
      <c r="B1214" s="15"/>
      <c r="C1214" s="11">
        <f t="shared" si="64"/>
        <v>1</v>
      </c>
      <c r="D1214" s="11"/>
      <c r="E1214" s="11"/>
      <c r="F1214" s="11"/>
      <c r="G1214" s="89">
        <f>IFERROR(VLOOKUP(F1214,COA!$A$1:$K$26,2,FALSE),0)</f>
        <v>0</v>
      </c>
      <c r="H1214" s="11"/>
      <c r="I1214" s="11"/>
      <c r="J1214" s="78"/>
      <c r="K1214" s="78"/>
      <c r="L1214" s="146">
        <f t="shared" si="62"/>
        <v>13126700</v>
      </c>
      <c r="M1214" s="73"/>
      <c r="N1214" s="73"/>
      <c r="O1214" s="73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14.25" customHeight="1" x14ac:dyDescent="0.35">
      <c r="A1215" s="9">
        <f t="shared" si="63"/>
        <v>1207</v>
      </c>
      <c r="B1215" s="15"/>
      <c r="C1215" s="11">
        <f t="shared" si="64"/>
        <v>1</v>
      </c>
      <c r="D1215" s="11"/>
      <c r="E1215" s="11"/>
      <c r="F1215" s="11"/>
      <c r="G1215" s="89">
        <f>IFERROR(VLOOKUP(F1215,COA!$A$1:$K$26,2,FALSE),0)</f>
        <v>0</v>
      </c>
      <c r="H1215" s="11"/>
      <c r="I1215" s="11"/>
      <c r="J1215" s="78"/>
      <c r="K1215" s="78"/>
      <c r="L1215" s="146">
        <f t="shared" si="62"/>
        <v>13126700</v>
      </c>
      <c r="M1215" s="73"/>
      <c r="N1215" s="73"/>
      <c r="O1215" s="73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14.25" customHeight="1" x14ac:dyDescent="0.35">
      <c r="A1216" s="9">
        <f t="shared" si="63"/>
        <v>1208</v>
      </c>
      <c r="B1216" s="15"/>
      <c r="C1216" s="11">
        <f t="shared" si="64"/>
        <v>1</v>
      </c>
      <c r="D1216" s="11"/>
      <c r="E1216" s="11"/>
      <c r="F1216" s="11"/>
      <c r="G1216" s="89">
        <f>IFERROR(VLOOKUP(F1216,COA!$A$1:$K$26,2,FALSE),0)</f>
        <v>0</v>
      </c>
      <c r="H1216" s="11"/>
      <c r="I1216" s="11"/>
      <c r="J1216" s="78"/>
      <c r="K1216" s="78"/>
      <c r="L1216" s="146">
        <f t="shared" si="62"/>
        <v>13126700</v>
      </c>
      <c r="M1216" s="73"/>
      <c r="N1216" s="73"/>
      <c r="O1216" s="73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14.25" customHeight="1" x14ac:dyDescent="0.35">
      <c r="A1217" s="9">
        <f t="shared" si="63"/>
        <v>1209</v>
      </c>
      <c r="B1217" s="15"/>
      <c r="C1217" s="11">
        <f t="shared" si="64"/>
        <v>1</v>
      </c>
      <c r="D1217" s="11"/>
      <c r="E1217" s="11"/>
      <c r="F1217" s="11"/>
      <c r="G1217" s="89">
        <f>IFERROR(VLOOKUP(F1217,COA!$A$1:$K$26,2,FALSE),0)</f>
        <v>0</v>
      </c>
      <c r="H1217" s="11"/>
      <c r="I1217" s="11"/>
      <c r="J1217" s="78"/>
      <c r="K1217" s="78"/>
      <c r="L1217" s="146">
        <f t="shared" si="62"/>
        <v>13126700</v>
      </c>
      <c r="M1217" s="73"/>
      <c r="N1217" s="73"/>
      <c r="O1217" s="73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14.25" customHeight="1" x14ac:dyDescent="0.35">
      <c r="A1218" s="9">
        <f t="shared" si="63"/>
        <v>1210</v>
      </c>
      <c r="B1218" s="15"/>
      <c r="C1218" s="11">
        <f t="shared" si="64"/>
        <v>1</v>
      </c>
      <c r="D1218" s="11"/>
      <c r="E1218" s="11"/>
      <c r="F1218" s="11"/>
      <c r="G1218" s="89">
        <f>IFERROR(VLOOKUP(F1218,COA!$A$1:$K$26,2,FALSE),0)</f>
        <v>0</v>
      </c>
      <c r="H1218" s="11"/>
      <c r="I1218" s="11"/>
      <c r="J1218" s="78"/>
      <c r="K1218" s="78"/>
      <c r="L1218" s="146">
        <f t="shared" si="62"/>
        <v>13126700</v>
      </c>
      <c r="M1218" s="73"/>
      <c r="N1218" s="73"/>
      <c r="O1218" s="73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14.25" customHeight="1" x14ac:dyDescent="0.35">
      <c r="A1219" s="9">
        <f t="shared" si="63"/>
        <v>1211</v>
      </c>
      <c r="B1219" s="15"/>
      <c r="C1219" s="11">
        <f t="shared" si="64"/>
        <v>1</v>
      </c>
      <c r="D1219" s="11"/>
      <c r="E1219" s="11"/>
      <c r="F1219" s="11"/>
      <c r="G1219" s="89">
        <f>IFERROR(VLOOKUP(F1219,COA!$A$1:$K$26,2,FALSE),0)</f>
        <v>0</v>
      </c>
      <c r="H1219" s="11"/>
      <c r="I1219" s="11"/>
      <c r="J1219" s="78"/>
      <c r="K1219" s="78"/>
      <c r="L1219" s="146">
        <f t="shared" si="62"/>
        <v>13126700</v>
      </c>
      <c r="M1219" s="73"/>
      <c r="N1219" s="73"/>
      <c r="O1219" s="73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14.25" customHeight="1" x14ac:dyDescent="0.35">
      <c r="A1220" s="9">
        <f t="shared" si="63"/>
        <v>1212</v>
      </c>
      <c r="B1220" s="15"/>
      <c r="C1220" s="11">
        <f t="shared" si="64"/>
        <v>1</v>
      </c>
      <c r="D1220" s="11"/>
      <c r="E1220" s="11"/>
      <c r="F1220" s="11"/>
      <c r="G1220" s="89">
        <f>IFERROR(VLOOKUP(F1220,COA!$A$1:$K$26,2,FALSE),0)</f>
        <v>0</v>
      </c>
      <c r="H1220" s="11"/>
      <c r="I1220" s="11"/>
      <c r="J1220" s="78"/>
      <c r="K1220" s="78"/>
      <c r="L1220" s="146">
        <f t="shared" si="62"/>
        <v>13126700</v>
      </c>
      <c r="M1220" s="73"/>
      <c r="N1220" s="73"/>
      <c r="O1220" s="73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14.25" customHeight="1" x14ac:dyDescent="0.35">
      <c r="A1221" s="9">
        <f t="shared" si="63"/>
        <v>1213</v>
      </c>
      <c r="B1221" s="15"/>
      <c r="C1221" s="11">
        <f t="shared" si="64"/>
        <v>1</v>
      </c>
      <c r="D1221" s="11"/>
      <c r="E1221" s="11"/>
      <c r="F1221" s="11"/>
      <c r="G1221" s="89">
        <f>IFERROR(VLOOKUP(F1221,COA!$A$1:$K$26,2,FALSE),0)</f>
        <v>0</v>
      </c>
      <c r="H1221" s="11"/>
      <c r="I1221" s="11"/>
      <c r="J1221" s="78"/>
      <c r="K1221" s="78"/>
      <c r="L1221" s="146">
        <f t="shared" si="62"/>
        <v>13126700</v>
      </c>
      <c r="M1221" s="73"/>
      <c r="N1221" s="73"/>
      <c r="O1221" s="73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14.25" customHeight="1" x14ac:dyDescent="0.35">
      <c r="A1222" s="9">
        <f t="shared" si="63"/>
        <v>1214</v>
      </c>
      <c r="B1222" s="15"/>
      <c r="C1222" s="11">
        <f t="shared" si="64"/>
        <v>1</v>
      </c>
      <c r="D1222" s="11"/>
      <c r="E1222" s="11"/>
      <c r="F1222" s="11"/>
      <c r="G1222" s="89">
        <f>IFERROR(VLOOKUP(F1222,COA!$A$1:$K$26,2,FALSE),0)</f>
        <v>0</v>
      </c>
      <c r="H1222" s="11"/>
      <c r="I1222" s="11"/>
      <c r="J1222" s="78"/>
      <c r="K1222" s="78"/>
      <c r="L1222" s="146">
        <f t="shared" si="62"/>
        <v>13126700</v>
      </c>
      <c r="M1222" s="73"/>
      <c r="N1222" s="73"/>
      <c r="O1222" s="73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14.25" customHeight="1" x14ac:dyDescent="0.35">
      <c r="A1223" s="9">
        <f t="shared" si="63"/>
        <v>1215</v>
      </c>
      <c r="B1223" s="15"/>
      <c r="C1223" s="11">
        <f t="shared" si="64"/>
        <v>1</v>
      </c>
      <c r="D1223" s="11"/>
      <c r="E1223" s="11"/>
      <c r="F1223" s="11"/>
      <c r="G1223" s="89">
        <f>IFERROR(VLOOKUP(F1223,COA!$A$1:$K$26,2,FALSE),0)</f>
        <v>0</v>
      </c>
      <c r="H1223" s="11"/>
      <c r="I1223" s="11"/>
      <c r="J1223" s="78"/>
      <c r="K1223" s="78"/>
      <c r="L1223" s="146">
        <f t="shared" si="62"/>
        <v>13126700</v>
      </c>
      <c r="M1223" s="73"/>
      <c r="N1223" s="73"/>
      <c r="O1223" s="73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14.25" customHeight="1" x14ac:dyDescent="0.35">
      <c r="A1224" s="9">
        <f t="shared" si="63"/>
        <v>1216</v>
      </c>
      <c r="B1224" s="15"/>
      <c r="C1224" s="11">
        <f t="shared" si="64"/>
        <v>1</v>
      </c>
      <c r="D1224" s="11"/>
      <c r="E1224" s="11"/>
      <c r="F1224" s="11"/>
      <c r="G1224" s="89">
        <f>IFERROR(VLOOKUP(F1224,COA!$A$1:$K$26,2,FALSE),0)</f>
        <v>0</v>
      </c>
      <c r="H1224" s="11"/>
      <c r="I1224" s="11"/>
      <c r="J1224" s="78"/>
      <c r="K1224" s="78"/>
      <c r="L1224" s="146">
        <f t="shared" si="62"/>
        <v>13126700</v>
      </c>
      <c r="M1224" s="73"/>
      <c r="N1224" s="73"/>
      <c r="O1224" s="73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14.25" customHeight="1" x14ac:dyDescent="0.35">
      <c r="A1225" s="9">
        <f t="shared" si="63"/>
        <v>1217</v>
      </c>
      <c r="B1225" s="15"/>
      <c r="C1225" s="11">
        <f t="shared" si="64"/>
        <v>1</v>
      </c>
      <c r="D1225" s="11"/>
      <c r="E1225" s="11"/>
      <c r="F1225" s="11"/>
      <c r="G1225" s="89">
        <f>IFERROR(VLOOKUP(F1225,COA!$A$1:$K$26,2,FALSE),0)</f>
        <v>0</v>
      </c>
      <c r="H1225" s="11"/>
      <c r="I1225" s="11"/>
      <c r="J1225" s="78"/>
      <c r="K1225" s="78"/>
      <c r="L1225" s="146">
        <f t="shared" si="62"/>
        <v>13126700</v>
      </c>
      <c r="M1225" s="73"/>
      <c r="N1225" s="73"/>
      <c r="O1225" s="73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14.25" customHeight="1" x14ac:dyDescent="0.35">
      <c r="A1226" s="9">
        <f t="shared" si="63"/>
        <v>1218</v>
      </c>
      <c r="B1226" s="15"/>
      <c r="C1226" s="11">
        <f t="shared" si="64"/>
        <v>1</v>
      </c>
      <c r="D1226" s="11"/>
      <c r="E1226" s="11"/>
      <c r="F1226" s="11"/>
      <c r="G1226" s="89">
        <f>IFERROR(VLOOKUP(F1226,COA!$A$1:$K$26,2,FALSE),0)</f>
        <v>0</v>
      </c>
      <c r="H1226" s="11"/>
      <c r="I1226" s="11"/>
      <c r="J1226" s="78"/>
      <c r="K1226" s="78"/>
      <c r="L1226" s="146">
        <f t="shared" si="62"/>
        <v>13126700</v>
      </c>
      <c r="M1226" s="73"/>
      <c r="N1226" s="73"/>
      <c r="O1226" s="73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14.25" customHeight="1" x14ac:dyDescent="0.35">
      <c r="A1227" s="9">
        <f t="shared" si="63"/>
        <v>1219</v>
      </c>
      <c r="B1227" s="15"/>
      <c r="C1227" s="11">
        <f t="shared" si="64"/>
        <v>1</v>
      </c>
      <c r="D1227" s="11"/>
      <c r="E1227" s="11"/>
      <c r="F1227" s="11"/>
      <c r="G1227" s="89">
        <f>IFERROR(VLOOKUP(F1227,COA!$A$1:$K$26,2,FALSE),0)</f>
        <v>0</v>
      </c>
      <c r="H1227" s="11"/>
      <c r="I1227" s="11"/>
      <c r="J1227" s="78"/>
      <c r="K1227" s="78"/>
      <c r="L1227" s="146">
        <f t="shared" si="62"/>
        <v>13126700</v>
      </c>
      <c r="M1227" s="73"/>
      <c r="N1227" s="73"/>
      <c r="O1227" s="73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14.25" customHeight="1" x14ac:dyDescent="0.35">
      <c r="A1228" s="9">
        <f t="shared" si="63"/>
        <v>1220</v>
      </c>
      <c r="B1228" s="15"/>
      <c r="C1228" s="11">
        <f t="shared" si="64"/>
        <v>1</v>
      </c>
      <c r="D1228" s="11"/>
      <c r="E1228" s="11"/>
      <c r="F1228" s="11"/>
      <c r="G1228" s="89">
        <f>IFERROR(VLOOKUP(F1228,COA!$A$1:$K$26,2,FALSE),0)</f>
        <v>0</v>
      </c>
      <c r="H1228" s="11"/>
      <c r="I1228" s="11"/>
      <c r="J1228" s="78"/>
      <c r="K1228" s="78"/>
      <c r="L1228" s="146">
        <f t="shared" si="62"/>
        <v>13126700</v>
      </c>
      <c r="M1228" s="73"/>
      <c r="N1228" s="73"/>
      <c r="O1228" s="73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14.25" customHeight="1" x14ac:dyDescent="0.35">
      <c r="A1229" s="9">
        <f t="shared" si="63"/>
        <v>1221</v>
      </c>
      <c r="B1229" s="15"/>
      <c r="C1229" s="11">
        <f t="shared" si="64"/>
        <v>1</v>
      </c>
      <c r="D1229" s="11"/>
      <c r="E1229" s="11"/>
      <c r="F1229" s="11"/>
      <c r="G1229" s="89">
        <f>IFERROR(VLOOKUP(F1229,COA!$A$1:$K$26,2,FALSE),0)</f>
        <v>0</v>
      </c>
      <c r="H1229" s="11"/>
      <c r="I1229" s="11"/>
      <c r="J1229" s="78"/>
      <c r="K1229" s="78"/>
      <c r="L1229" s="146">
        <f t="shared" si="62"/>
        <v>13126700</v>
      </c>
      <c r="M1229" s="73"/>
      <c r="N1229" s="73"/>
      <c r="O1229" s="73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14.25" customHeight="1" x14ac:dyDescent="0.35">
      <c r="A1230" s="9">
        <f t="shared" si="63"/>
        <v>1222</v>
      </c>
      <c r="B1230" s="15"/>
      <c r="C1230" s="11">
        <f t="shared" si="64"/>
        <v>1</v>
      </c>
      <c r="D1230" s="11"/>
      <c r="E1230" s="11"/>
      <c r="F1230" s="11"/>
      <c r="G1230" s="89">
        <f>IFERROR(VLOOKUP(F1230,COA!$A$1:$K$26,2,FALSE),0)</f>
        <v>0</v>
      </c>
      <c r="H1230" s="11"/>
      <c r="I1230" s="11"/>
      <c r="J1230" s="78"/>
      <c r="K1230" s="78"/>
      <c r="L1230" s="146">
        <f t="shared" si="62"/>
        <v>13126700</v>
      </c>
      <c r="M1230" s="73"/>
      <c r="N1230" s="73"/>
      <c r="O1230" s="73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14.25" customHeight="1" x14ac:dyDescent="0.35">
      <c r="A1231" s="9">
        <f t="shared" si="63"/>
        <v>1223</v>
      </c>
      <c r="B1231" s="15"/>
      <c r="C1231" s="11">
        <f t="shared" si="64"/>
        <v>1</v>
      </c>
      <c r="D1231" s="11"/>
      <c r="E1231" s="11"/>
      <c r="F1231" s="11"/>
      <c r="G1231" s="89">
        <f>IFERROR(VLOOKUP(F1231,COA!$A$1:$K$26,2,FALSE),0)</f>
        <v>0</v>
      </c>
      <c r="H1231" s="11"/>
      <c r="I1231" s="11"/>
      <c r="J1231" s="78"/>
      <c r="K1231" s="78"/>
      <c r="L1231" s="146">
        <f t="shared" si="62"/>
        <v>13126700</v>
      </c>
      <c r="M1231" s="73"/>
      <c r="N1231" s="73"/>
      <c r="O1231" s="73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14.25" customHeight="1" x14ac:dyDescent="0.35">
      <c r="A1232" s="9">
        <f t="shared" si="63"/>
        <v>1224</v>
      </c>
      <c r="B1232" s="15"/>
      <c r="C1232" s="11">
        <f t="shared" si="64"/>
        <v>1</v>
      </c>
      <c r="D1232" s="11"/>
      <c r="E1232" s="11"/>
      <c r="F1232" s="11"/>
      <c r="G1232" s="89">
        <f>IFERROR(VLOOKUP(F1232,COA!$A$1:$K$26,2,FALSE),0)</f>
        <v>0</v>
      </c>
      <c r="H1232" s="11"/>
      <c r="I1232" s="11"/>
      <c r="J1232" s="78"/>
      <c r="K1232" s="78"/>
      <c r="L1232" s="146">
        <f t="shared" ref="L1232:L1295" si="65">L1231+J1232-K1232</f>
        <v>13126700</v>
      </c>
      <c r="M1232" s="73"/>
      <c r="N1232" s="73"/>
      <c r="O1232" s="73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14.25" customHeight="1" x14ac:dyDescent="0.35">
      <c r="A1233" s="9">
        <f t="shared" si="63"/>
        <v>1225</v>
      </c>
      <c r="B1233" s="15"/>
      <c r="C1233" s="11">
        <f t="shared" si="64"/>
        <v>1</v>
      </c>
      <c r="D1233" s="11"/>
      <c r="E1233" s="11"/>
      <c r="F1233" s="11"/>
      <c r="G1233" s="89">
        <f>IFERROR(VLOOKUP(F1233,COA!$A$1:$K$26,2,FALSE),0)</f>
        <v>0</v>
      </c>
      <c r="H1233" s="11"/>
      <c r="I1233" s="11"/>
      <c r="J1233" s="78"/>
      <c r="K1233" s="78"/>
      <c r="L1233" s="146">
        <f t="shared" si="65"/>
        <v>13126700</v>
      </c>
      <c r="M1233" s="73"/>
      <c r="N1233" s="73"/>
      <c r="O1233" s="73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14.25" customHeight="1" x14ac:dyDescent="0.35">
      <c r="A1234" s="9">
        <f t="shared" ref="A1234:A1297" si="66">A1233+1</f>
        <v>1226</v>
      </c>
      <c r="B1234" s="15"/>
      <c r="C1234" s="11">
        <f t="shared" si="64"/>
        <v>1</v>
      </c>
      <c r="D1234" s="11"/>
      <c r="E1234" s="11"/>
      <c r="F1234" s="11"/>
      <c r="G1234" s="89">
        <f>IFERROR(VLOOKUP(F1234,COA!$A$1:$K$26,2,FALSE),0)</f>
        <v>0</v>
      </c>
      <c r="H1234" s="11"/>
      <c r="I1234" s="11"/>
      <c r="J1234" s="78"/>
      <c r="K1234" s="78"/>
      <c r="L1234" s="146">
        <f t="shared" si="65"/>
        <v>13126700</v>
      </c>
      <c r="M1234" s="73"/>
      <c r="N1234" s="73"/>
      <c r="O1234" s="73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14.25" customHeight="1" x14ac:dyDescent="0.35">
      <c r="A1235" s="9">
        <f t="shared" si="66"/>
        <v>1227</v>
      </c>
      <c r="B1235" s="15"/>
      <c r="C1235" s="11">
        <f t="shared" si="64"/>
        <v>1</v>
      </c>
      <c r="D1235" s="11"/>
      <c r="E1235" s="11"/>
      <c r="F1235" s="11"/>
      <c r="G1235" s="89">
        <f>IFERROR(VLOOKUP(F1235,COA!$A$1:$K$26,2,FALSE),0)</f>
        <v>0</v>
      </c>
      <c r="H1235" s="11"/>
      <c r="I1235" s="11"/>
      <c r="J1235" s="78"/>
      <c r="K1235" s="78"/>
      <c r="L1235" s="146">
        <f t="shared" si="65"/>
        <v>13126700</v>
      </c>
      <c r="M1235" s="73"/>
      <c r="N1235" s="73"/>
      <c r="O1235" s="73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14.25" customHeight="1" x14ac:dyDescent="0.35">
      <c r="A1236" s="9">
        <f t="shared" si="66"/>
        <v>1228</v>
      </c>
      <c r="B1236" s="15"/>
      <c r="C1236" s="11">
        <f t="shared" si="64"/>
        <v>1</v>
      </c>
      <c r="D1236" s="11"/>
      <c r="E1236" s="11"/>
      <c r="F1236" s="11"/>
      <c r="G1236" s="89">
        <f>IFERROR(VLOOKUP(F1236,COA!$A$1:$K$26,2,FALSE),0)</f>
        <v>0</v>
      </c>
      <c r="H1236" s="11"/>
      <c r="I1236" s="11"/>
      <c r="J1236" s="78"/>
      <c r="K1236" s="78"/>
      <c r="L1236" s="146">
        <f t="shared" si="65"/>
        <v>13126700</v>
      </c>
      <c r="M1236" s="73"/>
      <c r="N1236" s="73"/>
      <c r="O1236" s="73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14.25" customHeight="1" x14ac:dyDescent="0.35">
      <c r="A1237" s="9">
        <f t="shared" si="66"/>
        <v>1229</v>
      </c>
      <c r="B1237" s="15"/>
      <c r="C1237" s="11">
        <f t="shared" si="64"/>
        <v>1</v>
      </c>
      <c r="D1237" s="11"/>
      <c r="E1237" s="11"/>
      <c r="F1237" s="11"/>
      <c r="G1237" s="89">
        <f>IFERROR(VLOOKUP(F1237,COA!$A$1:$K$26,2,FALSE),0)</f>
        <v>0</v>
      </c>
      <c r="H1237" s="11"/>
      <c r="I1237" s="11"/>
      <c r="J1237" s="78"/>
      <c r="K1237" s="78"/>
      <c r="L1237" s="146">
        <f t="shared" si="65"/>
        <v>13126700</v>
      </c>
      <c r="M1237" s="73"/>
      <c r="N1237" s="73"/>
      <c r="O1237" s="73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14.25" customHeight="1" x14ac:dyDescent="0.35">
      <c r="A1238" s="9">
        <f t="shared" si="66"/>
        <v>1230</v>
      </c>
      <c r="B1238" s="15"/>
      <c r="C1238" s="11">
        <f t="shared" si="64"/>
        <v>1</v>
      </c>
      <c r="D1238" s="11"/>
      <c r="E1238" s="11"/>
      <c r="F1238" s="11"/>
      <c r="G1238" s="89">
        <f>IFERROR(VLOOKUP(F1238,COA!$A$1:$K$26,2,FALSE),0)</f>
        <v>0</v>
      </c>
      <c r="H1238" s="11"/>
      <c r="I1238" s="11"/>
      <c r="J1238" s="78"/>
      <c r="K1238" s="78"/>
      <c r="L1238" s="146">
        <f t="shared" si="65"/>
        <v>13126700</v>
      </c>
      <c r="M1238" s="73"/>
      <c r="N1238" s="73"/>
      <c r="O1238" s="73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14.25" customHeight="1" x14ac:dyDescent="0.35">
      <c r="A1239" s="9">
        <f t="shared" si="66"/>
        <v>1231</v>
      </c>
      <c r="B1239" s="15"/>
      <c r="C1239" s="11">
        <f t="shared" si="64"/>
        <v>1</v>
      </c>
      <c r="D1239" s="11"/>
      <c r="E1239" s="11"/>
      <c r="F1239" s="11"/>
      <c r="G1239" s="89">
        <f>IFERROR(VLOOKUP(F1239,COA!$A$1:$K$26,2,FALSE),0)</f>
        <v>0</v>
      </c>
      <c r="H1239" s="11"/>
      <c r="I1239" s="11"/>
      <c r="J1239" s="78"/>
      <c r="K1239" s="78"/>
      <c r="L1239" s="146">
        <f t="shared" si="65"/>
        <v>13126700</v>
      </c>
      <c r="M1239" s="73"/>
      <c r="N1239" s="73"/>
      <c r="O1239" s="73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14.25" customHeight="1" x14ac:dyDescent="0.35">
      <c r="A1240" s="9">
        <f t="shared" si="66"/>
        <v>1232</v>
      </c>
      <c r="B1240" s="15"/>
      <c r="C1240" s="11">
        <f t="shared" si="64"/>
        <v>1</v>
      </c>
      <c r="D1240" s="11"/>
      <c r="E1240" s="11"/>
      <c r="F1240" s="11"/>
      <c r="G1240" s="89">
        <f>IFERROR(VLOOKUP(F1240,COA!$A$1:$K$26,2,FALSE),0)</f>
        <v>0</v>
      </c>
      <c r="H1240" s="11"/>
      <c r="I1240" s="11"/>
      <c r="J1240" s="78"/>
      <c r="K1240" s="78"/>
      <c r="L1240" s="146">
        <f t="shared" si="65"/>
        <v>13126700</v>
      </c>
      <c r="M1240" s="73"/>
      <c r="N1240" s="73"/>
      <c r="O1240" s="73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14.25" customHeight="1" x14ac:dyDescent="0.35">
      <c r="A1241" s="9">
        <f t="shared" si="66"/>
        <v>1233</v>
      </c>
      <c r="B1241" s="15"/>
      <c r="C1241" s="11">
        <f t="shared" si="64"/>
        <v>1</v>
      </c>
      <c r="D1241" s="11"/>
      <c r="E1241" s="11"/>
      <c r="F1241" s="11"/>
      <c r="G1241" s="89">
        <f>IFERROR(VLOOKUP(F1241,COA!$A$1:$K$26,2,FALSE),0)</f>
        <v>0</v>
      </c>
      <c r="H1241" s="11"/>
      <c r="I1241" s="11"/>
      <c r="J1241" s="78"/>
      <c r="K1241" s="78"/>
      <c r="L1241" s="146">
        <f t="shared" si="65"/>
        <v>13126700</v>
      </c>
      <c r="M1241" s="73"/>
      <c r="N1241" s="73"/>
      <c r="O1241" s="73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14.25" customHeight="1" x14ac:dyDescent="0.35">
      <c r="A1242" s="9">
        <f t="shared" si="66"/>
        <v>1234</v>
      </c>
      <c r="B1242" s="15"/>
      <c r="C1242" s="11">
        <f t="shared" si="64"/>
        <v>1</v>
      </c>
      <c r="D1242" s="11"/>
      <c r="E1242" s="11"/>
      <c r="F1242" s="11"/>
      <c r="G1242" s="89">
        <f>IFERROR(VLOOKUP(F1242,COA!$A$1:$K$26,2,FALSE),0)</f>
        <v>0</v>
      </c>
      <c r="H1242" s="11"/>
      <c r="I1242" s="11"/>
      <c r="J1242" s="78"/>
      <c r="K1242" s="78"/>
      <c r="L1242" s="146">
        <f t="shared" si="65"/>
        <v>13126700</v>
      </c>
      <c r="M1242" s="73"/>
      <c r="N1242" s="73"/>
      <c r="O1242" s="73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14.25" customHeight="1" x14ac:dyDescent="0.35">
      <c r="A1243" s="9">
        <f t="shared" si="66"/>
        <v>1235</v>
      </c>
      <c r="B1243" s="15"/>
      <c r="C1243" s="11">
        <f t="shared" si="64"/>
        <v>1</v>
      </c>
      <c r="D1243" s="11"/>
      <c r="E1243" s="11"/>
      <c r="F1243" s="11"/>
      <c r="G1243" s="89">
        <f>IFERROR(VLOOKUP(F1243,COA!$A$1:$K$26,2,FALSE),0)</f>
        <v>0</v>
      </c>
      <c r="H1243" s="11"/>
      <c r="I1243" s="11"/>
      <c r="J1243" s="78"/>
      <c r="K1243" s="78"/>
      <c r="L1243" s="146">
        <f t="shared" si="65"/>
        <v>13126700</v>
      </c>
      <c r="M1243" s="73"/>
      <c r="N1243" s="73"/>
      <c r="O1243" s="73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14.25" customHeight="1" x14ac:dyDescent="0.35">
      <c r="A1244" s="9">
        <f t="shared" si="66"/>
        <v>1236</v>
      </c>
      <c r="B1244" s="15"/>
      <c r="C1244" s="11">
        <f t="shared" si="64"/>
        <v>1</v>
      </c>
      <c r="D1244" s="11"/>
      <c r="E1244" s="11"/>
      <c r="F1244" s="11"/>
      <c r="G1244" s="89">
        <f>IFERROR(VLOOKUP(F1244,COA!$A$1:$K$26,2,FALSE),0)</f>
        <v>0</v>
      </c>
      <c r="H1244" s="11"/>
      <c r="I1244" s="11"/>
      <c r="J1244" s="78"/>
      <c r="K1244" s="78"/>
      <c r="L1244" s="146">
        <f t="shared" si="65"/>
        <v>13126700</v>
      </c>
      <c r="M1244" s="73"/>
      <c r="N1244" s="73"/>
      <c r="O1244" s="73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14.25" customHeight="1" x14ac:dyDescent="0.35">
      <c r="A1245" s="9">
        <f t="shared" si="66"/>
        <v>1237</v>
      </c>
      <c r="B1245" s="15"/>
      <c r="C1245" s="11">
        <f t="shared" si="64"/>
        <v>1</v>
      </c>
      <c r="D1245" s="11"/>
      <c r="E1245" s="11"/>
      <c r="F1245" s="11"/>
      <c r="G1245" s="89">
        <f>IFERROR(VLOOKUP(F1245,COA!$A$1:$K$26,2,FALSE),0)</f>
        <v>0</v>
      </c>
      <c r="H1245" s="11"/>
      <c r="I1245" s="11"/>
      <c r="J1245" s="78"/>
      <c r="K1245" s="78"/>
      <c r="L1245" s="146">
        <f t="shared" si="65"/>
        <v>13126700</v>
      </c>
      <c r="M1245" s="73"/>
      <c r="N1245" s="73"/>
      <c r="O1245" s="73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14.25" customHeight="1" x14ac:dyDescent="0.35">
      <c r="A1246" s="9">
        <f t="shared" si="66"/>
        <v>1238</v>
      </c>
      <c r="B1246" s="15"/>
      <c r="C1246" s="11">
        <f t="shared" si="64"/>
        <v>1</v>
      </c>
      <c r="D1246" s="11"/>
      <c r="E1246" s="11"/>
      <c r="F1246" s="11"/>
      <c r="G1246" s="89">
        <f>IFERROR(VLOOKUP(F1246,COA!$A$1:$K$26,2,FALSE),0)</f>
        <v>0</v>
      </c>
      <c r="H1246" s="11"/>
      <c r="I1246" s="11"/>
      <c r="J1246" s="78"/>
      <c r="K1246" s="78"/>
      <c r="L1246" s="146">
        <f t="shared" si="65"/>
        <v>13126700</v>
      </c>
      <c r="M1246" s="73"/>
      <c r="N1246" s="73"/>
      <c r="O1246" s="73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14.25" customHeight="1" x14ac:dyDescent="0.35">
      <c r="A1247" s="9">
        <f t="shared" si="66"/>
        <v>1239</v>
      </c>
      <c r="B1247" s="15"/>
      <c r="C1247" s="11">
        <f t="shared" si="64"/>
        <v>1</v>
      </c>
      <c r="D1247" s="11"/>
      <c r="E1247" s="11"/>
      <c r="F1247" s="11"/>
      <c r="G1247" s="89">
        <f>IFERROR(VLOOKUP(F1247,COA!$A$1:$K$26,2,FALSE),0)</f>
        <v>0</v>
      </c>
      <c r="H1247" s="11"/>
      <c r="I1247" s="11"/>
      <c r="J1247" s="78"/>
      <c r="K1247" s="78"/>
      <c r="L1247" s="146">
        <f t="shared" si="65"/>
        <v>13126700</v>
      </c>
      <c r="M1247" s="73"/>
      <c r="N1247" s="73"/>
      <c r="O1247" s="73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14.25" customHeight="1" x14ac:dyDescent="0.35">
      <c r="A1248" s="9">
        <f t="shared" si="66"/>
        <v>1240</v>
      </c>
      <c r="B1248" s="15"/>
      <c r="C1248" s="11">
        <f t="shared" si="64"/>
        <v>1</v>
      </c>
      <c r="D1248" s="11"/>
      <c r="E1248" s="11"/>
      <c r="F1248" s="11"/>
      <c r="G1248" s="89">
        <f>IFERROR(VLOOKUP(F1248,COA!$A$1:$K$26,2,FALSE),0)</f>
        <v>0</v>
      </c>
      <c r="H1248" s="11"/>
      <c r="I1248" s="11"/>
      <c r="J1248" s="78"/>
      <c r="K1248" s="78"/>
      <c r="L1248" s="146">
        <f t="shared" si="65"/>
        <v>13126700</v>
      </c>
      <c r="M1248" s="73"/>
      <c r="N1248" s="73"/>
      <c r="O1248" s="73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14.25" customHeight="1" x14ac:dyDescent="0.35">
      <c r="A1249" s="9">
        <f t="shared" si="66"/>
        <v>1241</v>
      </c>
      <c r="B1249" s="15"/>
      <c r="C1249" s="11">
        <f t="shared" si="64"/>
        <v>1</v>
      </c>
      <c r="D1249" s="11"/>
      <c r="E1249" s="11"/>
      <c r="F1249" s="11"/>
      <c r="G1249" s="89">
        <f>IFERROR(VLOOKUP(F1249,COA!$A$1:$K$26,2,FALSE),0)</f>
        <v>0</v>
      </c>
      <c r="H1249" s="11"/>
      <c r="I1249" s="11"/>
      <c r="J1249" s="78"/>
      <c r="K1249" s="78"/>
      <c r="L1249" s="146">
        <f t="shared" si="65"/>
        <v>13126700</v>
      </c>
      <c r="M1249" s="73"/>
      <c r="N1249" s="73"/>
      <c r="O1249" s="73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14.25" customHeight="1" x14ac:dyDescent="0.35">
      <c r="A1250" s="9">
        <f t="shared" si="66"/>
        <v>1242</v>
      </c>
      <c r="B1250" s="15"/>
      <c r="C1250" s="11">
        <f t="shared" si="64"/>
        <v>1</v>
      </c>
      <c r="D1250" s="11"/>
      <c r="E1250" s="11"/>
      <c r="F1250" s="11"/>
      <c r="G1250" s="89">
        <f>IFERROR(VLOOKUP(F1250,COA!$A$1:$K$26,2,FALSE),0)</f>
        <v>0</v>
      </c>
      <c r="H1250" s="11"/>
      <c r="I1250" s="11"/>
      <c r="J1250" s="78"/>
      <c r="K1250" s="78"/>
      <c r="L1250" s="146">
        <f t="shared" si="65"/>
        <v>13126700</v>
      </c>
      <c r="M1250" s="73"/>
      <c r="N1250" s="73"/>
      <c r="O1250" s="73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14.25" customHeight="1" x14ac:dyDescent="0.35">
      <c r="A1251" s="9">
        <f t="shared" si="66"/>
        <v>1243</v>
      </c>
      <c r="B1251" s="15"/>
      <c r="C1251" s="11">
        <f t="shared" si="64"/>
        <v>1</v>
      </c>
      <c r="D1251" s="11"/>
      <c r="E1251" s="11"/>
      <c r="F1251" s="11"/>
      <c r="G1251" s="89">
        <f>IFERROR(VLOOKUP(F1251,COA!$A$1:$K$26,2,FALSE),0)</f>
        <v>0</v>
      </c>
      <c r="H1251" s="11"/>
      <c r="I1251" s="11"/>
      <c r="J1251" s="78"/>
      <c r="K1251" s="78"/>
      <c r="L1251" s="146">
        <f t="shared" si="65"/>
        <v>13126700</v>
      </c>
      <c r="M1251" s="73"/>
      <c r="N1251" s="73"/>
      <c r="O1251" s="73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14.25" customHeight="1" x14ac:dyDescent="0.35">
      <c r="A1252" s="9">
        <f t="shared" si="66"/>
        <v>1244</v>
      </c>
      <c r="B1252" s="15"/>
      <c r="C1252" s="11">
        <f t="shared" ref="C1252:C1315" si="67">MONTH(B1252)</f>
        <v>1</v>
      </c>
      <c r="D1252" s="11"/>
      <c r="E1252" s="11"/>
      <c r="F1252" s="11"/>
      <c r="G1252" s="89">
        <f>IFERROR(VLOOKUP(F1252,COA!$A$1:$K$26,2,FALSE),0)</f>
        <v>0</v>
      </c>
      <c r="H1252" s="11"/>
      <c r="I1252" s="11"/>
      <c r="J1252" s="78"/>
      <c r="K1252" s="78"/>
      <c r="L1252" s="146">
        <f t="shared" si="65"/>
        <v>13126700</v>
      </c>
      <c r="M1252" s="73"/>
      <c r="N1252" s="73"/>
      <c r="O1252" s="73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14.25" customHeight="1" x14ac:dyDescent="0.35">
      <c r="A1253" s="9">
        <f t="shared" si="66"/>
        <v>1245</v>
      </c>
      <c r="B1253" s="15"/>
      <c r="C1253" s="11">
        <f t="shared" si="67"/>
        <v>1</v>
      </c>
      <c r="D1253" s="11"/>
      <c r="E1253" s="11"/>
      <c r="F1253" s="11"/>
      <c r="G1253" s="89">
        <f>IFERROR(VLOOKUP(F1253,COA!$A$1:$K$26,2,FALSE),0)</f>
        <v>0</v>
      </c>
      <c r="H1253" s="11"/>
      <c r="I1253" s="11"/>
      <c r="J1253" s="78"/>
      <c r="K1253" s="78"/>
      <c r="L1253" s="146">
        <f t="shared" si="65"/>
        <v>13126700</v>
      </c>
      <c r="M1253" s="73"/>
      <c r="N1253" s="73"/>
      <c r="O1253" s="73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14.25" customHeight="1" x14ac:dyDescent="0.35">
      <c r="A1254" s="9">
        <f t="shared" si="66"/>
        <v>1246</v>
      </c>
      <c r="B1254" s="15"/>
      <c r="C1254" s="11">
        <f t="shared" si="67"/>
        <v>1</v>
      </c>
      <c r="D1254" s="11"/>
      <c r="E1254" s="11"/>
      <c r="F1254" s="11"/>
      <c r="G1254" s="89">
        <f>IFERROR(VLOOKUP(F1254,COA!$A$1:$K$26,2,FALSE),0)</f>
        <v>0</v>
      </c>
      <c r="H1254" s="11"/>
      <c r="I1254" s="11"/>
      <c r="J1254" s="78"/>
      <c r="K1254" s="78"/>
      <c r="L1254" s="146">
        <f t="shared" si="65"/>
        <v>13126700</v>
      </c>
      <c r="M1254" s="73"/>
      <c r="N1254" s="73"/>
      <c r="O1254" s="73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14.25" customHeight="1" x14ac:dyDescent="0.35">
      <c r="A1255" s="9">
        <f t="shared" si="66"/>
        <v>1247</v>
      </c>
      <c r="B1255" s="15"/>
      <c r="C1255" s="11">
        <f t="shared" si="67"/>
        <v>1</v>
      </c>
      <c r="D1255" s="11"/>
      <c r="E1255" s="11"/>
      <c r="F1255" s="11"/>
      <c r="G1255" s="89">
        <f>IFERROR(VLOOKUP(F1255,COA!$A$1:$K$26,2,FALSE),0)</f>
        <v>0</v>
      </c>
      <c r="H1255" s="11"/>
      <c r="I1255" s="11"/>
      <c r="J1255" s="78"/>
      <c r="K1255" s="78"/>
      <c r="L1255" s="146">
        <f t="shared" si="65"/>
        <v>13126700</v>
      </c>
      <c r="M1255" s="73"/>
      <c r="N1255" s="73"/>
      <c r="O1255" s="73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14.25" customHeight="1" x14ac:dyDescent="0.35">
      <c r="A1256" s="9">
        <f t="shared" si="66"/>
        <v>1248</v>
      </c>
      <c r="B1256" s="15"/>
      <c r="C1256" s="11">
        <f t="shared" si="67"/>
        <v>1</v>
      </c>
      <c r="D1256" s="11"/>
      <c r="E1256" s="11"/>
      <c r="F1256" s="11"/>
      <c r="G1256" s="89">
        <f>IFERROR(VLOOKUP(F1256,COA!$A$1:$K$26,2,FALSE),0)</f>
        <v>0</v>
      </c>
      <c r="H1256" s="11"/>
      <c r="I1256" s="11"/>
      <c r="J1256" s="78"/>
      <c r="K1256" s="78"/>
      <c r="L1256" s="146">
        <f t="shared" si="65"/>
        <v>13126700</v>
      </c>
      <c r="M1256" s="73"/>
      <c r="N1256" s="73"/>
      <c r="O1256" s="73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14.25" customHeight="1" x14ac:dyDescent="0.35">
      <c r="A1257" s="9">
        <f t="shared" si="66"/>
        <v>1249</v>
      </c>
      <c r="B1257" s="15"/>
      <c r="C1257" s="11">
        <f t="shared" si="67"/>
        <v>1</v>
      </c>
      <c r="D1257" s="11"/>
      <c r="E1257" s="11"/>
      <c r="F1257" s="11"/>
      <c r="G1257" s="89">
        <f>IFERROR(VLOOKUP(F1257,COA!$A$1:$K$26,2,FALSE),0)</f>
        <v>0</v>
      </c>
      <c r="H1257" s="11"/>
      <c r="I1257" s="11"/>
      <c r="J1257" s="78"/>
      <c r="K1257" s="78"/>
      <c r="L1257" s="146">
        <f t="shared" si="65"/>
        <v>13126700</v>
      </c>
      <c r="M1257" s="73"/>
      <c r="N1257" s="73"/>
      <c r="O1257" s="73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14.25" customHeight="1" x14ac:dyDescent="0.35">
      <c r="A1258" s="9">
        <f t="shared" si="66"/>
        <v>1250</v>
      </c>
      <c r="B1258" s="15"/>
      <c r="C1258" s="11">
        <f t="shared" si="67"/>
        <v>1</v>
      </c>
      <c r="D1258" s="11"/>
      <c r="E1258" s="11"/>
      <c r="F1258" s="11"/>
      <c r="G1258" s="89">
        <f>IFERROR(VLOOKUP(F1258,COA!$A$1:$K$26,2,FALSE),0)</f>
        <v>0</v>
      </c>
      <c r="H1258" s="11"/>
      <c r="I1258" s="11"/>
      <c r="J1258" s="78"/>
      <c r="K1258" s="78"/>
      <c r="L1258" s="146">
        <f t="shared" si="65"/>
        <v>13126700</v>
      </c>
      <c r="M1258" s="73"/>
      <c r="N1258" s="73"/>
      <c r="O1258" s="73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14.25" customHeight="1" x14ac:dyDescent="0.35">
      <c r="A1259" s="9">
        <f t="shared" si="66"/>
        <v>1251</v>
      </c>
      <c r="B1259" s="15"/>
      <c r="C1259" s="11">
        <f t="shared" si="67"/>
        <v>1</v>
      </c>
      <c r="D1259" s="11"/>
      <c r="E1259" s="11"/>
      <c r="F1259" s="11"/>
      <c r="G1259" s="89">
        <f>IFERROR(VLOOKUP(F1259,COA!$A$1:$K$26,2,FALSE),0)</f>
        <v>0</v>
      </c>
      <c r="H1259" s="11"/>
      <c r="I1259" s="11"/>
      <c r="J1259" s="78"/>
      <c r="K1259" s="78"/>
      <c r="L1259" s="146">
        <f t="shared" si="65"/>
        <v>13126700</v>
      </c>
      <c r="M1259" s="73"/>
      <c r="N1259" s="73"/>
      <c r="O1259" s="73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14.25" customHeight="1" x14ac:dyDescent="0.35">
      <c r="A1260" s="9">
        <f t="shared" si="66"/>
        <v>1252</v>
      </c>
      <c r="B1260" s="15"/>
      <c r="C1260" s="11">
        <f t="shared" si="67"/>
        <v>1</v>
      </c>
      <c r="D1260" s="11"/>
      <c r="E1260" s="11"/>
      <c r="F1260" s="11"/>
      <c r="G1260" s="89">
        <f>IFERROR(VLOOKUP(F1260,COA!$A$1:$K$26,2,FALSE),0)</f>
        <v>0</v>
      </c>
      <c r="H1260" s="11"/>
      <c r="I1260" s="11"/>
      <c r="J1260" s="78"/>
      <c r="K1260" s="78"/>
      <c r="L1260" s="146">
        <f t="shared" si="65"/>
        <v>13126700</v>
      </c>
      <c r="M1260" s="73"/>
      <c r="N1260" s="73"/>
      <c r="O1260" s="73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14.25" customHeight="1" x14ac:dyDescent="0.35">
      <c r="A1261" s="9">
        <f t="shared" si="66"/>
        <v>1253</v>
      </c>
      <c r="B1261" s="15"/>
      <c r="C1261" s="11">
        <f t="shared" si="67"/>
        <v>1</v>
      </c>
      <c r="D1261" s="11"/>
      <c r="E1261" s="11"/>
      <c r="F1261" s="11"/>
      <c r="G1261" s="89">
        <f>IFERROR(VLOOKUP(F1261,COA!$A$1:$K$26,2,FALSE),0)</f>
        <v>0</v>
      </c>
      <c r="H1261" s="11"/>
      <c r="I1261" s="11"/>
      <c r="J1261" s="78"/>
      <c r="K1261" s="78"/>
      <c r="L1261" s="146">
        <f t="shared" si="65"/>
        <v>13126700</v>
      </c>
      <c r="M1261" s="73"/>
      <c r="N1261" s="73"/>
      <c r="O1261" s="73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14.25" customHeight="1" x14ac:dyDescent="0.35">
      <c r="A1262" s="9">
        <f t="shared" si="66"/>
        <v>1254</v>
      </c>
      <c r="B1262" s="15"/>
      <c r="C1262" s="11">
        <f t="shared" si="67"/>
        <v>1</v>
      </c>
      <c r="D1262" s="11"/>
      <c r="E1262" s="11"/>
      <c r="F1262" s="11"/>
      <c r="G1262" s="89">
        <f>IFERROR(VLOOKUP(F1262,COA!$A$1:$K$26,2,FALSE),0)</f>
        <v>0</v>
      </c>
      <c r="H1262" s="11"/>
      <c r="I1262" s="11"/>
      <c r="J1262" s="78"/>
      <c r="K1262" s="78"/>
      <c r="L1262" s="146">
        <f t="shared" si="65"/>
        <v>13126700</v>
      </c>
      <c r="M1262" s="73"/>
      <c r="N1262" s="73"/>
      <c r="O1262" s="73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14.25" customHeight="1" x14ac:dyDescent="0.35">
      <c r="A1263" s="9">
        <f t="shared" si="66"/>
        <v>1255</v>
      </c>
      <c r="B1263" s="15"/>
      <c r="C1263" s="11">
        <f t="shared" si="67"/>
        <v>1</v>
      </c>
      <c r="D1263" s="11"/>
      <c r="E1263" s="11"/>
      <c r="F1263" s="11"/>
      <c r="G1263" s="89">
        <f>IFERROR(VLOOKUP(F1263,COA!$A$1:$K$26,2,FALSE),0)</f>
        <v>0</v>
      </c>
      <c r="H1263" s="11"/>
      <c r="I1263" s="11"/>
      <c r="J1263" s="78"/>
      <c r="K1263" s="78"/>
      <c r="L1263" s="146">
        <f t="shared" si="65"/>
        <v>13126700</v>
      </c>
      <c r="M1263" s="73"/>
      <c r="N1263" s="73"/>
      <c r="O1263" s="73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14.25" customHeight="1" x14ac:dyDescent="0.35">
      <c r="A1264" s="9">
        <f t="shared" si="66"/>
        <v>1256</v>
      </c>
      <c r="B1264" s="15"/>
      <c r="C1264" s="11">
        <f t="shared" si="67"/>
        <v>1</v>
      </c>
      <c r="D1264" s="11"/>
      <c r="E1264" s="11"/>
      <c r="F1264" s="11"/>
      <c r="G1264" s="89">
        <f>IFERROR(VLOOKUP(F1264,COA!$A$1:$K$26,2,FALSE),0)</f>
        <v>0</v>
      </c>
      <c r="H1264" s="11"/>
      <c r="I1264" s="11"/>
      <c r="J1264" s="78"/>
      <c r="K1264" s="78"/>
      <c r="L1264" s="146">
        <f t="shared" si="65"/>
        <v>13126700</v>
      </c>
      <c r="M1264" s="73"/>
      <c r="N1264" s="73"/>
      <c r="O1264" s="73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14.25" customHeight="1" x14ac:dyDescent="0.35">
      <c r="A1265" s="9">
        <f t="shared" si="66"/>
        <v>1257</v>
      </c>
      <c r="B1265" s="15"/>
      <c r="C1265" s="11">
        <f t="shared" si="67"/>
        <v>1</v>
      </c>
      <c r="D1265" s="11"/>
      <c r="E1265" s="11"/>
      <c r="F1265" s="11"/>
      <c r="G1265" s="89">
        <f>IFERROR(VLOOKUP(F1265,COA!$A$1:$K$26,2,FALSE),0)</f>
        <v>0</v>
      </c>
      <c r="H1265" s="11"/>
      <c r="I1265" s="11"/>
      <c r="J1265" s="78"/>
      <c r="K1265" s="78"/>
      <c r="L1265" s="146">
        <f t="shared" si="65"/>
        <v>13126700</v>
      </c>
      <c r="M1265" s="73"/>
      <c r="N1265" s="73"/>
      <c r="O1265" s="73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14.25" customHeight="1" x14ac:dyDescent="0.35">
      <c r="A1266" s="9">
        <f t="shared" si="66"/>
        <v>1258</v>
      </c>
      <c r="B1266" s="15"/>
      <c r="C1266" s="11">
        <f t="shared" si="67"/>
        <v>1</v>
      </c>
      <c r="D1266" s="11"/>
      <c r="E1266" s="11"/>
      <c r="F1266" s="11"/>
      <c r="G1266" s="89">
        <f>IFERROR(VLOOKUP(F1266,COA!$A$1:$K$26,2,FALSE),0)</f>
        <v>0</v>
      </c>
      <c r="H1266" s="11"/>
      <c r="I1266" s="11"/>
      <c r="J1266" s="78"/>
      <c r="K1266" s="78"/>
      <c r="L1266" s="146">
        <f t="shared" si="65"/>
        <v>13126700</v>
      </c>
      <c r="M1266" s="73"/>
      <c r="N1266" s="73"/>
      <c r="O1266" s="73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14.25" customHeight="1" x14ac:dyDescent="0.35">
      <c r="A1267" s="9">
        <f t="shared" si="66"/>
        <v>1259</v>
      </c>
      <c r="B1267" s="15"/>
      <c r="C1267" s="11">
        <f t="shared" si="67"/>
        <v>1</v>
      </c>
      <c r="D1267" s="11"/>
      <c r="E1267" s="11"/>
      <c r="F1267" s="11"/>
      <c r="G1267" s="89">
        <f>IFERROR(VLOOKUP(F1267,COA!$A$1:$K$26,2,FALSE),0)</f>
        <v>0</v>
      </c>
      <c r="H1267" s="11"/>
      <c r="I1267" s="11"/>
      <c r="J1267" s="78"/>
      <c r="K1267" s="78"/>
      <c r="L1267" s="146">
        <f t="shared" si="65"/>
        <v>13126700</v>
      </c>
      <c r="M1267" s="73"/>
      <c r="N1267" s="73"/>
      <c r="O1267" s="73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14.25" customHeight="1" x14ac:dyDescent="0.35">
      <c r="A1268" s="9">
        <f t="shared" si="66"/>
        <v>1260</v>
      </c>
      <c r="B1268" s="15"/>
      <c r="C1268" s="11">
        <f t="shared" si="67"/>
        <v>1</v>
      </c>
      <c r="D1268" s="11"/>
      <c r="E1268" s="11"/>
      <c r="F1268" s="11"/>
      <c r="G1268" s="89">
        <f>IFERROR(VLOOKUP(F1268,COA!$A$1:$K$26,2,FALSE),0)</f>
        <v>0</v>
      </c>
      <c r="H1268" s="11"/>
      <c r="I1268" s="11"/>
      <c r="J1268" s="78"/>
      <c r="K1268" s="78"/>
      <c r="L1268" s="146">
        <f t="shared" si="65"/>
        <v>13126700</v>
      </c>
      <c r="M1268" s="73"/>
      <c r="N1268" s="73"/>
      <c r="O1268" s="73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14.25" customHeight="1" x14ac:dyDescent="0.35">
      <c r="A1269" s="9">
        <f t="shared" si="66"/>
        <v>1261</v>
      </c>
      <c r="B1269" s="15"/>
      <c r="C1269" s="11">
        <f t="shared" si="67"/>
        <v>1</v>
      </c>
      <c r="D1269" s="11"/>
      <c r="E1269" s="11"/>
      <c r="F1269" s="11"/>
      <c r="G1269" s="89">
        <f>IFERROR(VLOOKUP(F1269,COA!$A$1:$K$26,2,FALSE),0)</f>
        <v>0</v>
      </c>
      <c r="H1269" s="11"/>
      <c r="I1269" s="11"/>
      <c r="J1269" s="78"/>
      <c r="K1269" s="78"/>
      <c r="L1269" s="146">
        <f t="shared" si="65"/>
        <v>13126700</v>
      </c>
      <c r="M1269" s="73"/>
      <c r="N1269" s="73"/>
      <c r="O1269" s="73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14.25" customHeight="1" x14ac:dyDescent="0.35">
      <c r="A1270" s="9">
        <f t="shared" si="66"/>
        <v>1262</v>
      </c>
      <c r="B1270" s="15"/>
      <c r="C1270" s="11">
        <f t="shared" si="67"/>
        <v>1</v>
      </c>
      <c r="D1270" s="11"/>
      <c r="E1270" s="11"/>
      <c r="F1270" s="11"/>
      <c r="G1270" s="89">
        <f>IFERROR(VLOOKUP(F1270,COA!$A$1:$K$26,2,FALSE),0)</f>
        <v>0</v>
      </c>
      <c r="H1270" s="11"/>
      <c r="I1270" s="11"/>
      <c r="J1270" s="78"/>
      <c r="K1270" s="78"/>
      <c r="L1270" s="146">
        <f t="shared" si="65"/>
        <v>13126700</v>
      </c>
      <c r="M1270" s="73"/>
      <c r="N1270" s="73"/>
      <c r="O1270" s="73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14.25" customHeight="1" x14ac:dyDescent="0.35">
      <c r="A1271" s="9">
        <f t="shared" si="66"/>
        <v>1263</v>
      </c>
      <c r="B1271" s="15"/>
      <c r="C1271" s="11">
        <f t="shared" si="67"/>
        <v>1</v>
      </c>
      <c r="D1271" s="11"/>
      <c r="E1271" s="11"/>
      <c r="F1271" s="11"/>
      <c r="G1271" s="89">
        <f>IFERROR(VLOOKUP(F1271,COA!$A$1:$K$26,2,FALSE),0)</f>
        <v>0</v>
      </c>
      <c r="H1271" s="11"/>
      <c r="I1271" s="11"/>
      <c r="J1271" s="78"/>
      <c r="K1271" s="78"/>
      <c r="L1271" s="146">
        <f t="shared" si="65"/>
        <v>13126700</v>
      </c>
      <c r="M1271" s="73"/>
      <c r="N1271" s="73"/>
      <c r="O1271" s="73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14.25" customHeight="1" x14ac:dyDescent="0.35">
      <c r="A1272" s="9">
        <f t="shared" si="66"/>
        <v>1264</v>
      </c>
      <c r="B1272" s="15"/>
      <c r="C1272" s="11">
        <f t="shared" si="67"/>
        <v>1</v>
      </c>
      <c r="D1272" s="11"/>
      <c r="E1272" s="11"/>
      <c r="F1272" s="11"/>
      <c r="G1272" s="89">
        <f>IFERROR(VLOOKUP(F1272,COA!$A$1:$K$26,2,FALSE),0)</f>
        <v>0</v>
      </c>
      <c r="H1272" s="11"/>
      <c r="I1272" s="11"/>
      <c r="J1272" s="78"/>
      <c r="K1272" s="78"/>
      <c r="L1272" s="146">
        <f t="shared" si="65"/>
        <v>13126700</v>
      </c>
      <c r="M1272" s="73"/>
      <c r="N1272" s="73"/>
      <c r="O1272" s="73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14.25" customHeight="1" x14ac:dyDescent="0.35">
      <c r="A1273" s="9">
        <f t="shared" si="66"/>
        <v>1265</v>
      </c>
      <c r="B1273" s="15"/>
      <c r="C1273" s="11">
        <f t="shared" si="67"/>
        <v>1</v>
      </c>
      <c r="D1273" s="11"/>
      <c r="E1273" s="11"/>
      <c r="F1273" s="11"/>
      <c r="G1273" s="89">
        <f>IFERROR(VLOOKUP(F1273,COA!$A$1:$K$26,2,FALSE),0)</f>
        <v>0</v>
      </c>
      <c r="H1273" s="11"/>
      <c r="I1273" s="11"/>
      <c r="J1273" s="78"/>
      <c r="K1273" s="78"/>
      <c r="L1273" s="146">
        <f t="shared" si="65"/>
        <v>13126700</v>
      </c>
      <c r="M1273" s="73"/>
      <c r="N1273" s="73"/>
      <c r="O1273" s="73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14.25" customHeight="1" x14ac:dyDescent="0.35">
      <c r="A1274" s="9">
        <f t="shared" si="66"/>
        <v>1266</v>
      </c>
      <c r="B1274" s="15"/>
      <c r="C1274" s="11">
        <f t="shared" si="67"/>
        <v>1</v>
      </c>
      <c r="D1274" s="11"/>
      <c r="E1274" s="11"/>
      <c r="F1274" s="11"/>
      <c r="G1274" s="89">
        <f>IFERROR(VLOOKUP(F1274,COA!$A$1:$K$26,2,FALSE),0)</f>
        <v>0</v>
      </c>
      <c r="H1274" s="11"/>
      <c r="I1274" s="11"/>
      <c r="J1274" s="78"/>
      <c r="K1274" s="78"/>
      <c r="L1274" s="146">
        <f t="shared" si="65"/>
        <v>13126700</v>
      </c>
      <c r="M1274" s="73"/>
      <c r="N1274" s="73"/>
      <c r="O1274" s="73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14.25" customHeight="1" x14ac:dyDescent="0.35">
      <c r="A1275" s="9">
        <f t="shared" si="66"/>
        <v>1267</v>
      </c>
      <c r="B1275" s="15"/>
      <c r="C1275" s="11">
        <f t="shared" si="67"/>
        <v>1</v>
      </c>
      <c r="D1275" s="11"/>
      <c r="E1275" s="11"/>
      <c r="F1275" s="11"/>
      <c r="G1275" s="89">
        <f>IFERROR(VLOOKUP(F1275,COA!$A$1:$K$26,2,FALSE),0)</f>
        <v>0</v>
      </c>
      <c r="H1275" s="11"/>
      <c r="I1275" s="11"/>
      <c r="J1275" s="78"/>
      <c r="K1275" s="78"/>
      <c r="L1275" s="146">
        <f t="shared" si="65"/>
        <v>13126700</v>
      </c>
      <c r="M1275" s="73"/>
      <c r="N1275" s="73"/>
      <c r="O1275" s="73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14.25" customHeight="1" x14ac:dyDescent="0.35">
      <c r="A1276" s="9">
        <f t="shared" si="66"/>
        <v>1268</v>
      </c>
      <c r="B1276" s="15"/>
      <c r="C1276" s="11">
        <f t="shared" si="67"/>
        <v>1</v>
      </c>
      <c r="D1276" s="11"/>
      <c r="E1276" s="11"/>
      <c r="F1276" s="11"/>
      <c r="G1276" s="89">
        <f>IFERROR(VLOOKUP(F1276,COA!$A$1:$K$26,2,FALSE),0)</f>
        <v>0</v>
      </c>
      <c r="H1276" s="11"/>
      <c r="I1276" s="11"/>
      <c r="J1276" s="78"/>
      <c r="K1276" s="78"/>
      <c r="L1276" s="146">
        <f t="shared" si="65"/>
        <v>13126700</v>
      </c>
      <c r="M1276" s="73"/>
      <c r="N1276" s="73"/>
      <c r="O1276" s="73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14.25" customHeight="1" x14ac:dyDescent="0.35">
      <c r="A1277" s="9">
        <f t="shared" si="66"/>
        <v>1269</v>
      </c>
      <c r="B1277" s="15"/>
      <c r="C1277" s="11">
        <f t="shared" si="67"/>
        <v>1</v>
      </c>
      <c r="D1277" s="11"/>
      <c r="E1277" s="11"/>
      <c r="F1277" s="11"/>
      <c r="G1277" s="89">
        <f>IFERROR(VLOOKUP(F1277,COA!$A$1:$K$26,2,FALSE),0)</f>
        <v>0</v>
      </c>
      <c r="H1277" s="11"/>
      <c r="I1277" s="11"/>
      <c r="J1277" s="78"/>
      <c r="K1277" s="78"/>
      <c r="L1277" s="146">
        <f t="shared" si="65"/>
        <v>13126700</v>
      </c>
      <c r="M1277" s="73"/>
      <c r="N1277" s="73"/>
      <c r="O1277" s="73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14.25" customHeight="1" x14ac:dyDescent="0.35">
      <c r="A1278" s="9">
        <f t="shared" si="66"/>
        <v>1270</v>
      </c>
      <c r="B1278" s="15"/>
      <c r="C1278" s="11">
        <f t="shared" si="67"/>
        <v>1</v>
      </c>
      <c r="D1278" s="11"/>
      <c r="E1278" s="11"/>
      <c r="F1278" s="11"/>
      <c r="G1278" s="89">
        <f>IFERROR(VLOOKUP(F1278,COA!$A$1:$K$26,2,FALSE),0)</f>
        <v>0</v>
      </c>
      <c r="H1278" s="11"/>
      <c r="I1278" s="11"/>
      <c r="J1278" s="78"/>
      <c r="K1278" s="78"/>
      <c r="L1278" s="146">
        <f t="shared" si="65"/>
        <v>13126700</v>
      </c>
      <c r="M1278" s="73"/>
      <c r="N1278" s="73"/>
      <c r="O1278" s="73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14.25" customHeight="1" x14ac:dyDescent="0.35">
      <c r="A1279" s="9">
        <f t="shared" si="66"/>
        <v>1271</v>
      </c>
      <c r="B1279" s="15"/>
      <c r="C1279" s="11">
        <f t="shared" si="67"/>
        <v>1</v>
      </c>
      <c r="D1279" s="11"/>
      <c r="E1279" s="11"/>
      <c r="F1279" s="11"/>
      <c r="G1279" s="89">
        <f>IFERROR(VLOOKUP(F1279,COA!$A$1:$K$26,2,FALSE),0)</f>
        <v>0</v>
      </c>
      <c r="H1279" s="11"/>
      <c r="I1279" s="11"/>
      <c r="J1279" s="78"/>
      <c r="K1279" s="78"/>
      <c r="L1279" s="146">
        <f t="shared" si="65"/>
        <v>13126700</v>
      </c>
      <c r="M1279" s="73"/>
      <c r="N1279" s="73"/>
      <c r="O1279" s="73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14.25" customHeight="1" x14ac:dyDescent="0.35">
      <c r="A1280" s="9">
        <f t="shared" si="66"/>
        <v>1272</v>
      </c>
      <c r="B1280" s="15"/>
      <c r="C1280" s="11">
        <f t="shared" si="67"/>
        <v>1</v>
      </c>
      <c r="D1280" s="11"/>
      <c r="E1280" s="11"/>
      <c r="F1280" s="11"/>
      <c r="G1280" s="89">
        <f>IFERROR(VLOOKUP(F1280,COA!$A$1:$K$26,2,FALSE),0)</f>
        <v>0</v>
      </c>
      <c r="H1280" s="11"/>
      <c r="I1280" s="11"/>
      <c r="J1280" s="78"/>
      <c r="K1280" s="78"/>
      <c r="L1280" s="146">
        <f t="shared" si="65"/>
        <v>13126700</v>
      </c>
      <c r="M1280" s="73"/>
      <c r="N1280" s="73"/>
      <c r="O1280" s="73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14.25" customHeight="1" x14ac:dyDescent="0.35">
      <c r="A1281" s="9">
        <f t="shared" si="66"/>
        <v>1273</v>
      </c>
      <c r="B1281" s="15"/>
      <c r="C1281" s="11">
        <f t="shared" si="67"/>
        <v>1</v>
      </c>
      <c r="D1281" s="11"/>
      <c r="E1281" s="11"/>
      <c r="F1281" s="11"/>
      <c r="G1281" s="89">
        <f>IFERROR(VLOOKUP(F1281,COA!$A$1:$K$26,2,FALSE),0)</f>
        <v>0</v>
      </c>
      <c r="H1281" s="11"/>
      <c r="I1281" s="11"/>
      <c r="J1281" s="78"/>
      <c r="K1281" s="78"/>
      <c r="L1281" s="146">
        <f t="shared" si="65"/>
        <v>13126700</v>
      </c>
      <c r="M1281" s="73"/>
      <c r="N1281" s="73"/>
      <c r="O1281" s="73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14.25" customHeight="1" x14ac:dyDescent="0.35">
      <c r="A1282" s="9">
        <f t="shared" si="66"/>
        <v>1274</v>
      </c>
      <c r="B1282" s="15"/>
      <c r="C1282" s="11">
        <f t="shared" si="67"/>
        <v>1</v>
      </c>
      <c r="D1282" s="11"/>
      <c r="E1282" s="11"/>
      <c r="F1282" s="11"/>
      <c r="G1282" s="89">
        <f>IFERROR(VLOOKUP(F1282,COA!$A$1:$K$26,2,FALSE),0)</f>
        <v>0</v>
      </c>
      <c r="H1282" s="11"/>
      <c r="I1282" s="11"/>
      <c r="J1282" s="78"/>
      <c r="K1282" s="78"/>
      <c r="L1282" s="146">
        <f t="shared" si="65"/>
        <v>13126700</v>
      </c>
      <c r="M1282" s="73"/>
      <c r="N1282" s="73"/>
      <c r="O1282" s="73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14.25" customHeight="1" x14ac:dyDescent="0.35">
      <c r="A1283" s="9">
        <f t="shared" si="66"/>
        <v>1275</v>
      </c>
      <c r="B1283" s="15"/>
      <c r="C1283" s="11">
        <f t="shared" si="67"/>
        <v>1</v>
      </c>
      <c r="D1283" s="11"/>
      <c r="E1283" s="11"/>
      <c r="F1283" s="11"/>
      <c r="G1283" s="89">
        <f>IFERROR(VLOOKUP(F1283,COA!$A$1:$K$26,2,FALSE),0)</f>
        <v>0</v>
      </c>
      <c r="H1283" s="11"/>
      <c r="I1283" s="11"/>
      <c r="J1283" s="78"/>
      <c r="K1283" s="78"/>
      <c r="L1283" s="146">
        <f t="shared" si="65"/>
        <v>13126700</v>
      </c>
      <c r="M1283" s="73"/>
      <c r="N1283" s="73"/>
      <c r="O1283" s="73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14.25" customHeight="1" x14ac:dyDescent="0.35">
      <c r="A1284" s="9">
        <f t="shared" si="66"/>
        <v>1276</v>
      </c>
      <c r="B1284" s="15"/>
      <c r="C1284" s="11">
        <f t="shared" si="67"/>
        <v>1</v>
      </c>
      <c r="D1284" s="11"/>
      <c r="E1284" s="11"/>
      <c r="F1284" s="11"/>
      <c r="G1284" s="89">
        <f>IFERROR(VLOOKUP(F1284,COA!$A$1:$K$26,2,FALSE),0)</f>
        <v>0</v>
      </c>
      <c r="H1284" s="11"/>
      <c r="I1284" s="11"/>
      <c r="J1284" s="78"/>
      <c r="K1284" s="78"/>
      <c r="L1284" s="146">
        <f t="shared" si="65"/>
        <v>13126700</v>
      </c>
      <c r="M1284" s="73"/>
      <c r="N1284" s="73"/>
      <c r="O1284" s="73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14.25" customHeight="1" x14ac:dyDescent="0.35">
      <c r="A1285" s="9">
        <f t="shared" si="66"/>
        <v>1277</v>
      </c>
      <c r="B1285" s="15"/>
      <c r="C1285" s="11">
        <f t="shared" si="67"/>
        <v>1</v>
      </c>
      <c r="D1285" s="11"/>
      <c r="E1285" s="11"/>
      <c r="F1285" s="11"/>
      <c r="G1285" s="89">
        <f>IFERROR(VLOOKUP(F1285,COA!$A$1:$K$26,2,FALSE),0)</f>
        <v>0</v>
      </c>
      <c r="H1285" s="11"/>
      <c r="I1285" s="11"/>
      <c r="J1285" s="78"/>
      <c r="K1285" s="78"/>
      <c r="L1285" s="146">
        <f t="shared" si="65"/>
        <v>13126700</v>
      </c>
      <c r="M1285" s="73"/>
      <c r="N1285" s="73"/>
      <c r="O1285" s="73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14.25" customHeight="1" x14ac:dyDescent="0.35">
      <c r="A1286" s="9">
        <f t="shared" si="66"/>
        <v>1278</v>
      </c>
      <c r="B1286" s="15"/>
      <c r="C1286" s="11">
        <f t="shared" si="67"/>
        <v>1</v>
      </c>
      <c r="D1286" s="11"/>
      <c r="E1286" s="11"/>
      <c r="F1286" s="11"/>
      <c r="G1286" s="89">
        <f>IFERROR(VLOOKUP(F1286,COA!$A$1:$K$26,2,FALSE),0)</f>
        <v>0</v>
      </c>
      <c r="H1286" s="11"/>
      <c r="I1286" s="11"/>
      <c r="J1286" s="78"/>
      <c r="K1286" s="78"/>
      <c r="L1286" s="146">
        <f t="shared" si="65"/>
        <v>13126700</v>
      </c>
      <c r="M1286" s="73"/>
      <c r="N1286" s="73"/>
      <c r="O1286" s="73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14.25" customHeight="1" x14ac:dyDescent="0.35">
      <c r="A1287" s="9">
        <f t="shared" si="66"/>
        <v>1279</v>
      </c>
      <c r="B1287" s="15"/>
      <c r="C1287" s="11">
        <f t="shared" si="67"/>
        <v>1</v>
      </c>
      <c r="D1287" s="11"/>
      <c r="E1287" s="11"/>
      <c r="F1287" s="11"/>
      <c r="G1287" s="89">
        <f>IFERROR(VLOOKUP(F1287,COA!$A$1:$K$26,2,FALSE),0)</f>
        <v>0</v>
      </c>
      <c r="H1287" s="11"/>
      <c r="I1287" s="11"/>
      <c r="J1287" s="78"/>
      <c r="K1287" s="78"/>
      <c r="L1287" s="146">
        <f t="shared" si="65"/>
        <v>13126700</v>
      </c>
      <c r="M1287" s="73"/>
      <c r="N1287" s="73"/>
      <c r="O1287" s="73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14.25" customHeight="1" x14ac:dyDescent="0.35">
      <c r="A1288" s="9">
        <f t="shared" si="66"/>
        <v>1280</v>
      </c>
      <c r="B1288" s="15"/>
      <c r="C1288" s="11">
        <f t="shared" si="67"/>
        <v>1</v>
      </c>
      <c r="D1288" s="11"/>
      <c r="E1288" s="11"/>
      <c r="F1288" s="11"/>
      <c r="G1288" s="89">
        <f>IFERROR(VLOOKUP(F1288,COA!$A$1:$K$26,2,FALSE),0)</f>
        <v>0</v>
      </c>
      <c r="H1288" s="11"/>
      <c r="I1288" s="11"/>
      <c r="J1288" s="78"/>
      <c r="K1288" s="78"/>
      <c r="L1288" s="146">
        <f t="shared" si="65"/>
        <v>13126700</v>
      </c>
      <c r="M1288" s="73"/>
      <c r="N1288" s="73"/>
      <c r="O1288" s="73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14.25" customHeight="1" x14ac:dyDescent="0.35">
      <c r="A1289" s="9">
        <f t="shared" si="66"/>
        <v>1281</v>
      </c>
      <c r="B1289" s="15"/>
      <c r="C1289" s="11">
        <f t="shared" si="67"/>
        <v>1</v>
      </c>
      <c r="D1289" s="11"/>
      <c r="E1289" s="11"/>
      <c r="F1289" s="11"/>
      <c r="G1289" s="89">
        <f>IFERROR(VLOOKUP(F1289,COA!$A$1:$K$26,2,FALSE),0)</f>
        <v>0</v>
      </c>
      <c r="H1289" s="11"/>
      <c r="I1289" s="11"/>
      <c r="J1289" s="78"/>
      <c r="K1289" s="78"/>
      <c r="L1289" s="146">
        <f t="shared" si="65"/>
        <v>13126700</v>
      </c>
      <c r="M1289" s="73"/>
      <c r="N1289" s="73"/>
      <c r="O1289" s="73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14.25" customHeight="1" x14ac:dyDescent="0.35">
      <c r="A1290" s="9">
        <f t="shared" si="66"/>
        <v>1282</v>
      </c>
      <c r="B1290" s="15"/>
      <c r="C1290" s="11">
        <f t="shared" si="67"/>
        <v>1</v>
      </c>
      <c r="D1290" s="11"/>
      <c r="E1290" s="11"/>
      <c r="F1290" s="11"/>
      <c r="G1290" s="89">
        <f>IFERROR(VLOOKUP(F1290,COA!$A$1:$K$26,2,FALSE),0)</f>
        <v>0</v>
      </c>
      <c r="H1290" s="11"/>
      <c r="I1290" s="11"/>
      <c r="J1290" s="78"/>
      <c r="K1290" s="78"/>
      <c r="L1290" s="146">
        <f t="shared" si="65"/>
        <v>13126700</v>
      </c>
      <c r="M1290" s="73"/>
      <c r="N1290" s="73"/>
      <c r="O1290" s="73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14.25" customHeight="1" x14ac:dyDescent="0.35">
      <c r="A1291" s="9">
        <f t="shared" si="66"/>
        <v>1283</v>
      </c>
      <c r="B1291" s="15"/>
      <c r="C1291" s="11">
        <f t="shared" si="67"/>
        <v>1</v>
      </c>
      <c r="D1291" s="11"/>
      <c r="E1291" s="11"/>
      <c r="F1291" s="11"/>
      <c r="G1291" s="89">
        <f>IFERROR(VLOOKUP(F1291,COA!$A$1:$K$26,2,FALSE),0)</f>
        <v>0</v>
      </c>
      <c r="H1291" s="11"/>
      <c r="I1291" s="11"/>
      <c r="J1291" s="78"/>
      <c r="K1291" s="78"/>
      <c r="L1291" s="146">
        <f t="shared" si="65"/>
        <v>13126700</v>
      </c>
      <c r="M1291" s="73"/>
      <c r="N1291" s="73"/>
      <c r="O1291" s="73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14.25" customHeight="1" x14ac:dyDescent="0.35">
      <c r="A1292" s="9">
        <f t="shared" si="66"/>
        <v>1284</v>
      </c>
      <c r="B1292" s="15"/>
      <c r="C1292" s="11">
        <f t="shared" si="67"/>
        <v>1</v>
      </c>
      <c r="D1292" s="11"/>
      <c r="E1292" s="11"/>
      <c r="F1292" s="11"/>
      <c r="G1292" s="89">
        <f>IFERROR(VLOOKUP(F1292,COA!$A$1:$K$26,2,FALSE),0)</f>
        <v>0</v>
      </c>
      <c r="H1292" s="11"/>
      <c r="I1292" s="11"/>
      <c r="J1292" s="78"/>
      <c r="K1292" s="78"/>
      <c r="L1292" s="146">
        <f t="shared" si="65"/>
        <v>13126700</v>
      </c>
      <c r="M1292" s="73"/>
      <c r="N1292" s="73"/>
      <c r="O1292" s="73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14.25" customHeight="1" x14ac:dyDescent="0.35">
      <c r="A1293" s="9">
        <f t="shared" si="66"/>
        <v>1285</v>
      </c>
      <c r="B1293" s="15"/>
      <c r="C1293" s="11">
        <f t="shared" si="67"/>
        <v>1</v>
      </c>
      <c r="D1293" s="11"/>
      <c r="E1293" s="11"/>
      <c r="F1293" s="11"/>
      <c r="G1293" s="89">
        <f>IFERROR(VLOOKUP(F1293,COA!$A$1:$K$26,2,FALSE),0)</f>
        <v>0</v>
      </c>
      <c r="H1293" s="11"/>
      <c r="I1293" s="11"/>
      <c r="J1293" s="78"/>
      <c r="K1293" s="78"/>
      <c r="L1293" s="146">
        <f t="shared" si="65"/>
        <v>13126700</v>
      </c>
      <c r="M1293" s="73"/>
      <c r="N1293" s="73"/>
      <c r="O1293" s="73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14.25" customHeight="1" x14ac:dyDescent="0.35">
      <c r="A1294" s="9">
        <f t="shared" si="66"/>
        <v>1286</v>
      </c>
      <c r="B1294" s="15"/>
      <c r="C1294" s="11">
        <f t="shared" si="67"/>
        <v>1</v>
      </c>
      <c r="D1294" s="11"/>
      <c r="E1294" s="11"/>
      <c r="F1294" s="11"/>
      <c r="G1294" s="89">
        <f>IFERROR(VLOOKUP(F1294,COA!$A$1:$K$26,2,FALSE),0)</f>
        <v>0</v>
      </c>
      <c r="H1294" s="11"/>
      <c r="I1294" s="11"/>
      <c r="J1294" s="78"/>
      <c r="K1294" s="78"/>
      <c r="L1294" s="146">
        <f t="shared" si="65"/>
        <v>13126700</v>
      </c>
      <c r="M1294" s="73"/>
      <c r="N1294" s="73"/>
      <c r="O1294" s="73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14.25" customHeight="1" x14ac:dyDescent="0.35">
      <c r="A1295" s="9">
        <f t="shared" si="66"/>
        <v>1287</v>
      </c>
      <c r="B1295" s="15"/>
      <c r="C1295" s="11">
        <f t="shared" si="67"/>
        <v>1</v>
      </c>
      <c r="D1295" s="11"/>
      <c r="E1295" s="11"/>
      <c r="F1295" s="11"/>
      <c r="G1295" s="89">
        <f>IFERROR(VLOOKUP(F1295,COA!$A$1:$K$26,2,FALSE),0)</f>
        <v>0</v>
      </c>
      <c r="H1295" s="11"/>
      <c r="I1295" s="11"/>
      <c r="J1295" s="78"/>
      <c r="K1295" s="78"/>
      <c r="L1295" s="146">
        <f t="shared" si="65"/>
        <v>13126700</v>
      </c>
      <c r="M1295" s="73"/>
      <c r="N1295" s="73"/>
      <c r="O1295" s="73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14.25" customHeight="1" x14ac:dyDescent="0.35">
      <c r="A1296" s="9">
        <f t="shared" si="66"/>
        <v>1288</v>
      </c>
      <c r="B1296" s="15"/>
      <c r="C1296" s="11">
        <f t="shared" si="67"/>
        <v>1</v>
      </c>
      <c r="D1296" s="11"/>
      <c r="E1296" s="11"/>
      <c r="F1296" s="11"/>
      <c r="G1296" s="89">
        <f>IFERROR(VLOOKUP(F1296,COA!$A$1:$K$26,2,FALSE),0)</f>
        <v>0</v>
      </c>
      <c r="H1296" s="11"/>
      <c r="I1296" s="11"/>
      <c r="J1296" s="78"/>
      <c r="K1296" s="78"/>
      <c r="L1296" s="146">
        <f t="shared" ref="L1296:L1359" si="68">L1295+J1296-K1296</f>
        <v>13126700</v>
      </c>
      <c r="M1296" s="73"/>
      <c r="N1296" s="73"/>
      <c r="O1296" s="73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14.25" customHeight="1" x14ac:dyDescent="0.35">
      <c r="A1297" s="9">
        <f t="shared" si="66"/>
        <v>1289</v>
      </c>
      <c r="B1297" s="15"/>
      <c r="C1297" s="11">
        <f t="shared" si="67"/>
        <v>1</v>
      </c>
      <c r="D1297" s="11"/>
      <c r="E1297" s="11"/>
      <c r="F1297" s="11"/>
      <c r="G1297" s="89">
        <f>IFERROR(VLOOKUP(F1297,COA!$A$1:$K$26,2,FALSE),0)</f>
        <v>0</v>
      </c>
      <c r="H1297" s="11"/>
      <c r="I1297" s="11"/>
      <c r="J1297" s="78"/>
      <c r="K1297" s="78"/>
      <c r="L1297" s="146">
        <f t="shared" si="68"/>
        <v>13126700</v>
      </c>
      <c r="M1297" s="73"/>
      <c r="N1297" s="73"/>
      <c r="O1297" s="73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14.25" customHeight="1" x14ac:dyDescent="0.35">
      <c r="A1298" s="9">
        <f t="shared" ref="A1298:A1361" si="69">A1297+1</f>
        <v>1290</v>
      </c>
      <c r="B1298" s="15"/>
      <c r="C1298" s="11">
        <f t="shared" si="67"/>
        <v>1</v>
      </c>
      <c r="D1298" s="11"/>
      <c r="E1298" s="11"/>
      <c r="F1298" s="11"/>
      <c r="G1298" s="89">
        <f>IFERROR(VLOOKUP(F1298,COA!$A$1:$K$26,2,FALSE),0)</f>
        <v>0</v>
      </c>
      <c r="H1298" s="11"/>
      <c r="I1298" s="11"/>
      <c r="J1298" s="78"/>
      <c r="K1298" s="78"/>
      <c r="L1298" s="146">
        <f t="shared" si="68"/>
        <v>13126700</v>
      </c>
      <c r="M1298" s="73"/>
      <c r="N1298" s="73"/>
      <c r="O1298" s="73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14.25" customHeight="1" x14ac:dyDescent="0.35">
      <c r="A1299" s="9">
        <f t="shared" si="69"/>
        <v>1291</v>
      </c>
      <c r="B1299" s="15"/>
      <c r="C1299" s="11">
        <f t="shared" si="67"/>
        <v>1</v>
      </c>
      <c r="D1299" s="11"/>
      <c r="E1299" s="11"/>
      <c r="F1299" s="11"/>
      <c r="G1299" s="89">
        <f>IFERROR(VLOOKUP(F1299,COA!$A$1:$K$26,2,FALSE),0)</f>
        <v>0</v>
      </c>
      <c r="H1299" s="11"/>
      <c r="I1299" s="11"/>
      <c r="J1299" s="78"/>
      <c r="K1299" s="78"/>
      <c r="L1299" s="146">
        <f t="shared" si="68"/>
        <v>13126700</v>
      </c>
      <c r="M1299" s="73"/>
      <c r="N1299" s="73"/>
      <c r="O1299" s="73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14.25" customHeight="1" x14ac:dyDescent="0.35">
      <c r="A1300" s="9">
        <f t="shared" si="69"/>
        <v>1292</v>
      </c>
      <c r="B1300" s="15"/>
      <c r="C1300" s="11">
        <f t="shared" si="67"/>
        <v>1</v>
      </c>
      <c r="D1300" s="11"/>
      <c r="E1300" s="11"/>
      <c r="F1300" s="11"/>
      <c r="G1300" s="89">
        <f>IFERROR(VLOOKUP(F1300,COA!$A$1:$K$26,2,FALSE),0)</f>
        <v>0</v>
      </c>
      <c r="H1300" s="11"/>
      <c r="I1300" s="11"/>
      <c r="J1300" s="78"/>
      <c r="K1300" s="78"/>
      <c r="L1300" s="146">
        <f t="shared" si="68"/>
        <v>13126700</v>
      </c>
      <c r="M1300" s="73"/>
      <c r="N1300" s="73"/>
      <c r="O1300" s="73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14.25" customHeight="1" x14ac:dyDescent="0.35">
      <c r="A1301" s="9">
        <f t="shared" si="69"/>
        <v>1293</v>
      </c>
      <c r="B1301" s="15"/>
      <c r="C1301" s="11">
        <f t="shared" si="67"/>
        <v>1</v>
      </c>
      <c r="D1301" s="11"/>
      <c r="E1301" s="11"/>
      <c r="F1301" s="11"/>
      <c r="G1301" s="89">
        <f>IFERROR(VLOOKUP(F1301,COA!$A$1:$K$26,2,FALSE),0)</f>
        <v>0</v>
      </c>
      <c r="H1301" s="11"/>
      <c r="I1301" s="11"/>
      <c r="J1301" s="78"/>
      <c r="K1301" s="78"/>
      <c r="L1301" s="146">
        <f t="shared" si="68"/>
        <v>13126700</v>
      </c>
      <c r="M1301" s="73"/>
      <c r="N1301" s="73"/>
      <c r="O1301" s="73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14.25" customHeight="1" x14ac:dyDescent="0.35">
      <c r="A1302" s="9">
        <f t="shared" si="69"/>
        <v>1294</v>
      </c>
      <c r="B1302" s="15"/>
      <c r="C1302" s="11">
        <f t="shared" si="67"/>
        <v>1</v>
      </c>
      <c r="D1302" s="11"/>
      <c r="E1302" s="11"/>
      <c r="F1302" s="11"/>
      <c r="G1302" s="89">
        <f>IFERROR(VLOOKUP(F1302,COA!$A$1:$K$26,2,FALSE),0)</f>
        <v>0</v>
      </c>
      <c r="H1302" s="11"/>
      <c r="I1302" s="11"/>
      <c r="J1302" s="78"/>
      <c r="K1302" s="78"/>
      <c r="L1302" s="146">
        <f t="shared" si="68"/>
        <v>13126700</v>
      </c>
      <c r="M1302" s="73"/>
      <c r="N1302" s="73"/>
      <c r="O1302" s="73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14.25" customHeight="1" x14ac:dyDescent="0.35">
      <c r="A1303" s="9">
        <f t="shared" si="69"/>
        <v>1295</v>
      </c>
      <c r="B1303" s="15"/>
      <c r="C1303" s="11">
        <f t="shared" si="67"/>
        <v>1</v>
      </c>
      <c r="D1303" s="11"/>
      <c r="E1303" s="11"/>
      <c r="F1303" s="11"/>
      <c r="G1303" s="89">
        <f>IFERROR(VLOOKUP(F1303,COA!$A$1:$K$26,2,FALSE),0)</f>
        <v>0</v>
      </c>
      <c r="H1303" s="11"/>
      <c r="I1303" s="11"/>
      <c r="J1303" s="78"/>
      <c r="K1303" s="78"/>
      <c r="L1303" s="146">
        <f t="shared" si="68"/>
        <v>13126700</v>
      </c>
      <c r="M1303" s="73"/>
      <c r="N1303" s="73"/>
      <c r="O1303" s="73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14.25" customHeight="1" x14ac:dyDescent="0.35">
      <c r="A1304" s="9">
        <f t="shared" si="69"/>
        <v>1296</v>
      </c>
      <c r="B1304" s="15"/>
      <c r="C1304" s="11">
        <f t="shared" si="67"/>
        <v>1</v>
      </c>
      <c r="D1304" s="11"/>
      <c r="E1304" s="11"/>
      <c r="F1304" s="11"/>
      <c r="G1304" s="89">
        <f>IFERROR(VLOOKUP(F1304,COA!$A$1:$K$26,2,FALSE),0)</f>
        <v>0</v>
      </c>
      <c r="H1304" s="11"/>
      <c r="I1304" s="11"/>
      <c r="J1304" s="78"/>
      <c r="K1304" s="78"/>
      <c r="L1304" s="146">
        <f t="shared" si="68"/>
        <v>13126700</v>
      </c>
      <c r="M1304" s="73"/>
      <c r="N1304" s="73"/>
      <c r="O1304" s="73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14.25" customHeight="1" x14ac:dyDescent="0.35">
      <c r="A1305" s="9">
        <f t="shared" si="69"/>
        <v>1297</v>
      </c>
      <c r="B1305" s="15"/>
      <c r="C1305" s="11">
        <f t="shared" si="67"/>
        <v>1</v>
      </c>
      <c r="D1305" s="11"/>
      <c r="E1305" s="11"/>
      <c r="F1305" s="11"/>
      <c r="G1305" s="89">
        <f>IFERROR(VLOOKUP(F1305,COA!$A$1:$K$26,2,FALSE),0)</f>
        <v>0</v>
      </c>
      <c r="H1305" s="11"/>
      <c r="I1305" s="11"/>
      <c r="J1305" s="78"/>
      <c r="K1305" s="78"/>
      <c r="L1305" s="146">
        <f t="shared" si="68"/>
        <v>13126700</v>
      </c>
      <c r="M1305" s="73"/>
      <c r="N1305" s="73"/>
      <c r="O1305" s="73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14.25" customHeight="1" x14ac:dyDescent="0.35">
      <c r="A1306" s="9">
        <f t="shared" si="69"/>
        <v>1298</v>
      </c>
      <c r="B1306" s="15"/>
      <c r="C1306" s="11">
        <f t="shared" si="67"/>
        <v>1</v>
      </c>
      <c r="D1306" s="11"/>
      <c r="E1306" s="11"/>
      <c r="F1306" s="11"/>
      <c r="G1306" s="89">
        <f>IFERROR(VLOOKUP(F1306,COA!$A$1:$K$26,2,FALSE),0)</f>
        <v>0</v>
      </c>
      <c r="H1306" s="11"/>
      <c r="I1306" s="11"/>
      <c r="J1306" s="78"/>
      <c r="K1306" s="78"/>
      <c r="L1306" s="146">
        <f t="shared" si="68"/>
        <v>13126700</v>
      </c>
      <c r="M1306" s="73"/>
      <c r="N1306" s="73"/>
      <c r="O1306" s="73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14.25" customHeight="1" x14ac:dyDescent="0.35">
      <c r="A1307" s="9">
        <f t="shared" si="69"/>
        <v>1299</v>
      </c>
      <c r="B1307" s="15"/>
      <c r="C1307" s="11">
        <f t="shared" si="67"/>
        <v>1</v>
      </c>
      <c r="D1307" s="11"/>
      <c r="E1307" s="11"/>
      <c r="F1307" s="11"/>
      <c r="G1307" s="89">
        <f>IFERROR(VLOOKUP(F1307,COA!$A$1:$K$26,2,FALSE),0)</f>
        <v>0</v>
      </c>
      <c r="H1307" s="11"/>
      <c r="I1307" s="11"/>
      <c r="J1307" s="78"/>
      <c r="K1307" s="78"/>
      <c r="L1307" s="146">
        <f t="shared" si="68"/>
        <v>13126700</v>
      </c>
      <c r="M1307" s="73"/>
      <c r="N1307" s="73"/>
      <c r="O1307" s="73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14.25" customHeight="1" x14ac:dyDescent="0.35">
      <c r="A1308" s="9">
        <f t="shared" si="69"/>
        <v>1300</v>
      </c>
      <c r="B1308" s="15"/>
      <c r="C1308" s="11">
        <f t="shared" si="67"/>
        <v>1</v>
      </c>
      <c r="D1308" s="11"/>
      <c r="E1308" s="11"/>
      <c r="F1308" s="11"/>
      <c r="G1308" s="89">
        <f>IFERROR(VLOOKUP(F1308,COA!$A$1:$K$26,2,FALSE),0)</f>
        <v>0</v>
      </c>
      <c r="H1308" s="11"/>
      <c r="I1308" s="11"/>
      <c r="J1308" s="78"/>
      <c r="K1308" s="78"/>
      <c r="L1308" s="146">
        <f t="shared" si="68"/>
        <v>13126700</v>
      </c>
      <c r="M1308" s="73"/>
      <c r="N1308" s="73"/>
      <c r="O1308" s="73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14.25" customHeight="1" x14ac:dyDescent="0.35">
      <c r="A1309" s="9">
        <f t="shared" si="69"/>
        <v>1301</v>
      </c>
      <c r="B1309" s="15"/>
      <c r="C1309" s="11">
        <f t="shared" si="67"/>
        <v>1</v>
      </c>
      <c r="D1309" s="11"/>
      <c r="E1309" s="11"/>
      <c r="F1309" s="11"/>
      <c r="G1309" s="89">
        <f>IFERROR(VLOOKUP(F1309,COA!$A$1:$K$26,2,FALSE),0)</f>
        <v>0</v>
      </c>
      <c r="H1309" s="11"/>
      <c r="I1309" s="11"/>
      <c r="J1309" s="78"/>
      <c r="K1309" s="78"/>
      <c r="L1309" s="146">
        <f t="shared" si="68"/>
        <v>13126700</v>
      </c>
      <c r="M1309" s="73"/>
      <c r="N1309" s="73"/>
      <c r="O1309" s="73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14.25" customHeight="1" x14ac:dyDescent="0.35">
      <c r="A1310" s="9">
        <f t="shared" si="69"/>
        <v>1302</v>
      </c>
      <c r="B1310" s="15"/>
      <c r="C1310" s="11">
        <f t="shared" si="67"/>
        <v>1</v>
      </c>
      <c r="D1310" s="11"/>
      <c r="E1310" s="11"/>
      <c r="F1310" s="11"/>
      <c r="G1310" s="89">
        <f>IFERROR(VLOOKUP(F1310,COA!$A$1:$K$26,2,FALSE),0)</f>
        <v>0</v>
      </c>
      <c r="H1310" s="11"/>
      <c r="I1310" s="11"/>
      <c r="J1310" s="78"/>
      <c r="K1310" s="78"/>
      <c r="L1310" s="146">
        <f t="shared" si="68"/>
        <v>13126700</v>
      </c>
      <c r="M1310" s="73"/>
      <c r="N1310" s="73"/>
      <c r="O1310" s="73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14.25" customHeight="1" x14ac:dyDescent="0.35">
      <c r="A1311" s="9">
        <f t="shared" si="69"/>
        <v>1303</v>
      </c>
      <c r="B1311" s="15"/>
      <c r="C1311" s="11">
        <f t="shared" si="67"/>
        <v>1</v>
      </c>
      <c r="D1311" s="11"/>
      <c r="E1311" s="11"/>
      <c r="F1311" s="11"/>
      <c r="G1311" s="89">
        <f>IFERROR(VLOOKUP(F1311,COA!$A$1:$K$26,2,FALSE),0)</f>
        <v>0</v>
      </c>
      <c r="H1311" s="11"/>
      <c r="I1311" s="11"/>
      <c r="J1311" s="78"/>
      <c r="K1311" s="78"/>
      <c r="L1311" s="146">
        <f t="shared" si="68"/>
        <v>13126700</v>
      </c>
      <c r="M1311" s="73"/>
      <c r="N1311" s="73"/>
      <c r="O1311" s="73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14.25" customHeight="1" x14ac:dyDescent="0.35">
      <c r="A1312" s="9">
        <f t="shared" si="69"/>
        <v>1304</v>
      </c>
      <c r="B1312" s="15"/>
      <c r="C1312" s="11">
        <f t="shared" si="67"/>
        <v>1</v>
      </c>
      <c r="D1312" s="11"/>
      <c r="E1312" s="11"/>
      <c r="F1312" s="11"/>
      <c r="G1312" s="89">
        <f>IFERROR(VLOOKUP(F1312,COA!$A$1:$K$26,2,FALSE),0)</f>
        <v>0</v>
      </c>
      <c r="H1312" s="11"/>
      <c r="I1312" s="11"/>
      <c r="J1312" s="78"/>
      <c r="K1312" s="78"/>
      <c r="L1312" s="146">
        <f t="shared" si="68"/>
        <v>13126700</v>
      </c>
      <c r="M1312" s="73"/>
      <c r="N1312" s="73"/>
      <c r="O1312" s="73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14.25" customHeight="1" x14ac:dyDescent="0.35">
      <c r="A1313" s="9">
        <f t="shared" si="69"/>
        <v>1305</v>
      </c>
      <c r="B1313" s="15"/>
      <c r="C1313" s="11">
        <f t="shared" si="67"/>
        <v>1</v>
      </c>
      <c r="D1313" s="11"/>
      <c r="E1313" s="11"/>
      <c r="F1313" s="11"/>
      <c r="G1313" s="89">
        <f>IFERROR(VLOOKUP(F1313,COA!$A$1:$K$26,2,FALSE),0)</f>
        <v>0</v>
      </c>
      <c r="H1313" s="11"/>
      <c r="I1313" s="11"/>
      <c r="J1313" s="78"/>
      <c r="K1313" s="78"/>
      <c r="L1313" s="146">
        <f t="shared" si="68"/>
        <v>13126700</v>
      </c>
      <c r="M1313" s="73"/>
      <c r="N1313" s="73"/>
      <c r="O1313" s="73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14.25" customHeight="1" x14ac:dyDescent="0.35">
      <c r="A1314" s="9">
        <f t="shared" si="69"/>
        <v>1306</v>
      </c>
      <c r="B1314" s="15"/>
      <c r="C1314" s="11">
        <f t="shared" si="67"/>
        <v>1</v>
      </c>
      <c r="D1314" s="11"/>
      <c r="E1314" s="11"/>
      <c r="F1314" s="11"/>
      <c r="G1314" s="89">
        <f>IFERROR(VLOOKUP(F1314,COA!$A$1:$K$26,2,FALSE),0)</f>
        <v>0</v>
      </c>
      <c r="H1314" s="11"/>
      <c r="I1314" s="11"/>
      <c r="J1314" s="78"/>
      <c r="K1314" s="78"/>
      <c r="L1314" s="146">
        <f t="shared" si="68"/>
        <v>13126700</v>
      </c>
      <c r="M1314" s="73"/>
      <c r="N1314" s="73"/>
      <c r="O1314" s="73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14.25" customHeight="1" x14ac:dyDescent="0.35">
      <c r="A1315" s="9">
        <f t="shared" si="69"/>
        <v>1307</v>
      </c>
      <c r="B1315" s="15"/>
      <c r="C1315" s="11">
        <f t="shared" si="67"/>
        <v>1</v>
      </c>
      <c r="D1315" s="11"/>
      <c r="E1315" s="11"/>
      <c r="F1315" s="11"/>
      <c r="G1315" s="89">
        <f>IFERROR(VLOOKUP(F1315,COA!$A$1:$K$26,2,FALSE),0)</f>
        <v>0</v>
      </c>
      <c r="H1315" s="11"/>
      <c r="I1315" s="11"/>
      <c r="J1315" s="78"/>
      <c r="K1315" s="78"/>
      <c r="L1315" s="146">
        <f t="shared" si="68"/>
        <v>13126700</v>
      </c>
      <c r="M1315" s="73"/>
      <c r="N1315" s="73"/>
      <c r="O1315" s="73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14.25" customHeight="1" x14ac:dyDescent="0.35">
      <c r="A1316" s="9">
        <f t="shared" si="69"/>
        <v>1308</v>
      </c>
      <c r="B1316" s="15"/>
      <c r="C1316" s="11">
        <f t="shared" ref="C1316:C1379" si="70">MONTH(B1316)</f>
        <v>1</v>
      </c>
      <c r="D1316" s="11"/>
      <c r="E1316" s="11"/>
      <c r="F1316" s="11"/>
      <c r="G1316" s="89">
        <f>IFERROR(VLOOKUP(F1316,COA!$A$1:$K$26,2,FALSE),0)</f>
        <v>0</v>
      </c>
      <c r="H1316" s="11"/>
      <c r="I1316" s="11"/>
      <c r="J1316" s="78"/>
      <c r="K1316" s="78"/>
      <c r="L1316" s="146">
        <f t="shared" si="68"/>
        <v>13126700</v>
      </c>
      <c r="M1316" s="73"/>
      <c r="N1316" s="73"/>
      <c r="O1316" s="73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14.25" customHeight="1" x14ac:dyDescent="0.35">
      <c r="A1317" s="9">
        <f t="shared" si="69"/>
        <v>1309</v>
      </c>
      <c r="B1317" s="15"/>
      <c r="C1317" s="11">
        <f t="shared" si="70"/>
        <v>1</v>
      </c>
      <c r="D1317" s="11"/>
      <c r="E1317" s="11"/>
      <c r="F1317" s="11"/>
      <c r="G1317" s="89">
        <f>IFERROR(VLOOKUP(F1317,COA!$A$1:$K$26,2,FALSE),0)</f>
        <v>0</v>
      </c>
      <c r="H1317" s="11"/>
      <c r="I1317" s="11"/>
      <c r="J1317" s="78"/>
      <c r="K1317" s="78"/>
      <c r="L1317" s="146">
        <f t="shared" si="68"/>
        <v>13126700</v>
      </c>
      <c r="M1317" s="73"/>
      <c r="N1317" s="73"/>
      <c r="O1317" s="73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14.25" customHeight="1" x14ac:dyDescent="0.35">
      <c r="A1318" s="9">
        <f t="shared" si="69"/>
        <v>1310</v>
      </c>
      <c r="B1318" s="15"/>
      <c r="C1318" s="11">
        <f t="shared" si="70"/>
        <v>1</v>
      </c>
      <c r="D1318" s="11"/>
      <c r="E1318" s="11"/>
      <c r="F1318" s="11"/>
      <c r="G1318" s="89">
        <f>IFERROR(VLOOKUP(F1318,COA!$A$1:$K$26,2,FALSE),0)</f>
        <v>0</v>
      </c>
      <c r="H1318" s="11"/>
      <c r="I1318" s="11"/>
      <c r="J1318" s="78"/>
      <c r="K1318" s="78"/>
      <c r="L1318" s="146">
        <f t="shared" si="68"/>
        <v>13126700</v>
      </c>
      <c r="M1318" s="73"/>
      <c r="N1318" s="73"/>
      <c r="O1318" s="73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14.25" customHeight="1" x14ac:dyDescent="0.35">
      <c r="A1319" s="9">
        <f t="shared" si="69"/>
        <v>1311</v>
      </c>
      <c r="B1319" s="15"/>
      <c r="C1319" s="11">
        <f t="shared" si="70"/>
        <v>1</v>
      </c>
      <c r="D1319" s="11"/>
      <c r="E1319" s="11"/>
      <c r="F1319" s="11"/>
      <c r="G1319" s="89">
        <f>IFERROR(VLOOKUP(F1319,COA!$A$1:$K$26,2,FALSE),0)</f>
        <v>0</v>
      </c>
      <c r="H1319" s="11"/>
      <c r="I1319" s="11"/>
      <c r="J1319" s="78"/>
      <c r="K1319" s="78"/>
      <c r="L1319" s="146">
        <f t="shared" si="68"/>
        <v>13126700</v>
      </c>
      <c r="M1319" s="73"/>
      <c r="N1319" s="73"/>
      <c r="O1319" s="73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14.25" customHeight="1" x14ac:dyDescent="0.35">
      <c r="A1320" s="9">
        <f t="shared" si="69"/>
        <v>1312</v>
      </c>
      <c r="B1320" s="15"/>
      <c r="C1320" s="11">
        <f t="shared" si="70"/>
        <v>1</v>
      </c>
      <c r="D1320" s="11"/>
      <c r="E1320" s="11"/>
      <c r="F1320" s="11"/>
      <c r="G1320" s="89">
        <f>IFERROR(VLOOKUP(F1320,COA!$A$1:$K$26,2,FALSE),0)</f>
        <v>0</v>
      </c>
      <c r="H1320" s="11"/>
      <c r="I1320" s="11"/>
      <c r="J1320" s="78"/>
      <c r="K1320" s="78"/>
      <c r="L1320" s="146">
        <f t="shared" si="68"/>
        <v>13126700</v>
      </c>
      <c r="M1320" s="73"/>
      <c r="N1320" s="73"/>
      <c r="O1320" s="73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14.25" customHeight="1" x14ac:dyDescent="0.35">
      <c r="A1321" s="9">
        <f t="shared" si="69"/>
        <v>1313</v>
      </c>
      <c r="B1321" s="15"/>
      <c r="C1321" s="11">
        <f t="shared" si="70"/>
        <v>1</v>
      </c>
      <c r="D1321" s="11"/>
      <c r="E1321" s="11"/>
      <c r="F1321" s="11"/>
      <c r="G1321" s="89">
        <f>IFERROR(VLOOKUP(F1321,COA!$A$1:$K$26,2,FALSE),0)</f>
        <v>0</v>
      </c>
      <c r="H1321" s="11"/>
      <c r="I1321" s="11"/>
      <c r="J1321" s="78"/>
      <c r="K1321" s="78"/>
      <c r="L1321" s="146">
        <f t="shared" si="68"/>
        <v>13126700</v>
      </c>
      <c r="M1321" s="73"/>
      <c r="N1321" s="73"/>
      <c r="O1321" s="73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14.25" customHeight="1" x14ac:dyDescent="0.35">
      <c r="A1322" s="9">
        <f t="shared" si="69"/>
        <v>1314</v>
      </c>
      <c r="B1322" s="15"/>
      <c r="C1322" s="11">
        <f t="shared" si="70"/>
        <v>1</v>
      </c>
      <c r="D1322" s="11"/>
      <c r="E1322" s="11"/>
      <c r="F1322" s="11"/>
      <c r="G1322" s="89">
        <f>IFERROR(VLOOKUP(F1322,COA!$A$1:$K$26,2,FALSE),0)</f>
        <v>0</v>
      </c>
      <c r="H1322" s="11"/>
      <c r="I1322" s="11"/>
      <c r="J1322" s="78"/>
      <c r="K1322" s="78"/>
      <c r="L1322" s="146">
        <f t="shared" si="68"/>
        <v>13126700</v>
      </c>
      <c r="M1322" s="73"/>
      <c r="N1322" s="73"/>
      <c r="O1322" s="73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14.25" customHeight="1" x14ac:dyDescent="0.35">
      <c r="A1323" s="9">
        <f t="shared" si="69"/>
        <v>1315</v>
      </c>
      <c r="B1323" s="15"/>
      <c r="C1323" s="11">
        <f t="shared" si="70"/>
        <v>1</v>
      </c>
      <c r="D1323" s="11"/>
      <c r="E1323" s="11"/>
      <c r="F1323" s="11"/>
      <c r="G1323" s="89">
        <f>IFERROR(VLOOKUP(F1323,COA!$A$1:$K$26,2,FALSE),0)</f>
        <v>0</v>
      </c>
      <c r="H1323" s="11"/>
      <c r="I1323" s="11"/>
      <c r="J1323" s="78"/>
      <c r="K1323" s="78"/>
      <c r="L1323" s="146">
        <f t="shared" si="68"/>
        <v>13126700</v>
      </c>
      <c r="M1323" s="73"/>
      <c r="N1323" s="73"/>
      <c r="O1323" s="73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14.25" customHeight="1" x14ac:dyDescent="0.35">
      <c r="A1324" s="9">
        <f t="shared" si="69"/>
        <v>1316</v>
      </c>
      <c r="B1324" s="15"/>
      <c r="C1324" s="11">
        <f t="shared" si="70"/>
        <v>1</v>
      </c>
      <c r="D1324" s="11"/>
      <c r="E1324" s="11"/>
      <c r="F1324" s="11"/>
      <c r="G1324" s="89">
        <f>IFERROR(VLOOKUP(F1324,COA!$A$1:$K$26,2,FALSE),0)</f>
        <v>0</v>
      </c>
      <c r="H1324" s="11"/>
      <c r="I1324" s="11"/>
      <c r="J1324" s="78"/>
      <c r="K1324" s="78"/>
      <c r="L1324" s="146">
        <f t="shared" si="68"/>
        <v>13126700</v>
      </c>
      <c r="M1324" s="73"/>
      <c r="N1324" s="73"/>
      <c r="O1324" s="73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14.25" customHeight="1" x14ac:dyDescent="0.35">
      <c r="A1325" s="9">
        <f t="shared" si="69"/>
        <v>1317</v>
      </c>
      <c r="B1325" s="15"/>
      <c r="C1325" s="11">
        <f t="shared" si="70"/>
        <v>1</v>
      </c>
      <c r="D1325" s="11"/>
      <c r="E1325" s="11"/>
      <c r="F1325" s="11"/>
      <c r="G1325" s="89">
        <f>IFERROR(VLOOKUP(F1325,COA!$A$1:$K$26,2,FALSE),0)</f>
        <v>0</v>
      </c>
      <c r="H1325" s="11"/>
      <c r="I1325" s="11"/>
      <c r="J1325" s="78"/>
      <c r="K1325" s="78"/>
      <c r="L1325" s="146">
        <f t="shared" si="68"/>
        <v>13126700</v>
      </c>
      <c r="M1325" s="73"/>
      <c r="N1325" s="73"/>
      <c r="O1325" s="73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14.25" customHeight="1" x14ac:dyDescent="0.35">
      <c r="A1326" s="9">
        <f t="shared" si="69"/>
        <v>1318</v>
      </c>
      <c r="B1326" s="15"/>
      <c r="C1326" s="11">
        <f t="shared" si="70"/>
        <v>1</v>
      </c>
      <c r="D1326" s="11"/>
      <c r="E1326" s="11"/>
      <c r="F1326" s="11"/>
      <c r="G1326" s="89">
        <f>IFERROR(VLOOKUP(F1326,COA!$A$1:$K$26,2,FALSE),0)</f>
        <v>0</v>
      </c>
      <c r="H1326" s="11"/>
      <c r="I1326" s="11"/>
      <c r="J1326" s="78"/>
      <c r="K1326" s="78"/>
      <c r="L1326" s="146">
        <f t="shared" si="68"/>
        <v>13126700</v>
      </c>
      <c r="M1326" s="73"/>
      <c r="N1326" s="73"/>
      <c r="O1326" s="73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14.25" customHeight="1" x14ac:dyDescent="0.35">
      <c r="A1327" s="9">
        <f t="shared" si="69"/>
        <v>1319</v>
      </c>
      <c r="B1327" s="15"/>
      <c r="C1327" s="11">
        <f t="shared" si="70"/>
        <v>1</v>
      </c>
      <c r="D1327" s="11"/>
      <c r="E1327" s="11"/>
      <c r="F1327" s="11"/>
      <c r="G1327" s="89">
        <f>IFERROR(VLOOKUP(F1327,COA!$A$1:$K$26,2,FALSE),0)</f>
        <v>0</v>
      </c>
      <c r="H1327" s="11"/>
      <c r="I1327" s="11"/>
      <c r="J1327" s="78"/>
      <c r="K1327" s="78"/>
      <c r="L1327" s="146">
        <f t="shared" si="68"/>
        <v>13126700</v>
      </c>
      <c r="M1327" s="73"/>
      <c r="N1327" s="73"/>
      <c r="O1327" s="73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14.25" customHeight="1" x14ac:dyDescent="0.35">
      <c r="A1328" s="9">
        <f t="shared" si="69"/>
        <v>1320</v>
      </c>
      <c r="B1328" s="15"/>
      <c r="C1328" s="11">
        <f t="shared" si="70"/>
        <v>1</v>
      </c>
      <c r="D1328" s="11"/>
      <c r="E1328" s="11"/>
      <c r="F1328" s="11"/>
      <c r="G1328" s="89">
        <f>IFERROR(VLOOKUP(F1328,COA!$A$1:$K$26,2,FALSE),0)</f>
        <v>0</v>
      </c>
      <c r="H1328" s="11"/>
      <c r="I1328" s="11"/>
      <c r="J1328" s="78"/>
      <c r="K1328" s="78"/>
      <c r="L1328" s="146">
        <f t="shared" si="68"/>
        <v>13126700</v>
      </c>
      <c r="M1328" s="73"/>
      <c r="N1328" s="73"/>
      <c r="O1328" s="73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14.25" customHeight="1" x14ac:dyDescent="0.35">
      <c r="A1329" s="9">
        <f t="shared" si="69"/>
        <v>1321</v>
      </c>
      <c r="B1329" s="15"/>
      <c r="C1329" s="11">
        <f t="shared" si="70"/>
        <v>1</v>
      </c>
      <c r="D1329" s="11"/>
      <c r="E1329" s="11"/>
      <c r="F1329" s="11"/>
      <c r="G1329" s="89">
        <f>IFERROR(VLOOKUP(F1329,COA!$A$1:$K$26,2,FALSE),0)</f>
        <v>0</v>
      </c>
      <c r="H1329" s="11"/>
      <c r="I1329" s="11"/>
      <c r="J1329" s="78"/>
      <c r="K1329" s="78"/>
      <c r="L1329" s="146">
        <f t="shared" si="68"/>
        <v>13126700</v>
      </c>
      <c r="M1329" s="73"/>
      <c r="N1329" s="73"/>
      <c r="O1329" s="73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14.25" customHeight="1" x14ac:dyDescent="0.35">
      <c r="A1330" s="9">
        <f t="shared" si="69"/>
        <v>1322</v>
      </c>
      <c r="B1330" s="15"/>
      <c r="C1330" s="11">
        <f t="shared" si="70"/>
        <v>1</v>
      </c>
      <c r="D1330" s="11"/>
      <c r="E1330" s="11"/>
      <c r="F1330" s="11"/>
      <c r="G1330" s="89">
        <f>IFERROR(VLOOKUP(F1330,COA!$A$1:$K$26,2,FALSE),0)</f>
        <v>0</v>
      </c>
      <c r="H1330" s="11"/>
      <c r="I1330" s="11"/>
      <c r="J1330" s="78"/>
      <c r="K1330" s="78"/>
      <c r="L1330" s="146">
        <f t="shared" si="68"/>
        <v>13126700</v>
      </c>
      <c r="M1330" s="73"/>
      <c r="N1330" s="73"/>
      <c r="O1330" s="73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14.25" customHeight="1" x14ac:dyDescent="0.35">
      <c r="A1331" s="9">
        <f t="shared" si="69"/>
        <v>1323</v>
      </c>
      <c r="B1331" s="15"/>
      <c r="C1331" s="11">
        <f t="shared" si="70"/>
        <v>1</v>
      </c>
      <c r="D1331" s="11"/>
      <c r="E1331" s="11"/>
      <c r="F1331" s="11"/>
      <c r="G1331" s="89">
        <f>IFERROR(VLOOKUP(F1331,COA!$A$1:$K$26,2,FALSE),0)</f>
        <v>0</v>
      </c>
      <c r="H1331" s="11"/>
      <c r="I1331" s="11"/>
      <c r="J1331" s="78"/>
      <c r="K1331" s="78"/>
      <c r="L1331" s="146">
        <f t="shared" si="68"/>
        <v>13126700</v>
      </c>
      <c r="M1331" s="73"/>
      <c r="N1331" s="73"/>
      <c r="O1331" s="73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14.25" customHeight="1" x14ac:dyDescent="0.35">
      <c r="A1332" s="9">
        <f t="shared" si="69"/>
        <v>1324</v>
      </c>
      <c r="B1332" s="15"/>
      <c r="C1332" s="11">
        <f t="shared" si="70"/>
        <v>1</v>
      </c>
      <c r="D1332" s="11"/>
      <c r="E1332" s="11"/>
      <c r="F1332" s="11"/>
      <c r="G1332" s="89">
        <f>IFERROR(VLOOKUP(F1332,COA!$A$1:$K$26,2,FALSE),0)</f>
        <v>0</v>
      </c>
      <c r="H1332" s="11"/>
      <c r="I1332" s="11"/>
      <c r="J1332" s="78"/>
      <c r="K1332" s="78"/>
      <c r="L1332" s="146">
        <f t="shared" si="68"/>
        <v>13126700</v>
      </c>
      <c r="M1332" s="73"/>
      <c r="N1332" s="73"/>
      <c r="O1332" s="73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14.25" customHeight="1" x14ac:dyDescent="0.35">
      <c r="A1333" s="9">
        <f t="shared" si="69"/>
        <v>1325</v>
      </c>
      <c r="B1333" s="15"/>
      <c r="C1333" s="11">
        <f t="shared" si="70"/>
        <v>1</v>
      </c>
      <c r="D1333" s="11"/>
      <c r="E1333" s="11"/>
      <c r="F1333" s="11"/>
      <c r="G1333" s="89">
        <f>IFERROR(VLOOKUP(F1333,COA!$A$1:$K$26,2,FALSE),0)</f>
        <v>0</v>
      </c>
      <c r="H1333" s="11"/>
      <c r="I1333" s="11"/>
      <c r="J1333" s="78"/>
      <c r="K1333" s="78"/>
      <c r="L1333" s="146">
        <f t="shared" si="68"/>
        <v>13126700</v>
      </c>
      <c r="M1333" s="73"/>
      <c r="N1333" s="73"/>
      <c r="O1333" s="73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14.25" customHeight="1" x14ac:dyDescent="0.35">
      <c r="A1334" s="9">
        <f t="shared" si="69"/>
        <v>1326</v>
      </c>
      <c r="B1334" s="15"/>
      <c r="C1334" s="11">
        <f t="shared" si="70"/>
        <v>1</v>
      </c>
      <c r="D1334" s="11"/>
      <c r="E1334" s="11"/>
      <c r="F1334" s="11"/>
      <c r="G1334" s="89">
        <f>IFERROR(VLOOKUP(F1334,COA!$A$1:$K$26,2,FALSE),0)</f>
        <v>0</v>
      </c>
      <c r="H1334" s="11"/>
      <c r="I1334" s="11"/>
      <c r="J1334" s="78"/>
      <c r="K1334" s="78"/>
      <c r="L1334" s="146">
        <f t="shared" si="68"/>
        <v>13126700</v>
      </c>
      <c r="M1334" s="73"/>
      <c r="N1334" s="73"/>
      <c r="O1334" s="73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14.25" customHeight="1" x14ac:dyDescent="0.35">
      <c r="A1335" s="9">
        <f t="shared" si="69"/>
        <v>1327</v>
      </c>
      <c r="B1335" s="15"/>
      <c r="C1335" s="11">
        <f t="shared" si="70"/>
        <v>1</v>
      </c>
      <c r="D1335" s="11"/>
      <c r="E1335" s="11"/>
      <c r="F1335" s="11"/>
      <c r="G1335" s="89">
        <f>IFERROR(VLOOKUP(F1335,COA!$A$1:$K$26,2,FALSE),0)</f>
        <v>0</v>
      </c>
      <c r="H1335" s="11"/>
      <c r="I1335" s="11"/>
      <c r="J1335" s="78"/>
      <c r="K1335" s="78"/>
      <c r="L1335" s="146">
        <f t="shared" si="68"/>
        <v>13126700</v>
      </c>
      <c r="M1335" s="73"/>
      <c r="N1335" s="73"/>
      <c r="O1335" s="73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14.25" customHeight="1" x14ac:dyDescent="0.35">
      <c r="A1336" s="9">
        <f t="shared" si="69"/>
        <v>1328</v>
      </c>
      <c r="B1336" s="15"/>
      <c r="C1336" s="11">
        <f t="shared" si="70"/>
        <v>1</v>
      </c>
      <c r="D1336" s="11"/>
      <c r="E1336" s="11"/>
      <c r="F1336" s="11"/>
      <c r="G1336" s="89">
        <f>IFERROR(VLOOKUP(F1336,COA!$A$1:$K$26,2,FALSE),0)</f>
        <v>0</v>
      </c>
      <c r="H1336" s="11"/>
      <c r="I1336" s="11"/>
      <c r="J1336" s="78"/>
      <c r="K1336" s="78"/>
      <c r="L1336" s="146">
        <f t="shared" si="68"/>
        <v>13126700</v>
      </c>
      <c r="M1336" s="73"/>
      <c r="N1336" s="73"/>
      <c r="O1336" s="73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14.25" customHeight="1" x14ac:dyDescent="0.35">
      <c r="A1337" s="9">
        <f t="shared" si="69"/>
        <v>1329</v>
      </c>
      <c r="B1337" s="15"/>
      <c r="C1337" s="11">
        <f t="shared" si="70"/>
        <v>1</v>
      </c>
      <c r="D1337" s="11"/>
      <c r="E1337" s="11"/>
      <c r="F1337" s="11"/>
      <c r="G1337" s="89">
        <f>IFERROR(VLOOKUP(F1337,COA!$A$1:$K$26,2,FALSE),0)</f>
        <v>0</v>
      </c>
      <c r="H1337" s="11"/>
      <c r="I1337" s="11"/>
      <c r="J1337" s="78"/>
      <c r="K1337" s="78"/>
      <c r="L1337" s="146">
        <f t="shared" si="68"/>
        <v>13126700</v>
      </c>
      <c r="M1337" s="73"/>
      <c r="N1337" s="73"/>
      <c r="O1337" s="73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14.25" customHeight="1" x14ac:dyDescent="0.35">
      <c r="A1338" s="9">
        <f t="shared" si="69"/>
        <v>1330</v>
      </c>
      <c r="B1338" s="15"/>
      <c r="C1338" s="11">
        <f t="shared" si="70"/>
        <v>1</v>
      </c>
      <c r="D1338" s="11"/>
      <c r="E1338" s="11"/>
      <c r="F1338" s="11"/>
      <c r="G1338" s="89">
        <f>IFERROR(VLOOKUP(F1338,COA!$A$1:$K$26,2,FALSE),0)</f>
        <v>0</v>
      </c>
      <c r="H1338" s="11"/>
      <c r="I1338" s="11"/>
      <c r="J1338" s="78"/>
      <c r="K1338" s="78"/>
      <c r="L1338" s="146">
        <f t="shared" si="68"/>
        <v>13126700</v>
      </c>
      <c r="M1338" s="73"/>
      <c r="N1338" s="73"/>
      <c r="O1338" s="73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14.25" customHeight="1" x14ac:dyDescent="0.35">
      <c r="A1339" s="9">
        <f t="shared" si="69"/>
        <v>1331</v>
      </c>
      <c r="B1339" s="15"/>
      <c r="C1339" s="11">
        <f t="shared" si="70"/>
        <v>1</v>
      </c>
      <c r="D1339" s="11"/>
      <c r="E1339" s="11"/>
      <c r="F1339" s="11"/>
      <c r="G1339" s="89">
        <f>IFERROR(VLOOKUP(F1339,COA!$A$1:$K$26,2,FALSE),0)</f>
        <v>0</v>
      </c>
      <c r="H1339" s="11"/>
      <c r="I1339" s="11"/>
      <c r="J1339" s="78"/>
      <c r="K1339" s="78"/>
      <c r="L1339" s="146">
        <f t="shared" si="68"/>
        <v>13126700</v>
      </c>
      <c r="M1339" s="73"/>
      <c r="N1339" s="73"/>
      <c r="O1339" s="73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14.25" customHeight="1" x14ac:dyDescent="0.35">
      <c r="A1340" s="9">
        <f t="shared" si="69"/>
        <v>1332</v>
      </c>
      <c r="B1340" s="15"/>
      <c r="C1340" s="11">
        <f t="shared" si="70"/>
        <v>1</v>
      </c>
      <c r="D1340" s="11"/>
      <c r="E1340" s="11"/>
      <c r="F1340" s="11"/>
      <c r="G1340" s="89">
        <f>IFERROR(VLOOKUP(F1340,COA!$A$1:$K$26,2,FALSE),0)</f>
        <v>0</v>
      </c>
      <c r="H1340" s="11"/>
      <c r="I1340" s="11"/>
      <c r="J1340" s="78"/>
      <c r="K1340" s="78"/>
      <c r="L1340" s="146">
        <f t="shared" si="68"/>
        <v>13126700</v>
      </c>
      <c r="M1340" s="73"/>
      <c r="N1340" s="73"/>
      <c r="O1340" s="73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14.25" customHeight="1" x14ac:dyDescent="0.35">
      <c r="A1341" s="9">
        <f t="shared" si="69"/>
        <v>1333</v>
      </c>
      <c r="B1341" s="15"/>
      <c r="C1341" s="11">
        <f t="shared" si="70"/>
        <v>1</v>
      </c>
      <c r="D1341" s="11"/>
      <c r="E1341" s="11"/>
      <c r="F1341" s="11"/>
      <c r="G1341" s="89">
        <f>IFERROR(VLOOKUP(F1341,COA!$A$1:$K$26,2,FALSE),0)</f>
        <v>0</v>
      </c>
      <c r="H1341" s="11"/>
      <c r="I1341" s="11"/>
      <c r="J1341" s="78"/>
      <c r="K1341" s="78"/>
      <c r="L1341" s="146">
        <f t="shared" si="68"/>
        <v>13126700</v>
      </c>
      <c r="M1341" s="73"/>
      <c r="N1341" s="73"/>
      <c r="O1341" s="73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14.25" customHeight="1" x14ac:dyDescent="0.35">
      <c r="A1342" s="9">
        <f t="shared" si="69"/>
        <v>1334</v>
      </c>
      <c r="B1342" s="15"/>
      <c r="C1342" s="11">
        <f t="shared" si="70"/>
        <v>1</v>
      </c>
      <c r="D1342" s="11"/>
      <c r="E1342" s="11"/>
      <c r="F1342" s="11"/>
      <c r="G1342" s="89">
        <f>IFERROR(VLOOKUP(F1342,COA!$A$1:$K$26,2,FALSE),0)</f>
        <v>0</v>
      </c>
      <c r="H1342" s="11"/>
      <c r="I1342" s="11"/>
      <c r="J1342" s="78"/>
      <c r="K1342" s="78"/>
      <c r="L1342" s="146">
        <f t="shared" si="68"/>
        <v>13126700</v>
      </c>
      <c r="M1342" s="73"/>
      <c r="N1342" s="73"/>
      <c r="O1342" s="73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14.25" customHeight="1" x14ac:dyDescent="0.35">
      <c r="A1343" s="9">
        <f t="shared" si="69"/>
        <v>1335</v>
      </c>
      <c r="B1343" s="15"/>
      <c r="C1343" s="11">
        <f t="shared" si="70"/>
        <v>1</v>
      </c>
      <c r="D1343" s="11"/>
      <c r="E1343" s="11"/>
      <c r="F1343" s="11"/>
      <c r="G1343" s="89">
        <f>IFERROR(VLOOKUP(F1343,COA!$A$1:$K$26,2,FALSE),0)</f>
        <v>0</v>
      </c>
      <c r="H1343" s="11"/>
      <c r="I1343" s="11"/>
      <c r="J1343" s="78"/>
      <c r="K1343" s="78"/>
      <c r="L1343" s="146">
        <f t="shared" si="68"/>
        <v>13126700</v>
      </c>
      <c r="M1343" s="73"/>
      <c r="N1343" s="73"/>
      <c r="O1343" s="73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14.25" customHeight="1" x14ac:dyDescent="0.35">
      <c r="A1344" s="9">
        <f t="shared" si="69"/>
        <v>1336</v>
      </c>
      <c r="B1344" s="15"/>
      <c r="C1344" s="11">
        <f t="shared" si="70"/>
        <v>1</v>
      </c>
      <c r="D1344" s="11"/>
      <c r="E1344" s="11"/>
      <c r="F1344" s="11"/>
      <c r="G1344" s="89">
        <f>IFERROR(VLOOKUP(F1344,COA!$A$1:$K$26,2,FALSE),0)</f>
        <v>0</v>
      </c>
      <c r="H1344" s="11"/>
      <c r="I1344" s="11"/>
      <c r="J1344" s="78"/>
      <c r="K1344" s="78"/>
      <c r="L1344" s="146">
        <f t="shared" si="68"/>
        <v>13126700</v>
      </c>
      <c r="M1344" s="73"/>
      <c r="N1344" s="73"/>
      <c r="O1344" s="73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14.25" customHeight="1" x14ac:dyDescent="0.35">
      <c r="A1345" s="9">
        <f t="shared" si="69"/>
        <v>1337</v>
      </c>
      <c r="B1345" s="15"/>
      <c r="C1345" s="11">
        <f t="shared" si="70"/>
        <v>1</v>
      </c>
      <c r="D1345" s="11"/>
      <c r="E1345" s="11"/>
      <c r="F1345" s="11"/>
      <c r="G1345" s="89">
        <f>IFERROR(VLOOKUP(F1345,COA!$A$1:$K$26,2,FALSE),0)</f>
        <v>0</v>
      </c>
      <c r="H1345" s="11"/>
      <c r="I1345" s="11"/>
      <c r="J1345" s="78"/>
      <c r="K1345" s="78"/>
      <c r="L1345" s="146">
        <f t="shared" si="68"/>
        <v>13126700</v>
      </c>
      <c r="M1345" s="73"/>
      <c r="N1345" s="73"/>
      <c r="O1345" s="73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14.25" customHeight="1" x14ac:dyDescent="0.35">
      <c r="A1346" s="9">
        <f t="shared" si="69"/>
        <v>1338</v>
      </c>
      <c r="B1346" s="15"/>
      <c r="C1346" s="11">
        <f t="shared" si="70"/>
        <v>1</v>
      </c>
      <c r="D1346" s="11"/>
      <c r="E1346" s="11"/>
      <c r="F1346" s="11"/>
      <c r="G1346" s="89">
        <f>IFERROR(VLOOKUP(F1346,COA!$A$1:$K$26,2,FALSE),0)</f>
        <v>0</v>
      </c>
      <c r="H1346" s="11"/>
      <c r="I1346" s="11"/>
      <c r="J1346" s="78"/>
      <c r="K1346" s="78"/>
      <c r="L1346" s="146">
        <f t="shared" si="68"/>
        <v>13126700</v>
      </c>
      <c r="M1346" s="73"/>
      <c r="N1346" s="73"/>
      <c r="O1346" s="73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14.25" customHeight="1" x14ac:dyDescent="0.35">
      <c r="A1347" s="9">
        <f t="shared" si="69"/>
        <v>1339</v>
      </c>
      <c r="B1347" s="15"/>
      <c r="C1347" s="11">
        <f t="shared" si="70"/>
        <v>1</v>
      </c>
      <c r="D1347" s="11"/>
      <c r="E1347" s="11"/>
      <c r="F1347" s="11"/>
      <c r="G1347" s="89">
        <f>IFERROR(VLOOKUP(F1347,COA!$A$1:$K$26,2,FALSE),0)</f>
        <v>0</v>
      </c>
      <c r="H1347" s="11"/>
      <c r="I1347" s="11"/>
      <c r="J1347" s="78"/>
      <c r="K1347" s="78"/>
      <c r="L1347" s="146">
        <f t="shared" si="68"/>
        <v>13126700</v>
      </c>
      <c r="M1347" s="73"/>
      <c r="N1347" s="73"/>
      <c r="O1347" s="73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14.25" customHeight="1" x14ac:dyDescent="0.35">
      <c r="A1348" s="9">
        <f t="shared" si="69"/>
        <v>1340</v>
      </c>
      <c r="B1348" s="15"/>
      <c r="C1348" s="11">
        <f t="shared" si="70"/>
        <v>1</v>
      </c>
      <c r="D1348" s="11"/>
      <c r="E1348" s="11"/>
      <c r="F1348" s="11"/>
      <c r="G1348" s="89">
        <f>IFERROR(VLOOKUP(F1348,COA!$A$1:$K$26,2,FALSE),0)</f>
        <v>0</v>
      </c>
      <c r="H1348" s="11"/>
      <c r="I1348" s="11"/>
      <c r="J1348" s="78"/>
      <c r="K1348" s="78"/>
      <c r="L1348" s="146">
        <f t="shared" si="68"/>
        <v>13126700</v>
      </c>
      <c r="M1348" s="73"/>
      <c r="N1348" s="73"/>
      <c r="O1348" s="73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14.25" customHeight="1" x14ac:dyDescent="0.35">
      <c r="A1349" s="9">
        <f t="shared" si="69"/>
        <v>1341</v>
      </c>
      <c r="B1349" s="15"/>
      <c r="C1349" s="11">
        <f t="shared" si="70"/>
        <v>1</v>
      </c>
      <c r="D1349" s="11"/>
      <c r="E1349" s="11"/>
      <c r="F1349" s="11"/>
      <c r="G1349" s="89">
        <f>IFERROR(VLOOKUP(F1349,COA!$A$1:$K$26,2,FALSE),0)</f>
        <v>0</v>
      </c>
      <c r="H1349" s="11"/>
      <c r="I1349" s="11"/>
      <c r="J1349" s="78"/>
      <c r="K1349" s="78"/>
      <c r="L1349" s="146">
        <f t="shared" si="68"/>
        <v>13126700</v>
      </c>
      <c r="M1349" s="73"/>
      <c r="N1349" s="73"/>
      <c r="O1349" s="73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14.25" customHeight="1" x14ac:dyDescent="0.35">
      <c r="A1350" s="9">
        <f t="shared" si="69"/>
        <v>1342</v>
      </c>
      <c r="B1350" s="15"/>
      <c r="C1350" s="11">
        <f t="shared" si="70"/>
        <v>1</v>
      </c>
      <c r="D1350" s="11"/>
      <c r="E1350" s="11"/>
      <c r="F1350" s="11"/>
      <c r="G1350" s="89">
        <f>IFERROR(VLOOKUP(F1350,COA!$A$1:$K$26,2,FALSE),0)</f>
        <v>0</v>
      </c>
      <c r="H1350" s="11"/>
      <c r="I1350" s="11"/>
      <c r="J1350" s="78"/>
      <c r="K1350" s="78"/>
      <c r="L1350" s="146">
        <f t="shared" si="68"/>
        <v>13126700</v>
      </c>
      <c r="M1350" s="73"/>
      <c r="N1350" s="73"/>
      <c r="O1350" s="73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14.25" customHeight="1" x14ac:dyDescent="0.35">
      <c r="A1351" s="9">
        <f t="shared" si="69"/>
        <v>1343</v>
      </c>
      <c r="B1351" s="15"/>
      <c r="C1351" s="11">
        <f t="shared" si="70"/>
        <v>1</v>
      </c>
      <c r="D1351" s="11"/>
      <c r="E1351" s="11"/>
      <c r="F1351" s="11"/>
      <c r="G1351" s="89">
        <f>IFERROR(VLOOKUP(F1351,COA!$A$1:$K$26,2,FALSE),0)</f>
        <v>0</v>
      </c>
      <c r="H1351" s="11"/>
      <c r="I1351" s="11"/>
      <c r="J1351" s="78"/>
      <c r="K1351" s="78"/>
      <c r="L1351" s="146">
        <f t="shared" si="68"/>
        <v>13126700</v>
      </c>
      <c r="M1351" s="73"/>
      <c r="N1351" s="73"/>
      <c r="O1351" s="73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14.25" customHeight="1" x14ac:dyDescent="0.35">
      <c r="A1352" s="9">
        <f t="shared" si="69"/>
        <v>1344</v>
      </c>
      <c r="B1352" s="15"/>
      <c r="C1352" s="11">
        <f t="shared" si="70"/>
        <v>1</v>
      </c>
      <c r="D1352" s="11"/>
      <c r="E1352" s="11"/>
      <c r="F1352" s="11"/>
      <c r="G1352" s="89">
        <f>IFERROR(VLOOKUP(F1352,COA!$A$1:$K$26,2,FALSE),0)</f>
        <v>0</v>
      </c>
      <c r="H1352" s="11"/>
      <c r="I1352" s="11"/>
      <c r="J1352" s="78"/>
      <c r="K1352" s="78"/>
      <c r="L1352" s="146">
        <f t="shared" si="68"/>
        <v>13126700</v>
      </c>
      <c r="M1352" s="73"/>
      <c r="N1352" s="73"/>
      <c r="O1352" s="73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14.25" customHeight="1" x14ac:dyDescent="0.35">
      <c r="A1353" s="9">
        <f t="shared" si="69"/>
        <v>1345</v>
      </c>
      <c r="B1353" s="15"/>
      <c r="C1353" s="11">
        <f t="shared" si="70"/>
        <v>1</v>
      </c>
      <c r="D1353" s="11"/>
      <c r="E1353" s="11"/>
      <c r="F1353" s="11"/>
      <c r="G1353" s="89">
        <f>IFERROR(VLOOKUP(F1353,COA!$A$1:$K$26,2,FALSE),0)</f>
        <v>0</v>
      </c>
      <c r="H1353" s="11"/>
      <c r="I1353" s="11"/>
      <c r="J1353" s="78"/>
      <c r="K1353" s="78"/>
      <c r="L1353" s="146">
        <f t="shared" si="68"/>
        <v>13126700</v>
      </c>
      <c r="M1353" s="73"/>
      <c r="N1353" s="73"/>
      <c r="O1353" s="73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14.25" customHeight="1" x14ac:dyDescent="0.35">
      <c r="A1354" s="9">
        <f t="shared" si="69"/>
        <v>1346</v>
      </c>
      <c r="B1354" s="15"/>
      <c r="C1354" s="11">
        <f t="shared" si="70"/>
        <v>1</v>
      </c>
      <c r="D1354" s="11"/>
      <c r="E1354" s="11"/>
      <c r="F1354" s="11"/>
      <c r="G1354" s="89">
        <f>IFERROR(VLOOKUP(F1354,COA!$A$1:$K$26,2,FALSE),0)</f>
        <v>0</v>
      </c>
      <c r="H1354" s="11"/>
      <c r="I1354" s="11"/>
      <c r="J1354" s="78"/>
      <c r="K1354" s="78"/>
      <c r="L1354" s="146">
        <f t="shared" si="68"/>
        <v>13126700</v>
      </c>
      <c r="M1354" s="73"/>
      <c r="N1354" s="73"/>
      <c r="O1354" s="73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14.25" customHeight="1" x14ac:dyDescent="0.35">
      <c r="A1355" s="9">
        <f t="shared" si="69"/>
        <v>1347</v>
      </c>
      <c r="B1355" s="15"/>
      <c r="C1355" s="11">
        <f t="shared" si="70"/>
        <v>1</v>
      </c>
      <c r="D1355" s="11"/>
      <c r="E1355" s="11"/>
      <c r="F1355" s="11"/>
      <c r="G1355" s="89">
        <f>IFERROR(VLOOKUP(F1355,COA!$A$1:$K$26,2,FALSE),0)</f>
        <v>0</v>
      </c>
      <c r="H1355" s="11"/>
      <c r="I1355" s="11"/>
      <c r="J1355" s="78"/>
      <c r="K1355" s="78"/>
      <c r="L1355" s="146">
        <f t="shared" si="68"/>
        <v>13126700</v>
      </c>
      <c r="M1355" s="73"/>
      <c r="N1355" s="73"/>
      <c r="O1355" s="73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14.25" customHeight="1" x14ac:dyDescent="0.35">
      <c r="A1356" s="9">
        <f t="shared" si="69"/>
        <v>1348</v>
      </c>
      <c r="B1356" s="15"/>
      <c r="C1356" s="11">
        <f t="shared" si="70"/>
        <v>1</v>
      </c>
      <c r="D1356" s="11"/>
      <c r="E1356" s="11"/>
      <c r="F1356" s="11"/>
      <c r="G1356" s="89">
        <f>IFERROR(VLOOKUP(F1356,COA!$A$1:$K$26,2,FALSE),0)</f>
        <v>0</v>
      </c>
      <c r="H1356" s="11"/>
      <c r="I1356" s="11"/>
      <c r="J1356" s="78"/>
      <c r="K1356" s="78"/>
      <c r="L1356" s="146">
        <f t="shared" si="68"/>
        <v>13126700</v>
      </c>
      <c r="M1356" s="73"/>
      <c r="N1356" s="73"/>
      <c r="O1356" s="73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14.25" customHeight="1" x14ac:dyDescent="0.35">
      <c r="A1357" s="9">
        <f t="shared" si="69"/>
        <v>1349</v>
      </c>
      <c r="B1357" s="15"/>
      <c r="C1357" s="11">
        <f t="shared" si="70"/>
        <v>1</v>
      </c>
      <c r="D1357" s="11"/>
      <c r="E1357" s="11"/>
      <c r="F1357" s="11"/>
      <c r="G1357" s="89">
        <f>IFERROR(VLOOKUP(F1357,COA!$A$1:$K$26,2,FALSE),0)</f>
        <v>0</v>
      </c>
      <c r="H1357" s="11"/>
      <c r="I1357" s="11"/>
      <c r="J1357" s="78"/>
      <c r="K1357" s="78"/>
      <c r="L1357" s="146">
        <f t="shared" si="68"/>
        <v>13126700</v>
      </c>
      <c r="M1357" s="73"/>
      <c r="N1357" s="73"/>
      <c r="O1357" s="73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14.25" customHeight="1" x14ac:dyDescent="0.35">
      <c r="A1358" s="9">
        <f t="shared" si="69"/>
        <v>1350</v>
      </c>
      <c r="B1358" s="15"/>
      <c r="C1358" s="11">
        <f t="shared" si="70"/>
        <v>1</v>
      </c>
      <c r="D1358" s="11"/>
      <c r="E1358" s="11"/>
      <c r="F1358" s="11"/>
      <c r="G1358" s="89">
        <f>IFERROR(VLOOKUP(F1358,COA!$A$1:$K$26,2,FALSE),0)</f>
        <v>0</v>
      </c>
      <c r="H1358" s="11"/>
      <c r="I1358" s="11"/>
      <c r="J1358" s="78"/>
      <c r="K1358" s="78"/>
      <c r="L1358" s="146">
        <f t="shared" si="68"/>
        <v>13126700</v>
      </c>
      <c r="M1358" s="73"/>
      <c r="N1358" s="73"/>
      <c r="O1358" s="73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14.25" customHeight="1" x14ac:dyDescent="0.35">
      <c r="A1359" s="9">
        <f t="shared" si="69"/>
        <v>1351</v>
      </c>
      <c r="B1359" s="15"/>
      <c r="C1359" s="11">
        <f t="shared" si="70"/>
        <v>1</v>
      </c>
      <c r="D1359" s="11"/>
      <c r="E1359" s="11"/>
      <c r="F1359" s="11"/>
      <c r="G1359" s="89">
        <f>IFERROR(VLOOKUP(F1359,COA!$A$1:$K$26,2,FALSE),0)</f>
        <v>0</v>
      </c>
      <c r="H1359" s="11"/>
      <c r="I1359" s="11"/>
      <c r="J1359" s="78"/>
      <c r="K1359" s="78"/>
      <c r="L1359" s="146">
        <f t="shared" si="68"/>
        <v>13126700</v>
      </c>
      <c r="M1359" s="73"/>
      <c r="N1359" s="73"/>
      <c r="O1359" s="73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14.25" customHeight="1" x14ac:dyDescent="0.35">
      <c r="A1360" s="9">
        <f t="shared" si="69"/>
        <v>1352</v>
      </c>
      <c r="B1360" s="15"/>
      <c r="C1360" s="11">
        <f t="shared" si="70"/>
        <v>1</v>
      </c>
      <c r="D1360" s="11"/>
      <c r="E1360" s="11"/>
      <c r="F1360" s="11"/>
      <c r="G1360" s="89">
        <f>IFERROR(VLOOKUP(F1360,COA!$A$1:$K$26,2,FALSE),0)</f>
        <v>0</v>
      </c>
      <c r="H1360" s="11"/>
      <c r="I1360" s="11"/>
      <c r="J1360" s="78"/>
      <c r="K1360" s="78"/>
      <c r="L1360" s="146">
        <f t="shared" ref="L1360:L1423" si="71">L1359+J1360-K1360</f>
        <v>13126700</v>
      </c>
      <c r="M1360" s="73"/>
      <c r="N1360" s="73"/>
      <c r="O1360" s="73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14.25" customHeight="1" x14ac:dyDescent="0.35">
      <c r="A1361" s="9">
        <f t="shared" si="69"/>
        <v>1353</v>
      </c>
      <c r="B1361" s="15"/>
      <c r="C1361" s="11">
        <f t="shared" si="70"/>
        <v>1</v>
      </c>
      <c r="D1361" s="11"/>
      <c r="E1361" s="11"/>
      <c r="F1361" s="11"/>
      <c r="G1361" s="89">
        <f>IFERROR(VLOOKUP(F1361,COA!$A$1:$K$26,2,FALSE),0)</f>
        <v>0</v>
      </c>
      <c r="H1361" s="11"/>
      <c r="I1361" s="11"/>
      <c r="J1361" s="78"/>
      <c r="K1361" s="78"/>
      <c r="L1361" s="146">
        <f t="shared" si="71"/>
        <v>13126700</v>
      </c>
      <c r="M1361" s="73"/>
      <c r="N1361" s="73"/>
      <c r="O1361" s="73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14.25" customHeight="1" x14ac:dyDescent="0.35">
      <c r="A1362" s="9">
        <f t="shared" ref="A1362:A1425" si="72">A1361+1</f>
        <v>1354</v>
      </c>
      <c r="B1362" s="15"/>
      <c r="C1362" s="11">
        <f t="shared" si="70"/>
        <v>1</v>
      </c>
      <c r="D1362" s="11"/>
      <c r="E1362" s="11"/>
      <c r="F1362" s="11"/>
      <c r="G1362" s="89">
        <f>IFERROR(VLOOKUP(F1362,COA!$A$1:$K$26,2,FALSE),0)</f>
        <v>0</v>
      </c>
      <c r="H1362" s="11"/>
      <c r="I1362" s="11"/>
      <c r="J1362" s="78"/>
      <c r="K1362" s="78"/>
      <c r="L1362" s="146">
        <f t="shared" si="71"/>
        <v>13126700</v>
      </c>
      <c r="M1362" s="73"/>
      <c r="N1362" s="73"/>
      <c r="O1362" s="73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14.25" customHeight="1" x14ac:dyDescent="0.35">
      <c r="A1363" s="9">
        <f t="shared" si="72"/>
        <v>1355</v>
      </c>
      <c r="B1363" s="22"/>
      <c r="C1363" s="11">
        <f t="shared" si="70"/>
        <v>1</v>
      </c>
      <c r="D1363" s="11"/>
      <c r="E1363" s="11"/>
      <c r="F1363" s="11"/>
      <c r="G1363" s="89">
        <f>IFERROR(VLOOKUP(F1363,COA!$A$1:$K$26,2,FALSE),0)</f>
        <v>0</v>
      </c>
      <c r="H1363" s="11"/>
      <c r="I1363" s="11"/>
      <c r="J1363" s="78"/>
      <c r="K1363" s="78"/>
      <c r="L1363" s="146">
        <f t="shared" si="71"/>
        <v>13126700</v>
      </c>
      <c r="M1363" s="73"/>
      <c r="N1363" s="73"/>
      <c r="O1363" s="73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14.25" customHeight="1" x14ac:dyDescent="0.35">
      <c r="A1364" s="9">
        <f t="shared" si="72"/>
        <v>1356</v>
      </c>
      <c r="B1364" s="22"/>
      <c r="C1364" s="11">
        <f t="shared" si="70"/>
        <v>1</v>
      </c>
      <c r="D1364" s="11"/>
      <c r="E1364" s="11"/>
      <c r="F1364" s="11"/>
      <c r="G1364" s="89">
        <f>IFERROR(VLOOKUP(F1364,COA!$A$1:$K$26,2,FALSE),0)</f>
        <v>0</v>
      </c>
      <c r="H1364" s="11"/>
      <c r="I1364" s="11"/>
      <c r="J1364" s="78"/>
      <c r="K1364" s="78"/>
      <c r="L1364" s="146">
        <f t="shared" si="71"/>
        <v>13126700</v>
      </c>
      <c r="M1364" s="73"/>
      <c r="N1364" s="73"/>
      <c r="O1364" s="73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14.25" customHeight="1" x14ac:dyDescent="0.35">
      <c r="A1365" s="9">
        <f t="shared" si="72"/>
        <v>1357</v>
      </c>
      <c r="B1365" s="22"/>
      <c r="C1365" s="11">
        <f t="shared" si="70"/>
        <v>1</v>
      </c>
      <c r="D1365" s="11"/>
      <c r="E1365" s="11"/>
      <c r="F1365" s="11"/>
      <c r="G1365" s="89">
        <f>IFERROR(VLOOKUP(F1365,COA!$A$1:$K$26,2,FALSE),0)</f>
        <v>0</v>
      </c>
      <c r="H1365" s="11"/>
      <c r="I1365" s="11"/>
      <c r="J1365" s="78"/>
      <c r="K1365" s="78"/>
      <c r="L1365" s="146">
        <f t="shared" si="71"/>
        <v>13126700</v>
      </c>
      <c r="M1365" s="73"/>
      <c r="N1365" s="73"/>
      <c r="O1365" s="73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14.25" customHeight="1" x14ac:dyDescent="0.35">
      <c r="A1366" s="9">
        <f t="shared" si="72"/>
        <v>1358</v>
      </c>
      <c r="B1366" s="22"/>
      <c r="C1366" s="11">
        <f t="shared" si="70"/>
        <v>1</v>
      </c>
      <c r="D1366" s="11"/>
      <c r="E1366" s="11"/>
      <c r="F1366" s="11"/>
      <c r="G1366" s="89">
        <f>IFERROR(VLOOKUP(F1366,COA!$A$1:$K$26,2,FALSE),0)</f>
        <v>0</v>
      </c>
      <c r="H1366" s="11"/>
      <c r="I1366" s="11"/>
      <c r="J1366" s="78"/>
      <c r="K1366" s="78"/>
      <c r="L1366" s="146">
        <f t="shared" si="71"/>
        <v>13126700</v>
      </c>
      <c r="M1366" s="73"/>
      <c r="N1366" s="73"/>
      <c r="O1366" s="73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14.25" customHeight="1" x14ac:dyDescent="0.35">
      <c r="A1367" s="9">
        <f t="shared" si="72"/>
        <v>1359</v>
      </c>
      <c r="B1367" s="22"/>
      <c r="C1367" s="11">
        <f t="shared" si="70"/>
        <v>1</v>
      </c>
      <c r="D1367" s="11"/>
      <c r="E1367" s="11"/>
      <c r="F1367" s="11"/>
      <c r="G1367" s="89">
        <f>IFERROR(VLOOKUP(F1367,COA!$A$1:$K$26,2,FALSE),0)</f>
        <v>0</v>
      </c>
      <c r="H1367" s="11"/>
      <c r="I1367" s="11"/>
      <c r="J1367" s="78"/>
      <c r="K1367" s="78"/>
      <c r="L1367" s="146">
        <f t="shared" si="71"/>
        <v>13126700</v>
      </c>
      <c r="M1367" s="73"/>
      <c r="N1367" s="73"/>
      <c r="O1367" s="73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14.25" customHeight="1" x14ac:dyDescent="0.35">
      <c r="A1368" s="9">
        <f t="shared" si="72"/>
        <v>1360</v>
      </c>
      <c r="B1368" s="22"/>
      <c r="C1368" s="11">
        <f t="shared" si="70"/>
        <v>1</v>
      </c>
      <c r="D1368" s="11"/>
      <c r="E1368" s="11"/>
      <c r="F1368" s="11"/>
      <c r="G1368" s="89">
        <f>IFERROR(VLOOKUP(F1368,COA!$A$1:$K$26,2,FALSE),0)</f>
        <v>0</v>
      </c>
      <c r="H1368" s="11"/>
      <c r="I1368" s="11"/>
      <c r="J1368" s="78"/>
      <c r="K1368" s="78"/>
      <c r="L1368" s="146">
        <f t="shared" si="71"/>
        <v>13126700</v>
      </c>
      <c r="M1368" s="73"/>
      <c r="N1368" s="73"/>
      <c r="O1368" s="73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14.25" customHeight="1" x14ac:dyDescent="0.35">
      <c r="A1369" s="9">
        <f t="shared" si="72"/>
        <v>1361</v>
      </c>
      <c r="B1369" s="15"/>
      <c r="C1369" s="11">
        <f t="shared" si="70"/>
        <v>1</v>
      </c>
      <c r="D1369" s="11"/>
      <c r="E1369" s="11"/>
      <c r="F1369" s="11"/>
      <c r="G1369" s="89">
        <f>IFERROR(VLOOKUP(F1369,COA!$A$1:$K$26,2,FALSE),0)</f>
        <v>0</v>
      </c>
      <c r="H1369" s="11"/>
      <c r="I1369" s="11"/>
      <c r="J1369" s="78"/>
      <c r="K1369" s="78"/>
      <c r="L1369" s="146">
        <f t="shared" si="71"/>
        <v>13126700</v>
      </c>
      <c r="M1369" s="73"/>
      <c r="N1369" s="73"/>
      <c r="O1369" s="73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14.25" customHeight="1" x14ac:dyDescent="0.35">
      <c r="A1370" s="9">
        <f t="shared" si="72"/>
        <v>1362</v>
      </c>
      <c r="B1370" s="15"/>
      <c r="C1370" s="11">
        <f t="shared" si="70"/>
        <v>1</v>
      </c>
      <c r="D1370" s="11"/>
      <c r="E1370" s="11"/>
      <c r="F1370" s="11"/>
      <c r="G1370" s="89">
        <f>IFERROR(VLOOKUP(F1370,COA!$A$1:$K$26,2,FALSE),0)</f>
        <v>0</v>
      </c>
      <c r="H1370" s="11"/>
      <c r="I1370" s="11"/>
      <c r="J1370" s="78"/>
      <c r="K1370" s="78"/>
      <c r="L1370" s="146">
        <f t="shared" si="71"/>
        <v>13126700</v>
      </c>
      <c r="M1370" s="73"/>
      <c r="N1370" s="73"/>
      <c r="O1370" s="73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14.25" customHeight="1" x14ac:dyDescent="0.35">
      <c r="A1371" s="9">
        <f t="shared" si="72"/>
        <v>1363</v>
      </c>
      <c r="B1371" s="15"/>
      <c r="C1371" s="11">
        <f t="shared" si="70"/>
        <v>1</v>
      </c>
      <c r="D1371" s="11"/>
      <c r="E1371" s="11"/>
      <c r="F1371" s="11"/>
      <c r="G1371" s="89">
        <f>IFERROR(VLOOKUP(F1371,COA!$A$1:$K$26,2,FALSE),0)</f>
        <v>0</v>
      </c>
      <c r="H1371" s="11"/>
      <c r="I1371" s="11"/>
      <c r="J1371" s="78"/>
      <c r="K1371" s="78"/>
      <c r="L1371" s="146">
        <f t="shared" si="71"/>
        <v>13126700</v>
      </c>
      <c r="M1371" s="73"/>
      <c r="N1371" s="73"/>
      <c r="O1371" s="73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14.25" customHeight="1" x14ac:dyDescent="0.35">
      <c r="A1372" s="9">
        <f t="shared" si="72"/>
        <v>1364</v>
      </c>
      <c r="B1372" s="15"/>
      <c r="C1372" s="11">
        <f t="shared" si="70"/>
        <v>1</v>
      </c>
      <c r="D1372" s="11"/>
      <c r="E1372" s="11"/>
      <c r="F1372" s="11"/>
      <c r="G1372" s="89">
        <f>IFERROR(VLOOKUP(F1372,COA!$A$1:$K$26,2,FALSE),0)</f>
        <v>0</v>
      </c>
      <c r="H1372" s="11"/>
      <c r="I1372" s="11"/>
      <c r="J1372" s="78"/>
      <c r="K1372" s="78"/>
      <c r="L1372" s="146">
        <f t="shared" si="71"/>
        <v>13126700</v>
      </c>
      <c r="M1372" s="73"/>
      <c r="N1372" s="73"/>
      <c r="O1372" s="73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14.25" customHeight="1" x14ac:dyDescent="0.35">
      <c r="A1373" s="9">
        <f t="shared" si="72"/>
        <v>1365</v>
      </c>
      <c r="B1373" s="15"/>
      <c r="C1373" s="11">
        <f t="shared" si="70"/>
        <v>1</v>
      </c>
      <c r="D1373" s="11"/>
      <c r="E1373" s="11"/>
      <c r="F1373" s="11"/>
      <c r="G1373" s="89">
        <f>IFERROR(VLOOKUP(F1373,COA!$A$1:$K$26,2,FALSE),0)</f>
        <v>0</v>
      </c>
      <c r="H1373" s="11"/>
      <c r="I1373" s="11"/>
      <c r="J1373" s="78"/>
      <c r="K1373" s="78"/>
      <c r="L1373" s="146">
        <f t="shared" si="71"/>
        <v>13126700</v>
      </c>
      <c r="M1373" s="73"/>
      <c r="N1373" s="73"/>
      <c r="O1373" s="73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14.25" customHeight="1" x14ac:dyDescent="0.35">
      <c r="A1374" s="9">
        <f t="shared" si="72"/>
        <v>1366</v>
      </c>
      <c r="B1374" s="15"/>
      <c r="C1374" s="11">
        <f t="shared" si="70"/>
        <v>1</v>
      </c>
      <c r="D1374" s="11"/>
      <c r="E1374" s="11"/>
      <c r="F1374" s="11"/>
      <c r="G1374" s="89">
        <f>IFERROR(VLOOKUP(F1374,COA!$A$1:$K$26,2,FALSE),0)</f>
        <v>0</v>
      </c>
      <c r="H1374" s="11"/>
      <c r="I1374" s="11"/>
      <c r="J1374" s="78"/>
      <c r="K1374" s="78"/>
      <c r="L1374" s="146">
        <f t="shared" si="71"/>
        <v>13126700</v>
      </c>
      <c r="M1374" s="73"/>
      <c r="N1374" s="73"/>
      <c r="O1374" s="73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14.25" customHeight="1" x14ac:dyDescent="0.35">
      <c r="A1375" s="9">
        <f t="shared" si="72"/>
        <v>1367</v>
      </c>
      <c r="B1375" s="15"/>
      <c r="C1375" s="11">
        <f t="shared" si="70"/>
        <v>1</v>
      </c>
      <c r="D1375" s="11"/>
      <c r="E1375" s="11"/>
      <c r="F1375" s="11"/>
      <c r="G1375" s="89">
        <f>IFERROR(VLOOKUP(F1375,COA!$A$1:$K$26,2,FALSE),0)</f>
        <v>0</v>
      </c>
      <c r="H1375" s="11"/>
      <c r="I1375" s="11"/>
      <c r="J1375" s="78"/>
      <c r="K1375" s="78"/>
      <c r="L1375" s="146">
        <f t="shared" si="71"/>
        <v>13126700</v>
      </c>
      <c r="M1375" s="73"/>
      <c r="N1375" s="73"/>
      <c r="O1375" s="73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14.25" customHeight="1" x14ac:dyDescent="0.35">
      <c r="A1376" s="9">
        <f t="shared" si="72"/>
        <v>1368</v>
      </c>
      <c r="B1376" s="15"/>
      <c r="C1376" s="11">
        <f t="shared" si="70"/>
        <v>1</v>
      </c>
      <c r="D1376" s="11"/>
      <c r="E1376" s="11"/>
      <c r="F1376" s="11"/>
      <c r="G1376" s="89">
        <f>IFERROR(VLOOKUP(F1376,COA!$A$1:$K$26,2,FALSE),0)</f>
        <v>0</v>
      </c>
      <c r="H1376" s="11"/>
      <c r="I1376" s="11"/>
      <c r="J1376" s="78"/>
      <c r="K1376" s="78"/>
      <c r="L1376" s="146">
        <f t="shared" si="71"/>
        <v>13126700</v>
      </c>
      <c r="M1376" s="73"/>
      <c r="N1376" s="73"/>
      <c r="O1376" s="73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14.25" customHeight="1" x14ac:dyDescent="0.35">
      <c r="A1377" s="9">
        <f t="shared" si="72"/>
        <v>1369</v>
      </c>
      <c r="B1377" s="15"/>
      <c r="C1377" s="11">
        <f t="shared" si="70"/>
        <v>1</v>
      </c>
      <c r="D1377" s="11"/>
      <c r="E1377" s="11"/>
      <c r="F1377" s="11"/>
      <c r="G1377" s="89">
        <f>IFERROR(VLOOKUP(F1377,COA!$A$1:$K$26,2,FALSE),0)</f>
        <v>0</v>
      </c>
      <c r="H1377" s="11"/>
      <c r="I1377" s="11"/>
      <c r="J1377" s="78"/>
      <c r="K1377" s="78"/>
      <c r="L1377" s="146">
        <f t="shared" si="71"/>
        <v>13126700</v>
      </c>
      <c r="M1377" s="73"/>
      <c r="N1377" s="73"/>
      <c r="O1377" s="73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14.25" customHeight="1" x14ac:dyDescent="0.35">
      <c r="A1378" s="9">
        <f t="shared" si="72"/>
        <v>1370</v>
      </c>
      <c r="B1378" s="15"/>
      <c r="C1378" s="11">
        <f t="shared" si="70"/>
        <v>1</v>
      </c>
      <c r="D1378" s="11"/>
      <c r="E1378" s="11"/>
      <c r="F1378" s="11"/>
      <c r="G1378" s="89">
        <f>IFERROR(VLOOKUP(F1378,COA!$A$1:$K$26,2,FALSE),0)</f>
        <v>0</v>
      </c>
      <c r="H1378" s="11"/>
      <c r="I1378" s="11"/>
      <c r="J1378" s="78"/>
      <c r="K1378" s="78"/>
      <c r="L1378" s="146">
        <f t="shared" si="71"/>
        <v>13126700</v>
      </c>
      <c r="M1378" s="73"/>
      <c r="N1378" s="73"/>
      <c r="O1378" s="73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14.25" customHeight="1" x14ac:dyDescent="0.35">
      <c r="A1379" s="9">
        <f t="shared" si="72"/>
        <v>1371</v>
      </c>
      <c r="B1379" s="15"/>
      <c r="C1379" s="11">
        <f t="shared" si="70"/>
        <v>1</v>
      </c>
      <c r="D1379" s="11"/>
      <c r="E1379" s="11"/>
      <c r="F1379" s="11"/>
      <c r="G1379" s="89">
        <f>IFERROR(VLOOKUP(F1379,COA!$A$1:$K$26,2,FALSE),0)</f>
        <v>0</v>
      </c>
      <c r="H1379" s="11"/>
      <c r="I1379" s="11"/>
      <c r="J1379" s="78"/>
      <c r="K1379" s="78"/>
      <c r="L1379" s="146">
        <f t="shared" si="71"/>
        <v>13126700</v>
      </c>
      <c r="M1379" s="73"/>
      <c r="N1379" s="73"/>
      <c r="O1379" s="73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14.25" customHeight="1" x14ac:dyDescent="0.35">
      <c r="A1380" s="9">
        <f t="shared" si="72"/>
        <v>1372</v>
      </c>
      <c r="B1380" s="15"/>
      <c r="C1380" s="11">
        <f t="shared" ref="C1380:C1443" si="73">MONTH(B1380)</f>
        <v>1</v>
      </c>
      <c r="D1380" s="11"/>
      <c r="E1380" s="11"/>
      <c r="F1380" s="11"/>
      <c r="G1380" s="89">
        <f>IFERROR(VLOOKUP(F1380,COA!$A$1:$K$26,2,FALSE),0)</f>
        <v>0</v>
      </c>
      <c r="H1380" s="11"/>
      <c r="I1380" s="11"/>
      <c r="J1380" s="78"/>
      <c r="K1380" s="78"/>
      <c r="L1380" s="146">
        <f t="shared" si="71"/>
        <v>13126700</v>
      </c>
      <c r="M1380" s="73"/>
      <c r="N1380" s="73"/>
      <c r="O1380" s="73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14.25" customHeight="1" x14ac:dyDescent="0.35">
      <c r="A1381" s="9">
        <f t="shared" si="72"/>
        <v>1373</v>
      </c>
      <c r="B1381" s="15"/>
      <c r="C1381" s="11">
        <f t="shared" si="73"/>
        <v>1</v>
      </c>
      <c r="D1381" s="11"/>
      <c r="E1381" s="11"/>
      <c r="F1381" s="11"/>
      <c r="G1381" s="89">
        <f>IFERROR(VLOOKUP(F1381,COA!$A$1:$K$26,2,FALSE),0)</f>
        <v>0</v>
      </c>
      <c r="H1381" s="11"/>
      <c r="I1381" s="11"/>
      <c r="J1381" s="78"/>
      <c r="K1381" s="78"/>
      <c r="L1381" s="146">
        <f t="shared" si="71"/>
        <v>13126700</v>
      </c>
      <c r="M1381" s="73"/>
      <c r="N1381" s="73"/>
      <c r="O1381" s="73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14.25" customHeight="1" x14ac:dyDescent="0.35">
      <c r="A1382" s="9">
        <f t="shared" si="72"/>
        <v>1374</v>
      </c>
      <c r="B1382" s="15"/>
      <c r="C1382" s="11">
        <f t="shared" si="73"/>
        <v>1</v>
      </c>
      <c r="D1382" s="11"/>
      <c r="E1382" s="11"/>
      <c r="F1382" s="11"/>
      <c r="G1382" s="89">
        <f>IFERROR(VLOOKUP(F1382,COA!$A$1:$K$26,2,FALSE),0)</f>
        <v>0</v>
      </c>
      <c r="H1382" s="11"/>
      <c r="I1382" s="11"/>
      <c r="J1382" s="78"/>
      <c r="K1382" s="78"/>
      <c r="L1382" s="146">
        <f t="shared" si="71"/>
        <v>13126700</v>
      </c>
      <c r="M1382" s="73"/>
      <c r="N1382" s="73"/>
      <c r="O1382" s="73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14.25" customHeight="1" x14ac:dyDescent="0.35">
      <c r="A1383" s="9">
        <f t="shared" si="72"/>
        <v>1375</v>
      </c>
      <c r="B1383" s="15"/>
      <c r="C1383" s="11">
        <f t="shared" si="73"/>
        <v>1</v>
      </c>
      <c r="D1383" s="11"/>
      <c r="E1383" s="11"/>
      <c r="F1383" s="11"/>
      <c r="G1383" s="89">
        <f>IFERROR(VLOOKUP(F1383,COA!$A$1:$K$26,2,FALSE),0)</f>
        <v>0</v>
      </c>
      <c r="H1383" s="11"/>
      <c r="I1383" s="11"/>
      <c r="J1383" s="78"/>
      <c r="K1383" s="78"/>
      <c r="L1383" s="146">
        <f t="shared" si="71"/>
        <v>13126700</v>
      </c>
      <c r="M1383" s="73"/>
      <c r="N1383" s="73"/>
      <c r="O1383" s="73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14.25" customHeight="1" x14ac:dyDescent="0.35">
      <c r="A1384" s="9">
        <f t="shared" si="72"/>
        <v>1376</v>
      </c>
      <c r="B1384" s="15"/>
      <c r="C1384" s="11">
        <f t="shared" si="73"/>
        <v>1</v>
      </c>
      <c r="D1384" s="11"/>
      <c r="E1384" s="11"/>
      <c r="F1384" s="11"/>
      <c r="G1384" s="89">
        <f>IFERROR(VLOOKUP(F1384,COA!$A$1:$K$26,2,FALSE),0)</f>
        <v>0</v>
      </c>
      <c r="H1384" s="11"/>
      <c r="I1384" s="11"/>
      <c r="J1384" s="78"/>
      <c r="K1384" s="78"/>
      <c r="L1384" s="146">
        <f t="shared" si="71"/>
        <v>13126700</v>
      </c>
      <c r="M1384" s="73"/>
      <c r="N1384" s="73"/>
      <c r="O1384" s="73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14.25" customHeight="1" x14ac:dyDescent="0.35">
      <c r="A1385" s="9">
        <f t="shared" si="72"/>
        <v>1377</v>
      </c>
      <c r="B1385" s="15"/>
      <c r="C1385" s="11">
        <f t="shared" si="73"/>
        <v>1</v>
      </c>
      <c r="D1385" s="11"/>
      <c r="E1385" s="11"/>
      <c r="F1385" s="11"/>
      <c r="G1385" s="89">
        <f>IFERROR(VLOOKUP(F1385,COA!$A$1:$K$26,2,FALSE),0)</f>
        <v>0</v>
      </c>
      <c r="H1385" s="11"/>
      <c r="I1385" s="11"/>
      <c r="J1385" s="78"/>
      <c r="K1385" s="78"/>
      <c r="L1385" s="146">
        <f t="shared" si="71"/>
        <v>13126700</v>
      </c>
      <c r="M1385" s="73"/>
      <c r="N1385" s="73"/>
      <c r="O1385" s="73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14.25" customHeight="1" x14ac:dyDescent="0.35">
      <c r="A1386" s="9">
        <f t="shared" si="72"/>
        <v>1378</v>
      </c>
      <c r="B1386" s="15"/>
      <c r="C1386" s="11">
        <f t="shared" si="73"/>
        <v>1</v>
      </c>
      <c r="D1386" s="11"/>
      <c r="E1386" s="11"/>
      <c r="F1386" s="11"/>
      <c r="G1386" s="89">
        <f>IFERROR(VLOOKUP(F1386,COA!$A$1:$K$26,2,FALSE),0)</f>
        <v>0</v>
      </c>
      <c r="H1386" s="11"/>
      <c r="I1386" s="11"/>
      <c r="J1386" s="78"/>
      <c r="K1386" s="78"/>
      <c r="L1386" s="146">
        <f t="shared" si="71"/>
        <v>13126700</v>
      </c>
      <c r="M1386" s="73"/>
      <c r="N1386" s="73"/>
      <c r="O1386" s="73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14.25" customHeight="1" x14ac:dyDescent="0.35">
      <c r="A1387" s="9">
        <f t="shared" si="72"/>
        <v>1379</v>
      </c>
      <c r="B1387" s="15"/>
      <c r="C1387" s="11">
        <f t="shared" si="73"/>
        <v>1</v>
      </c>
      <c r="D1387" s="11"/>
      <c r="E1387" s="11"/>
      <c r="F1387" s="11"/>
      <c r="G1387" s="89">
        <f>IFERROR(VLOOKUP(F1387,COA!$A$1:$K$26,2,FALSE),0)</f>
        <v>0</v>
      </c>
      <c r="H1387" s="11"/>
      <c r="I1387" s="11"/>
      <c r="J1387" s="78"/>
      <c r="K1387" s="78"/>
      <c r="L1387" s="146">
        <f t="shared" si="71"/>
        <v>13126700</v>
      </c>
      <c r="M1387" s="73"/>
      <c r="N1387" s="73"/>
      <c r="O1387" s="73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14.25" customHeight="1" x14ac:dyDescent="0.35">
      <c r="A1388" s="9">
        <f t="shared" si="72"/>
        <v>1380</v>
      </c>
      <c r="B1388" s="15"/>
      <c r="C1388" s="11">
        <f t="shared" si="73"/>
        <v>1</v>
      </c>
      <c r="D1388" s="11"/>
      <c r="E1388" s="11"/>
      <c r="F1388" s="11"/>
      <c r="G1388" s="89">
        <f>IFERROR(VLOOKUP(F1388,COA!$A$1:$K$26,2,FALSE),0)</f>
        <v>0</v>
      </c>
      <c r="H1388" s="11"/>
      <c r="I1388" s="11"/>
      <c r="J1388" s="78"/>
      <c r="K1388" s="78"/>
      <c r="L1388" s="146">
        <f t="shared" si="71"/>
        <v>13126700</v>
      </c>
      <c r="M1388" s="73"/>
      <c r="N1388" s="73"/>
      <c r="O1388" s="73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14.25" customHeight="1" x14ac:dyDescent="0.35">
      <c r="A1389" s="9">
        <f t="shared" si="72"/>
        <v>1381</v>
      </c>
      <c r="B1389" s="15"/>
      <c r="C1389" s="11">
        <f t="shared" si="73"/>
        <v>1</v>
      </c>
      <c r="D1389" s="11"/>
      <c r="E1389" s="11"/>
      <c r="F1389" s="11"/>
      <c r="G1389" s="89">
        <f>IFERROR(VLOOKUP(F1389,COA!$A$1:$K$26,2,FALSE),0)</f>
        <v>0</v>
      </c>
      <c r="H1389" s="11"/>
      <c r="I1389" s="11"/>
      <c r="J1389" s="78"/>
      <c r="K1389" s="78"/>
      <c r="L1389" s="146">
        <f t="shared" si="71"/>
        <v>13126700</v>
      </c>
      <c r="M1389" s="73"/>
      <c r="N1389" s="73"/>
      <c r="O1389" s="73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14.25" customHeight="1" x14ac:dyDescent="0.35">
      <c r="A1390" s="9">
        <f t="shared" si="72"/>
        <v>1382</v>
      </c>
      <c r="B1390" s="15"/>
      <c r="C1390" s="11">
        <f t="shared" si="73"/>
        <v>1</v>
      </c>
      <c r="D1390" s="11"/>
      <c r="E1390" s="11"/>
      <c r="F1390" s="11"/>
      <c r="G1390" s="89">
        <f>IFERROR(VLOOKUP(F1390,COA!$A$1:$K$26,2,FALSE),0)</f>
        <v>0</v>
      </c>
      <c r="H1390" s="11"/>
      <c r="I1390" s="11"/>
      <c r="J1390" s="78"/>
      <c r="K1390" s="78"/>
      <c r="L1390" s="146">
        <f t="shared" si="71"/>
        <v>13126700</v>
      </c>
      <c r="M1390" s="73"/>
      <c r="N1390" s="73"/>
      <c r="O1390" s="73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14.25" customHeight="1" x14ac:dyDescent="0.35">
      <c r="A1391" s="9">
        <f t="shared" si="72"/>
        <v>1383</v>
      </c>
      <c r="B1391" s="15"/>
      <c r="C1391" s="11">
        <f t="shared" si="73"/>
        <v>1</v>
      </c>
      <c r="D1391" s="11"/>
      <c r="E1391" s="11"/>
      <c r="F1391" s="11"/>
      <c r="G1391" s="89">
        <f>IFERROR(VLOOKUP(F1391,COA!$A$1:$K$26,2,FALSE),0)</f>
        <v>0</v>
      </c>
      <c r="H1391" s="11"/>
      <c r="I1391" s="11"/>
      <c r="J1391" s="78"/>
      <c r="K1391" s="78"/>
      <c r="L1391" s="146">
        <f t="shared" si="71"/>
        <v>13126700</v>
      </c>
      <c r="M1391" s="73"/>
      <c r="N1391" s="73"/>
      <c r="O1391" s="73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14.25" customHeight="1" x14ac:dyDescent="0.35">
      <c r="A1392" s="9">
        <f t="shared" si="72"/>
        <v>1384</v>
      </c>
      <c r="B1392" s="15"/>
      <c r="C1392" s="11">
        <f t="shared" si="73"/>
        <v>1</v>
      </c>
      <c r="D1392" s="11"/>
      <c r="E1392" s="11"/>
      <c r="F1392" s="11"/>
      <c r="G1392" s="89">
        <f>IFERROR(VLOOKUP(F1392,COA!$A$1:$K$26,2,FALSE),0)</f>
        <v>0</v>
      </c>
      <c r="H1392" s="11"/>
      <c r="I1392" s="11"/>
      <c r="J1392" s="78"/>
      <c r="K1392" s="78"/>
      <c r="L1392" s="146">
        <f t="shared" si="71"/>
        <v>13126700</v>
      </c>
      <c r="M1392" s="73"/>
      <c r="N1392" s="73"/>
      <c r="O1392" s="73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14.25" customHeight="1" x14ac:dyDescent="0.35">
      <c r="A1393" s="9">
        <f t="shared" si="72"/>
        <v>1385</v>
      </c>
      <c r="B1393" s="15"/>
      <c r="C1393" s="11">
        <f t="shared" si="73"/>
        <v>1</v>
      </c>
      <c r="D1393" s="11"/>
      <c r="E1393" s="11"/>
      <c r="F1393" s="11"/>
      <c r="G1393" s="89">
        <f>IFERROR(VLOOKUP(F1393,COA!$A$1:$K$26,2,FALSE),0)</f>
        <v>0</v>
      </c>
      <c r="H1393" s="11"/>
      <c r="I1393" s="11"/>
      <c r="J1393" s="78"/>
      <c r="K1393" s="78"/>
      <c r="L1393" s="146">
        <f t="shared" si="71"/>
        <v>13126700</v>
      </c>
      <c r="M1393" s="73"/>
      <c r="N1393" s="73"/>
      <c r="O1393" s="73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14.25" customHeight="1" x14ac:dyDescent="0.35">
      <c r="A1394" s="9">
        <f t="shared" si="72"/>
        <v>1386</v>
      </c>
      <c r="B1394" s="15"/>
      <c r="C1394" s="11">
        <f t="shared" si="73"/>
        <v>1</v>
      </c>
      <c r="D1394" s="11"/>
      <c r="E1394" s="11"/>
      <c r="F1394" s="11"/>
      <c r="G1394" s="89">
        <f>IFERROR(VLOOKUP(F1394,COA!$A$1:$K$26,2,FALSE),0)</f>
        <v>0</v>
      </c>
      <c r="H1394" s="11"/>
      <c r="I1394" s="11"/>
      <c r="J1394" s="78"/>
      <c r="K1394" s="78"/>
      <c r="L1394" s="146">
        <f t="shared" si="71"/>
        <v>13126700</v>
      </c>
      <c r="M1394" s="73"/>
      <c r="N1394" s="73"/>
      <c r="O1394" s="73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14.25" customHeight="1" x14ac:dyDescent="0.35">
      <c r="A1395" s="9">
        <f t="shared" si="72"/>
        <v>1387</v>
      </c>
      <c r="B1395" s="15"/>
      <c r="C1395" s="11">
        <f t="shared" si="73"/>
        <v>1</v>
      </c>
      <c r="D1395" s="11"/>
      <c r="E1395" s="11"/>
      <c r="F1395" s="11"/>
      <c r="G1395" s="89">
        <f>IFERROR(VLOOKUP(F1395,COA!$A$1:$K$26,2,FALSE),0)</f>
        <v>0</v>
      </c>
      <c r="H1395" s="11"/>
      <c r="I1395" s="11"/>
      <c r="J1395" s="78"/>
      <c r="K1395" s="78"/>
      <c r="L1395" s="146">
        <f t="shared" si="71"/>
        <v>13126700</v>
      </c>
      <c r="M1395" s="73"/>
      <c r="N1395" s="73"/>
      <c r="O1395" s="73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14.25" customHeight="1" x14ac:dyDescent="0.35">
      <c r="A1396" s="9">
        <f t="shared" si="72"/>
        <v>1388</v>
      </c>
      <c r="B1396" s="15"/>
      <c r="C1396" s="11">
        <f t="shared" si="73"/>
        <v>1</v>
      </c>
      <c r="D1396" s="11"/>
      <c r="E1396" s="11"/>
      <c r="F1396" s="11"/>
      <c r="G1396" s="89">
        <f>IFERROR(VLOOKUP(F1396,COA!$A$1:$K$26,2,FALSE),0)</f>
        <v>0</v>
      </c>
      <c r="H1396" s="11"/>
      <c r="I1396" s="11"/>
      <c r="J1396" s="78"/>
      <c r="K1396" s="78"/>
      <c r="L1396" s="146">
        <f t="shared" si="71"/>
        <v>13126700</v>
      </c>
      <c r="M1396" s="73"/>
      <c r="N1396" s="73"/>
      <c r="O1396" s="73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14.25" customHeight="1" x14ac:dyDescent="0.35">
      <c r="A1397" s="9">
        <f t="shared" si="72"/>
        <v>1389</v>
      </c>
      <c r="B1397" s="15"/>
      <c r="C1397" s="11">
        <f t="shared" si="73"/>
        <v>1</v>
      </c>
      <c r="D1397" s="11"/>
      <c r="E1397" s="11"/>
      <c r="F1397" s="11"/>
      <c r="G1397" s="89">
        <f>IFERROR(VLOOKUP(F1397,COA!$A$1:$K$26,2,FALSE),0)</f>
        <v>0</v>
      </c>
      <c r="H1397" s="11"/>
      <c r="I1397" s="11"/>
      <c r="J1397" s="78"/>
      <c r="K1397" s="78"/>
      <c r="L1397" s="146">
        <f t="shared" si="71"/>
        <v>13126700</v>
      </c>
      <c r="M1397" s="73"/>
      <c r="N1397" s="73"/>
      <c r="O1397" s="73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14.25" customHeight="1" x14ac:dyDescent="0.35">
      <c r="A1398" s="9">
        <f t="shared" si="72"/>
        <v>1390</v>
      </c>
      <c r="B1398" s="15"/>
      <c r="C1398" s="11">
        <f t="shared" si="73"/>
        <v>1</v>
      </c>
      <c r="D1398" s="11"/>
      <c r="E1398" s="11"/>
      <c r="F1398" s="11"/>
      <c r="G1398" s="89">
        <f>IFERROR(VLOOKUP(F1398,COA!$A$1:$K$26,2,FALSE),0)</f>
        <v>0</v>
      </c>
      <c r="H1398" s="11"/>
      <c r="I1398" s="11"/>
      <c r="J1398" s="78"/>
      <c r="K1398" s="78"/>
      <c r="L1398" s="146">
        <f t="shared" si="71"/>
        <v>13126700</v>
      </c>
      <c r="M1398" s="73"/>
      <c r="N1398" s="73"/>
      <c r="O1398" s="73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14.25" customHeight="1" x14ac:dyDescent="0.35">
      <c r="A1399" s="9">
        <f t="shared" si="72"/>
        <v>1391</v>
      </c>
      <c r="B1399" s="15"/>
      <c r="C1399" s="11">
        <f t="shared" si="73"/>
        <v>1</v>
      </c>
      <c r="D1399" s="11"/>
      <c r="E1399" s="11"/>
      <c r="F1399" s="11"/>
      <c r="G1399" s="89">
        <f>IFERROR(VLOOKUP(F1399,COA!$A$1:$K$26,2,FALSE),0)</f>
        <v>0</v>
      </c>
      <c r="H1399" s="11"/>
      <c r="I1399" s="11"/>
      <c r="J1399" s="78"/>
      <c r="K1399" s="78"/>
      <c r="L1399" s="146">
        <f t="shared" si="71"/>
        <v>13126700</v>
      </c>
      <c r="M1399" s="73"/>
      <c r="N1399" s="73"/>
      <c r="O1399" s="73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14.25" customHeight="1" x14ac:dyDescent="0.35">
      <c r="A1400" s="9">
        <f t="shared" si="72"/>
        <v>1392</v>
      </c>
      <c r="B1400" s="15"/>
      <c r="C1400" s="11">
        <f t="shared" si="73"/>
        <v>1</v>
      </c>
      <c r="D1400" s="11"/>
      <c r="E1400" s="11"/>
      <c r="F1400" s="11"/>
      <c r="G1400" s="89">
        <f>IFERROR(VLOOKUP(F1400,COA!$A$1:$K$26,2,FALSE),0)</f>
        <v>0</v>
      </c>
      <c r="H1400" s="11"/>
      <c r="I1400" s="11"/>
      <c r="J1400" s="78"/>
      <c r="K1400" s="78"/>
      <c r="L1400" s="146">
        <f t="shared" si="71"/>
        <v>13126700</v>
      </c>
      <c r="M1400" s="73"/>
      <c r="N1400" s="73"/>
      <c r="O1400" s="73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14.25" customHeight="1" x14ac:dyDescent="0.35">
      <c r="A1401" s="9">
        <f t="shared" si="72"/>
        <v>1393</v>
      </c>
      <c r="B1401" s="15"/>
      <c r="C1401" s="11">
        <f t="shared" si="73"/>
        <v>1</v>
      </c>
      <c r="D1401" s="11"/>
      <c r="E1401" s="11"/>
      <c r="F1401" s="11"/>
      <c r="G1401" s="89">
        <f>IFERROR(VLOOKUP(F1401,COA!$A$1:$K$26,2,FALSE),0)</f>
        <v>0</v>
      </c>
      <c r="H1401" s="11"/>
      <c r="I1401" s="11"/>
      <c r="J1401" s="78"/>
      <c r="K1401" s="78"/>
      <c r="L1401" s="146">
        <f t="shared" si="71"/>
        <v>13126700</v>
      </c>
      <c r="M1401" s="73"/>
      <c r="N1401" s="73"/>
      <c r="O1401" s="73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14.25" customHeight="1" x14ac:dyDescent="0.35">
      <c r="A1402" s="9">
        <f t="shared" si="72"/>
        <v>1394</v>
      </c>
      <c r="B1402" s="15"/>
      <c r="C1402" s="11">
        <f t="shared" si="73"/>
        <v>1</v>
      </c>
      <c r="D1402" s="11"/>
      <c r="E1402" s="11"/>
      <c r="F1402" s="11"/>
      <c r="G1402" s="89">
        <f>IFERROR(VLOOKUP(F1402,COA!$A$1:$K$26,2,FALSE),0)</f>
        <v>0</v>
      </c>
      <c r="H1402" s="11"/>
      <c r="I1402" s="11"/>
      <c r="J1402" s="78"/>
      <c r="K1402" s="78"/>
      <c r="L1402" s="146">
        <f t="shared" si="71"/>
        <v>13126700</v>
      </c>
      <c r="M1402" s="73"/>
      <c r="N1402" s="73"/>
      <c r="O1402" s="73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14.25" customHeight="1" x14ac:dyDescent="0.35">
      <c r="A1403" s="9">
        <f t="shared" si="72"/>
        <v>1395</v>
      </c>
      <c r="B1403" s="15"/>
      <c r="C1403" s="11">
        <f t="shared" si="73"/>
        <v>1</v>
      </c>
      <c r="D1403" s="11"/>
      <c r="E1403" s="11"/>
      <c r="F1403" s="11"/>
      <c r="G1403" s="89">
        <f>IFERROR(VLOOKUP(F1403,COA!$A$1:$K$26,2,FALSE),0)</f>
        <v>0</v>
      </c>
      <c r="H1403" s="11"/>
      <c r="I1403" s="11"/>
      <c r="J1403" s="78"/>
      <c r="K1403" s="78"/>
      <c r="L1403" s="146">
        <f t="shared" si="71"/>
        <v>13126700</v>
      </c>
      <c r="M1403" s="73"/>
      <c r="N1403" s="73"/>
      <c r="O1403" s="73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14.25" customHeight="1" x14ac:dyDescent="0.35">
      <c r="A1404" s="9">
        <f t="shared" si="72"/>
        <v>1396</v>
      </c>
      <c r="B1404" s="15"/>
      <c r="C1404" s="11">
        <f t="shared" si="73"/>
        <v>1</v>
      </c>
      <c r="D1404" s="11"/>
      <c r="E1404" s="11"/>
      <c r="F1404" s="11"/>
      <c r="G1404" s="89">
        <f>IFERROR(VLOOKUP(F1404,COA!$A$1:$K$26,2,FALSE),0)</f>
        <v>0</v>
      </c>
      <c r="H1404" s="11"/>
      <c r="I1404" s="11"/>
      <c r="J1404" s="78"/>
      <c r="K1404" s="78"/>
      <c r="L1404" s="146">
        <f t="shared" si="71"/>
        <v>13126700</v>
      </c>
      <c r="M1404" s="73"/>
      <c r="N1404" s="73"/>
      <c r="O1404" s="73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14.25" customHeight="1" x14ac:dyDescent="0.35">
      <c r="A1405" s="9">
        <f t="shared" si="72"/>
        <v>1397</v>
      </c>
      <c r="B1405" s="15"/>
      <c r="C1405" s="11">
        <f t="shared" si="73"/>
        <v>1</v>
      </c>
      <c r="D1405" s="11"/>
      <c r="E1405" s="11"/>
      <c r="F1405" s="11"/>
      <c r="G1405" s="89">
        <f>IFERROR(VLOOKUP(F1405,COA!$A$1:$K$26,2,FALSE),0)</f>
        <v>0</v>
      </c>
      <c r="H1405" s="11"/>
      <c r="I1405" s="11"/>
      <c r="J1405" s="78"/>
      <c r="K1405" s="78"/>
      <c r="L1405" s="146">
        <f t="shared" si="71"/>
        <v>13126700</v>
      </c>
      <c r="M1405" s="73"/>
      <c r="N1405" s="73"/>
      <c r="O1405" s="73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14.25" customHeight="1" x14ac:dyDescent="0.35">
      <c r="A1406" s="9">
        <f t="shared" si="72"/>
        <v>1398</v>
      </c>
      <c r="B1406" s="15"/>
      <c r="C1406" s="11">
        <f t="shared" si="73"/>
        <v>1</v>
      </c>
      <c r="D1406" s="11"/>
      <c r="E1406" s="11"/>
      <c r="F1406" s="11"/>
      <c r="G1406" s="89">
        <f>IFERROR(VLOOKUP(F1406,COA!$A$1:$K$26,2,FALSE),0)</f>
        <v>0</v>
      </c>
      <c r="H1406" s="11"/>
      <c r="I1406" s="11"/>
      <c r="J1406" s="78"/>
      <c r="K1406" s="78"/>
      <c r="L1406" s="146">
        <f t="shared" si="71"/>
        <v>13126700</v>
      </c>
      <c r="M1406" s="73"/>
      <c r="N1406" s="73"/>
      <c r="O1406" s="73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14.25" customHeight="1" x14ac:dyDescent="0.35">
      <c r="A1407" s="9">
        <f t="shared" si="72"/>
        <v>1399</v>
      </c>
      <c r="B1407" s="15"/>
      <c r="C1407" s="11">
        <f t="shared" si="73"/>
        <v>1</v>
      </c>
      <c r="D1407" s="11"/>
      <c r="E1407" s="11"/>
      <c r="F1407" s="11"/>
      <c r="G1407" s="89">
        <f>IFERROR(VLOOKUP(F1407,COA!$A$1:$K$26,2,FALSE),0)</f>
        <v>0</v>
      </c>
      <c r="H1407" s="11"/>
      <c r="I1407" s="11"/>
      <c r="J1407" s="78"/>
      <c r="K1407" s="78"/>
      <c r="L1407" s="146">
        <f t="shared" si="71"/>
        <v>13126700</v>
      </c>
      <c r="M1407" s="73"/>
      <c r="N1407" s="73"/>
      <c r="O1407" s="73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14.25" customHeight="1" x14ac:dyDescent="0.35">
      <c r="A1408" s="9">
        <f t="shared" si="72"/>
        <v>1400</v>
      </c>
      <c r="B1408" s="15"/>
      <c r="C1408" s="11">
        <f t="shared" si="73"/>
        <v>1</v>
      </c>
      <c r="D1408" s="11"/>
      <c r="E1408" s="11"/>
      <c r="F1408" s="11"/>
      <c r="G1408" s="89">
        <f>IFERROR(VLOOKUP(F1408,COA!$A$1:$K$26,2,FALSE),0)</f>
        <v>0</v>
      </c>
      <c r="H1408" s="11"/>
      <c r="I1408" s="11"/>
      <c r="J1408" s="78"/>
      <c r="K1408" s="78"/>
      <c r="L1408" s="146">
        <f t="shared" si="71"/>
        <v>13126700</v>
      </c>
      <c r="M1408" s="73"/>
      <c r="N1408" s="73"/>
      <c r="O1408" s="73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14.25" customHeight="1" x14ac:dyDescent="0.35">
      <c r="A1409" s="9">
        <f t="shared" si="72"/>
        <v>1401</v>
      </c>
      <c r="B1409" s="15"/>
      <c r="C1409" s="11">
        <f t="shared" si="73"/>
        <v>1</v>
      </c>
      <c r="D1409" s="11"/>
      <c r="E1409" s="11"/>
      <c r="F1409" s="11"/>
      <c r="G1409" s="89">
        <f>IFERROR(VLOOKUP(F1409,COA!$A$1:$K$26,2,FALSE),0)</f>
        <v>0</v>
      </c>
      <c r="H1409" s="11"/>
      <c r="I1409" s="11"/>
      <c r="J1409" s="78"/>
      <c r="K1409" s="78"/>
      <c r="L1409" s="146">
        <f t="shared" si="71"/>
        <v>13126700</v>
      </c>
      <c r="M1409" s="73"/>
      <c r="N1409" s="73"/>
      <c r="O1409" s="73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14.25" customHeight="1" x14ac:dyDescent="0.35">
      <c r="A1410" s="9">
        <f t="shared" si="72"/>
        <v>1402</v>
      </c>
      <c r="B1410" s="15"/>
      <c r="C1410" s="11">
        <f t="shared" si="73"/>
        <v>1</v>
      </c>
      <c r="D1410" s="11"/>
      <c r="E1410" s="11"/>
      <c r="F1410" s="11"/>
      <c r="G1410" s="89">
        <f>IFERROR(VLOOKUP(F1410,COA!$A$1:$K$26,2,FALSE),0)</f>
        <v>0</v>
      </c>
      <c r="H1410" s="11"/>
      <c r="I1410" s="11"/>
      <c r="J1410" s="78"/>
      <c r="K1410" s="78"/>
      <c r="L1410" s="146">
        <f t="shared" si="71"/>
        <v>13126700</v>
      </c>
      <c r="M1410" s="73"/>
      <c r="N1410" s="73"/>
      <c r="O1410" s="73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14.25" customHeight="1" x14ac:dyDescent="0.35">
      <c r="A1411" s="9">
        <f t="shared" si="72"/>
        <v>1403</v>
      </c>
      <c r="B1411" s="15"/>
      <c r="C1411" s="11">
        <f t="shared" si="73"/>
        <v>1</v>
      </c>
      <c r="D1411" s="11"/>
      <c r="E1411" s="11"/>
      <c r="F1411" s="11"/>
      <c r="G1411" s="89">
        <f>IFERROR(VLOOKUP(F1411,COA!$A$1:$K$26,2,FALSE),0)</f>
        <v>0</v>
      </c>
      <c r="H1411" s="11"/>
      <c r="I1411" s="11"/>
      <c r="J1411" s="78"/>
      <c r="K1411" s="78"/>
      <c r="L1411" s="146">
        <f t="shared" si="71"/>
        <v>13126700</v>
      </c>
      <c r="M1411" s="73"/>
      <c r="N1411" s="73"/>
      <c r="O1411" s="73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14.25" customHeight="1" x14ac:dyDescent="0.35">
      <c r="A1412" s="9">
        <f t="shared" si="72"/>
        <v>1404</v>
      </c>
      <c r="B1412" s="15"/>
      <c r="C1412" s="11">
        <f t="shared" si="73"/>
        <v>1</v>
      </c>
      <c r="D1412" s="11"/>
      <c r="E1412" s="11"/>
      <c r="F1412" s="11"/>
      <c r="G1412" s="89">
        <f>IFERROR(VLOOKUP(F1412,COA!$A$1:$K$26,2,FALSE),0)</f>
        <v>0</v>
      </c>
      <c r="H1412" s="11"/>
      <c r="I1412" s="11"/>
      <c r="J1412" s="78"/>
      <c r="K1412" s="78"/>
      <c r="L1412" s="146">
        <f t="shared" si="71"/>
        <v>13126700</v>
      </c>
      <c r="M1412" s="73"/>
      <c r="N1412" s="73"/>
      <c r="O1412" s="73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14.25" customHeight="1" x14ac:dyDescent="0.35">
      <c r="A1413" s="9">
        <f t="shared" si="72"/>
        <v>1405</v>
      </c>
      <c r="B1413" s="15"/>
      <c r="C1413" s="11">
        <f t="shared" si="73"/>
        <v>1</v>
      </c>
      <c r="D1413" s="11"/>
      <c r="E1413" s="11"/>
      <c r="F1413" s="11"/>
      <c r="G1413" s="89">
        <f>IFERROR(VLOOKUP(F1413,COA!$A$1:$K$26,2,FALSE),0)</f>
        <v>0</v>
      </c>
      <c r="H1413" s="11"/>
      <c r="I1413" s="11"/>
      <c r="J1413" s="78"/>
      <c r="K1413" s="78"/>
      <c r="L1413" s="146">
        <f t="shared" si="71"/>
        <v>13126700</v>
      </c>
      <c r="M1413" s="73"/>
      <c r="N1413" s="73"/>
      <c r="O1413" s="73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14.25" customHeight="1" x14ac:dyDescent="0.35">
      <c r="A1414" s="9">
        <f t="shared" si="72"/>
        <v>1406</v>
      </c>
      <c r="B1414" s="15"/>
      <c r="C1414" s="11">
        <f t="shared" si="73"/>
        <v>1</v>
      </c>
      <c r="D1414" s="11"/>
      <c r="E1414" s="11"/>
      <c r="F1414" s="11"/>
      <c r="G1414" s="89">
        <f>IFERROR(VLOOKUP(F1414,COA!$A$1:$K$26,2,FALSE),0)</f>
        <v>0</v>
      </c>
      <c r="H1414" s="11"/>
      <c r="I1414" s="11"/>
      <c r="J1414" s="78"/>
      <c r="K1414" s="78"/>
      <c r="L1414" s="146">
        <f t="shared" si="71"/>
        <v>13126700</v>
      </c>
      <c r="M1414" s="73"/>
      <c r="N1414" s="73"/>
      <c r="O1414" s="73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14.25" customHeight="1" x14ac:dyDescent="0.35">
      <c r="A1415" s="9">
        <f t="shared" si="72"/>
        <v>1407</v>
      </c>
      <c r="B1415" s="15"/>
      <c r="C1415" s="11">
        <f t="shared" si="73"/>
        <v>1</v>
      </c>
      <c r="D1415" s="11"/>
      <c r="E1415" s="11"/>
      <c r="F1415" s="11"/>
      <c r="G1415" s="89">
        <f>IFERROR(VLOOKUP(F1415,COA!$A$1:$K$26,2,FALSE),0)</f>
        <v>0</v>
      </c>
      <c r="H1415" s="11"/>
      <c r="I1415" s="11"/>
      <c r="J1415" s="78"/>
      <c r="K1415" s="78"/>
      <c r="L1415" s="146">
        <f t="shared" si="71"/>
        <v>13126700</v>
      </c>
      <c r="M1415" s="73"/>
      <c r="N1415" s="73"/>
      <c r="O1415" s="73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14.25" customHeight="1" x14ac:dyDescent="0.35">
      <c r="A1416" s="9">
        <f t="shared" si="72"/>
        <v>1408</v>
      </c>
      <c r="B1416" s="15"/>
      <c r="C1416" s="11">
        <f t="shared" si="73"/>
        <v>1</v>
      </c>
      <c r="D1416" s="11"/>
      <c r="E1416" s="11"/>
      <c r="F1416" s="11"/>
      <c r="G1416" s="89">
        <f>IFERROR(VLOOKUP(F1416,COA!$A$1:$K$26,2,FALSE),0)</f>
        <v>0</v>
      </c>
      <c r="H1416" s="11"/>
      <c r="I1416" s="11"/>
      <c r="J1416" s="78"/>
      <c r="K1416" s="78"/>
      <c r="L1416" s="146">
        <f t="shared" si="71"/>
        <v>13126700</v>
      </c>
      <c r="M1416" s="73"/>
      <c r="N1416" s="73"/>
      <c r="O1416" s="73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14.25" customHeight="1" x14ac:dyDescent="0.35">
      <c r="A1417" s="9">
        <f t="shared" si="72"/>
        <v>1409</v>
      </c>
      <c r="B1417" s="15"/>
      <c r="C1417" s="11">
        <f t="shared" si="73"/>
        <v>1</v>
      </c>
      <c r="D1417" s="11"/>
      <c r="E1417" s="11"/>
      <c r="F1417" s="11"/>
      <c r="G1417" s="89">
        <f>IFERROR(VLOOKUP(F1417,COA!$A$1:$K$26,2,FALSE),0)</f>
        <v>0</v>
      </c>
      <c r="H1417" s="11"/>
      <c r="I1417" s="11"/>
      <c r="J1417" s="78"/>
      <c r="K1417" s="78"/>
      <c r="L1417" s="146">
        <f t="shared" si="71"/>
        <v>13126700</v>
      </c>
      <c r="M1417" s="73"/>
      <c r="N1417" s="73"/>
      <c r="O1417" s="73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14.25" customHeight="1" x14ac:dyDescent="0.35">
      <c r="A1418" s="9">
        <f t="shared" si="72"/>
        <v>1410</v>
      </c>
      <c r="B1418" s="15"/>
      <c r="C1418" s="11">
        <f t="shared" si="73"/>
        <v>1</v>
      </c>
      <c r="D1418" s="11"/>
      <c r="E1418" s="11"/>
      <c r="F1418" s="11"/>
      <c r="G1418" s="89">
        <f>IFERROR(VLOOKUP(F1418,COA!$A$1:$K$26,2,FALSE),0)</f>
        <v>0</v>
      </c>
      <c r="H1418" s="11"/>
      <c r="I1418" s="11"/>
      <c r="J1418" s="78"/>
      <c r="K1418" s="78"/>
      <c r="L1418" s="146">
        <f t="shared" si="71"/>
        <v>13126700</v>
      </c>
      <c r="M1418" s="73"/>
      <c r="N1418" s="73"/>
      <c r="O1418" s="73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14.25" customHeight="1" x14ac:dyDescent="0.35">
      <c r="A1419" s="9">
        <f t="shared" si="72"/>
        <v>1411</v>
      </c>
      <c r="B1419" s="15"/>
      <c r="C1419" s="11">
        <f t="shared" si="73"/>
        <v>1</v>
      </c>
      <c r="D1419" s="11"/>
      <c r="E1419" s="11"/>
      <c r="F1419" s="11"/>
      <c r="G1419" s="89">
        <f>IFERROR(VLOOKUP(F1419,COA!$A$1:$K$26,2,FALSE),0)</f>
        <v>0</v>
      </c>
      <c r="H1419" s="11"/>
      <c r="I1419" s="11"/>
      <c r="J1419" s="78"/>
      <c r="K1419" s="78"/>
      <c r="L1419" s="146">
        <f t="shared" si="71"/>
        <v>13126700</v>
      </c>
      <c r="M1419" s="73"/>
      <c r="N1419" s="73"/>
      <c r="O1419" s="73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14.25" customHeight="1" x14ac:dyDescent="0.35">
      <c r="A1420" s="9">
        <f t="shared" si="72"/>
        <v>1412</v>
      </c>
      <c r="B1420" s="15"/>
      <c r="C1420" s="11">
        <f t="shared" si="73"/>
        <v>1</v>
      </c>
      <c r="D1420" s="11"/>
      <c r="E1420" s="11"/>
      <c r="F1420" s="11"/>
      <c r="G1420" s="89">
        <f>IFERROR(VLOOKUP(F1420,COA!$A$1:$K$26,2,FALSE),0)</f>
        <v>0</v>
      </c>
      <c r="H1420" s="11"/>
      <c r="I1420" s="11"/>
      <c r="J1420" s="78"/>
      <c r="K1420" s="78"/>
      <c r="L1420" s="146">
        <f t="shared" si="71"/>
        <v>13126700</v>
      </c>
      <c r="M1420" s="73"/>
      <c r="N1420" s="73"/>
      <c r="O1420" s="73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14.25" customHeight="1" x14ac:dyDescent="0.35">
      <c r="A1421" s="9">
        <f t="shared" si="72"/>
        <v>1413</v>
      </c>
      <c r="B1421" s="15"/>
      <c r="C1421" s="11">
        <f t="shared" si="73"/>
        <v>1</v>
      </c>
      <c r="D1421" s="11"/>
      <c r="E1421" s="11"/>
      <c r="F1421" s="11"/>
      <c r="G1421" s="89">
        <f>IFERROR(VLOOKUP(F1421,COA!$A$1:$K$26,2,FALSE),0)</f>
        <v>0</v>
      </c>
      <c r="H1421" s="11"/>
      <c r="I1421" s="11"/>
      <c r="J1421" s="78"/>
      <c r="K1421" s="78"/>
      <c r="L1421" s="146">
        <f t="shared" si="71"/>
        <v>13126700</v>
      </c>
      <c r="M1421" s="73"/>
      <c r="N1421" s="73"/>
      <c r="O1421" s="73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14.25" customHeight="1" x14ac:dyDescent="0.35">
      <c r="A1422" s="9">
        <f t="shared" si="72"/>
        <v>1414</v>
      </c>
      <c r="B1422" s="15"/>
      <c r="C1422" s="11">
        <f t="shared" si="73"/>
        <v>1</v>
      </c>
      <c r="D1422" s="11"/>
      <c r="E1422" s="11"/>
      <c r="F1422" s="11"/>
      <c r="G1422" s="89">
        <f>IFERROR(VLOOKUP(F1422,COA!$A$1:$K$26,2,FALSE),0)</f>
        <v>0</v>
      </c>
      <c r="H1422" s="11"/>
      <c r="I1422" s="11"/>
      <c r="J1422" s="78"/>
      <c r="K1422" s="78"/>
      <c r="L1422" s="146">
        <f t="shared" si="71"/>
        <v>13126700</v>
      </c>
      <c r="M1422" s="73"/>
      <c r="N1422" s="73"/>
      <c r="O1422" s="73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14.25" customHeight="1" x14ac:dyDescent="0.35">
      <c r="A1423" s="9">
        <f t="shared" si="72"/>
        <v>1415</v>
      </c>
      <c r="B1423" s="15"/>
      <c r="C1423" s="11">
        <f t="shared" si="73"/>
        <v>1</v>
      </c>
      <c r="D1423" s="11"/>
      <c r="E1423" s="11"/>
      <c r="F1423" s="11"/>
      <c r="G1423" s="89">
        <f>IFERROR(VLOOKUP(F1423,COA!$A$1:$K$26,2,FALSE),0)</f>
        <v>0</v>
      </c>
      <c r="H1423" s="11"/>
      <c r="I1423" s="11"/>
      <c r="J1423" s="78"/>
      <c r="K1423" s="78"/>
      <c r="L1423" s="146">
        <f t="shared" si="71"/>
        <v>13126700</v>
      </c>
      <c r="M1423" s="73"/>
      <c r="N1423" s="73"/>
      <c r="O1423" s="73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14.25" customHeight="1" x14ac:dyDescent="0.35">
      <c r="A1424" s="9">
        <f t="shared" si="72"/>
        <v>1416</v>
      </c>
      <c r="B1424" s="15"/>
      <c r="C1424" s="11">
        <f t="shared" si="73"/>
        <v>1</v>
      </c>
      <c r="D1424" s="11"/>
      <c r="E1424" s="11"/>
      <c r="F1424" s="11"/>
      <c r="G1424" s="89">
        <f>IFERROR(VLOOKUP(F1424,COA!$A$1:$K$26,2,FALSE),0)</f>
        <v>0</v>
      </c>
      <c r="H1424" s="11"/>
      <c r="I1424" s="11"/>
      <c r="J1424" s="78"/>
      <c r="K1424" s="78"/>
      <c r="L1424" s="146">
        <f t="shared" ref="L1424:L1487" si="74">L1423+J1424-K1424</f>
        <v>13126700</v>
      </c>
      <c r="M1424" s="73"/>
      <c r="N1424" s="73"/>
      <c r="O1424" s="73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14.25" customHeight="1" x14ac:dyDescent="0.35">
      <c r="A1425" s="9">
        <f t="shared" si="72"/>
        <v>1417</v>
      </c>
      <c r="B1425" s="15"/>
      <c r="C1425" s="11">
        <f t="shared" si="73"/>
        <v>1</v>
      </c>
      <c r="D1425" s="11"/>
      <c r="E1425" s="11"/>
      <c r="F1425" s="11"/>
      <c r="G1425" s="89">
        <f>IFERROR(VLOOKUP(F1425,COA!$A$1:$K$26,2,FALSE),0)</f>
        <v>0</v>
      </c>
      <c r="H1425" s="11"/>
      <c r="I1425" s="11"/>
      <c r="J1425" s="78"/>
      <c r="K1425" s="78"/>
      <c r="L1425" s="146">
        <f t="shared" si="74"/>
        <v>13126700</v>
      </c>
      <c r="M1425" s="73"/>
      <c r="N1425" s="73"/>
      <c r="O1425" s="73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14.25" customHeight="1" x14ac:dyDescent="0.35">
      <c r="A1426" s="9">
        <f t="shared" ref="A1426:A1489" si="75">A1425+1</f>
        <v>1418</v>
      </c>
      <c r="B1426" s="15"/>
      <c r="C1426" s="11">
        <f t="shared" si="73"/>
        <v>1</v>
      </c>
      <c r="D1426" s="11"/>
      <c r="E1426" s="11"/>
      <c r="F1426" s="11"/>
      <c r="G1426" s="89">
        <f>IFERROR(VLOOKUP(F1426,COA!$A$1:$K$26,2,FALSE),0)</f>
        <v>0</v>
      </c>
      <c r="H1426" s="11"/>
      <c r="I1426" s="11"/>
      <c r="J1426" s="78"/>
      <c r="K1426" s="78"/>
      <c r="L1426" s="146">
        <f t="shared" si="74"/>
        <v>13126700</v>
      </c>
      <c r="M1426" s="73"/>
      <c r="N1426" s="73"/>
      <c r="O1426" s="73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14.25" customHeight="1" x14ac:dyDescent="0.35">
      <c r="A1427" s="9">
        <f t="shared" si="75"/>
        <v>1419</v>
      </c>
      <c r="B1427" s="15"/>
      <c r="C1427" s="11">
        <f t="shared" si="73"/>
        <v>1</v>
      </c>
      <c r="D1427" s="11"/>
      <c r="E1427" s="11"/>
      <c r="F1427" s="11"/>
      <c r="G1427" s="89">
        <f>IFERROR(VLOOKUP(F1427,COA!$A$1:$K$26,2,FALSE),0)</f>
        <v>0</v>
      </c>
      <c r="H1427" s="11"/>
      <c r="I1427" s="11"/>
      <c r="J1427" s="78"/>
      <c r="K1427" s="78"/>
      <c r="L1427" s="146">
        <f t="shared" si="74"/>
        <v>13126700</v>
      </c>
      <c r="M1427" s="73"/>
      <c r="N1427" s="73"/>
      <c r="O1427" s="73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14.25" customHeight="1" x14ac:dyDescent="0.35">
      <c r="A1428" s="9">
        <f t="shared" si="75"/>
        <v>1420</v>
      </c>
      <c r="B1428" s="15"/>
      <c r="C1428" s="11">
        <f t="shared" si="73"/>
        <v>1</v>
      </c>
      <c r="D1428" s="11"/>
      <c r="E1428" s="11"/>
      <c r="F1428" s="11"/>
      <c r="G1428" s="89">
        <f>IFERROR(VLOOKUP(F1428,COA!$A$1:$K$26,2,FALSE),0)</f>
        <v>0</v>
      </c>
      <c r="H1428" s="11"/>
      <c r="I1428" s="11"/>
      <c r="J1428" s="78"/>
      <c r="K1428" s="78"/>
      <c r="L1428" s="146">
        <f t="shared" si="74"/>
        <v>13126700</v>
      </c>
      <c r="M1428" s="73"/>
      <c r="N1428" s="73"/>
      <c r="O1428" s="73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14.25" customHeight="1" x14ac:dyDescent="0.35">
      <c r="A1429" s="9">
        <f t="shared" si="75"/>
        <v>1421</v>
      </c>
      <c r="B1429" s="15"/>
      <c r="C1429" s="11">
        <f t="shared" si="73"/>
        <v>1</v>
      </c>
      <c r="D1429" s="11"/>
      <c r="E1429" s="11"/>
      <c r="F1429" s="11"/>
      <c r="G1429" s="89">
        <f>IFERROR(VLOOKUP(F1429,COA!$A$1:$K$26,2,FALSE),0)</f>
        <v>0</v>
      </c>
      <c r="H1429" s="11"/>
      <c r="I1429" s="11"/>
      <c r="J1429" s="78"/>
      <c r="K1429" s="78"/>
      <c r="L1429" s="146">
        <f t="shared" si="74"/>
        <v>13126700</v>
      </c>
      <c r="M1429" s="73"/>
      <c r="N1429" s="73"/>
      <c r="O1429" s="73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14.25" customHeight="1" x14ac:dyDescent="0.35">
      <c r="A1430" s="9">
        <f t="shared" si="75"/>
        <v>1422</v>
      </c>
      <c r="B1430" s="15"/>
      <c r="C1430" s="11">
        <f t="shared" si="73"/>
        <v>1</v>
      </c>
      <c r="D1430" s="11"/>
      <c r="E1430" s="11"/>
      <c r="F1430" s="11"/>
      <c r="G1430" s="89">
        <f>IFERROR(VLOOKUP(F1430,COA!$A$1:$K$26,2,FALSE),0)</f>
        <v>0</v>
      </c>
      <c r="H1430" s="11"/>
      <c r="I1430" s="11"/>
      <c r="J1430" s="78"/>
      <c r="K1430" s="78"/>
      <c r="L1430" s="146">
        <f t="shared" si="74"/>
        <v>13126700</v>
      </c>
      <c r="M1430" s="73"/>
      <c r="N1430" s="73"/>
      <c r="O1430" s="73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14.25" customHeight="1" x14ac:dyDescent="0.35">
      <c r="A1431" s="9">
        <f t="shared" si="75"/>
        <v>1423</v>
      </c>
      <c r="B1431" s="15"/>
      <c r="C1431" s="11">
        <f t="shared" si="73"/>
        <v>1</v>
      </c>
      <c r="D1431" s="11"/>
      <c r="E1431" s="11"/>
      <c r="F1431" s="11"/>
      <c r="G1431" s="89">
        <f>IFERROR(VLOOKUP(F1431,COA!$A$1:$K$26,2,FALSE),0)</f>
        <v>0</v>
      </c>
      <c r="H1431" s="11"/>
      <c r="I1431" s="11"/>
      <c r="J1431" s="78"/>
      <c r="K1431" s="78"/>
      <c r="L1431" s="146">
        <f t="shared" si="74"/>
        <v>13126700</v>
      </c>
      <c r="M1431" s="73"/>
      <c r="N1431" s="73"/>
      <c r="O1431" s="73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14.25" customHeight="1" x14ac:dyDescent="0.35">
      <c r="A1432" s="9">
        <f t="shared" si="75"/>
        <v>1424</v>
      </c>
      <c r="B1432" s="15"/>
      <c r="C1432" s="11">
        <f t="shared" si="73"/>
        <v>1</v>
      </c>
      <c r="D1432" s="11"/>
      <c r="E1432" s="11"/>
      <c r="F1432" s="11"/>
      <c r="G1432" s="89">
        <f>IFERROR(VLOOKUP(F1432,COA!$A$1:$K$26,2,FALSE),0)</f>
        <v>0</v>
      </c>
      <c r="H1432" s="11"/>
      <c r="I1432" s="11"/>
      <c r="J1432" s="78"/>
      <c r="K1432" s="78"/>
      <c r="L1432" s="146">
        <f t="shared" si="74"/>
        <v>13126700</v>
      </c>
      <c r="M1432" s="73"/>
      <c r="N1432" s="73"/>
      <c r="O1432" s="73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14.25" customHeight="1" x14ac:dyDescent="0.35">
      <c r="A1433" s="9">
        <f t="shared" si="75"/>
        <v>1425</v>
      </c>
      <c r="B1433" s="15"/>
      <c r="C1433" s="11">
        <f t="shared" si="73"/>
        <v>1</v>
      </c>
      <c r="D1433" s="11"/>
      <c r="E1433" s="11"/>
      <c r="F1433" s="11"/>
      <c r="G1433" s="89">
        <f>IFERROR(VLOOKUP(F1433,COA!$A$1:$K$26,2,FALSE),0)</f>
        <v>0</v>
      </c>
      <c r="H1433" s="11"/>
      <c r="I1433" s="11"/>
      <c r="J1433" s="78"/>
      <c r="K1433" s="78"/>
      <c r="L1433" s="146">
        <f t="shared" si="74"/>
        <v>13126700</v>
      </c>
      <c r="M1433" s="73"/>
      <c r="N1433" s="73"/>
      <c r="O1433" s="73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14.25" customHeight="1" x14ac:dyDescent="0.35">
      <c r="A1434" s="9">
        <f t="shared" si="75"/>
        <v>1426</v>
      </c>
      <c r="B1434" s="15"/>
      <c r="C1434" s="11">
        <f t="shared" si="73"/>
        <v>1</v>
      </c>
      <c r="D1434" s="11"/>
      <c r="E1434" s="11"/>
      <c r="F1434" s="11"/>
      <c r="G1434" s="89">
        <f>IFERROR(VLOOKUP(F1434,COA!$A$1:$K$26,2,FALSE),0)</f>
        <v>0</v>
      </c>
      <c r="H1434" s="11"/>
      <c r="I1434" s="11"/>
      <c r="J1434" s="78"/>
      <c r="K1434" s="78"/>
      <c r="L1434" s="146">
        <f t="shared" si="74"/>
        <v>13126700</v>
      </c>
      <c r="M1434" s="73"/>
      <c r="N1434" s="73"/>
      <c r="O1434" s="73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14.25" customHeight="1" x14ac:dyDescent="0.35">
      <c r="A1435" s="9">
        <f t="shared" si="75"/>
        <v>1427</v>
      </c>
      <c r="B1435" s="15"/>
      <c r="C1435" s="11">
        <f t="shared" si="73"/>
        <v>1</v>
      </c>
      <c r="D1435" s="11"/>
      <c r="E1435" s="11"/>
      <c r="F1435" s="11"/>
      <c r="G1435" s="89">
        <f>IFERROR(VLOOKUP(F1435,COA!$A$1:$K$26,2,FALSE),0)</f>
        <v>0</v>
      </c>
      <c r="H1435" s="11"/>
      <c r="I1435" s="11"/>
      <c r="J1435" s="78"/>
      <c r="K1435" s="78"/>
      <c r="L1435" s="146">
        <f t="shared" si="74"/>
        <v>13126700</v>
      </c>
      <c r="M1435" s="73"/>
      <c r="N1435" s="73"/>
      <c r="O1435" s="73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14.25" customHeight="1" x14ac:dyDescent="0.35">
      <c r="A1436" s="9">
        <f t="shared" si="75"/>
        <v>1428</v>
      </c>
      <c r="B1436" s="15"/>
      <c r="C1436" s="11">
        <f t="shared" si="73"/>
        <v>1</v>
      </c>
      <c r="D1436" s="11"/>
      <c r="E1436" s="11"/>
      <c r="F1436" s="11"/>
      <c r="G1436" s="89">
        <f>IFERROR(VLOOKUP(F1436,COA!$A$1:$K$26,2,FALSE),0)</f>
        <v>0</v>
      </c>
      <c r="H1436" s="11"/>
      <c r="I1436" s="11"/>
      <c r="J1436" s="78"/>
      <c r="K1436" s="78"/>
      <c r="L1436" s="146">
        <f t="shared" si="74"/>
        <v>13126700</v>
      </c>
      <c r="M1436" s="73"/>
      <c r="N1436" s="73"/>
      <c r="O1436" s="73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14.25" customHeight="1" x14ac:dyDescent="0.35">
      <c r="A1437" s="9">
        <f t="shared" si="75"/>
        <v>1429</v>
      </c>
      <c r="B1437" s="15"/>
      <c r="C1437" s="11">
        <f t="shared" si="73"/>
        <v>1</v>
      </c>
      <c r="D1437" s="11"/>
      <c r="E1437" s="11"/>
      <c r="F1437" s="11"/>
      <c r="G1437" s="89">
        <f>IFERROR(VLOOKUP(F1437,COA!$A$1:$K$26,2,FALSE),0)</f>
        <v>0</v>
      </c>
      <c r="H1437" s="11"/>
      <c r="I1437" s="11"/>
      <c r="J1437" s="78"/>
      <c r="K1437" s="78"/>
      <c r="L1437" s="146">
        <f t="shared" si="74"/>
        <v>13126700</v>
      </c>
      <c r="M1437" s="73"/>
      <c r="N1437" s="73"/>
      <c r="O1437" s="73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14.25" customHeight="1" x14ac:dyDescent="0.35">
      <c r="A1438" s="9">
        <f t="shared" si="75"/>
        <v>1430</v>
      </c>
      <c r="B1438" s="15"/>
      <c r="C1438" s="11">
        <f t="shared" si="73"/>
        <v>1</v>
      </c>
      <c r="D1438" s="11"/>
      <c r="E1438" s="11"/>
      <c r="F1438" s="11"/>
      <c r="G1438" s="89">
        <f>IFERROR(VLOOKUP(F1438,COA!$A$1:$K$26,2,FALSE),0)</f>
        <v>0</v>
      </c>
      <c r="H1438" s="11"/>
      <c r="I1438" s="11"/>
      <c r="J1438" s="78"/>
      <c r="K1438" s="78"/>
      <c r="L1438" s="146">
        <f t="shared" si="74"/>
        <v>13126700</v>
      </c>
      <c r="M1438" s="73"/>
      <c r="N1438" s="73"/>
      <c r="O1438" s="73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14.25" customHeight="1" x14ac:dyDescent="0.35">
      <c r="A1439" s="9">
        <f t="shared" si="75"/>
        <v>1431</v>
      </c>
      <c r="B1439" s="15"/>
      <c r="C1439" s="11">
        <f t="shared" si="73"/>
        <v>1</v>
      </c>
      <c r="D1439" s="11"/>
      <c r="E1439" s="11"/>
      <c r="F1439" s="11"/>
      <c r="G1439" s="89">
        <f>IFERROR(VLOOKUP(F1439,COA!$A$1:$K$26,2,FALSE),0)</f>
        <v>0</v>
      </c>
      <c r="H1439" s="11"/>
      <c r="I1439" s="11"/>
      <c r="J1439" s="78"/>
      <c r="K1439" s="78"/>
      <c r="L1439" s="146">
        <f t="shared" si="74"/>
        <v>13126700</v>
      </c>
      <c r="M1439" s="73"/>
      <c r="N1439" s="73"/>
      <c r="O1439" s="73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14.25" customHeight="1" x14ac:dyDescent="0.35">
      <c r="A1440" s="9">
        <f t="shared" si="75"/>
        <v>1432</v>
      </c>
      <c r="B1440" s="15"/>
      <c r="C1440" s="11">
        <f t="shared" si="73"/>
        <v>1</v>
      </c>
      <c r="D1440" s="11"/>
      <c r="E1440" s="11"/>
      <c r="F1440" s="11"/>
      <c r="G1440" s="89">
        <f>IFERROR(VLOOKUP(F1440,COA!$A$1:$K$26,2,FALSE),0)</f>
        <v>0</v>
      </c>
      <c r="H1440" s="11"/>
      <c r="I1440" s="11"/>
      <c r="J1440" s="78"/>
      <c r="K1440" s="78"/>
      <c r="L1440" s="146">
        <f t="shared" si="74"/>
        <v>13126700</v>
      </c>
      <c r="M1440" s="73"/>
      <c r="N1440" s="73"/>
      <c r="O1440" s="73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14.25" customHeight="1" x14ac:dyDescent="0.35">
      <c r="A1441" s="9">
        <f t="shared" si="75"/>
        <v>1433</v>
      </c>
      <c r="B1441" s="15"/>
      <c r="C1441" s="11">
        <f t="shared" si="73"/>
        <v>1</v>
      </c>
      <c r="D1441" s="11"/>
      <c r="E1441" s="11"/>
      <c r="F1441" s="11"/>
      <c r="G1441" s="89">
        <f>IFERROR(VLOOKUP(F1441,COA!$A$1:$K$26,2,FALSE),0)</f>
        <v>0</v>
      </c>
      <c r="H1441" s="11"/>
      <c r="I1441" s="11"/>
      <c r="J1441" s="78"/>
      <c r="K1441" s="78"/>
      <c r="L1441" s="146">
        <f t="shared" si="74"/>
        <v>13126700</v>
      </c>
      <c r="M1441" s="73"/>
      <c r="N1441" s="73"/>
      <c r="O1441" s="73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14.25" customHeight="1" x14ac:dyDescent="0.35">
      <c r="A1442" s="9">
        <f t="shared" si="75"/>
        <v>1434</v>
      </c>
      <c r="B1442" s="15"/>
      <c r="C1442" s="11">
        <f t="shared" si="73"/>
        <v>1</v>
      </c>
      <c r="D1442" s="11"/>
      <c r="E1442" s="11"/>
      <c r="F1442" s="11"/>
      <c r="G1442" s="89">
        <f>IFERROR(VLOOKUP(F1442,COA!$A$1:$K$26,2,FALSE),0)</f>
        <v>0</v>
      </c>
      <c r="H1442" s="11"/>
      <c r="I1442" s="11"/>
      <c r="J1442" s="78"/>
      <c r="K1442" s="78"/>
      <c r="L1442" s="146">
        <f t="shared" si="74"/>
        <v>13126700</v>
      </c>
      <c r="M1442" s="73"/>
      <c r="N1442" s="73"/>
      <c r="O1442" s="73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14.25" customHeight="1" x14ac:dyDescent="0.35">
      <c r="A1443" s="9">
        <f t="shared" si="75"/>
        <v>1435</v>
      </c>
      <c r="B1443" s="15"/>
      <c r="C1443" s="11">
        <f t="shared" si="73"/>
        <v>1</v>
      </c>
      <c r="D1443" s="11"/>
      <c r="E1443" s="11"/>
      <c r="F1443" s="11"/>
      <c r="G1443" s="89">
        <f>IFERROR(VLOOKUP(F1443,COA!$A$1:$K$26,2,FALSE),0)</f>
        <v>0</v>
      </c>
      <c r="H1443" s="11"/>
      <c r="I1443" s="11"/>
      <c r="J1443" s="78"/>
      <c r="K1443" s="78"/>
      <c r="L1443" s="146">
        <f t="shared" si="74"/>
        <v>13126700</v>
      </c>
      <c r="M1443" s="73"/>
      <c r="N1443" s="73"/>
      <c r="O1443" s="73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14.25" customHeight="1" x14ac:dyDescent="0.35">
      <c r="A1444" s="9">
        <f t="shared" si="75"/>
        <v>1436</v>
      </c>
      <c r="B1444" s="15"/>
      <c r="C1444" s="11">
        <f t="shared" ref="C1444:C1507" si="76">MONTH(B1444)</f>
        <v>1</v>
      </c>
      <c r="D1444" s="11"/>
      <c r="E1444" s="11"/>
      <c r="F1444" s="11"/>
      <c r="G1444" s="89">
        <f>IFERROR(VLOOKUP(F1444,COA!$A$1:$K$26,2,FALSE),0)</f>
        <v>0</v>
      </c>
      <c r="H1444" s="11"/>
      <c r="I1444" s="11"/>
      <c r="J1444" s="78"/>
      <c r="K1444" s="78"/>
      <c r="L1444" s="146">
        <f t="shared" si="74"/>
        <v>13126700</v>
      </c>
      <c r="M1444" s="73"/>
      <c r="N1444" s="73"/>
      <c r="O1444" s="73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14.25" customHeight="1" x14ac:dyDescent="0.35">
      <c r="A1445" s="9">
        <f t="shared" si="75"/>
        <v>1437</v>
      </c>
      <c r="B1445" s="15"/>
      <c r="C1445" s="11">
        <f t="shared" si="76"/>
        <v>1</v>
      </c>
      <c r="D1445" s="11"/>
      <c r="E1445" s="11"/>
      <c r="F1445" s="11"/>
      <c r="G1445" s="89">
        <f>IFERROR(VLOOKUP(F1445,COA!$A$1:$K$26,2,FALSE),0)</f>
        <v>0</v>
      </c>
      <c r="H1445" s="11"/>
      <c r="I1445" s="11"/>
      <c r="J1445" s="78"/>
      <c r="K1445" s="78"/>
      <c r="L1445" s="146">
        <f t="shared" si="74"/>
        <v>13126700</v>
      </c>
      <c r="M1445" s="73"/>
      <c r="N1445" s="73"/>
      <c r="O1445" s="73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14.25" customHeight="1" x14ac:dyDescent="0.35">
      <c r="A1446" s="9">
        <f t="shared" si="75"/>
        <v>1438</v>
      </c>
      <c r="B1446" s="15"/>
      <c r="C1446" s="11">
        <f t="shared" si="76"/>
        <v>1</v>
      </c>
      <c r="D1446" s="11"/>
      <c r="E1446" s="11"/>
      <c r="F1446" s="11"/>
      <c r="G1446" s="89">
        <f>IFERROR(VLOOKUP(F1446,COA!$A$1:$K$26,2,FALSE),0)</f>
        <v>0</v>
      </c>
      <c r="H1446" s="11"/>
      <c r="I1446" s="11"/>
      <c r="J1446" s="78"/>
      <c r="K1446" s="78"/>
      <c r="L1446" s="146">
        <f t="shared" si="74"/>
        <v>13126700</v>
      </c>
      <c r="M1446" s="73"/>
      <c r="N1446" s="73"/>
      <c r="O1446" s="73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14.25" customHeight="1" x14ac:dyDescent="0.35">
      <c r="A1447" s="9">
        <f t="shared" si="75"/>
        <v>1439</v>
      </c>
      <c r="B1447" s="15"/>
      <c r="C1447" s="11">
        <f t="shared" si="76"/>
        <v>1</v>
      </c>
      <c r="D1447" s="11"/>
      <c r="E1447" s="11"/>
      <c r="F1447" s="11"/>
      <c r="G1447" s="89">
        <f>IFERROR(VLOOKUP(F1447,COA!$A$1:$K$26,2,FALSE),0)</f>
        <v>0</v>
      </c>
      <c r="H1447" s="11"/>
      <c r="I1447" s="11"/>
      <c r="J1447" s="78"/>
      <c r="K1447" s="78"/>
      <c r="L1447" s="146">
        <f t="shared" si="74"/>
        <v>13126700</v>
      </c>
      <c r="M1447" s="73"/>
      <c r="N1447" s="73"/>
      <c r="O1447" s="73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14.25" customHeight="1" x14ac:dyDescent="0.35">
      <c r="A1448" s="9">
        <f t="shared" si="75"/>
        <v>1440</v>
      </c>
      <c r="B1448" s="15"/>
      <c r="C1448" s="11">
        <f t="shared" si="76"/>
        <v>1</v>
      </c>
      <c r="D1448" s="11"/>
      <c r="E1448" s="11"/>
      <c r="F1448" s="11"/>
      <c r="G1448" s="89">
        <f>IFERROR(VLOOKUP(F1448,COA!$A$1:$K$26,2,FALSE),0)</f>
        <v>0</v>
      </c>
      <c r="H1448" s="11"/>
      <c r="I1448" s="11"/>
      <c r="J1448" s="78"/>
      <c r="K1448" s="78"/>
      <c r="L1448" s="146">
        <f t="shared" si="74"/>
        <v>13126700</v>
      </c>
      <c r="M1448" s="73"/>
      <c r="N1448" s="73"/>
      <c r="O1448" s="73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14.25" customHeight="1" x14ac:dyDescent="0.35">
      <c r="A1449" s="9">
        <f t="shared" si="75"/>
        <v>1441</v>
      </c>
      <c r="B1449" s="15"/>
      <c r="C1449" s="11">
        <f t="shared" si="76"/>
        <v>1</v>
      </c>
      <c r="D1449" s="11"/>
      <c r="E1449" s="11"/>
      <c r="F1449" s="11"/>
      <c r="G1449" s="89">
        <f>IFERROR(VLOOKUP(F1449,COA!$A$1:$K$26,2,FALSE),0)</f>
        <v>0</v>
      </c>
      <c r="H1449" s="11"/>
      <c r="I1449" s="11"/>
      <c r="J1449" s="78"/>
      <c r="K1449" s="78"/>
      <c r="L1449" s="146">
        <f t="shared" si="74"/>
        <v>13126700</v>
      </c>
      <c r="M1449" s="73"/>
      <c r="N1449" s="73"/>
      <c r="O1449" s="73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14.25" customHeight="1" x14ac:dyDescent="0.35">
      <c r="A1450" s="9">
        <f t="shared" si="75"/>
        <v>1442</v>
      </c>
      <c r="B1450" s="15"/>
      <c r="C1450" s="11">
        <f t="shared" si="76"/>
        <v>1</v>
      </c>
      <c r="D1450" s="11"/>
      <c r="E1450" s="11"/>
      <c r="F1450" s="11"/>
      <c r="G1450" s="89">
        <f>IFERROR(VLOOKUP(F1450,COA!$A$1:$K$26,2,FALSE),0)</f>
        <v>0</v>
      </c>
      <c r="H1450" s="11"/>
      <c r="I1450" s="11"/>
      <c r="J1450" s="78"/>
      <c r="K1450" s="78"/>
      <c r="L1450" s="146">
        <f t="shared" si="74"/>
        <v>13126700</v>
      </c>
      <c r="M1450" s="73"/>
      <c r="N1450" s="73"/>
      <c r="O1450" s="73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14.25" customHeight="1" x14ac:dyDescent="0.35">
      <c r="A1451" s="9">
        <f t="shared" si="75"/>
        <v>1443</v>
      </c>
      <c r="B1451" s="15"/>
      <c r="C1451" s="11">
        <f t="shared" si="76"/>
        <v>1</v>
      </c>
      <c r="D1451" s="11"/>
      <c r="E1451" s="11"/>
      <c r="F1451" s="11"/>
      <c r="G1451" s="89">
        <f>IFERROR(VLOOKUP(F1451,COA!$A$1:$K$26,2,FALSE),0)</f>
        <v>0</v>
      </c>
      <c r="H1451" s="11"/>
      <c r="I1451" s="11"/>
      <c r="J1451" s="78"/>
      <c r="K1451" s="78"/>
      <c r="L1451" s="146">
        <f t="shared" si="74"/>
        <v>13126700</v>
      </c>
      <c r="M1451" s="73"/>
      <c r="N1451" s="73"/>
      <c r="O1451" s="73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14.25" customHeight="1" x14ac:dyDescent="0.35">
      <c r="A1452" s="9">
        <f t="shared" si="75"/>
        <v>1444</v>
      </c>
      <c r="B1452" s="15"/>
      <c r="C1452" s="11">
        <f t="shared" si="76"/>
        <v>1</v>
      </c>
      <c r="D1452" s="11"/>
      <c r="E1452" s="11"/>
      <c r="F1452" s="11"/>
      <c r="G1452" s="89">
        <f>IFERROR(VLOOKUP(F1452,COA!$A$1:$K$26,2,FALSE),0)</f>
        <v>0</v>
      </c>
      <c r="H1452" s="11"/>
      <c r="I1452" s="11"/>
      <c r="J1452" s="78"/>
      <c r="K1452" s="78"/>
      <c r="L1452" s="146">
        <f t="shared" si="74"/>
        <v>13126700</v>
      </c>
      <c r="M1452" s="73"/>
      <c r="N1452" s="73"/>
      <c r="O1452" s="73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14.25" customHeight="1" x14ac:dyDescent="0.35">
      <c r="A1453" s="9">
        <f t="shared" si="75"/>
        <v>1445</v>
      </c>
      <c r="B1453" s="15"/>
      <c r="C1453" s="11">
        <f t="shared" si="76"/>
        <v>1</v>
      </c>
      <c r="D1453" s="11"/>
      <c r="E1453" s="11"/>
      <c r="F1453" s="11"/>
      <c r="G1453" s="89">
        <f>IFERROR(VLOOKUP(F1453,COA!$A$1:$K$26,2,FALSE),0)</f>
        <v>0</v>
      </c>
      <c r="H1453" s="11"/>
      <c r="I1453" s="11"/>
      <c r="J1453" s="78"/>
      <c r="K1453" s="78"/>
      <c r="L1453" s="146">
        <f t="shared" si="74"/>
        <v>13126700</v>
      </c>
      <c r="M1453" s="73"/>
      <c r="N1453" s="73"/>
      <c r="O1453" s="73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14.25" customHeight="1" x14ac:dyDescent="0.35">
      <c r="A1454" s="9">
        <f t="shared" si="75"/>
        <v>1446</v>
      </c>
      <c r="B1454" s="15"/>
      <c r="C1454" s="11">
        <f t="shared" si="76"/>
        <v>1</v>
      </c>
      <c r="D1454" s="11"/>
      <c r="E1454" s="11"/>
      <c r="F1454" s="11"/>
      <c r="G1454" s="89">
        <f>IFERROR(VLOOKUP(F1454,COA!$A$1:$K$26,2,FALSE),0)</f>
        <v>0</v>
      </c>
      <c r="H1454" s="11"/>
      <c r="I1454" s="11"/>
      <c r="J1454" s="78"/>
      <c r="K1454" s="78"/>
      <c r="L1454" s="146">
        <f t="shared" si="74"/>
        <v>13126700</v>
      </c>
      <c r="M1454" s="73"/>
      <c r="N1454" s="73"/>
      <c r="O1454" s="73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14.25" customHeight="1" x14ac:dyDescent="0.35">
      <c r="A1455" s="9">
        <f t="shared" si="75"/>
        <v>1447</v>
      </c>
      <c r="B1455" s="15"/>
      <c r="C1455" s="11">
        <f t="shared" si="76"/>
        <v>1</v>
      </c>
      <c r="D1455" s="11"/>
      <c r="E1455" s="11"/>
      <c r="F1455" s="11"/>
      <c r="G1455" s="89">
        <f>IFERROR(VLOOKUP(F1455,COA!$A$1:$K$26,2,FALSE),0)</f>
        <v>0</v>
      </c>
      <c r="H1455" s="11"/>
      <c r="I1455" s="11"/>
      <c r="J1455" s="78"/>
      <c r="K1455" s="78"/>
      <c r="L1455" s="146">
        <f t="shared" si="74"/>
        <v>13126700</v>
      </c>
      <c r="M1455" s="73"/>
      <c r="N1455" s="73"/>
      <c r="O1455" s="73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14.25" customHeight="1" x14ac:dyDescent="0.35">
      <c r="A1456" s="9">
        <f t="shared" si="75"/>
        <v>1448</v>
      </c>
      <c r="B1456" s="15"/>
      <c r="C1456" s="11">
        <f t="shared" si="76"/>
        <v>1</v>
      </c>
      <c r="D1456" s="11"/>
      <c r="E1456" s="11"/>
      <c r="F1456" s="11"/>
      <c r="G1456" s="89">
        <f>IFERROR(VLOOKUP(F1456,COA!$A$1:$K$26,2,FALSE),0)</f>
        <v>0</v>
      </c>
      <c r="H1456" s="11"/>
      <c r="I1456" s="11"/>
      <c r="J1456" s="78"/>
      <c r="K1456" s="78"/>
      <c r="L1456" s="146">
        <f t="shared" si="74"/>
        <v>13126700</v>
      </c>
      <c r="M1456" s="73"/>
      <c r="N1456" s="73"/>
      <c r="O1456" s="73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14.25" customHeight="1" x14ac:dyDescent="0.35">
      <c r="A1457" s="9">
        <f t="shared" si="75"/>
        <v>1449</v>
      </c>
      <c r="B1457" s="15"/>
      <c r="C1457" s="11">
        <f t="shared" si="76"/>
        <v>1</v>
      </c>
      <c r="D1457" s="11"/>
      <c r="E1457" s="11"/>
      <c r="F1457" s="11"/>
      <c r="G1457" s="89">
        <f>IFERROR(VLOOKUP(F1457,COA!$A$1:$K$26,2,FALSE),0)</f>
        <v>0</v>
      </c>
      <c r="H1457" s="11"/>
      <c r="I1457" s="11"/>
      <c r="J1457" s="78"/>
      <c r="K1457" s="78"/>
      <c r="L1457" s="146">
        <f t="shared" si="74"/>
        <v>13126700</v>
      </c>
      <c r="M1457" s="73"/>
      <c r="N1457" s="73"/>
      <c r="O1457" s="73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14.25" customHeight="1" x14ac:dyDescent="0.35">
      <c r="A1458" s="9">
        <f t="shared" si="75"/>
        <v>1450</v>
      </c>
      <c r="B1458" s="15"/>
      <c r="C1458" s="11">
        <f t="shared" si="76"/>
        <v>1</v>
      </c>
      <c r="D1458" s="11"/>
      <c r="E1458" s="11"/>
      <c r="F1458" s="11"/>
      <c r="G1458" s="89">
        <f>IFERROR(VLOOKUP(F1458,COA!$A$1:$K$26,2,FALSE),0)</f>
        <v>0</v>
      </c>
      <c r="H1458" s="11"/>
      <c r="I1458" s="11"/>
      <c r="J1458" s="78"/>
      <c r="K1458" s="78"/>
      <c r="L1458" s="146">
        <f t="shared" si="74"/>
        <v>13126700</v>
      </c>
      <c r="M1458" s="73"/>
      <c r="N1458" s="73"/>
      <c r="O1458" s="73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14.25" customHeight="1" x14ac:dyDescent="0.35">
      <c r="A1459" s="9">
        <f t="shared" si="75"/>
        <v>1451</v>
      </c>
      <c r="B1459" s="15"/>
      <c r="C1459" s="11">
        <f t="shared" si="76"/>
        <v>1</v>
      </c>
      <c r="D1459" s="11"/>
      <c r="E1459" s="11"/>
      <c r="F1459" s="11"/>
      <c r="G1459" s="89">
        <f>IFERROR(VLOOKUP(F1459,COA!$A$1:$K$26,2,FALSE),0)</f>
        <v>0</v>
      </c>
      <c r="H1459" s="11"/>
      <c r="I1459" s="11"/>
      <c r="J1459" s="78"/>
      <c r="K1459" s="78"/>
      <c r="L1459" s="146">
        <f t="shared" si="74"/>
        <v>13126700</v>
      </c>
      <c r="M1459" s="73"/>
      <c r="N1459" s="73"/>
      <c r="O1459" s="73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14.25" customHeight="1" x14ac:dyDescent="0.35">
      <c r="A1460" s="9">
        <f t="shared" si="75"/>
        <v>1452</v>
      </c>
      <c r="B1460" s="15"/>
      <c r="C1460" s="11">
        <f t="shared" si="76"/>
        <v>1</v>
      </c>
      <c r="D1460" s="11"/>
      <c r="E1460" s="11"/>
      <c r="F1460" s="11"/>
      <c r="G1460" s="89">
        <f>IFERROR(VLOOKUP(F1460,COA!$A$1:$K$26,2,FALSE),0)</f>
        <v>0</v>
      </c>
      <c r="H1460" s="11"/>
      <c r="I1460" s="11"/>
      <c r="J1460" s="78"/>
      <c r="K1460" s="78"/>
      <c r="L1460" s="146">
        <f t="shared" si="74"/>
        <v>13126700</v>
      </c>
      <c r="M1460" s="73"/>
      <c r="N1460" s="73"/>
      <c r="O1460" s="73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14.25" customHeight="1" x14ac:dyDescent="0.35">
      <c r="A1461" s="9">
        <f t="shared" si="75"/>
        <v>1453</v>
      </c>
      <c r="B1461" s="15"/>
      <c r="C1461" s="11">
        <f t="shared" si="76"/>
        <v>1</v>
      </c>
      <c r="D1461" s="11"/>
      <c r="E1461" s="11"/>
      <c r="F1461" s="11"/>
      <c r="G1461" s="89">
        <f>IFERROR(VLOOKUP(F1461,COA!$A$1:$K$26,2,FALSE),0)</f>
        <v>0</v>
      </c>
      <c r="H1461" s="11"/>
      <c r="I1461" s="11"/>
      <c r="J1461" s="78"/>
      <c r="K1461" s="78"/>
      <c r="L1461" s="146">
        <f t="shared" si="74"/>
        <v>13126700</v>
      </c>
      <c r="M1461" s="73"/>
      <c r="N1461" s="73"/>
      <c r="O1461" s="73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14.25" customHeight="1" x14ac:dyDescent="0.35">
      <c r="A1462" s="9">
        <f t="shared" si="75"/>
        <v>1454</v>
      </c>
      <c r="B1462" s="15"/>
      <c r="C1462" s="11">
        <f t="shared" si="76"/>
        <v>1</v>
      </c>
      <c r="D1462" s="11"/>
      <c r="E1462" s="11"/>
      <c r="F1462" s="11"/>
      <c r="G1462" s="89">
        <f>IFERROR(VLOOKUP(F1462,COA!$A$1:$K$26,2,FALSE),0)</f>
        <v>0</v>
      </c>
      <c r="H1462" s="11"/>
      <c r="I1462" s="11"/>
      <c r="J1462" s="78"/>
      <c r="K1462" s="78"/>
      <c r="L1462" s="146">
        <f t="shared" si="74"/>
        <v>13126700</v>
      </c>
      <c r="M1462" s="73"/>
      <c r="N1462" s="73"/>
      <c r="O1462" s="73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14.25" customHeight="1" x14ac:dyDescent="0.35">
      <c r="A1463" s="9">
        <f t="shared" si="75"/>
        <v>1455</v>
      </c>
      <c r="B1463" s="15"/>
      <c r="C1463" s="11">
        <f t="shared" si="76"/>
        <v>1</v>
      </c>
      <c r="D1463" s="11"/>
      <c r="E1463" s="11"/>
      <c r="F1463" s="11"/>
      <c r="G1463" s="89">
        <f>IFERROR(VLOOKUP(F1463,COA!$A$1:$K$26,2,FALSE),0)</f>
        <v>0</v>
      </c>
      <c r="H1463" s="11"/>
      <c r="I1463" s="11"/>
      <c r="J1463" s="78"/>
      <c r="K1463" s="78"/>
      <c r="L1463" s="146">
        <f t="shared" si="74"/>
        <v>13126700</v>
      </c>
      <c r="M1463" s="73"/>
      <c r="N1463" s="73"/>
      <c r="O1463" s="73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14.25" customHeight="1" x14ac:dyDescent="0.35">
      <c r="A1464" s="9">
        <f t="shared" si="75"/>
        <v>1456</v>
      </c>
      <c r="B1464" s="15"/>
      <c r="C1464" s="11">
        <f t="shared" si="76"/>
        <v>1</v>
      </c>
      <c r="D1464" s="11"/>
      <c r="E1464" s="11"/>
      <c r="F1464" s="11"/>
      <c r="G1464" s="89">
        <f>IFERROR(VLOOKUP(F1464,COA!$A$1:$K$26,2,FALSE),0)</f>
        <v>0</v>
      </c>
      <c r="H1464" s="11"/>
      <c r="I1464" s="11"/>
      <c r="J1464" s="78"/>
      <c r="K1464" s="78"/>
      <c r="L1464" s="146">
        <f t="shared" si="74"/>
        <v>13126700</v>
      </c>
      <c r="M1464" s="73"/>
      <c r="N1464" s="73"/>
      <c r="O1464" s="73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14.25" customHeight="1" x14ac:dyDescent="0.35">
      <c r="A1465" s="9">
        <f t="shared" si="75"/>
        <v>1457</v>
      </c>
      <c r="B1465" s="15"/>
      <c r="C1465" s="11">
        <f t="shared" si="76"/>
        <v>1</v>
      </c>
      <c r="D1465" s="11"/>
      <c r="E1465" s="11"/>
      <c r="F1465" s="11"/>
      <c r="G1465" s="89">
        <f>IFERROR(VLOOKUP(F1465,COA!$A$1:$K$26,2,FALSE),0)</f>
        <v>0</v>
      </c>
      <c r="H1465" s="11"/>
      <c r="I1465" s="11"/>
      <c r="J1465" s="78"/>
      <c r="K1465" s="78"/>
      <c r="L1465" s="146">
        <f t="shared" si="74"/>
        <v>13126700</v>
      </c>
      <c r="M1465" s="73"/>
      <c r="N1465" s="73"/>
      <c r="O1465" s="73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14.25" customHeight="1" x14ac:dyDescent="0.35">
      <c r="A1466" s="9">
        <f t="shared" si="75"/>
        <v>1458</v>
      </c>
      <c r="B1466" s="15"/>
      <c r="C1466" s="11">
        <f t="shared" si="76"/>
        <v>1</v>
      </c>
      <c r="D1466" s="11"/>
      <c r="E1466" s="11"/>
      <c r="F1466" s="11"/>
      <c r="G1466" s="89">
        <f>IFERROR(VLOOKUP(F1466,COA!$A$1:$K$26,2,FALSE),0)</f>
        <v>0</v>
      </c>
      <c r="H1466" s="11"/>
      <c r="I1466" s="11"/>
      <c r="J1466" s="78"/>
      <c r="K1466" s="78"/>
      <c r="L1466" s="146">
        <f t="shared" si="74"/>
        <v>13126700</v>
      </c>
      <c r="M1466" s="73"/>
      <c r="N1466" s="73"/>
      <c r="O1466" s="73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14.25" customHeight="1" x14ac:dyDescent="0.35">
      <c r="A1467" s="9">
        <f t="shared" si="75"/>
        <v>1459</v>
      </c>
      <c r="B1467" s="15"/>
      <c r="C1467" s="11">
        <f t="shared" si="76"/>
        <v>1</v>
      </c>
      <c r="D1467" s="11"/>
      <c r="E1467" s="11"/>
      <c r="F1467" s="11"/>
      <c r="G1467" s="89">
        <f>IFERROR(VLOOKUP(F1467,COA!$A$1:$K$26,2,FALSE),0)</f>
        <v>0</v>
      </c>
      <c r="H1467" s="11"/>
      <c r="I1467" s="11"/>
      <c r="J1467" s="78"/>
      <c r="K1467" s="78"/>
      <c r="L1467" s="146">
        <f t="shared" si="74"/>
        <v>13126700</v>
      </c>
      <c r="M1467" s="73"/>
      <c r="N1467" s="73"/>
      <c r="O1467" s="73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14.25" customHeight="1" x14ac:dyDescent="0.35">
      <c r="A1468" s="9">
        <f t="shared" si="75"/>
        <v>1460</v>
      </c>
      <c r="B1468" s="15"/>
      <c r="C1468" s="11">
        <f t="shared" si="76"/>
        <v>1</v>
      </c>
      <c r="D1468" s="11"/>
      <c r="E1468" s="11"/>
      <c r="F1468" s="11"/>
      <c r="G1468" s="89">
        <f>IFERROR(VLOOKUP(F1468,COA!$A$1:$K$26,2,FALSE),0)</f>
        <v>0</v>
      </c>
      <c r="H1468" s="11"/>
      <c r="I1468" s="11"/>
      <c r="J1468" s="78"/>
      <c r="K1468" s="78"/>
      <c r="L1468" s="146">
        <f t="shared" si="74"/>
        <v>13126700</v>
      </c>
      <c r="M1468" s="73"/>
      <c r="N1468" s="73"/>
      <c r="O1468" s="73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14.25" customHeight="1" x14ac:dyDescent="0.35">
      <c r="A1469" s="9">
        <f t="shared" si="75"/>
        <v>1461</v>
      </c>
      <c r="B1469" s="15"/>
      <c r="C1469" s="11">
        <f t="shared" si="76"/>
        <v>1</v>
      </c>
      <c r="D1469" s="11"/>
      <c r="E1469" s="11"/>
      <c r="F1469" s="11"/>
      <c r="G1469" s="89">
        <f>IFERROR(VLOOKUP(F1469,COA!$A$1:$K$26,2,FALSE),0)</f>
        <v>0</v>
      </c>
      <c r="H1469" s="11"/>
      <c r="I1469" s="11"/>
      <c r="J1469" s="78"/>
      <c r="K1469" s="78"/>
      <c r="L1469" s="146">
        <f t="shared" si="74"/>
        <v>13126700</v>
      </c>
      <c r="M1469" s="73"/>
      <c r="N1469" s="73"/>
      <c r="O1469" s="73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14.25" customHeight="1" x14ac:dyDescent="0.35">
      <c r="A1470" s="9">
        <f t="shared" si="75"/>
        <v>1462</v>
      </c>
      <c r="B1470" s="15"/>
      <c r="C1470" s="11">
        <f t="shared" si="76"/>
        <v>1</v>
      </c>
      <c r="D1470" s="11"/>
      <c r="E1470" s="11"/>
      <c r="F1470" s="11"/>
      <c r="G1470" s="89">
        <f>IFERROR(VLOOKUP(F1470,COA!$A$1:$K$26,2,FALSE),0)</f>
        <v>0</v>
      </c>
      <c r="H1470" s="11"/>
      <c r="I1470" s="11"/>
      <c r="J1470" s="78"/>
      <c r="K1470" s="78"/>
      <c r="L1470" s="146">
        <f t="shared" si="74"/>
        <v>13126700</v>
      </c>
      <c r="M1470" s="73"/>
      <c r="N1470" s="73"/>
      <c r="O1470" s="73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14.25" customHeight="1" x14ac:dyDescent="0.35">
      <c r="A1471" s="9">
        <f t="shared" si="75"/>
        <v>1463</v>
      </c>
      <c r="B1471" s="15"/>
      <c r="C1471" s="11">
        <f t="shared" si="76"/>
        <v>1</v>
      </c>
      <c r="D1471" s="11"/>
      <c r="E1471" s="11"/>
      <c r="F1471" s="11"/>
      <c r="G1471" s="89">
        <f>IFERROR(VLOOKUP(F1471,COA!$A$1:$K$26,2,FALSE),0)</f>
        <v>0</v>
      </c>
      <c r="H1471" s="11"/>
      <c r="I1471" s="11"/>
      <c r="J1471" s="78"/>
      <c r="K1471" s="78"/>
      <c r="L1471" s="146">
        <f t="shared" si="74"/>
        <v>13126700</v>
      </c>
      <c r="M1471" s="73"/>
      <c r="N1471" s="73"/>
      <c r="O1471" s="73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14.25" customHeight="1" x14ac:dyDescent="0.35">
      <c r="A1472" s="9">
        <f t="shared" si="75"/>
        <v>1464</v>
      </c>
      <c r="B1472" s="15"/>
      <c r="C1472" s="11">
        <f t="shared" si="76"/>
        <v>1</v>
      </c>
      <c r="D1472" s="11"/>
      <c r="E1472" s="11"/>
      <c r="F1472" s="11"/>
      <c r="G1472" s="89">
        <f>IFERROR(VLOOKUP(F1472,COA!$A$1:$K$26,2,FALSE),0)</f>
        <v>0</v>
      </c>
      <c r="H1472" s="11"/>
      <c r="I1472" s="11"/>
      <c r="J1472" s="78"/>
      <c r="K1472" s="78"/>
      <c r="L1472" s="146">
        <f t="shared" si="74"/>
        <v>13126700</v>
      </c>
      <c r="M1472" s="73"/>
      <c r="N1472" s="73"/>
      <c r="O1472" s="73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14.25" customHeight="1" x14ac:dyDescent="0.35">
      <c r="A1473" s="9">
        <f t="shared" si="75"/>
        <v>1465</v>
      </c>
      <c r="B1473" s="15"/>
      <c r="C1473" s="11">
        <f t="shared" si="76"/>
        <v>1</v>
      </c>
      <c r="D1473" s="11"/>
      <c r="E1473" s="11"/>
      <c r="F1473" s="11"/>
      <c r="G1473" s="89">
        <f>IFERROR(VLOOKUP(F1473,COA!$A$1:$K$26,2,FALSE),0)</f>
        <v>0</v>
      </c>
      <c r="H1473" s="11"/>
      <c r="I1473" s="11"/>
      <c r="J1473" s="78"/>
      <c r="K1473" s="78"/>
      <c r="L1473" s="146">
        <f t="shared" si="74"/>
        <v>13126700</v>
      </c>
      <c r="M1473" s="73"/>
      <c r="N1473" s="73"/>
      <c r="O1473" s="73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14.25" customHeight="1" x14ac:dyDescent="0.35">
      <c r="A1474" s="9">
        <f t="shared" si="75"/>
        <v>1466</v>
      </c>
      <c r="B1474" s="15"/>
      <c r="C1474" s="11">
        <f t="shared" si="76"/>
        <v>1</v>
      </c>
      <c r="D1474" s="11"/>
      <c r="E1474" s="11"/>
      <c r="F1474" s="11"/>
      <c r="G1474" s="89">
        <f>IFERROR(VLOOKUP(F1474,COA!$A$1:$K$26,2,FALSE),0)</f>
        <v>0</v>
      </c>
      <c r="H1474" s="11"/>
      <c r="I1474" s="11"/>
      <c r="J1474" s="78"/>
      <c r="K1474" s="78"/>
      <c r="L1474" s="146">
        <f t="shared" si="74"/>
        <v>13126700</v>
      </c>
      <c r="M1474" s="73"/>
      <c r="N1474" s="73"/>
      <c r="O1474" s="73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14.25" customHeight="1" x14ac:dyDescent="0.35">
      <c r="A1475" s="9">
        <f t="shared" si="75"/>
        <v>1467</v>
      </c>
      <c r="B1475" s="15"/>
      <c r="C1475" s="11">
        <f t="shared" si="76"/>
        <v>1</v>
      </c>
      <c r="D1475" s="11"/>
      <c r="E1475" s="11"/>
      <c r="F1475" s="11"/>
      <c r="G1475" s="89">
        <f>IFERROR(VLOOKUP(F1475,COA!$A$1:$K$26,2,FALSE),0)</f>
        <v>0</v>
      </c>
      <c r="H1475" s="11"/>
      <c r="I1475" s="11"/>
      <c r="J1475" s="78"/>
      <c r="K1475" s="78"/>
      <c r="L1475" s="146">
        <f t="shared" si="74"/>
        <v>13126700</v>
      </c>
      <c r="M1475" s="73"/>
      <c r="N1475" s="73"/>
      <c r="O1475" s="73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14.25" customHeight="1" x14ac:dyDescent="0.35">
      <c r="A1476" s="9">
        <f t="shared" si="75"/>
        <v>1468</v>
      </c>
      <c r="B1476" s="15"/>
      <c r="C1476" s="11">
        <f t="shared" si="76"/>
        <v>1</v>
      </c>
      <c r="D1476" s="11"/>
      <c r="E1476" s="11"/>
      <c r="F1476" s="11"/>
      <c r="G1476" s="89">
        <f>IFERROR(VLOOKUP(F1476,COA!$A$1:$K$26,2,FALSE),0)</f>
        <v>0</v>
      </c>
      <c r="H1476" s="11"/>
      <c r="I1476" s="11"/>
      <c r="J1476" s="78"/>
      <c r="K1476" s="78"/>
      <c r="L1476" s="146">
        <f t="shared" si="74"/>
        <v>13126700</v>
      </c>
      <c r="M1476" s="73"/>
      <c r="N1476" s="73"/>
      <c r="O1476" s="73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14.25" customHeight="1" x14ac:dyDescent="0.35">
      <c r="A1477" s="9">
        <f t="shared" si="75"/>
        <v>1469</v>
      </c>
      <c r="B1477" s="15"/>
      <c r="C1477" s="11">
        <f t="shared" si="76"/>
        <v>1</v>
      </c>
      <c r="D1477" s="11"/>
      <c r="E1477" s="11"/>
      <c r="F1477" s="11"/>
      <c r="G1477" s="89">
        <f>IFERROR(VLOOKUP(F1477,COA!$A$1:$K$26,2,FALSE),0)</f>
        <v>0</v>
      </c>
      <c r="H1477" s="11"/>
      <c r="I1477" s="11"/>
      <c r="J1477" s="78"/>
      <c r="K1477" s="78"/>
      <c r="L1477" s="146">
        <f t="shared" si="74"/>
        <v>13126700</v>
      </c>
      <c r="M1477" s="73"/>
      <c r="N1477" s="73"/>
      <c r="O1477" s="73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14.25" customHeight="1" x14ac:dyDescent="0.35">
      <c r="A1478" s="9">
        <f t="shared" si="75"/>
        <v>1470</v>
      </c>
      <c r="B1478" s="15"/>
      <c r="C1478" s="11">
        <f t="shared" si="76"/>
        <v>1</v>
      </c>
      <c r="D1478" s="11"/>
      <c r="E1478" s="11"/>
      <c r="F1478" s="11"/>
      <c r="G1478" s="89">
        <f>IFERROR(VLOOKUP(F1478,COA!$A$1:$K$26,2,FALSE),0)</f>
        <v>0</v>
      </c>
      <c r="H1478" s="11"/>
      <c r="I1478" s="11"/>
      <c r="J1478" s="78"/>
      <c r="K1478" s="78"/>
      <c r="L1478" s="146">
        <f t="shared" si="74"/>
        <v>13126700</v>
      </c>
      <c r="M1478" s="73"/>
      <c r="N1478" s="73"/>
      <c r="O1478" s="73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14.25" customHeight="1" x14ac:dyDescent="0.35">
      <c r="A1479" s="9">
        <f t="shared" si="75"/>
        <v>1471</v>
      </c>
      <c r="B1479" s="15"/>
      <c r="C1479" s="11">
        <f t="shared" si="76"/>
        <v>1</v>
      </c>
      <c r="D1479" s="11"/>
      <c r="E1479" s="11"/>
      <c r="F1479" s="11"/>
      <c r="G1479" s="89">
        <f>IFERROR(VLOOKUP(F1479,COA!$A$1:$K$26,2,FALSE),0)</f>
        <v>0</v>
      </c>
      <c r="H1479" s="11"/>
      <c r="I1479" s="11"/>
      <c r="J1479" s="78"/>
      <c r="K1479" s="78"/>
      <c r="L1479" s="146">
        <f t="shared" si="74"/>
        <v>13126700</v>
      </c>
      <c r="M1479" s="73"/>
      <c r="N1479" s="73"/>
      <c r="O1479" s="73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14.25" customHeight="1" x14ac:dyDescent="0.35">
      <c r="A1480" s="9">
        <f t="shared" si="75"/>
        <v>1472</v>
      </c>
      <c r="B1480" s="15"/>
      <c r="C1480" s="11">
        <f t="shared" si="76"/>
        <v>1</v>
      </c>
      <c r="D1480" s="11"/>
      <c r="E1480" s="11"/>
      <c r="F1480" s="11"/>
      <c r="G1480" s="89">
        <f>IFERROR(VLOOKUP(F1480,COA!$A$1:$K$26,2,FALSE),0)</f>
        <v>0</v>
      </c>
      <c r="H1480" s="11"/>
      <c r="I1480" s="11"/>
      <c r="J1480" s="78"/>
      <c r="K1480" s="78"/>
      <c r="L1480" s="146">
        <f t="shared" si="74"/>
        <v>13126700</v>
      </c>
      <c r="M1480" s="73"/>
      <c r="N1480" s="73"/>
      <c r="O1480" s="73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14.25" customHeight="1" x14ac:dyDescent="0.35">
      <c r="A1481" s="9">
        <f t="shared" si="75"/>
        <v>1473</v>
      </c>
      <c r="B1481" s="22"/>
      <c r="C1481" s="11">
        <f t="shared" si="76"/>
        <v>1</v>
      </c>
      <c r="D1481" s="11"/>
      <c r="E1481" s="11"/>
      <c r="F1481" s="11"/>
      <c r="G1481" s="89">
        <f>IFERROR(VLOOKUP(F1481,COA!$A$1:$K$26,2,FALSE),0)</f>
        <v>0</v>
      </c>
      <c r="H1481" s="11"/>
      <c r="I1481" s="11"/>
      <c r="J1481" s="78"/>
      <c r="K1481" s="78"/>
      <c r="L1481" s="146">
        <f t="shared" si="74"/>
        <v>13126700</v>
      </c>
      <c r="M1481" s="73"/>
      <c r="N1481" s="73"/>
      <c r="O1481" s="73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14.25" customHeight="1" x14ac:dyDescent="0.35">
      <c r="A1482" s="9">
        <f t="shared" si="75"/>
        <v>1474</v>
      </c>
      <c r="B1482" s="22"/>
      <c r="C1482" s="11">
        <f t="shared" si="76"/>
        <v>1</v>
      </c>
      <c r="D1482" s="11"/>
      <c r="E1482" s="11"/>
      <c r="F1482" s="11"/>
      <c r="G1482" s="89">
        <f>IFERROR(VLOOKUP(F1482,COA!$A$1:$K$26,2,FALSE),0)</f>
        <v>0</v>
      </c>
      <c r="H1482" s="11"/>
      <c r="I1482" s="11"/>
      <c r="J1482" s="78"/>
      <c r="K1482" s="78"/>
      <c r="L1482" s="146">
        <f t="shared" si="74"/>
        <v>13126700</v>
      </c>
      <c r="M1482" s="73"/>
      <c r="N1482" s="73"/>
      <c r="O1482" s="73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14.25" customHeight="1" x14ac:dyDescent="0.35">
      <c r="A1483" s="9">
        <f t="shared" si="75"/>
        <v>1475</v>
      </c>
      <c r="B1483" s="22"/>
      <c r="C1483" s="11">
        <f t="shared" si="76"/>
        <v>1</v>
      </c>
      <c r="D1483" s="11"/>
      <c r="E1483" s="11"/>
      <c r="F1483" s="11"/>
      <c r="G1483" s="89">
        <f>IFERROR(VLOOKUP(F1483,COA!$A$1:$K$26,2,FALSE),0)</f>
        <v>0</v>
      </c>
      <c r="H1483" s="11"/>
      <c r="I1483" s="11"/>
      <c r="J1483" s="78"/>
      <c r="K1483" s="78"/>
      <c r="L1483" s="146">
        <f t="shared" si="74"/>
        <v>13126700</v>
      </c>
      <c r="M1483" s="73"/>
      <c r="N1483" s="73"/>
      <c r="O1483" s="73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14.25" customHeight="1" x14ac:dyDescent="0.35">
      <c r="A1484" s="9">
        <f t="shared" si="75"/>
        <v>1476</v>
      </c>
      <c r="B1484" s="22"/>
      <c r="C1484" s="11">
        <f t="shared" si="76"/>
        <v>1</v>
      </c>
      <c r="D1484" s="11"/>
      <c r="E1484" s="11"/>
      <c r="F1484" s="11"/>
      <c r="G1484" s="89">
        <f>IFERROR(VLOOKUP(F1484,COA!$A$1:$K$26,2,FALSE),0)</f>
        <v>0</v>
      </c>
      <c r="H1484" s="11"/>
      <c r="I1484" s="11"/>
      <c r="J1484" s="78"/>
      <c r="K1484" s="78"/>
      <c r="L1484" s="146">
        <f t="shared" si="74"/>
        <v>13126700</v>
      </c>
      <c r="M1484" s="73"/>
      <c r="N1484" s="73"/>
      <c r="O1484" s="73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14.25" customHeight="1" x14ac:dyDescent="0.35">
      <c r="A1485" s="9">
        <f t="shared" si="75"/>
        <v>1477</v>
      </c>
      <c r="B1485" s="22"/>
      <c r="C1485" s="11">
        <f t="shared" si="76"/>
        <v>1</v>
      </c>
      <c r="D1485" s="11"/>
      <c r="E1485" s="11"/>
      <c r="F1485" s="11"/>
      <c r="G1485" s="89">
        <f>IFERROR(VLOOKUP(F1485,COA!$A$1:$K$26,2,FALSE),0)</f>
        <v>0</v>
      </c>
      <c r="H1485" s="11"/>
      <c r="I1485" s="11"/>
      <c r="J1485" s="78"/>
      <c r="K1485" s="78"/>
      <c r="L1485" s="146">
        <f t="shared" si="74"/>
        <v>13126700</v>
      </c>
      <c r="M1485" s="73"/>
      <c r="N1485" s="73"/>
      <c r="O1485" s="73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14.25" customHeight="1" x14ac:dyDescent="0.35">
      <c r="A1486" s="9">
        <f t="shared" si="75"/>
        <v>1478</v>
      </c>
      <c r="B1486" s="22"/>
      <c r="C1486" s="11">
        <f t="shared" si="76"/>
        <v>1</v>
      </c>
      <c r="D1486" s="11"/>
      <c r="E1486" s="11"/>
      <c r="F1486" s="11"/>
      <c r="G1486" s="89">
        <f>IFERROR(VLOOKUP(F1486,COA!$A$1:$K$26,2,FALSE),0)</f>
        <v>0</v>
      </c>
      <c r="H1486" s="11"/>
      <c r="I1486" s="11"/>
      <c r="J1486" s="78"/>
      <c r="K1486" s="78"/>
      <c r="L1486" s="146">
        <f t="shared" si="74"/>
        <v>13126700</v>
      </c>
      <c r="M1486" s="73"/>
      <c r="N1486" s="73"/>
      <c r="O1486" s="73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14.25" customHeight="1" x14ac:dyDescent="0.35">
      <c r="A1487" s="9">
        <f t="shared" si="75"/>
        <v>1479</v>
      </c>
      <c r="B1487" s="15"/>
      <c r="C1487" s="11">
        <f t="shared" si="76"/>
        <v>1</v>
      </c>
      <c r="D1487" s="11"/>
      <c r="E1487" s="11"/>
      <c r="F1487" s="11"/>
      <c r="G1487" s="89">
        <f>IFERROR(VLOOKUP(F1487,COA!$A$1:$K$26,2,FALSE),0)</f>
        <v>0</v>
      </c>
      <c r="H1487" s="11"/>
      <c r="I1487" s="11"/>
      <c r="J1487" s="78"/>
      <c r="K1487" s="78"/>
      <c r="L1487" s="146">
        <f t="shared" si="74"/>
        <v>13126700</v>
      </c>
      <c r="M1487" s="73"/>
      <c r="N1487" s="73"/>
      <c r="O1487" s="73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14.25" customHeight="1" x14ac:dyDescent="0.35">
      <c r="A1488" s="9">
        <f t="shared" si="75"/>
        <v>1480</v>
      </c>
      <c r="B1488" s="15"/>
      <c r="C1488" s="11">
        <f t="shared" si="76"/>
        <v>1</v>
      </c>
      <c r="D1488" s="11"/>
      <c r="E1488" s="11"/>
      <c r="F1488" s="11"/>
      <c r="G1488" s="89">
        <f>IFERROR(VLOOKUP(F1488,COA!$A$1:$K$26,2,FALSE),0)</f>
        <v>0</v>
      </c>
      <c r="H1488" s="11"/>
      <c r="I1488" s="11"/>
      <c r="J1488" s="78"/>
      <c r="K1488" s="78"/>
      <c r="L1488" s="146">
        <f t="shared" ref="L1488:L1551" si="77">L1487+J1488-K1488</f>
        <v>13126700</v>
      </c>
      <c r="M1488" s="73"/>
      <c r="N1488" s="73"/>
      <c r="O1488" s="73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14.25" customHeight="1" x14ac:dyDescent="0.35">
      <c r="A1489" s="9">
        <f t="shared" si="75"/>
        <v>1481</v>
      </c>
      <c r="B1489" s="15"/>
      <c r="C1489" s="11">
        <f t="shared" si="76"/>
        <v>1</v>
      </c>
      <c r="D1489" s="11"/>
      <c r="E1489" s="11"/>
      <c r="F1489" s="11"/>
      <c r="G1489" s="89">
        <f>IFERROR(VLOOKUP(F1489,COA!$A$1:$K$26,2,FALSE),0)</f>
        <v>0</v>
      </c>
      <c r="H1489" s="11"/>
      <c r="I1489" s="11"/>
      <c r="J1489" s="78"/>
      <c r="K1489" s="78"/>
      <c r="L1489" s="146">
        <f t="shared" si="77"/>
        <v>13126700</v>
      </c>
      <c r="M1489" s="73"/>
      <c r="N1489" s="73"/>
      <c r="O1489" s="73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14.25" customHeight="1" x14ac:dyDescent="0.35">
      <c r="A1490" s="9">
        <f t="shared" ref="A1490:A1553" si="78">A1489+1</f>
        <v>1482</v>
      </c>
      <c r="B1490" s="15"/>
      <c r="C1490" s="11">
        <f t="shared" si="76"/>
        <v>1</v>
      </c>
      <c r="D1490" s="11"/>
      <c r="E1490" s="11"/>
      <c r="F1490" s="11"/>
      <c r="G1490" s="89">
        <f>IFERROR(VLOOKUP(F1490,COA!$A$1:$K$26,2,FALSE),0)</f>
        <v>0</v>
      </c>
      <c r="H1490" s="11"/>
      <c r="I1490" s="11"/>
      <c r="J1490" s="78"/>
      <c r="K1490" s="78"/>
      <c r="L1490" s="146">
        <f t="shared" si="77"/>
        <v>13126700</v>
      </c>
      <c r="M1490" s="73"/>
      <c r="N1490" s="73"/>
      <c r="O1490" s="73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14.25" customHeight="1" x14ac:dyDescent="0.35">
      <c r="A1491" s="9">
        <f t="shared" si="78"/>
        <v>1483</v>
      </c>
      <c r="B1491" s="15"/>
      <c r="C1491" s="11">
        <f t="shared" si="76"/>
        <v>1</v>
      </c>
      <c r="D1491" s="11"/>
      <c r="E1491" s="11"/>
      <c r="F1491" s="11"/>
      <c r="G1491" s="89">
        <f>IFERROR(VLOOKUP(F1491,COA!$A$1:$K$26,2,FALSE),0)</f>
        <v>0</v>
      </c>
      <c r="H1491" s="11"/>
      <c r="I1491" s="11"/>
      <c r="J1491" s="78"/>
      <c r="K1491" s="78"/>
      <c r="L1491" s="146">
        <f t="shared" si="77"/>
        <v>13126700</v>
      </c>
      <c r="M1491" s="73"/>
      <c r="N1491" s="73"/>
      <c r="O1491" s="73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14.25" customHeight="1" x14ac:dyDescent="0.35">
      <c r="A1492" s="9">
        <f t="shared" si="78"/>
        <v>1484</v>
      </c>
      <c r="B1492" s="15"/>
      <c r="C1492" s="11">
        <f t="shared" si="76"/>
        <v>1</v>
      </c>
      <c r="D1492" s="11"/>
      <c r="E1492" s="11"/>
      <c r="F1492" s="11"/>
      <c r="G1492" s="89">
        <f>IFERROR(VLOOKUP(F1492,COA!$A$1:$K$26,2,FALSE),0)</f>
        <v>0</v>
      </c>
      <c r="H1492" s="11"/>
      <c r="I1492" s="11"/>
      <c r="J1492" s="78"/>
      <c r="K1492" s="78"/>
      <c r="L1492" s="146">
        <f t="shared" si="77"/>
        <v>13126700</v>
      </c>
      <c r="M1492" s="73"/>
      <c r="N1492" s="73"/>
      <c r="O1492" s="73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14.25" customHeight="1" x14ac:dyDescent="0.35">
      <c r="A1493" s="9">
        <f t="shared" si="78"/>
        <v>1485</v>
      </c>
      <c r="B1493" s="15"/>
      <c r="C1493" s="11">
        <f t="shared" si="76"/>
        <v>1</v>
      </c>
      <c r="D1493" s="11"/>
      <c r="E1493" s="11"/>
      <c r="F1493" s="11"/>
      <c r="G1493" s="89">
        <f>IFERROR(VLOOKUP(F1493,COA!$A$1:$K$26,2,FALSE),0)</f>
        <v>0</v>
      </c>
      <c r="H1493" s="11"/>
      <c r="I1493" s="11"/>
      <c r="J1493" s="78"/>
      <c r="K1493" s="78"/>
      <c r="L1493" s="146">
        <f t="shared" si="77"/>
        <v>13126700</v>
      </c>
      <c r="M1493" s="73"/>
      <c r="N1493" s="73"/>
      <c r="O1493" s="73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14.25" customHeight="1" x14ac:dyDescent="0.35">
      <c r="A1494" s="9">
        <f t="shared" si="78"/>
        <v>1486</v>
      </c>
      <c r="B1494" s="15"/>
      <c r="C1494" s="11">
        <f t="shared" si="76"/>
        <v>1</v>
      </c>
      <c r="D1494" s="11"/>
      <c r="E1494" s="11"/>
      <c r="F1494" s="11"/>
      <c r="G1494" s="89">
        <f>IFERROR(VLOOKUP(F1494,COA!$A$1:$K$26,2,FALSE),0)</f>
        <v>0</v>
      </c>
      <c r="H1494" s="11"/>
      <c r="I1494" s="11"/>
      <c r="J1494" s="78"/>
      <c r="K1494" s="78"/>
      <c r="L1494" s="146">
        <f t="shared" si="77"/>
        <v>13126700</v>
      </c>
      <c r="M1494" s="73"/>
      <c r="N1494" s="73"/>
      <c r="O1494" s="73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14.25" customHeight="1" x14ac:dyDescent="0.35">
      <c r="A1495" s="9">
        <f t="shared" si="78"/>
        <v>1487</v>
      </c>
      <c r="B1495" s="15"/>
      <c r="C1495" s="11">
        <f t="shared" si="76"/>
        <v>1</v>
      </c>
      <c r="D1495" s="11"/>
      <c r="E1495" s="11"/>
      <c r="F1495" s="11"/>
      <c r="G1495" s="89">
        <f>IFERROR(VLOOKUP(F1495,COA!$A$1:$K$26,2,FALSE),0)</f>
        <v>0</v>
      </c>
      <c r="H1495" s="11"/>
      <c r="I1495" s="11"/>
      <c r="J1495" s="78"/>
      <c r="K1495" s="78"/>
      <c r="L1495" s="146">
        <f t="shared" si="77"/>
        <v>13126700</v>
      </c>
      <c r="M1495" s="73"/>
      <c r="N1495" s="73"/>
      <c r="O1495" s="73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14.25" customHeight="1" x14ac:dyDescent="0.35">
      <c r="A1496" s="9">
        <f t="shared" si="78"/>
        <v>1488</v>
      </c>
      <c r="B1496" s="15"/>
      <c r="C1496" s="11">
        <f t="shared" si="76"/>
        <v>1</v>
      </c>
      <c r="D1496" s="11"/>
      <c r="E1496" s="11"/>
      <c r="F1496" s="11"/>
      <c r="G1496" s="89">
        <f>IFERROR(VLOOKUP(F1496,COA!$A$1:$K$26,2,FALSE),0)</f>
        <v>0</v>
      </c>
      <c r="H1496" s="11"/>
      <c r="I1496" s="11"/>
      <c r="J1496" s="78"/>
      <c r="K1496" s="78"/>
      <c r="L1496" s="146">
        <f t="shared" si="77"/>
        <v>13126700</v>
      </c>
      <c r="M1496" s="73"/>
      <c r="N1496" s="73"/>
      <c r="O1496" s="73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14.25" customHeight="1" x14ac:dyDescent="0.35">
      <c r="A1497" s="9">
        <f t="shared" si="78"/>
        <v>1489</v>
      </c>
      <c r="B1497" s="15"/>
      <c r="C1497" s="11">
        <f t="shared" si="76"/>
        <v>1</v>
      </c>
      <c r="D1497" s="11"/>
      <c r="E1497" s="11"/>
      <c r="F1497" s="11"/>
      <c r="G1497" s="89">
        <f>IFERROR(VLOOKUP(F1497,COA!$A$1:$K$26,2,FALSE),0)</f>
        <v>0</v>
      </c>
      <c r="H1497" s="11"/>
      <c r="I1497" s="11"/>
      <c r="J1497" s="78"/>
      <c r="K1497" s="78"/>
      <c r="L1497" s="146">
        <f t="shared" si="77"/>
        <v>13126700</v>
      </c>
      <c r="M1497" s="73"/>
      <c r="N1497" s="73"/>
      <c r="O1497" s="73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14.25" customHeight="1" x14ac:dyDescent="0.35">
      <c r="A1498" s="9">
        <f t="shared" si="78"/>
        <v>1490</v>
      </c>
      <c r="B1498" s="15"/>
      <c r="C1498" s="11">
        <f t="shared" si="76"/>
        <v>1</v>
      </c>
      <c r="D1498" s="11"/>
      <c r="E1498" s="11"/>
      <c r="F1498" s="11"/>
      <c r="G1498" s="89">
        <f>IFERROR(VLOOKUP(F1498,COA!$A$1:$K$26,2,FALSE),0)</f>
        <v>0</v>
      </c>
      <c r="H1498" s="11"/>
      <c r="I1498" s="11"/>
      <c r="J1498" s="78"/>
      <c r="K1498" s="78"/>
      <c r="L1498" s="146">
        <f t="shared" si="77"/>
        <v>13126700</v>
      </c>
      <c r="M1498" s="73"/>
      <c r="N1498" s="73"/>
      <c r="O1498" s="73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14.25" customHeight="1" x14ac:dyDescent="0.35">
      <c r="A1499" s="9">
        <f t="shared" si="78"/>
        <v>1491</v>
      </c>
      <c r="B1499" s="15"/>
      <c r="C1499" s="11">
        <f t="shared" si="76"/>
        <v>1</v>
      </c>
      <c r="D1499" s="11"/>
      <c r="E1499" s="11"/>
      <c r="F1499" s="11"/>
      <c r="G1499" s="89">
        <f>IFERROR(VLOOKUP(F1499,COA!$A$1:$K$26,2,FALSE),0)</f>
        <v>0</v>
      </c>
      <c r="H1499" s="11"/>
      <c r="I1499" s="11"/>
      <c r="J1499" s="78"/>
      <c r="K1499" s="78"/>
      <c r="L1499" s="146">
        <f t="shared" si="77"/>
        <v>13126700</v>
      </c>
      <c r="M1499" s="73"/>
      <c r="N1499" s="73"/>
      <c r="O1499" s="73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14.25" customHeight="1" x14ac:dyDescent="0.35">
      <c r="A1500" s="9">
        <f t="shared" si="78"/>
        <v>1492</v>
      </c>
      <c r="B1500" s="15"/>
      <c r="C1500" s="11">
        <f t="shared" si="76"/>
        <v>1</v>
      </c>
      <c r="D1500" s="11"/>
      <c r="E1500" s="11"/>
      <c r="F1500" s="11"/>
      <c r="G1500" s="89">
        <f>IFERROR(VLOOKUP(F1500,COA!$A$1:$K$26,2,FALSE),0)</f>
        <v>0</v>
      </c>
      <c r="H1500" s="11"/>
      <c r="I1500" s="11"/>
      <c r="J1500" s="78"/>
      <c r="K1500" s="78"/>
      <c r="L1500" s="146">
        <f t="shared" si="77"/>
        <v>13126700</v>
      </c>
      <c r="M1500" s="73"/>
      <c r="N1500" s="73"/>
      <c r="O1500" s="73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14.25" customHeight="1" x14ac:dyDescent="0.35">
      <c r="A1501" s="9">
        <f t="shared" si="78"/>
        <v>1493</v>
      </c>
      <c r="B1501" s="15"/>
      <c r="C1501" s="11">
        <f t="shared" si="76"/>
        <v>1</v>
      </c>
      <c r="D1501" s="11"/>
      <c r="E1501" s="11"/>
      <c r="F1501" s="11"/>
      <c r="G1501" s="89">
        <f>IFERROR(VLOOKUP(F1501,COA!$A$1:$K$26,2,FALSE),0)</f>
        <v>0</v>
      </c>
      <c r="H1501" s="11"/>
      <c r="I1501" s="11"/>
      <c r="J1501" s="78"/>
      <c r="K1501" s="78"/>
      <c r="L1501" s="146">
        <f t="shared" si="77"/>
        <v>13126700</v>
      </c>
      <c r="M1501" s="73"/>
      <c r="N1501" s="73"/>
      <c r="O1501" s="73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14.25" customHeight="1" x14ac:dyDescent="0.35">
      <c r="A1502" s="9">
        <f t="shared" si="78"/>
        <v>1494</v>
      </c>
      <c r="B1502" s="15"/>
      <c r="C1502" s="11">
        <f t="shared" si="76"/>
        <v>1</v>
      </c>
      <c r="D1502" s="11"/>
      <c r="E1502" s="11"/>
      <c r="F1502" s="11"/>
      <c r="G1502" s="89">
        <f>IFERROR(VLOOKUP(F1502,COA!$A$1:$K$26,2,FALSE),0)</f>
        <v>0</v>
      </c>
      <c r="H1502" s="11"/>
      <c r="I1502" s="11"/>
      <c r="J1502" s="78"/>
      <c r="K1502" s="78"/>
      <c r="L1502" s="146">
        <f t="shared" si="77"/>
        <v>13126700</v>
      </c>
      <c r="M1502" s="73"/>
      <c r="N1502" s="73"/>
      <c r="O1502" s="73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14.25" customHeight="1" x14ac:dyDescent="0.35">
      <c r="A1503" s="9">
        <f t="shared" si="78"/>
        <v>1495</v>
      </c>
      <c r="B1503" s="15"/>
      <c r="C1503" s="11">
        <f t="shared" si="76"/>
        <v>1</v>
      </c>
      <c r="D1503" s="11"/>
      <c r="E1503" s="11"/>
      <c r="F1503" s="11"/>
      <c r="G1503" s="89">
        <f>IFERROR(VLOOKUP(F1503,COA!$A$1:$K$26,2,FALSE),0)</f>
        <v>0</v>
      </c>
      <c r="H1503" s="11"/>
      <c r="I1503" s="11"/>
      <c r="J1503" s="78"/>
      <c r="K1503" s="78"/>
      <c r="L1503" s="146">
        <f t="shared" si="77"/>
        <v>13126700</v>
      </c>
      <c r="M1503" s="73"/>
      <c r="N1503" s="73"/>
      <c r="O1503" s="73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14.25" customHeight="1" x14ac:dyDescent="0.35">
      <c r="A1504" s="9">
        <f t="shared" si="78"/>
        <v>1496</v>
      </c>
      <c r="B1504" s="15"/>
      <c r="C1504" s="11">
        <f t="shared" si="76"/>
        <v>1</v>
      </c>
      <c r="D1504" s="11"/>
      <c r="E1504" s="11"/>
      <c r="F1504" s="11"/>
      <c r="G1504" s="89">
        <f>IFERROR(VLOOKUP(F1504,COA!$A$1:$K$26,2,FALSE),0)</f>
        <v>0</v>
      </c>
      <c r="H1504" s="11"/>
      <c r="I1504" s="11"/>
      <c r="J1504" s="78"/>
      <c r="K1504" s="78"/>
      <c r="L1504" s="146">
        <f t="shared" si="77"/>
        <v>13126700</v>
      </c>
      <c r="M1504" s="73"/>
      <c r="N1504" s="73"/>
      <c r="O1504" s="73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14.25" customHeight="1" x14ac:dyDescent="0.35">
      <c r="A1505" s="9">
        <f t="shared" si="78"/>
        <v>1497</v>
      </c>
      <c r="B1505" s="15"/>
      <c r="C1505" s="11">
        <f t="shared" si="76"/>
        <v>1</v>
      </c>
      <c r="D1505" s="11"/>
      <c r="E1505" s="11"/>
      <c r="F1505" s="11"/>
      <c r="G1505" s="89">
        <f>IFERROR(VLOOKUP(F1505,COA!$A$1:$K$26,2,FALSE),0)</f>
        <v>0</v>
      </c>
      <c r="H1505" s="11"/>
      <c r="I1505" s="11"/>
      <c r="J1505" s="78"/>
      <c r="K1505" s="78"/>
      <c r="L1505" s="146">
        <f t="shared" si="77"/>
        <v>13126700</v>
      </c>
      <c r="M1505" s="73"/>
      <c r="N1505" s="73"/>
      <c r="O1505" s="73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14.25" customHeight="1" x14ac:dyDescent="0.35">
      <c r="A1506" s="9">
        <f t="shared" si="78"/>
        <v>1498</v>
      </c>
      <c r="B1506" s="15"/>
      <c r="C1506" s="11">
        <f t="shared" si="76"/>
        <v>1</v>
      </c>
      <c r="D1506" s="11"/>
      <c r="E1506" s="11"/>
      <c r="F1506" s="11"/>
      <c r="G1506" s="89">
        <f>IFERROR(VLOOKUP(F1506,COA!$A$1:$K$26,2,FALSE),0)</f>
        <v>0</v>
      </c>
      <c r="H1506" s="11"/>
      <c r="I1506" s="11"/>
      <c r="J1506" s="78"/>
      <c r="K1506" s="78"/>
      <c r="L1506" s="146">
        <f t="shared" si="77"/>
        <v>13126700</v>
      </c>
      <c r="M1506" s="73"/>
      <c r="N1506" s="73"/>
      <c r="O1506" s="73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14.25" customHeight="1" x14ac:dyDescent="0.35">
      <c r="A1507" s="9">
        <f t="shared" si="78"/>
        <v>1499</v>
      </c>
      <c r="B1507" s="15"/>
      <c r="C1507" s="11">
        <f t="shared" si="76"/>
        <v>1</v>
      </c>
      <c r="D1507" s="11"/>
      <c r="E1507" s="11"/>
      <c r="F1507" s="11"/>
      <c r="G1507" s="89">
        <f>IFERROR(VLOOKUP(F1507,COA!$A$1:$K$26,2,FALSE),0)</f>
        <v>0</v>
      </c>
      <c r="H1507" s="11"/>
      <c r="I1507" s="11"/>
      <c r="J1507" s="78"/>
      <c r="K1507" s="78"/>
      <c r="L1507" s="146">
        <f t="shared" si="77"/>
        <v>13126700</v>
      </c>
      <c r="M1507" s="73"/>
      <c r="N1507" s="73"/>
      <c r="O1507" s="73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14.25" customHeight="1" x14ac:dyDescent="0.35">
      <c r="A1508" s="9">
        <f t="shared" si="78"/>
        <v>1500</v>
      </c>
      <c r="B1508" s="15"/>
      <c r="C1508" s="11">
        <f t="shared" ref="C1508:C1571" si="79">MONTH(B1508)</f>
        <v>1</v>
      </c>
      <c r="D1508" s="11"/>
      <c r="E1508" s="11"/>
      <c r="F1508" s="11"/>
      <c r="G1508" s="89">
        <f>IFERROR(VLOOKUP(F1508,COA!$A$1:$K$26,2,FALSE),0)</f>
        <v>0</v>
      </c>
      <c r="H1508" s="11"/>
      <c r="I1508" s="11"/>
      <c r="J1508" s="78"/>
      <c r="K1508" s="78"/>
      <c r="L1508" s="146">
        <f t="shared" si="77"/>
        <v>13126700</v>
      </c>
      <c r="M1508" s="73"/>
      <c r="N1508" s="73"/>
      <c r="O1508" s="73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14.25" customHeight="1" x14ac:dyDescent="0.35">
      <c r="A1509" s="9">
        <f t="shared" si="78"/>
        <v>1501</v>
      </c>
      <c r="B1509" s="15"/>
      <c r="C1509" s="11">
        <f t="shared" si="79"/>
        <v>1</v>
      </c>
      <c r="D1509" s="11"/>
      <c r="E1509" s="11"/>
      <c r="F1509" s="11"/>
      <c r="G1509" s="89">
        <f>IFERROR(VLOOKUP(F1509,COA!$A$1:$K$26,2,FALSE),0)</f>
        <v>0</v>
      </c>
      <c r="H1509" s="11"/>
      <c r="I1509" s="11"/>
      <c r="J1509" s="78"/>
      <c r="K1509" s="78"/>
      <c r="L1509" s="146">
        <f t="shared" si="77"/>
        <v>13126700</v>
      </c>
      <c r="M1509" s="73"/>
      <c r="N1509" s="73"/>
      <c r="O1509" s="73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14.25" customHeight="1" x14ac:dyDescent="0.35">
      <c r="A1510" s="9">
        <f t="shared" si="78"/>
        <v>1502</v>
      </c>
      <c r="B1510" s="15"/>
      <c r="C1510" s="11">
        <f t="shared" si="79"/>
        <v>1</v>
      </c>
      <c r="D1510" s="11"/>
      <c r="E1510" s="11"/>
      <c r="F1510" s="11"/>
      <c r="G1510" s="89">
        <f>IFERROR(VLOOKUP(F1510,COA!$A$1:$K$26,2,FALSE),0)</f>
        <v>0</v>
      </c>
      <c r="H1510" s="11"/>
      <c r="I1510" s="11"/>
      <c r="J1510" s="78"/>
      <c r="K1510" s="78"/>
      <c r="L1510" s="146">
        <f t="shared" si="77"/>
        <v>13126700</v>
      </c>
      <c r="M1510" s="73"/>
      <c r="N1510" s="73"/>
      <c r="O1510" s="73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14.25" customHeight="1" x14ac:dyDescent="0.35">
      <c r="A1511" s="9">
        <f t="shared" si="78"/>
        <v>1503</v>
      </c>
      <c r="B1511" s="15"/>
      <c r="C1511" s="11">
        <f t="shared" si="79"/>
        <v>1</v>
      </c>
      <c r="D1511" s="11"/>
      <c r="E1511" s="11"/>
      <c r="F1511" s="11"/>
      <c r="G1511" s="89">
        <f>IFERROR(VLOOKUP(F1511,COA!$A$1:$K$26,2,FALSE),0)</f>
        <v>0</v>
      </c>
      <c r="H1511" s="11"/>
      <c r="I1511" s="11"/>
      <c r="J1511" s="78"/>
      <c r="K1511" s="78"/>
      <c r="L1511" s="146">
        <f t="shared" si="77"/>
        <v>13126700</v>
      </c>
      <c r="M1511" s="73"/>
      <c r="N1511" s="73"/>
      <c r="O1511" s="73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14.25" customHeight="1" x14ac:dyDescent="0.35">
      <c r="A1512" s="9">
        <f t="shared" si="78"/>
        <v>1504</v>
      </c>
      <c r="B1512" s="15"/>
      <c r="C1512" s="11">
        <f t="shared" si="79"/>
        <v>1</v>
      </c>
      <c r="D1512" s="11"/>
      <c r="E1512" s="11"/>
      <c r="F1512" s="11"/>
      <c r="G1512" s="89">
        <f>IFERROR(VLOOKUP(F1512,COA!$A$1:$K$26,2,FALSE),0)</f>
        <v>0</v>
      </c>
      <c r="H1512" s="11"/>
      <c r="I1512" s="11"/>
      <c r="J1512" s="78"/>
      <c r="K1512" s="78"/>
      <c r="L1512" s="146">
        <f t="shared" si="77"/>
        <v>13126700</v>
      </c>
      <c r="M1512" s="73"/>
      <c r="N1512" s="73"/>
      <c r="O1512" s="73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14.25" customHeight="1" x14ac:dyDescent="0.35">
      <c r="A1513" s="9">
        <f t="shared" si="78"/>
        <v>1505</v>
      </c>
      <c r="B1513" s="15"/>
      <c r="C1513" s="11">
        <f t="shared" si="79"/>
        <v>1</v>
      </c>
      <c r="D1513" s="11"/>
      <c r="E1513" s="11"/>
      <c r="F1513" s="11"/>
      <c r="G1513" s="89">
        <f>IFERROR(VLOOKUP(F1513,COA!$A$1:$K$26,2,FALSE),0)</f>
        <v>0</v>
      </c>
      <c r="H1513" s="11"/>
      <c r="I1513" s="11"/>
      <c r="J1513" s="78"/>
      <c r="K1513" s="78"/>
      <c r="L1513" s="146">
        <f t="shared" si="77"/>
        <v>13126700</v>
      </c>
      <c r="M1513" s="73"/>
      <c r="N1513" s="73"/>
      <c r="O1513" s="73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14.25" customHeight="1" x14ac:dyDescent="0.35">
      <c r="A1514" s="9">
        <f t="shared" si="78"/>
        <v>1506</v>
      </c>
      <c r="B1514" s="15"/>
      <c r="C1514" s="11">
        <f t="shared" si="79"/>
        <v>1</v>
      </c>
      <c r="D1514" s="11"/>
      <c r="E1514" s="11"/>
      <c r="F1514" s="11"/>
      <c r="G1514" s="89">
        <f>IFERROR(VLOOKUP(F1514,COA!$A$1:$K$26,2,FALSE),0)</f>
        <v>0</v>
      </c>
      <c r="H1514" s="11"/>
      <c r="I1514" s="11"/>
      <c r="J1514" s="78"/>
      <c r="K1514" s="78"/>
      <c r="L1514" s="146">
        <f t="shared" si="77"/>
        <v>13126700</v>
      </c>
      <c r="M1514" s="73"/>
      <c r="N1514" s="73"/>
      <c r="O1514" s="73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14.25" customHeight="1" x14ac:dyDescent="0.35">
      <c r="A1515" s="9">
        <f t="shared" si="78"/>
        <v>1507</v>
      </c>
      <c r="B1515" s="15"/>
      <c r="C1515" s="11">
        <f t="shared" si="79"/>
        <v>1</v>
      </c>
      <c r="D1515" s="11"/>
      <c r="E1515" s="11"/>
      <c r="F1515" s="11"/>
      <c r="G1515" s="89">
        <f>IFERROR(VLOOKUP(F1515,COA!$A$1:$K$26,2,FALSE),0)</f>
        <v>0</v>
      </c>
      <c r="H1515" s="11"/>
      <c r="I1515" s="11"/>
      <c r="J1515" s="78"/>
      <c r="K1515" s="78"/>
      <c r="L1515" s="146">
        <f t="shared" si="77"/>
        <v>13126700</v>
      </c>
      <c r="M1515" s="73"/>
      <c r="N1515" s="73"/>
      <c r="O1515" s="73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14.25" customHeight="1" x14ac:dyDescent="0.35">
      <c r="A1516" s="9">
        <f t="shared" si="78"/>
        <v>1508</v>
      </c>
      <c r="B1516" s="15"/>
      <c r="C1516" s="11">
        <f t="shared" si="79"/>
        <v>1</v>
      </c>
      <c r="D1516" s="11"/>
      <c r="E1516" s="11"/>
      <c r="F1516" s="11"/>
      <c r="G1516" s="89">
        <f>IFERROR(VLOOKUP(F1516,COA!$A$1:$K$26,2,FALSE),0)</f>
        <v>0</v>
      </c>
      <c r="H1516" s="11"/>
      <c r="I1516" s="11"/>
      <c r="J1516" s="78"/>
      <c r="K1516" s="78"/>
      <c r="L1516" s="146">
        <f t="shared" si="77"/>
        <v>13126700</v>
      </c>
      <c r="M1516" s="73"/>
      <c r="N1516" s="73"/>
      <c r="O1516" s="73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14.25" customHeight="1" x14ac:dyDescent="0.35">
      <c r="A1517" s="9">
        <f t="shared" si="78"/>
        <v>1509</v>
      </c>
      <c r="B1517" s="15"/>
      <c r="C1517" s="11">
        <f t="shared" si="79"/>
        <v>1</v>
      </c>
      <c r="D1517" s="11"/>
      <c r="E1517" s="11"/>
      <c r="F1517" s="11"/>
      <c r="G1517" s="89">
        <f>IFERROR(VLOOKUP(F1517,COA!$A$1:$K$26,2,FALSE),0)</f>
        <v>0</v>
      </c>
      <c r="H1517" s="11"/>
      <c r="I1517" s="11"/>
      <c r="J1517" s="78"/>
      <c r="K1517" s="78"/>
      <c r="L1517" s="146">
        <f t="shared" si="77"/>
        <v>13126700</v>
      </c>
      <c r="M1517" s="73"/>
      <c r="N1517" s="73"/>
      <c r="O1517" s="73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14.25" customHeight="1" x14ac:dyDescent="0.35">
      <c r="A1518" s="9">
        <f t="shared" si="78"/>
        <v>1510</v>
      </c>
      <c r="B1518" s="15"/>
      <c r="C1518" s="11">
        <f t="shared" si="79"/>
        <v>1</v>
      </c>
      <c r="D1518" s="11"/>
      <c r="E1518" s="11"/>
      <c r="F1518" s="11"/>
      <c r="G1518" s="89">
        <f>IFERROR(VLOOKUP(F1518,COA!$A$1:$K$26,2,FALSE),0)</f>
        <v>0</v>
      </c>
      <c r="H1518" s="11"/>
      <c r="I1518" s="11"/>
      <c r="J1518" s="78"/>
      <c r="K1518" s="78"/>
      <c r="L1518" s="146">
        <f t="shared" si="77"/>
        <v>13126700</v>
      </c>
      <c r="M1518" s="73"/>
      <c r="N1518" s="73"/>
      <c r="O1518" s="73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14.25" customHeight="1" x14ac:dyDescent="0.35">
      <c r="A1519" s="9">
        <f t="shared" si="78"/>
        <v>1511</v>
      </c>
      <c r="B1519" s="15"/>
      <c r="C1519" s="11">
        <f t="shared" si="79"/>
        <v>1</v>
      </c>
      <c r="D1519" s="11"/>
      <c r="E1519" s="11"/>
      <c r="F1519" s="11"/>
      <c r="G1519" s="89">
        <f>IFERROR(VLOOKUP(F1519,COA!$A$1:$K$26,2,FALSE),0)</f>
        <v>0</v>
      </c>
      <c r="H1519" s="11"/>
      <c r="I1519" s="11"/>
      <c r="J1519" s="78"/>
      <c r="K1519" s="78"/>
      <c r="L1519" s="146">
        <f t="shared" si="77"/>
        <v>13126700</v>
      </c>
      <c r="M1519" s="73"/>
      <c r="N1519" s="73"/>
      <c r="O1519" s="73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14.25" customHeight="1" x14ac:dyDescent="0.35">
      <c r="A1520" s="9">
        <f t="shared" si="78"/>
        <v>1512</v>
      </c>
      <c r="B1520" s="15"/>
      <c r="C1520" s="11">
        <f t="shared" si="79"/>
        <v>1</v>
      </c>
      <c r="D1520" s="11"/>
      <c r="E1520" s="11"/>
      <c r="F1520" s="11"/>
      <c r="G1520" s="89">
        <f>IFERROR(VLOOKUP(F1520,COA!$A$1:$K$26,2,FALSE),0)</f>
        <v>0</v>
      </c>
      <c r="H1520" s="11"/>
      <c r="I1520" s="11"/>
      <c r="J1520" s="78"/>
      <c r="K1520" s="78"/>
      <c r="L1520" s="146">
        <f t="shared" si="77"/>
        <v>13126700</v>
      </c>
      <c r="M1520" s="73"/>
      <c r="N1520" s="73"/>
      <c r="O1520" s="73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14.25" customHeight="1" x14ac:dyDescent="0.35">
      <c r="A1521" s="9">
        <f t="shared" si="78"/>
        <v>1513</v>
      </c>
      <c r="B1521" s="15"/>
      <c r="C1521" s="11">
        <f t="shared" si="79"/>
        <v>1</v>
      </c>
      <c r="D1521" s="11"/>
      <c r="E1521" s="11"/>
      <c r="F1521" s="11"/>
      <c r="G1521" s="89">
        <f>IFERROR(VLOOKUP(F1521,COA!$A$1:$K$26,2,FALSE),0)</f>
        <v>0</v>
      </c>
      <c r="H1521" s="11"/>
      <c r="I1521" s="11"/>
      <c r="J1521" s="78"/>
      <c r="K1521" s="78"/>
      <c r="L1521" s="146">
        <f t="shared" si="77"/>
        <v>13126700</v>
      </c>
      <c r="M1521" s="73"/>
      <c r="N1521" s="73"/>
      <c r="O1521" s="73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14.25" customHeight="1" x14ac:dyDescent="0.35">
      <c r="A1522" s="9">
        <f t="shared" si="78"/>
        <v>1514</v>
      </c>
      <c r="B1522" s="15"/>
      <c r="C1522" s="11">
        <f t="shared" si="79"/>
        <v>1</v>
      </c>
      <c r="D1522" s="11"/>
      <c r="E1522" s="11"/>
      <c r="F1522" s="11"/>
      <c r="G1522" s="89">
        <f>IFERROR(VLOOKUP(F1522,COA!$A$1:$K$26,2,FALSE),0)</f>
        <v>0</v>
      </c>
      <c r="H1522" s="11"/>
      <c r="I1522" s="11"/>
      <c r="J1522" s="78"/>
      <c r="K1522" s="78"/>
      <c r="L1522" s="146">
        <f t="shared" si="77"/>
        <v>13126700</v>
      </c>
      <c r="M1522" s="73"/>
      <c r="N1522" s="73"/>
      <c r="O1522" s="73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14.25" customHeight="1" x14ac:dyDescent="0.35">
      <c r="A1523" s="9">
        <f t="shared" si="78"/>
        <v>1515</v>
      </c>
      <c r="B1523" s="15"/>
      <c r="C1523" s="11">
        <f t="shared" si="79"/>
        <v>1</v>
      </c>
      <c r="D1523" s="11"/>
      <c r="E1523" s="11"/>
      <c r="F1523" s="11"/>
      <c r="G1523" s="89">
        <f>IFERROR(VLOOKUP(F1523,COA!$A$1:$K$26,2,FALSE),0)</f>
        <v>0</v>
      </c>
      <c r="H1523" s="11"/>
      <c r="I1523" s="11"/>
      <c r="J1523" s="78"/>
      <c r="K1523" s="78"/>
      <c r="L1523" s="146">
        <f t="shared" si="77"/>
        <v>13126700</v>
      </c>
      <c r="M1523" s="73"/>
      <c r="N1523" s="73"/>
      <c r="O1523" s="73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14.25" customHeight="1" x14ac:dyDescent="0.35">
      <c r="A1524" s="9">
        <f t="shared" si="78"/>
        <v>1516</v>
      </c>
      <c r="B1524" s="15"/>
      <c r="C1524" s="11">
        <f t="shared" si="79"/>
        <v>1</v>
      </c>
      <c r="D1524" s="11"/>
      <c r="E1524" s="11"/>
      <c r="F1524" s="11"/>
      <c r="G1524" s="89">
        <f>IFERROR(VLOOKUP(F1524,COA!$A$1:$K$26,2,FALSE),0)</f>
        <v>0</v>
      </c>
      <c r="H1524" s="11"/>
      <c r="I1524" s="11"/>
      <c r="J1524" s="78"/>
      <c r="K1524" s="78"/>
      <c r="L1524" s="146">
        <f t="shared" si="77"/>
        <v>13126700</v>
      </c>
      <c r="M1524" s="73"/>
      <c r="N1524" s="73"/>
      <c r="O1524" s="73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14.25" customHeight="1" x14ac:dyDescent="0.35">
      <c r="A1525" s="9">
        <f t="shared" si="78"/>
        <v>1517</v>
      </c>
      <c r="B1525" s="15"/>
      <c r="C1525" s="11">
        <f t="shared" si="79"/>
        <v>1</v>
      </c>
      <c r="D1525" s="11"/>
      <c r="E1525" s="11"/>
      <c r="F1525" s="11"/>
      <c r="G1525" s="89">
        <f>IFERROR(VLOOKUP(F1525,COA!$A$1:$K$26,2,FALSE),0)</f>
        <v>0</v>
      </c>
      <c r="H1525" s="11"/>
      <c r="I1525" s="11"/>
      <c r="J1525" s="78"/>
      <c r="K1525" s="78"/>
      <c r="L1525" s="146">
        <f t="shared" si="77"/>
        <v>13126700</v>
      </c>
      <c r="M1525" s="73"/>
      <c r="N1525" s="73"/>
      <c r="O1525" s="73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14.25" customHeight="1" x14ac:dyDescent="0.35">
      <c r="A1526" s="9">
        <f t="shared" si="78"/>
        <v>1518</v>
      </c>
      <c r="B1526" s="15"/>
      <c r="C1526" s="11">
        <f t="shared" si="79"/>
        <v>1</v>
      </c>
      <c r="D1526" s="11"/>
      <c r="E1526" s="11"/>
      <c r="F1526" s="11"/>
      <c r="G1526" s="89">
        <f>IFERROR(VLOOKUP(F1526,COA!$A$1:$K$26,2,FALSE),0)</f>
        <v>0</v>
      </c>
      <c r="H1526" s="11"/>
      <c r="I1526" s="11"/>
      <c r="J1526" s="78"/>
      <c r="K1526" s="78"/>
      <c r="L1526" s="146">
        <f t="shared" si="77"/>
        <v>13126700</v>
      </c>
      <c r="M1526" s="73"/>
      <c r="N1526" s="73"/>
      <c r="O1526" s="73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14.25" customHeight="1" x14ac:dyDescent="0.35">
      <c r="A1527" s="9">
        <f t="shared" si="78"/>
        <v>1519</v>
      </c>
      <c r="B1527" s="15"/>
      <c r="C1527" s="11">
        <f t="shared" si="79"/>
        <v>1</v>
      </c>
      <c r="D1527" s="11"/>
      <c r="E1527" s="11"/>
      <c r="F1527" s="11"/>
      <c r="G1527" s="89">
        <f>IFERROR(VLOOKUP(F1527,COA!$A$1:$K$26,2,FALSE),0)</f>
        <v>0</v>
      </c>
      <c r="H1527" s="11"/>
      <c r="I1527" s="11"/>
      <c r="J1527" s="78"/>
      <c r="K1527" s="78"/>
      <c r="L1527" s="146">
        <f t="shared" si="77"/>
        <v>13126700</v>
      </c>
      <c r="M1527" s="73"/>
      <c r="N1527" s="73"/>
      <c r="O1527" s="73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14.25" customHeight="1" x14ac:dyDescent="0.35">
      <c r="A1528" s="9">
        <f t="shared" si="78"/>
        <v>1520</v>
      </c>
      <c r="B1528" s="15"/>
      <c r="C1528" s="11">
        <f t="shared" si="79"/>
        <v>1</v>
      </c>
      <c r="D1528" s="11"/>
      <c r="E1528" s="11"/>
      <c r="F1528" s="11"/>
      <c r="G1528" s="89">
        <f>IFERROR(VLOOKUP(F1528,COA!$A$1:$K$26,2,FALSE),0)</f>
        <v>0</v>
      </c>
      <c r="H1528" s="11"/>
      <c r="I1528" s="11"/>
      <c r="J1528" s="78"/>
      <c r="K1528" s="78"/>
      <c r="L1528" s="146">
        <f t="shared" si="77"/>
        <v>13126700</v>
      </c>
      <c r="M1528" s="73"/>
      <c r="N1528" s="73"/>
      <c r="O1528" s="73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14.25" customHeight="1" x14ac:dyDescent="0.35">
      <c r="A1529" s="9">
        <f t="shared" si="78"/>
        <v>1521</v>
      </c>
      <c r="B1529" s="15"/>
      <c r="C1529" s="11">
        <f t="shared" si="79"/>
        <v>1</v>
      </c>
      <c r="D1529" s="11"/>
      <c r="E1529" s="11"/>
      <c r="F1529" s="11"/>
      <c r="G1529" s="89">
        <f>IFERROR(VLOOKUP(F1529,COA!$A$1:$K$26,2,FALSE),0)</f>
        <v>0</v>
      </c>
      <c r="H1529" s="11"/>
      <c r="I1529" s="11"/>
      <c r="J1529" s="78"/>
      <c r="K1529" s="78"/>
      <c r="L1529" s="146">
        <f t="shared" si="77"/>
        <v>13126700</v>
      </c>
      <c r="M1529" s="73"/>
      <c r="N1529" s="73"/>
      <c r="O1529" s="73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14.25" customHeight="1" x14ac:dyDescent="0.35">
      <c r="A1530" s="9">
        <f t="shared" si="78"/>
        <v>1522</v>
      </c>
      <c r="B1530" s="15"/>
      <c r="C1530" s="11">
        <f t="shared" si="79"/>
        <v>1</v>
      </c>
      <c r="D1530" s="11"/>
      <c r="E1530" s="11"/>
      <c r="F1530" s="11"/>
      <c r="G1530" s="89">
        <f>IFERROR(VLOOKUP(F1530,COA!$A$1:$K$26,2,FALSE),0)</f>
        <v>0</v>
      </c>
      <c r="H1530" s="11"/>
      <c r="I1530" s="11"/>
      <c r="J1530" s="78"/>
      <c r="K1530" s="78"/>
      <c r="L1530" s="146">
        <f t="shared" si="77"/>
        <v>13126700</v>
      </c>
      <c r="M1530" s="73"/>
      <c r="N1530" s="73"/>
      <c r="O1530" s="73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14.25" customHeight="1" x14ac:dyDescent="0.35">
      <c r="A1531" s="9">
        <f t="shared" si="78"/>
        <v>1523</v>
      </c>
      <c r="B1531" s="15"/>
      <c r="C1531" s="11">
        <f t="shared" si="79"/>
        <v>1</v>
      </c>
      <c r="D1531" s="11"/>
      <c r="E1531" s="11"/>
      <c r="F1531" s="11"/>
      <c r="G1531" s="89">
        <f>IFERROR(VLOOKUP(F1531,COA!$A$1:$K$26,2,FALSE),0)</f>
        <v>0</v>
      </c>
      <c r="H1531" s="11"/>
      <c r="I1531" s="11"/>
      <c r="J1531" s="78"/>
      <c r="K1531" s="78"/>
      <c r="L1531" s="146">
        <f t="shared" si="77"/>
        <v>13126700</v>
      </c>
      <c r="M1531" s="73"/>
      <c r="N1531" s="73"/>
      <c r="O1531" s="73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14.25" customHeight="1" x14ac:dyDescent="0.35">
      <c r="A1532" s="9">
        <f t="shared" si="78"/>
        <v>1524</v>
      </c>
      <c r="B1532" s="15"/>
      <c r="C1532" s="11">
        <f t="shared" si="79"/>
        <v>1</v>
      </c>
      <c r="D1532" s="11"/>
      <c r="E1532" s="11"/>
      <c r="F1532" s="11"/>
      <c r="G1532" s="89">
        <f>IFERROR(VLOOKUP(F1532,COA!$A$1:$K$26,2,FALSE),0)</f>
        <v>0</v>
      </c>
      <c r="H1532" s="11"/>
      <c r="I1532" s="11"/>
      <c r="J1532" s="78"/>
      <c r="K1532" s="78"/>
      <c r="L1532" s="146">
        <f t="shared" si="77"/>
        <v>13126700</v>
      </c>
      <c r="M1532" s="73"/>
      <c r="N1532" s="73"/>
      <c r="O1532" s="73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14.25" customHeight="1" x14ac:dyDescent="0.35">
      <c r="A1533" s="9">
        <f t="shared" si="78"/>
        <v>1525</v>
      </c>
      <c r="B1533" s="15"/>
      <c r="C1533" s="11">
        <f t="shared" si="79"/>
        <v>1</v>
      </c>
      <c r="D1533" s="11"/>
      <c r="E1533" s="11"/>
      <c r="F1533" s="11"/>
      <c r="G1533" s="89">
        <f>IFERROR(VLOOKUP(F1533,COA!$A$1:$K$26,2,FALSE),0)</f>
        <v>0</v>
      </c>
      <c r="H1533" s="11"/>
      <c r="I1533" s="11"/>
      <c r="J1533" s="78"/>
      <c r="K1533" s="78"/>
      <c r="L1533" s="146">
        <f t="shared" si="77"/>
        <v>13126700</v>
      </c>
      <c r="M1533" s="73"/>
      <c r="N1533" s="73"/>
      <c r="O1533" s="73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14.25" customHeight="1" x14ac:dyDescent="0.35">
      <c r="A1534" s="9">
        <f t="shared" si="78"/>
        <v>1526</v>
      </c>
      <c r="B1534" s="15"/>
      <c r="C1534" s="11">
        <f t="shared" si="79"/>
        <v>1</v>
      </c>
      <c r="D1534" s="11"/>
      <c r="E1534" s="11"/>
      <c r="F1534" s="11"/>
      <c r="G1534" s="89">
        <f>IFERROR(VLOOKUP(F1534,COA!$A$1:$K$26,2,FALSE),0)</f>
        <v>0</v>
      </c>
      <c r="H1534" s="11"/>
      <c r="I1534" s="11"/>
      <c r="J1534" s="78"/>
      <c r="K1534" s="78"/>
      <c r="L1534" s="146">
        <f t="shared" si="77"/>
        <v>13126700</v>
      </c>
      <c r="M1534" s="73"/>
      <c r="N1534" s="73"/>
      <c r="O1534" s="73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14.25" customHeight="1" x14ac:dyDescent="0.35">
      <c r="A1535" s="9">
        <f t="shared" si="78"/>
        <v>1527</v>
      </c>
      <c r="B1535" s="15"/>
      <c r="C1535" s="11">
        <f t="shared" si="79"/>
        <v>1</v>
      </c>
      <c r="D1535" s="11"/>
      <c r="E1535" s="11"/>
      <c r="F1535" s="11"/>
      <c r="G1535" s="89">
        <f>IFERROR(VLOOKUP(F1535,COA!$A$1:$K$26,2,FALSE),0)</f>
        <v>0</v>
      </c>
      <c r="H1535" s="11"/>
      <c r="I1535" s="11"/>
      <c r="J1535" s="78"/>
      <c r="K1535" s="78"/>
      <c r="L1535" s="146">
        <f t="shared" si="77"/>
        <v>13126700</v>
      </c>
      <c r="M1535" s="73"/>
      <c r="N1535" s="73"/>
      <c r="O1535" s="73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14.25" customHeight="1" x14ac:dyDescent="0.35">
      <c r="A1536" s="9">
        <f t="shared" si="78"/>
        <v>1528</v>
      </c>
      <c r="B1536" s="15"/>
      <c r="C1536" s="11">
        <f t="shared" si="79"/>
        <v>1</v>
      </c>
      <c r="D1536" s="11"/>
      <c r="E1536" s="11"/>
      <c r="F1536" s="11"/>
      <c r="G1536" s="89">
        <f>IFERROR(VLOOKUP(F1536,COA!$A$1:$K$26,2,FALSE),0)</f>
        <v>0</v>
      </c>
      <c r="H1536" s="11"/>
      <c r="I1536" s="11"/>
      <c r="J1536" s="78"/>
      <c r="K1536" s="78"/>
      <c r="L1536" s="146">
        <f t="shared" si="77"/>
        <v>13126700</v>
      </c>
      <c r="M1536" s="73"/>
      <c r="N1536" s="73"/>
      <c r="O1536" s="73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14.25" customHeight="1" x14ac:dyDescent="0.35">
      <c r="A1537" s="9">
        <f t="shared" si="78"/>
        <v>1529</v>
      </c>
      <c r="B1537" s="15"/>
      <c r="C1537" s="11">
        <f t="shared" si="79"/>
        <v>1</v>
      </c>
      <c r="D1537" s="11"/>
      <c r="E1537" s="11"/>
      <c r="F1537" s="11"/>
      <c r="G1537" s="89">
        <f>IFERROR(VLOOKUP(F1537,COA!$A$1:$K$26,2,FALSE),0)</f>
        <v>0</v>
      </c>
      <c r="H1537" s="11"/>
      <c r="I1537" s="11"/>
      <c r="J1537" s="78"/>
      <c r="K1537" s="78"/>
      <c r="L1537" s="146">
        <f t="shared" si="77"/>
        <v>13126700</v>
      </c>
      <c r="M1537" s="73"/>
      <c r="N1537" s="73"/>
      <c r="O1537" s="73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14.25" customHeight="1" x14ac:dyDescent="0.35">
      <c r="A1538" s="9">
        <f t="shared" si="78"/>
        <v>1530</v>
      </c>
      <c r="B1538" s="15"/>
      <c r="C1538" s="11">
        <f t="shared" si="79"/>
        <v>1</v>
      </c>
      <c r="D1538" s="11"/>
      <c r="E1538" s="11"/>
      <c r="F1538" s="11"/>
      <c r="G1538" s="89">
        <f>IFERROR(VLOOKUP(F1538,COA!$A$1:$K$26,2,FALSE),0)</f>
        <v>0</v>
      </c>
      <c r="H1538" s="11"/>
      <c r="I1538" s="11"/>
      <c r="J1538" s="78"/>
      <c r="K1538" s="78"/>
      <c r="L1538" s="146">
        <f t="shared" si="77"/>
        <v>13126700</v>
      </c>
      <c r="M1538" s="73"/>
      <c r="N1538" s="73"/>
      <c r="O1538" s="73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14.25" customHeight="1" x14ac:dyDescent="0.35">
      <c r="A1539" s="9">
        <f t="shared" si="78"/>
        <v>1531</v>
      </c>
      <c r="B1539" s="15"/>
      <c r="C1539" s="11">
        <f t="shared" si="79"/>
        <v>1</v>
      </c>
      <c r="D1539" s="11"/>
      <c r="E1539" s="11"/>
      <c r="F1539" s="11"/>
      <c r="G1539" s="89">
        <f>IFERROR(VLOOKUP(F1539,COA!$A$1:$K$26,2,FALSE),0)</f>
        <v>0</v>
      </c>
      <c r="H1539" s="11"/>
      <c r="I1539" s="11"/>
      <c r="J1539" s="78"/>
      <c r="K1539" s="78"/>
      <c r="L1539" s="146">
        <f t="shared" si="77"/>
        <v>13126700</v>
      </c>
      <c r="M1539" s="73"/>
      <c r="N1539" s="73"/>
      <c r="O1539" s="73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14.25" customHeight="1" x14ac:dyDescent="0.35">
      <c r="A1540" s="9">
        <f t="shared" si="78"/>
        <v>1532</v>
      </c>
      <c r="B1540" s="15"/>
      <c r="C1540" s="11">
        <f t="shared" si="79"/>
        <v>1</v>
      </c>
      <c r="D1540" s="11"/>
      <c r="E1540" s="11"/>
      <c r="F1540" s="11"/>
      <c r="G1540" s="89">
        <f>IFERROR(VLOOKUP(F1540,COA!$A$1:$K$26,2,FALSE),0)</f>
        <v>0</v>
      </c>
      <c r="H1540" s="11"/>
      <c r="I1540" s="11"/>
      <c r="J1540" s="78"/>
      <c r="K1540" s="78"/>
      <c r="L1540" s="146">
        <f t="shared" si="77"/>
        <v>13126700</v>
      </c>
      <c r="M1540" s="73"/>
      <c r="N1540" s="73"/>
      <c r="O1540" s="73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14.25" customHeight="1" x14ac:dyDescent="0.35">
      <c r="A1541" s="9">
        <f t="shared" si="78"/>
        <v>1533</v>
      </c>
      <c r="B1541" s="15"/>
      <c r="C1541" s="11">
        <f t="shared" si="79"/>
        <v>1</v>
      </c>
      <c r="D1541" s="11"/>
      <c r="E1541" s="11"/>
      <c r="F1541" s="11"/>
      <c r="G1541" s="89">
        <f>IFERROR(VLOOKUP(F1541,COA!$A$1:$K$26,2,FALSE),0)</f>
        <v>0</v>
      </c>
      <c r="H1541" s="11"/>
      <c r="I1541" s="11"/>
      <c r="J1541" s="78"/>
      <c r="K1541" s="78"/>
      <c r="L1541" s="146">
        <f t="shared" si="77"/>
        <v>13126700</v>
      </c>
      <c r="M1541" s="73"/>
      <c r="N1541" s="73"/>
      <c r="O1541" s="73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14.25" customHeight="1" x14ac:dyDescent="0.35">
      <c r="A1542" s="9">
        <f t="shared" si="78"/>
        <v>1534</v>
      </c>
      <c r="B1542" s="15"/>
      <c r="C1542" s="11">
        <f t="shared" si="79"/>
        <v>1</v>
      </c>
      <c r="D1542" s="11"/>
      <c r="E1542" s="11"/>
      <c r="F1542" s="11"/>
      <c r="G1542" s="89">
        <f>IFERROR(VLOOKUP(F1542,COA!$A$1:$K$26,2,FALSE),0)</f>
        <v>0</v>
      </c>
      <c r="H1542" s="11"/>
      <c r="I1542" s="11"/>
      <c r="J1542" s="78"/>
      <c r="K1542" s="78"/>
      <c r="L1542" s="146">
        <f t="shared" si="77"/>
        <v>13126700</v>
      </c>
      <c r="M1542" s="73"/>
      <c r="N1542" s="73"/>
      <c r="O1542" s="73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14.25" customHeight="1" x14ac:dyDescent="0.35">
      <c r="A1543" s="9">
        <f t="shared" si="78"/>
        <v>1535</v>
      </c>
      <c r="B1543" s="15"/>
      <c r="C1543" s="11">
        <f t="shared" si="79"/>
        <v>1</v>
      </c>
      <c r="D1543" s="11"/>
      <c r="E1543" s="11"/>
      <c r="F1543" s="11"/>
      <c r="G1543" s="89">
        <f>IFERROR(VLOOKUP(F1543,COA!$A$1:$K$26,2,FALSE),0)</f>
        <v>0</v>
      </c>
      <c r="H1543" s="11"/>
      <c r="I1543" s="11"/>
      <c r="J1543" s="78"/>
      <c r="K1543" s="78"/>
      <c r="L1543" s="146">
        <f t="shared" si="77"/>
        <v>13126700</v>
      </c>
      <c r="M1543" s="73"/>
      <c r="N1543" s="73"/>
      <c r="O1543" s="73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14.25" customHeight="1" x14ac:dyDescent="0.35">
      <c r="A1544" s="9">
        <f t="shared" si="78"/>
        <v>1536</v>
      </c>
      <c r="B1544" s="15"/>
      <c r="C1544" s="11">
        <f t="shared" si="79"/>
        <v>1</v>
      </c>
      <c r="D1544" s="11"/>
      <c r="E1544" s="11"/>
      <c r="F1544" s="11"/>
      <c r="G1544" s="89">
        <f>IFERROR(VLOOKUP(F1544,COA!$A$1:$K$26,2,FALSE),0)</f>
        <v>0</v>
      </c>
      <c r="H1544" s="11"/>
      <c r="I1544" s="11"/>
      <c r="J1544" s="78"/>
      <c r="K1544" s="78"/>
      <c r="L1544" s="146">
        <f t="shared" si="77"/>
        <v>13126700</v>
      </c>
      <c r="M1544" s="73"/>
      <c r="N1544" s="73"/>
      <c r="O1544" s="73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14.25" customHeight="1" x14ac:dyDescent="0.35">
      <c r="A1545" s="9">
        <f t="shared" si="78"/>
        <v>1537</v>
      </c>
      <c r="B1545" s="15"/>
      <c r="C1545" s="11">
        <f t="shared" si="79"/>
        <v>1</v>
      </c>
      <c r="D1545" s="11"/>
      <c r="E1545" s="11"/>
      <c r="F1545" s="11"/>
      <c r="G1545" s="89">
        <f>IFERROR(VLOOKUP(F1545,COA!$A$1:$K$26,2,FALSE),0)</f>
        <v>0</v>
      </c>
      <c r="H1545" s="11"/>
      <c r="I1545" s="11"/>
      <c r="J1545" s="78"/>
      <c r="K1545" s="78"/>
      <c r="L1545" s="146">
        <f t="shared" si="77"/>
        <v>13126700</v>
      </c>
      <c r="M1545" s="73"/>
      <c r="N1545" s="73"/>
      <c r="O1545" s="73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14.25" customHeight="1" x14ac:dyDescent="0.35">
      <c r="A1546" s="9">
        <f t="shared" si="78"/>
        <v>1538</v>
      </c>
      <c r="B1546" s="15"/>
      <c r="C1546" s="11">
        <f t="shared" si="79"/>
        <v>1</v>
      </c>
      <c r="D1546" s="11"/>
      <c r="E1546" s="11"/>
      <c r="F1546" s="11"/>
      <c r="G1546" s="89">
        <f>IFERROR(VLOOKUP(F1546,COA!$A$1:$K$26,2,FALSE),0)</f>
        <v>0</v>
      </c>
      <c r="H1546" s="11"/>
      <c r="I1546" s="11"/>
      <c r="J1546" s="78"/>
      <c r="K1546" s="78"/>
      <c r="L1546" s="146">
        <f t="shared" si="77"/>
        <v>13126700</v>
      </c>
      <c r="M1546" s="73"/>
      <c r="N1546" s="73"/>
      <c r="O1546" s="73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14.25" customHeight="1" x14ac:dyDescent="0.35">
      <c r="A1547" s="9">
        <f t="shared" si="78"/>
        <v>1539</v>
      </c>
      <c r="B1547" s="15"/>
      <c r="C1547" s="11">
        <f t="shared" si="79"/>
        <v>1</v>
      </c>
      <c r="D1547" s="11"/>
      <c r="E1547" s="11"/>
      <c r="F1547" s="11"/>
      <c r="G1547" s="89">
        <f>IFERROR(VLOOKUP(F1547,COA!$A$1:$K$26,2,FALSE),0)</f>
        <v>0</v>
      </c>
      <c r="H1547" s="11"/>
      <c r="I1547" s="11"/>
      <c r="J1547" s="78"/>
      <c r="K1547" s="78"/>
      <c r="L1547" s="146">
        <f t="shared" si="77"/>
        <v>13126700</v>
      </c>
      <c r="M1547" s="73"/>
      <c r="N1547" s="73"/>
      <c r="O1547" s="73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14.25" customHeight="1" x14ac:dyDescent="0.35">
      <c r="A1548" s="9">
        <f t="shared" si="78"/>
        <v>1540</v>
      </c>
      <c r="B1548" s="15"/>
      <c r="C1548" s="11">
        <f t="shared" si="79"/>
        <v>1</v>
      </c>
      <c r="D1548" s="11"/>
      <c r="E1548" s="11"/>
      <c r="F1548" s="11"/>
      <c r="G1548" s="89">
        <f>IFERROR(VLOOKUP(F1548,COA!$A$1:$K$26,2,FALSE),0)</f>
        <v>0</v>
      </c>
      <c r="H1548" s="11"/>
      <c r="I1548" s="11"/>
      <c r="J1548" s="78"/>
      <c r="K1548" s="78"/>
      <c r="L1548" s="146">
        <f t="shared" si="77"/>
        <v>13126700</v>
      </c>
      <c r="M1548" s="73"/>
      <c r="N1548" s="73"/>
      <c r="O1548" s="73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14.25" customHeight="1" x14ac:dyDescent="0.35">
      <c r="A1549" s="9">
        <f t="shared" si="78"/>
        <v>1541</v>
      </c>
      <c r="B1549" s="15"/>
      <c r="C1549" s="11">
        <f t="shared" si="79"/>
        <v>1</v>
      </c>
      <c r="D1549" s="11"/>
      <c r="E1549" s="11"/>
      <c r="F1549" s="11"/>
      <c r="G1549" s="89">
        <f>IFERROR(VLOOKUP(F1549,COA!$A$1:$K$26,2,FALSE),0)</f>
        <v>0</v>
      </c>
      <c r="H1549" s="11"/>
      <c r="I1549" s="11"/>
      <c r="J1549" s="78"/>
      <c r="K1549" s="78"/>
      <c r="L1549" s="146">
        <f t="shared" si="77"/>
        <v>13126700</v>
      </c>
      <c r="M1549" s="73"/>
      <c r="N1549" s="73"/>
      <c r="O1549" s="73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14.25" customHeight="1" x14ac:dyDescent="0.35">
      <c r="A1550" s="9">
        <f t="shared" si="78"/>
        <v>1542</v>
      </c>
      <c r="B1550" s="15"/>
      <c r="C1550" s="11">
        <f t="shared" si="79"/>
        <v>1</v>
      </c>
      <c r="D1550" s="11"/>
      <c r="E1550" s="11"/>
      <c r="F1550" s="11"/>
      <c r="G1550" s="89">
        <f>IFERROR(VLOOKUP(F1550,COA!$A$1:$K$26,2,FALSE),0)</f>
        <v>0</v>
      </c>
      <c r="H1550" s="11"/>
      <c r="I1550" s="11"/>
      <c r="J1550" s="78"/>
      <c r="K1550" s="78"/>
      <c r="L1550" s="146">
        <f t="shared" si="77"/>
        <v>13126700</v>
      </c>
      <c r="M1550" s="73"/>
      <c r="N1550" s="73"/>
      <c r="O1550" s="73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14.25" customHeight="1" x14ac:dyDescent="0.35">
      <c r="A1551" s="9">
        <f t="shared" si="78"/>
        <v>1543</v>
      </c>
      <c r="B1551" s="15"/>
      <c r="C1551" s="11">
        <f t="shared" si="79"/>
        <v>1</v>
      </c>
      <c r="D1551" s="11"/>
      <c r="E1551" s="11"/>
      <c r="F1551" s="11"/>
      <c r="G1551" s="89">
        <f>IFERROR(VLOOKUP(F1551,COA!$A$1:$K$26,2,FALSE),0)</f>
        <v>0</v>
      </c>
      <c r="H1551" s="11"/>
      <c r="I1551" s="11"/>
      <c r="J1551" s="78"/>
      <c r="K1551" s="78"/>
      <c r="L1551" s="146">
        <f t="shared" si="77"/>
        <v>13126700</v>
      </c>
      <c r="M1551" s="73"/>
      <c r="N1551" s="73"/>
      <c r="O1551" s="73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14.25" customHeight="1" x14ac:dyDescent="0.35">
      <c r="A1552" s="9">
        <f t="shared" si="78"/>
        <v>1544</v>
      </c>
      <c r="B1552" s="15"/>
      <c r="C1552" s="11">
        <f t="shared" si="79"/>
        <v>1</v>
      </c>
      <c r="D1552" s="11"/>
      <c r="E1552" s="11"/>
      <c r="F1552" s="11"/>
      <c r="G1552" s="89">
        <f>IFERROR(VLOOKUP(F1552,COA!$A$1:$K$26,2,FALSE),0)</f>
        <v>0</v>
      </c>
      <c r="H1552" s="11"/>
      <c r="I1552" s="11"/>
      <c r="J1552" s="78"/>
      <c r="K1552" s="78"/>
      <c r="L1552" s="146">
        <f t="shared" ref="L1552:L1615" si="80">L1551+J1552-K1552</f>
        <v>13126700</v>
      </c>
      <c r="M1552" s="73"/>
      <c r="N1552" s="73"/>
      <c r="O1552" s="73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14.25" customHeight="1" x14ac:dyDescent="0.35">
      <c r="A1553" s="9">
        <f t="shared" si="78"/>
        <v>1545</v>
      </c>
      <c r="B1553" s="15"/>
      <c r="C1553" s="11">
        <f t="shared" si="79"/>
        <v>1</v>
      </c>
      <c r="D1553" s="11"/>
      <c r="E1553" s="11"/>
      <c r="F1553" s="11"/>
      <c r="G1553" s="89">
        <f>IFERROR(VLOOKUP(F1553,COA!$A$1:$K$26,2,FALSE),0)</f>
        <v>0</v>
      </c>
      <c r="H1553" s="11"/>
      <c r="I1553" s="11"/>
      <c r="J1553" s="78"/>
      <c r="K1553" s="78"/>
      <c r="L1553" s="146">
        <f t="shared" si="80"/>
        <v>13126700</v>
      </c>
      <c r="M1553" s="73"/>
      <c r="N1553" s="73"/>
      <c r="O1553" s="73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14.25" customHeight="1" x14ac:dyDescent="0.35">
      <c r="A1554" s="9">
        <f t="shared" ref="A1554:A1617" si="81">A1553+1</f>
        <v>1546</v>
      </c>
      <c r="B1554" s="15"/>
      <c r="C1554" s="11">
        <f t="shared" si="79"/>
        <v>1</v>
      </c>
      <c r="D1554" s="11"/>
      <c r="E1554" s="11"/>
      <c r="F1554" s="11"/>
      <c r="G1554" s="89">
        <f>IFERROR(VLOOKUP(F1554,COA!$A$1:$K$26,2,FALSE),0)</f>
        <v>0</v>
      </c>
      <c r="H1554" s="11"/>
      <c r="I1554" s="11"/>
      <c r="J1554" s="78"/>
      <c r="K1554" s="78"/>
      <c r="L1554" s="146">
        <f t="shared" si="80"/>
        <v>13126700</v>
      </c>
      <c r="M1554" s="73"/>
      <c r="N1554" s="73"/>
      <c r="O1554" s="73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14.25" customHeight="1" x14ac:dyDescent="0.35">
      <c r="A1555" s="9">
        <f t="shared" si="81"/>
        <v>1547</v>
      </c>
      <c r="B1555" s="15"/>
      <c r="C1555" s="11">
        <f t="shared" si="79"/>
        <v>1</v>
      </c>
      <c r="D1555" s="11"/>
      <c r="E1555" s="11"/>
      <c r="F1555" s="11"/>
      <c r="G1555" s="89">
        <f>IFERROR(VLOOKUP(F1555,COA!$A$1:$K$26,2,FALSE),0)</f>
        <v>0</v>
      </c>
      <c r="H1555" s="11"/>
      <c r="I1555" s="11"/>
      <c r="J1555" s="78"/>
      <c r="K1555" s="78"/>
      <c r="L1555" s="146">
        <f t="shared" si="80"/>
        <v>13126700</v>
      </c>
      <c r="M1555" s="73"/>
      <c r="N1555" s="73"/>
      <c r="O1555" s="73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14.25" customHeight="1" x14ac:dyDescent="0.35">
      <c r="A1556" s="9">
        <f t="shared" si="81"/>
        <v>1548</v>
      </c>
      <c r="B1556" s="15"/>
      <c r="C1556" s="11">
        <f t="shared" si="79"/>
        <v>1</v>
      </c>
      <c r="D1556" s="11"/>
      <c r="E1556" s="11"/>
      <c r="F1556" s="11"/>
      <c r="G1556" s="89">
        <f>IFERROR(VLOOKUP(F1556,COA!$A$1:$K$26,2,FALSE),0)</f>
        <v>0</v>
      </c>
      <c r="H1556" s="11"/>
      <c r="I1556" s="11"/>
      <c r="J1556" s="78"/>
      <c r="K1556" s="78"/>
      <c r="L1556" s="146">
        <f t="shared" si="80"/>
        <v>13126700</v>
      </c>
      <c r="M1556" s="73"/>
      <c r="N1556" s="73"/>
      <c r="O1556" s="73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14.25" customHeight="1" x14ac:dyDescent="0.35">
      <c r="A1557" s="9">
        <f t="shared" si="81"/>
        <v>1549</v>
      </c>
      <c r="B1557" s="15"/>
      <c r="C1557" s="11">
        <f t="shared" si="79"/>
        <v>1</v>
      </c>
      <c r="D1557" s="11"/>
      <c r="E1557" s="11"/>
      <c r="F1557" s="11"/>
      <c r="G1557" s="89">
        <f>IFERROR(VLOOKUP(F1557,COA!$A$1:$K$26,2,FALSE),0)</f>
        <v>0</v>
      </c>
      <c r="H1557" s="11"/>
      <c r="I1557" s="11"/>
      <c r="J1557" s="78"/>
      <c r="K1557" s="78"/>
      <c r="L1557" s="146">
        <f t="shared" si="80"/>
        <v>13126700</v>
      </c>
      <c r="M1557" s="73"/>
      <c r="N1557" s="73"/>
      <c r="O1557" s="73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14.25" customHeight="1" x14ac:dyDescent="0.35">
      <c r="A1558" s="9">
        <f t="shared" si="81"/>
        <v>1550</v>
      </c>
      <c r="B1558" s="15"/>
      <c r="C1558" s="11">
        <f t="shared" si="79"/>
        <v>1</v>
      </c>
      <c r="D1558" s="11"/>
      <c r="E1558" s="11"/>
      <c r="F1558" s="11"/>
      <c r="G1558" s="89">
        <f>IFERROR(VLOOKUP(F1558,COA!$A$1:$K$26,2,FALSE),0)</f>
        <v>0</v>
      </c>
      <c r="H1558" s="11"/>
      <c r="I1558" s="11"/>
      <c r="J1558" s="78"/>
      <c r="K1558" s="78"/>
      <c r="L1558" s="146">
        <f t="shared" si="80"/>
        <v>13126700</v>
      </c>
      <c r="M1558" s="73"/>
      <c r="N1558" s="73"/>
      <c r="O1558" s="73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14.25" customHeight="1" x14ac:dyDescent="0.35">
      <c r="A1559" s="9">
        <f t="shared" si="81"/>
        <v>1551</v>
      </c>
      <c r="B1559" s="15"/>
      <c r="C1559" s="11">
        <f t="shared" si="79"/>
        <v>1</v>
      </c>
      <c r="D1559" s="11"/>
      <c r="E1559" s="11"/>
      <c r="F1559" s="11"/>
      <c r="G1559" s="89">
        <f>IFERROR(VLOOKUP(F1559,COA!$A$1:$K$26,2,FALSE),0)</f>
        <v>0</v>
      </c>
      <c r="H1559" s="11"/>
      <c r="I1559" s="11"/>
      <c r="J1559" s="78"/>
      <c r="K1559" s="78"/>
      <c r="L1559" s="146">
        <f t="shared" si="80"/>
        <v>13126700</v>
      </c>
      <c r="M1559" s="73"/>
      <c r="N1559" s="73"/>
      <c r="O1559" s="73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14.25" customHeight="1" x14ac:dyDescent="0.35">
      <c r="A1560" s="9">
        <f t="shared" si="81"/>
        <v>1552</v>
      </c>
      <c r="B1560" s="15"/>
      <c r="C1560" s="11">
        <f t="shared" si="79"/>
        <v>1</v>
      </c>
      <c r="D1560" s="11"/>
      <c r="E1560" s="11"/>
      <c r="F1560" s="11"/>
      <c r="G1560" s="89">
        <f>IFERROR(VLOOKUP(F1560,COA!$A$1:$K$26,2,FALSE),0)</f>
        <v>0</v>
      </c>
      <c r="H1560" s="11"/>
      <c r="I1560" s="11"/>
      <c r="J1560" s="78"/>
      <c r="K1560" s="78"/>
      <c r="L1560" s="146">
        <f t="shared" si="80"/>
        <v>13126700</v>
      </c>
      <c r="M1560" s="73"/>
      <c r="N1560" s="73"/>
      <c r="O1560" s="73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14.25" customHeight="1" x14ac:dyDescent="0.35">
      <c r="A1561" s="9">
        <f t="shared" si="81"/>
        <v>1553</v>
      </c>
      <c r="B1561" s="15"/>
      <c r="C1561" s="11">
        <f t="shared" si="79"/>
        <v>1</v>
      </c>
      <c r="D1561" s="11"/>
      <c r="E1561" s="11"/>
      <c r="F1561" s="11"/>
      <c r="G1561" s="89">
        <f>IFERROR(VLOOKUP(F1561,COA!$A$1:$K$26,2,FALSE),0)</f>
        <v>0</v>
      </c>
      <c r="H1561" s="11"/>
      <c r="I1561" s="11"/>
      <c r="J1561" s="78"/>
      <c r="K1561" s="78"/>
      <c r="L1561" s="146">
        <f t="shared" si="80"/>
        <v>13126700</v>
      </c>
      <c r="M1561" s="73"/>
      <c r="N1561" s="73"/>
      <c r="O1561" s="73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14.25" customHeight="1" x14ac:dyDescent="0.35">
      <c r="A1562" s="9">
        <f t="shared" si="81"/>
        <v>1554</v>
      </c>
      <c r="B1562" s="15"/>
      <c r="C1562" s="11">
        <f t="shared" si="79"/>
        <v>1</v>
      </c>
      <c r="D1562" s="11"/>
      <c r="E1562" s="11"/>
      <c r="F1562" s="11"/>
      <c r="G1562" s="89">
        <f>IFERROR(VLOOKUP(F1562,COA!$A$1:$K$26,2,FALSE),0)</f>
        <v>0</v>
      </c>
      <c r="H1562" s="11"/>
      <c r="I1562" s="11"/>
      <c r="J1562" s="78"/>
      <c r="K1562" s="78"/>
      <c r="L1562" s="146">
        <f t="shared" si="80"/>
        <v>13126700</v>
      </c>
      <c r="M1562" s="73"/>
      <c r="N1562" s="73"/>
      <c r="O1562" s="73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14.25" customHeight="1" x14ac:dyDescent="0.35">
      <c r="A1563" s="9">
        <f t="shared" si="81"/>
        <v>1555</v>
      </c>
      <c r="B1563" s="15"/>
      <c r="C1563" s="11">
        <f t="shared" si="79"/>
        <v>1</v>
      </c>
      <c r="D1563" s="11"/>
      <c r="E1563" s="11"/>
      <c r="F1563" s="11"/>
      <c r="G1563" s="89">
        <f>IFERROR(VLOOKUP(F1563,COA!$A$1:$K$26,2,FALSE),0)</f>
        <v>0</v>
      </c>
      <c r="H1563" s="11"/>
      <c r="I1563" s="11"/>
      <c r="J1563" s="78"/>
      <c r="K1563" s="78"/>
      <c r="L1563" s="146">
        <f t="shared" si="80"/>
        <v>13126700</v>
      </c>
      <c r="M1563" s="73"/>
      <c r="N1563" s="73"/>
      <c r="O1563" s="73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14.25" customHeight="1" x14ac:dyDescent="0.35">
      <c r="A1564" s="9">
        <f t="shared" si="81"/>
        <v>1556</v>
      </c>
      <c r="B1564" s="15"/>
      <c r="C1564" s="11">
        <f t="shared" si="79"/>
        <v>1</v>
      </c>
      <c r="D1564" s="11"/>
      <c r="E1564" s="11"/>
      <c r="F1564" s="11"/>
      <c r="G1564" s="89">
        <f>IFERROR(VLOOKUP(F1564,COA!$A$1:$K$26,2,FALSE),0)</f>
        <v>0</v>
      </c>
      <c r="H1564" s="11"/>
      <c r="I1564" s="11"/>
      <c r="J1564" s="78"/>
      <c r="K1564" s="78"/>
      <c r="L1564" s="146">
        <f t="shared" si="80"/>
        <v>13126700</v>
      </c>
      <c r="M1564" s="73"/>
      <c r="N1564" s="73"/>
      <c r="O1564" s="73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14.25" customHeight="1" x14ac:dyDescent="0.35">
      <c r="A1565" s="9">
        <f t="shared" si="81"/>
        <v>1557</v>
      </c>
      <c r="B1565" s="15"/>
      <c r="C1565" s="11">
        <f t="shared" si="79"/>
        <v>1</v>
      </c>
      <c r="D1565" s="11"/>
      <c r="E1565" s="11"/>
      <c r="F1565" s="11"/>
      <c r="G1565" s="89">
        <f>IFERROR(VLOOKUP(F1565,COA!$A$1:$K$26,2,FALSE),0)</f>
        <v>0</v>
      </c>
      <c r="H1565" s="11"/>
      <c r="I1565" s="11"/>
      <c r="J1565" s="78"/>
      <c r="K1565" s="78"/>
      <c r="L1565" s="146">
        <f t="shared" si="80"/>
        <v>13126700</v>
      </c>
      <c r="M1565" s="73"/>
      <c r="N1565" s="73"/>
      <c r="O1565" s="73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14.25" customHeight="1" x14ac:dyDescent="0.35">
      <c r="A1566" s="9">
        <f t="shared" si="81"/>
        <v>1558</v>
      </c>
      <c r="B1566" s="15"/>
      <c r="C1566" s="11">
        <f t="shared" si="79"/>
        <v>1</v>
      </c>
      <c r="D1566" s="11"/>
      <c r="E1566" s="11"/>
      <c r="F1566" s="11"/>
      <c r="G1566" s="89">
        <f>IFERROR(VLOOKUP(F1566,COA!$A$1:$K$26,2,FALSE),0)</f>
        <v>0</v>
      </c>
      <c r="H1566" s="11"/>
      <c r="I1566" s="11"/>
      <c r="J1566" s="78"/>
      <c r="K1566" s="78"/>
      <c r="L1566" s="146">
        <f t="shared" si="80"/>
        <v>13126700</v>
      </c>
      <c r="M1566" s="73"/>
      <c r="N1566" s="73"/>
      <c r="O1566" s="73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14.25" customHeight="1" x14ac:dyDescent="0.35">
      <c r="A1567" s="9">
        <f t="shared" si="81"/>
        <v>1559</v>
      </c>
      <c r="B1567" s="15"/>
      <c r="C1567" s="11">
        <f t="shared" si="79"/>
        <v>1</v>
      </c>
      <c r="D1567" s="11"/>
      <c r="E1567" s="11"/>
      <c r="F1567" s="11"/>
      <c r="G1567" s="89">
        <f>IFERROR(VLOOKUP(F1567,COA!$A$1:$K$26,2,FALSE),0)</f>
        <v>0</v>
      </c>
      <c r="H1567" s="11"/>
      <c r="I1567" s="11"/>
      <c r="J1567" s="78"/>
      <c r="K1567" s="78"/>
      <c r="L1567" s="146">
        <f t="shared" si="80"/>
        <v>13126700</v>
      </c>
      <c r="M1567" s="73"/>
      <c r="N1567" s="73"/>
      <c r="O1567" s="73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14.25" customHeight="1" x14ac:dyDescent="0.35">
      <c r="A1568" s="9">
        <f t="shared" si="81"/>
        <v>1560</v>
      </c>
      <c r="B1568" s="15"/>
      <c r="C1568" s="11">
        <f t="shared" si="79"/>
        <v>1</v>
      </c>
      <c r="D1568" s="11"/>
      <c r="E1568" s="11"/>
      <c r="F1568" s="11"/>
      <c r="G1568" s="89">
        <f>IFERROR(VLOOKUP(F1568,COA!$A$1:$K$26,2,FALSE),0)</f>
        <v>0</v>
      </c>
      <c r="H1568" s="11"/>
      <c r="I1568" s="11"/>
      <c r="J1568" s="78"/>
      <c r="K1568" s="78"/>
      <c r="L1568" s="146">
        <f t="shared" si="80"/>
        <v>13126700</v>
      </c>
      <c r="M1568" s="73"/>
      <c r="N1568" s="73"/>
      <c r="O1568" s="73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14.25" customHeight="1" x14ac:dyDescent="0.35">
      <c r="A1569" s="9">
        <f t="shared" si="81"/>
        <v>1561</v>
      </c>
      <c r="B1569" s="15"/>
      <c r="C1569" s="11">
        <f t="shared" si="79"/>
        <v>1</v>
      </c>
      <c r="D1569" s="11"/>
      <c r="E1569" s="11"/>
      <c r="F1569" s="11"/>
      <c r="G1569" s="89">
        <f>IFERROR(VLOOKUP(F1569,COA!$A$1:$K$26,2,FALSE),0)</f>
        <v>0</v>
      </c>
      <c r="H1569" s="11"/>
      <c r="I1569" s="11"/>
      <c r="J1569" s="78"/>
      <c r="K1569" s="78"/>
      <c r="L1569" s="146">
        <f t="shared" si="80"/>
        <v>13126700</v>
      </c>
      <c r="M1569" s="73"/>
      <c r="N1569" s="73"/>
      <c r="O1569" s="73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14.25" customHeight="1" x14ac:dyDescent="0.35">
      <c r="A1570" s="9">
        <f t="shared" si="81"/>
        <v>1562</v>
      </c>
      <c r="B1570" s="15"/>
      <c r="C1570" s="11">
        <f t="shared" si="79"/>
        <v>1</v>
      </c>
      <c r="D1570" s="11"/>
      <c r="E1570" s="11"/>
      <c r="F1570" s="11"/>
      <c r="G1570" s="89">
        <f>IFERROR(VLOOKUP(F1570,COA!$A$1:$K$26,2,FALSE),0)</f>
        <v>0</v>
      </c>
      <c r="H1570" s="11"/>
      <c r="I1570" s="11"/>
      <c r="J1570" s="78"/>
      <c r="K1570" s="78"/>
      <c r="L1570" s="146">
        <f t="shared" si="80"/>
        <v>13126700</v>
      </c>
      <c r="M1570" s="73"/>
      <c r="N1570" s="73"/>
      <c r="O1570" s="73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14.25" customHeight="1" x14ac:dyDescent="0.35">
      <c r="A1571" s="9">
        <f t="shared" si="81"/>
        <v>1563</v>
      </c>
      <c r="B1571" s="15"/>
      <c r="C1571" s="11">
        <f t="shared" si="79"/>
        <v>1</v>
      </c>
      <c r="D1571" s="11"/>
      <c r="E1571" s="11"/>
      <c r="F1571" s="11"/>
      <c r="G1571" s="89">
        <f>IFERROR(VLOOKUP(F1571,COA!$A$1:$K$26,2,FALSE),0)</f>
        <v>0</v>
      </c>
      <c r="H1571" s="11"/>
      <c r="I1571" s="11"/>
      <c r="J1571" s="78"/>
      <c r="K1571" s="78"/>
      <c r="L1571" s="146">
        <f t="shared" si="80"/>
        <v>13126700</v>
      </c>
      <c r="M1571" s="73"/>
      <c r="N1571" s="73"/>
      <c r="O1571" s="73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14.25" customHeight="1" x14ac:dyDescent="0.35">
      <c r="A1572" s="9">
        <f t="shared" si="81"/>
        <v>1564</v>
      </c>
      <c r="B1572" s="15"/>
      <c r="C1572" s="11">
        <f t="shared" ref="C1572:C1635" si="82">MONTH(B1572)</f>
        <v>1</v>
      </c>
      <c r="D1572" s="11"/>
      <c r="E1572" s="11"/>
      <c r="F1572" s="11"/>
      <c r="G1572" s="89">
        <f>IFERROR(VLOOKUP(F1572,COA!$A$1:$K$26,2,FALSE),0)</f>
        <v>0</v>
      </c>
      <c r="H1572" s="11"/>
      <c r="I1572" s="11"/>
      <c r="J1572" s="78"/>
      <c r="K1572" s="78"/>
      <c r="L1572" s="146">
        <f t="shared" si="80"/>
        <v>13126700</v>
      </c>
      <c r="M1572" s="73"/>
      <c r="N1572" s="73"/>
      <c r="O1572" s="73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14.25" customHeight="1" x14ac:dyDescent="0.35">
      <c r="A1573" s="9">
        <f t="shared" si="81"/>
        <v>1565</v>
      </c>
      <c r="B1573" s="15"/>
      <c r="C1573" s="11">
        <f t="shared" si="82"/>
        <v>1</v>
      </c>
      <c r="D1573" s="11"/>
      <c r="E1573" s="11"/>
      <c r="F1573" s="11"/>
      <c r="G1573" s="89">
        <f>IFERROR(VLOOKUP(F1573,COA!$A$1:$K$26,2,FALSE),0)</f>
        <v>0</v>
      </c>
      <c r="H1573" s="11"/>
      <c r="I1573" s="11"/>
      <c r="J1573" s="78"/>
      <c r="K1573" s="78"/>
      <c r="L1573" s="146">
        <f t="shared" si="80"/>
        <v>13126700</v>
      </c>
      <c r="M1573" s="73"/>
      <c r="N1573" s="73"/>
      <c r="O1573" s="73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14.25" customHeight="1" x14ac:dyDescent="0.35">
      <c r="A1574" s="9">
        <f t="shared" si="81"/>
        <v>1566</v>
      </c>
      <c r="B1574" s="15"/>
      <c r="C1574" s="11">
        <f t="shared" si="82"/>
        <v>1</v>
      </c>
      <c r="D1574" s="11"/>
      <c r="E1574" s="11"/>
      <c r="F1574" s="11"/>
      <c r="G1574" s="89">
        <f>IFERROR(VLOOKUP(F1574,COA!$A$1:$K$26,2,FALSE),0)</f>
        <v>0</v>
      </c>
      <c r="H1574" s="11"/>
      <c r="I1574" s="11"/>
      <c r="J1574" s="78"/>
      <c r="K1574" s="78"/>
      <c r="L1574" s="146">
        <f t="shared" si="80"/>
        <v>13126700</v>
      </c>
      <c r="M1574" s="73"/>
      <c r="N1574" s="73"/>
      <c r="O1574" s="73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14.25" customHeight="1" x14ac:dyDescent="0.35">
      <c r="A1575" s="9">
        <f t="shared" si="81"/>
        <v>1567</v>
      </c>
      <c r="B1575" s="15"/>
      <c r="C1575" s="11">
        <f t="shared" si="82"/>
        <v>1</v>
      </c>
      <c r="D1575" s="11"/>
      <c r="E1575" s="11"/>
      <c r="F1575" s="11"/>
      <c r="G1575" s="89">
        <f>IFERROR(VLOOKUP(F1575,COA!$A$1:$K$26,2,FALSE),0)</f>
        <v>0</v>
      </c>
      <c r="H1575" s="11"/>
      <c r="I1575" s="11"/>
      <c r="J1575" s="78"/>
      <c r="K1575" s="78"/>
      <c r="L1575" s="146">
        <f t="shared" si="80"/>
        <v>13126700</v>
      </c>
      <c r="M1575" s="73"/>
      <c r="N1575" s="73"/>
      <c r="O1575" s="73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14.25" customHeight="1" x14ac:dyDescent="0.35">
      <c r="A1576" s="9">
        <f t="shared" si="81"/>
        <v>1568</v>
      </c>
      <c r="B1576" s="15"/>
      <c r="C1576" s="11">
        <f t="shared" si="82"/>
        <v>1</v>
      </c>
      <c r="D1576" s="11"/>
      <c r="E1576" s="11"/>
      <c r="F1576" s="11"/>
      <c r="G1576" s="89">
        <f>IFERROR(VLOOKUP(F1576,COA!$A$1:$K$26,2,FALSE),0)</f>
        <v>0</v>
      </c>
      <c r="H1576" s="11"/>
      <c r="I1576" s="11"/>
      <c r="J1576" s="78"/>
      <c r="K1576" s="78"/>
      <c r="L1576" s="146">
        <f t="shared" si="80"/>
        <v>13126700</v>
      </c>
      <c r="M1576" s="73"/>
      <c r="N1576" s="73"/>
      <c r="O1576" s="73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14.25" customHeight="1" x14ac:dyDescent="0.35">
      <c r="A1577" s="9">
        <f t="shared" si="81"/>
        <v>1569</v>
      </c>
      <c r="B1577" s="15"/>
      <c r="C1577" s="11">
        <f t="shared" si="82"/>
        <v>1</v>
      </c>
      <c r="D1577" s="11"/>
      <c r="E1577" s="11"/>
      <c r="F1577" s="11"/>
      <c r="G1577" s="89">
        <f>IFERROR(VLOOKUP(F1577,COA!$A$1:$K$26,2,FALSE),0)</f>
        <v>0</v>
      </c>
      <c r="H1577" s="11"/>
      <c r="I1577" s="11"/>
      <c r="J1577" s="78"/>
      <c r="K1577" s="78"/>
      <c r="L1577" s="146">
        <f t="shared" si="80"/>
        <v>13126700</v>
      </c>
      <c r="M1577" s="73"/>
      <c r="N1577" s="73"/>
      <c r="O1577" s="73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14.25" customHeight="1" x14ac:dyDescent="0.35">
      <c r="A1578" s="9">
        <f t="shared" si="81"/>
        <v>1570</v>
      </c>
      <c r="B1578" s="15"/>
      <c r="C1578" s="11">
        <f t="shared" si="82"/>
        <v>1</v>
      </c>
      <c r="D1578" s="11"/>
      <c r="E1578" s="11"/>
      <c r="F1578" s="11"/>
      <c r="G1578" s="89">
        <f>IFERROR(VLOOKUP(F1578,COA!$A$1:$K$26,2,FALSE),0)</f>
        <v>0</v>
      </c>
      <c r="H1578" s="11"/>
      <c r="I1578" s="11"/>
      <c r="J1578" s="78"/>
      <c r="K1578" s="78"/>
      <c r="L1578" s="146">
        <f t="shared" si="80"/>
        <v>13126700</v>
      </c>
      <c r="M1578" s="73"/>
      <c r="N1578" s="73"/>
      <c r="O1578" s="73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14.25" customHeight="1" x14ac:dyDescent="0.35">
      <c r="A1579" s="9">
        <f t="shared" si="81"/>
        <v>1571</v>
      </c>
      <c r="B1579" s="15"/>
      <c r="C1579" s="11">
        <f t="shared" si="82"/>
        <v>1</v>
      </c>
      <c r="D1579" s="11"/>
      <c r="E1579" s="11"/>
      <c r="F1579" s="11"/>
      <c r="G1579" s="89">
        <f>IFERROR(VLOOKUP(F1579,COA!$A$1:$K$26,2,FALSE),0)</f>
        <v>0</v>
      </c>
      <c r="H1579" s="11"/>
      <c r="I1579" s="11"/>
      <c r="J1579" s="78"/>
      <c r="K1579" s="78"/>
      <c r="L1579" s="146">
        <f t="shared" si="80"/>
        <v>13126700</v>
      </c>
      <c r="M1579" s="73"/>
      <c r="N1579" s="73"/>
      <c r="O1579" s="73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14.25" customHeight="1" x14ac:dyDescent="0.35">
      <c r="A1580" s="9">
        <f t="shared" si="81"/>
        <v>1572</v>
      </c>
      <c r="B1580" s="15"/>
      <c r="C1580" s="11">
        <f t="shared" si="82"/>
        <v>1</v>
      </c>
      <c r="D1580" s="11"/>
      <c r="E1580" s="11"/>
      <c r="F1580" s="11"/>
      <c r="G1580" s="89">
        <f>IFERROR(VLOOKUP(F1580,COA!$A$1:$K$26,2,FALSE),0)</f>
        <v>0</v>
      </c>
      <c r="H1580" s="11"/>
      <c r="I1580" s="11"/>
      <c r="J1580" s="78"/>
      <c r="K1580" s="78"/>
      <c r="L1580" s="146">
        <f t="shared" si="80"/>
        <v>13126700</v>
      </c>
      <c r="M1580" s="73"/>
      <c r="N1580" s="73"/>
      <c r="O1580" s="73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14.25" customHeight="1" x14ac:dyDescent="0.35">
      <c r="A1581" s="9">
        <f t="shared" si="81"/>
        <v>1573</v>
      </c>
      <c r="B1581" s="15"/>
      <c r="C1581" s="11">
        <f t="shared" si="82"/>
        <v>1</v>
      </c>
      <c r="D1581" s="11"/>
      <c r="E1581" s="11"/>
      <c r="F1581" s="11"/>
      <c r="G1581" s="89">
        <f>IFERROR(VLOOKUP(F1581,COA!$A$1:$K$26,2,FALSE),0)</f>
        <v>0</v>
      </c>
      <c r="H1581" s="11"/>
      <c r="I1581" s="11"/>
      <c r="J1581" s="78"/>
      <c r="K1581" s="78"/>
      <c r="L1581" s="146">
        <f t="shared" si="80"/>
        <v>13126700</v>
      </c>
      <c r="M1581" s="73"/>
      <c r="N1581" s="73"/>
      <c r="O1581" s="73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14.25" customHeight="1" x14ac:dyDescent="0.35">
      <c r="A1582" s="9">
        <f t="shared" si="81"/>
        <v>1574</v>
      </c>
      <c r="B1582" s="15"/>
      <c r="C1582" s="11">
        <f t="shared" si="82"/>
        <v>1</v>
      </c>
      <c r="D1582" s="11"/>
      <c r="E1582" s="11"/>
      <c r="F1582" s="11"/>
      <c r="G1582" s="89">
        <f>IFERROR(VLOOKUP(F1582,COA!$A$1:$K$26,2,FALSE),0)</f>
        <v>0</v>
      </c>
      <c r="H1582" s="11"/>
      <c r="I1582" s="11"/>
      <c r="J1582" s="78"/>
      <c r="K1582" s="78"/>
      <c r="L1582" s="146">
        <f t="shared" si="80"/>
        <v>13126700</v>
      </c>
      <c r="M1582" s="73"/>
      <c r="N1582" s="73"/>
      <c r="O1582" s="73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14.25" customHeight="1" x14ac:dyDescent="0.35">
      <c r="A1583" s="9">
        <f t="shared" si="81"/>
        <v>1575</v>
      </c>
      <c r="B1583" s="15"/>
      <c r="C1583" s="11">
        <f t="shared" si="82"/>
        <v>1</v>
      </c>
      <c r="D1583" s="11"/>
      <c r="E1583" s="11"/>
      <c r="F1583" s="11"/>
      <c r="G1583" s="89">
        <f>IFERROR(VLOOKUP(F1583,COA!$A$1:$K$26,2,FALSE),0)</f>
        <v>0</v>
      </c>
      <c r="H1583" s="11"/>
      <c r="I1583" s="11"/>
      <c r="J1583" s="78"/>
      <c r="K1583" s="78"/>
      <c r="L1583" s="146">
        <f t="shared" si="80"/>
        <v>13126700</v>
      </c>
      <c r="M1583" s="73"/>
      <c r="N1583" s="73"/>
      <c r="O1583" s="73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14.25" customHeight="1" x14ac:dyDescent="0.35">
      <c r="A1584" s="9">
        <f t="shared" si="81"/>
        <v>1576</v>
      </c>
      <c r="B1584" s="15"/>
      <c r="C1584" s="11">
        <f t="shared" si="82"/>
        <v>1</v>
      </c>
      <c r="D1584" s="11"/>
      <c r="E1584" s="11"/>
      <c r="F1584" s="11"/>
      <c r="G1584" s="89">
        <f>IFERROR(VLOOKUP(F1584,COA!$A$1:$K$26,2,FALSE),0)</f>
        <v>0</v>
      </c>
      <c r="H1584" s="11"/>
      <c r="I1584" s="11"/>
      <c r="J1584" s="78"/>
      <c r="K1584" s="78"/>
      <c r="L1584" s="146">
        <f t="shared" si="80"/>
        <v>13126700</v>
      </c>
      <c r="M1584" s="73"/>
      <c r="N1584" s="73"/>
      <c r="O1584" s="73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14.25" customHeight="1" x14ac:dyDescent="0.35">
      <c r="A1585" s="9">
        <f t="shared" si="81"/>
        <v>1577</v>
      </c>
      <c r="B1585" s="15"/>
      <c r="C1585" s="11">
        <f t="shared" si="82"/>
        <v>1</v>
      </c>
      <c r="D1585" s="11"/>
      <c r="E1585" s="11"/>
      <c r="F1585" s="11"/>
      <c r="G1585" s="89">
        <f>IFERROR(VLOOKUP(F1585,COA!$A$1:$K$26,2,FALSE),0)</f>
        <v>0</v>
      </c>
      <c r="H1585" s="11"/>
      <c r="I1585" s="11"/>
      <c r="J1585" s="78"/>
      <c r="K1585" s="78"/>
      <c r="L1585" s="146">
        <f t="shared" si="80"/>
        <v>13126700</v>
      </c>
      <c r="M1585" s="73"/>
      <c r="N1585" s="73"/>
      <c r="O1585" s="73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14.25" customHeight="1" x14ac:dyDescent="0.35">
      <c r="A1586" s="9">
        <f t="shared" si="81"/>
        <v>1578</v>
      </c>
      <c r="B1586" s="15"/>
      <c r="C1586" s="11">
        <f t="shared" si="82"/>
        <v>1</v>
      </c>
      <c r="D1586" s="11"/>
      <c r="E1586" s="11"/>
      <c r="F1586" s="11"/>
      <c r="G1586" s="89">
        <f>IFERROR(VLOOKUP(F1586,COA!$A$1:$K$26,2,FALSE),0)</f>
        <v>0</v>
      </c>
      <c r="H1586" s="11"/>
      <c r="I1586" s="11"/>
      <c r="J1586" s="78"/>
      <c r="K1586" s="78"/>
      <c r="L1586" s="146">
        <f t="shared" si="80"/>
        <v>13126700</v>
      </c>
      <c r="M1586" s="73"/>
      <c r="N1586" s="73"/>
      <c r="O1586" s="73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14.25" customHeight="1" x14ac:dyDescent="0.35">
      <c r="A1587" s="9">
        <f t="shared" si="81"/>
        <v>1579</v>
      </c>
      <c r="B1587" s="15"/>
      <c r="C1587" s="11">
        <f t="shared" si="82"/>
        <v>1</v>
      </c>
      <c r="D1587" s="11"/>
      <c r="E1587" s="11"/>
      <c r="F1587" s="11"/>
      <c r="G1587" s="89">
        <f>IFERROR(VLOOKUP(F1587,COA!$A$1:$K$26,2,FALSE),0)</f>
        <v>0</v>
      </c>
      <c r="H1587" s="11"/>
      <c r="I1587" s="11"/>
      <c r="J1587" s="78"/>
      <c r="K1587" s="78"/>
      <c r="L1587" s="146">
        <f t="shared" si="80"/>
        <v>13126700</v>
      </c>
      <c r="M1587" s="73"/>
      <c r="N1587" s="73"/>
      <c r="O1587" s="73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14.25" customHeight="1" x14ac:dyDescent="0.35">
      <c r="A1588" s="9">
        <f t="shared" si="81"/>
        <v>1580</v>
      </c>
      <c r="B1588" s="15"/>
      <c r="C1588" s="11">
        <f t="shared" si="82"/>
        <v>1</v>
      </c>
      <c r="D1588" s="11"/>
      <c r="E1588" s="11"/>
      <c r="F1588" s="11"/>
      <c r="G1588" s="89">
        <f>IFERROR(VLOOKUP(F1588,COA!$A$1:$K$26,2,FALSE),0)</f>
        <v>0</v>
      </c>
      <c r="H1588" s="11"/>
      <c r="I1588" s="11"/>
      <c r="J1588" s="78"/>
      <c r="K1588" s="78"/>
      <c r="L1588" s="146">
        <f t="shared" si="80"/>
        <v>13126700</v>
      </c>
      <c r="M1588" s="73"/>
      <c r="N1588" s="73"/>
      <c r="O1588" s="73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14.25" customHeight="1" x14ac:dyDescent="0.35">
      <c r="A1589" s="9">
        <f t="shared" si="81"/>
        <v>1581</v>
      </c>
      <c r="B1589" s="15"/>
      <c r="C1589" s="11">
        <f t="shared" si="82"/>
        <v>1</v>
      </c>
      <c r="D1589" s="11"/>
      <c r="E1589" s="11"/>
      <c r="F1589" s="11"/>
      <c r="G1589" s="89">
        <f>IFERROR(VLOOKUP(F1589,COA!$A$1:$K$26,2,FALSE),0)</f>
        <v>0</v>
      </c>
      <c r="H1589" s="11"/>
      <c r="I1589" s="11"/>
      <c r="J1589" s="78"/>
      <c r="K1589" s="78"/>
      <c r="L1589" s="146">
        <f t="shared" si="80"/>
        <v>13126700</v>
      </c>
      <c r="M1589" s="73"/>
      <c r="N1589" s="73"/>
      <c r="O1589" s="73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14.25" customHeight="1" x14ac:dyDescent="0.35">
      <c r="A1590" s="9">
        <f t="shared" si="81"/>
        <v>1582</v>
      </c>
      <c r="B1590" s="15"/>
      <c r="C1590" s="11">
        <f t="shared" si="82"/>
        <v>1</v>
      </c>
      <c r="D1590" s="11"/>
      <c r="E1590" s="11"/>
      <c r="F1590" s="11"/>
      <c r="G1590" s="89">
        <f>IFERROR(VLOOKUP(F1590,COA!$A$1:$K$26,2,FALSE),0)</f>
        <v>0</v>
      </c>
      <c r="H1590" s="11"/>
      <c r="I1590" s="11"/>
      <c r="J1590" s="78"/>
      <c r="K1590" s="78"/>
      <c r="L1590" s="146">
        <f t="shared" si="80"/>
        <v>13126700</v>
      </c>
      <c r="M1590" s="73"/>
      <c r="N1590" s="73"/>
      <c r="O1590" s="73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14.25" customHeight="1" x14ac:dyDescent="0.35">
      <c r="A1591" s="9">
        <f t="shared" si="81"/>
        <v>1583</v>
      </c>
      <c r="B1591" s="15"/>
      <c r="C1591" s="11">
        <f t="shared" si="82"/>
        <v>1</v>
      </c>
      <c r="D1591" s="11"/>
      <c r="E1591" s="11"/>
      <c r="F1591" s="11"/>
      <c r="G1591" s="89">
        <f>IFERROR(VLOOKUP(F1591,COA!$A$1:$K$26,2,FALSE),0)</f>
        <v>0</v>
      </c>
      <c r="H1591" s="11"/>
      <c r="I1591" s="11"/>
      <c r="J1591" s="78"/>
      <c r="K1591" s="78"/>
      <c r="L1591" s="146">
        <f t="shared" si="80"/>
        <v>13126700</v>
      </c>
      <c r="M1591" s="73"/>
      <c r="N1591" s="73"/>
      <c r="O1591" s="73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14.25" customHeight="1" x14ac:dyDescent="0.35">
      <c r="A1592" s="9">
        <f t="shared" si="81"/>
        <v>1584</v>
      </c>
      <c r="B1592" s="15"/>
      <c r="C1592" s="11">
        <f t="shared" si="82"/>
        <v>1</v>
      </c>
      <c r="D1592" s="11"/>
      <c r="E1592" s="11"/>
      <c r="F1592" s="11"/>
      <c r="G1592" s="89">
        <f>IFERROR(VLOOKUP(F1592,COA!$A$1:$K$26,2,FALSE),0)</f>
        <v>0</v>
      </c>
      <c r="H1592" s="11"/>
      <c r="I1592" s="11"/>
      <c r="J1592" s="78"/>
      <c r="K1592" s="78"/>
      <c r="L1592" s="146">
        <f t="shared" si="80"/>
        <v>13126700</v>
      </c>
      <c r="M1592" s="73"/>
      <c r="N1592" s="73"/>
      <c r="O1592" s="73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14.25" customHeight="1" x14ac:dyDescent="0.35">
      <c r="A1593" s="9">
        <f t="shared" si="81"/>
        <v>1585</v>
      </c>
      <c r="B1593" s="15"/>
      <c r="C1593" s="11">
        <f t="shared" si="82"/>
        <v>1</v>
      </c>
      <c r="D1593" s="11"/>
      <c r="E1593" s="11"/>
      <c r="F1593" s="11"/>
      <c r="G1593" s="89">
        <f>IFERROR(VLOOKUP(F1593,COA!$A$1:$K$26,2,FALSE),0)</f>
        <v>0</v>
      </c>
      <c r="H1593" s="11"/>
      <c r="I1593" s="11"/>
      <c r="J1593" s="78"/>
      <c r="K1593" s="78"/>
      <c r="L1593" s="146">
        <f t="shared" si="80"/>
        <v>13126700</v>
      </c>
      <c r="M1593" s="73"/>
      <c r="N1593" s="73"/>
      <c r="O1593" s="73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14.25" customHeight="1" x14ac:dyDescent="0.35">
      <c r="A1594" s="9">
        <f t="shared" si="81"/>
        <v>1586</v>
      </c>
      <c r="B1594" s="15"/>
      <c r="C1594" s="11">
        <f t="shared" si="82"/>
        <v>1</v>
      </c>
      <c r="D1594" s="11"/>
      <c r="E1594" s="11"/>
      <c r="F1594" s="11"/>
      <c r="G1594" s="89">
        <f>IFERROR(VLOOKUP(F1594,COA!$A$1:$K$26,2,FALSE),0)</f>
        <v>0</v>
      </c>
      <c r="H1594" s="11"/>
      <c r="I1594" s="11"/>
      <c r="J1594" s="78"/>
      <c r="K1594" s="78"/>
      <c r="L1594" s="146">
        <f t="shared" si="80"/>
        <v>13126700</v>
      </c>
      <c r="M1594" s="73"/>
      <c r="N1594" s="73"/>
      <c r="O1594" s="73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14.25" customHeight="1" x14ac:dyDescent="0.35">
      <c r="A1595" s="9">
        <f t="shared" si="81"/>
        <v>1587</v>
      </c>
      <c r="B1595" s="15"/>
      <c r="C1595" s="11">
        <f t="shared" si="82"/>
        <v>1</v>
      </c>
      <c r="D1595" s="11"/>
      <c r="E1595" s="11"/>
      <c r="F1595" s="11"/>
      <c r="G1595" s="89">
        <f>IFERROR(VLOOKUP(F1595,COA!$A$1:$K$26,2,FALSE),0)</f>
        <v>0</v>
      </c>
      <c r="H1595" s="11"/>
      <c r="I1595" s="11"/>
      <c r="J1595" s="78"/>
      <c r="K1595" s="78"/>
      <c r="L1595" s="146">
        <f t="shared" si="80"/>
        <v>13126700</v>
      </c>
      <c r="M1595" s="73"/>
      <c r="N1595" s="73"/>
      <c r="O1595" s="73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14.25" customHeight="1" x14ac:dyDescent="0.35">
      <c r="A1596" s="9">
        <f t="shared" si="81"/>
        <v>1588</v>
      </c>
      <c r="B1596" s="15"/>
      <c r="C1596" s="11">
        <f t="shared" si="82"/>
        <v>1</v>
      </c>
      <c r="D1596" s="11"/>
      <c r="E1596" s="11"/>
      <c r="F1596" s="11"/>
      <c r="G1596" s="89">
        <f>IFERROR(VLOOKUP(F1596,COA!$A$1:$K$26,2,FALSE),0)</f>
        <v>0</v>
      </c>
      <c r="H1596" s="11"/>
      <c r="I1596" s="11"/>
      <c r="J1596" s="78"/>
      <c r="K1596" s="78"/>
      <c r="L1596" s="146">
        <f t="shared" si="80"/>
        <v>13126700</v>
      </c>
      <c r="M1596" s="73"/>
      <c r="N1596" s="73"/>
      <c r="O1596" s="73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14.25" customHeight="1" x14ac:dyDescent="0.35">
      <c r="A1597" s="9">
        <f t="shared" si="81"/>
        <v>1589</v>
      </c>
      <c r="B1597" s="15"/>
      <c r="C1597" s="11">
        <f t="shared" si="82"/>
        <v>1</v>
      </c>
      <c r="D1597" s="11"/>
      <c r="E1597" s="11"/>
      <c r="F1597" s="11"/>
      <c r="G1597" s="89">
        <f>IFERROR(VLOOKUP(F1597,COA!$A$1:$K$26,2,FALSE),0)</f>
        <v>0</v>
      </c>
      <c r="H1597" s="11"/>
      <c r="I1597" s="11"/>
      <c r="J1597" s="78"/>
      <c r="K1597" s="78"/>
      <c r="L1597" s="146">
        <f t="shared" si="80"/>
        <v>13126700</v>
      </c>
      <c r="M1597" s="73"/>
      <c r="N1597" s="73"/>
      <c r="O1597" s="73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14.25" customHeight="1" x14ac:dyDescent="0.35">
      <c r="A1598" s="9">
        <f t="shared" si="81"/>
        <v>1590</v>
      </c>
      <c r="B1598" s="15"/>
      <c r="C1598" s="11">
        <f t="shared" si="82"/>
        <v>1</v>
      </c>
      <c r="D1598" s="11"/>
      <c r="E1598" s="11"/>
      <c r="F1598" s="11"/>
      <c r="G1598" s="89">
        <f>IFERROR(VLOOKUP(F1598,COA!$A$1:$K$26,2,FALSE),0)</f>
        <v>0</v>
      </c>
      <c r="H1598" s="11"/>
      <c r="I1598" s="11"/>
      <c r="J1598" s="78"/>
      <c r="K1598" s="78"/>
      <c r="L1598" s="146">
        <f t="shared" si="80"/>
        <v>13126700</v>
      </c>
      <c r="M1598" s="73"/>
      <c r="N1598" s="73"/>
      <c r="O1598" s="73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14.25" customHeight="1" x14ac:dyDescent="0.35">
      <c r="A1599" s="9">
        <f t="shared" si="81"/>
        <v>1591</v>
      </c>
      <c r="B1599" s="15"/>
      <c r="C1599" s="11">
        <f t="shared" si="82"/>
        <v>1</v>
      </c>
      <c r="D1599" s="11"/>
      <c r="E1599" s="11"/>
      <c r="F1599" s="11"/>
      <c r="G1599" s="89">
        <f>IFERROR(VLOOKUP(F1599,COA!$A$1:$K$26,2,FALSE),0)</f>
        <v>0</v>
      </c>
      <c r="H1599" s="11"/>
      <c r="I1599" s="11"/>
      <c r="J1599" s="78"/>
      <c r="K1599" s="78"/>
      <c r="L1599" s="146">
        <f t="shared" si="80"/>
        <v>13126700</v>
      </c>
      <c r="M1599" s="73"/>
      <c r="N1599" s="73"/>
      <c r="O1599" s="73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14.25" customHeight="1" x14ac:dyDescent="0.35">
      <c r="A1600" s="9">
        <f t="shared" si="81"/>
        <v>1592</v>
      </c>
      <c r="B1600" s="15"/>
      <c r="C1600" s="11">
        <f t="shared" si="82"/>
        <v>1</v>
      </c>
      <c r="D1600" s="11"/>
      <c r="E1600" s="11"/>
      <c r="F1600" s="11"/>
      <c r="G1600" s="89">
        <f>IFERROR(VLOOKUP(F1600,COA!$A$1:$K$26,2,FALSE),0)</f>
        <v>0</v>
      </c>
      <c r="H1600" s="11"/>
      <c r="I1600" s="11"/>
      <c r="J1600" s="78"/>
      <c r="K1600" s="78"/>
      <c r="L1600" s="146">
        <f t="shared" si="80"/>
        <v>13126700</v>
      </c>
      <c r="M1600" s="73"/>
      <c r="N1600" s="73"/>
      <c r="O1600" s="73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14.25" customHeight="1" x14ac:dyDescent="0.35">
      <c r="A1601" s="9">
        <f t="shared" si="81"/>
        <v>1593</v>
      </c>
      <c r="B1601" s="15"/>
      <c r="C1601" s="11">
        <f t="shared" si="82"/>
        <v>1</v>
      </c>
      <c r="D1601" s="11"/>
      <c r="E1601" s="11"/>
      <c r="F1601" s="11"/>
      <c r="G1601" s="89">
        <f>IFERROR(VLOOKUP(F1601,COA!$A$1:$K$26,2,FALSE),0)</f>
        <v>0</v>
      </c>
      <c r="H1601" s="11"/>
      <c r="I1601" s="11"/>
      <c r="J1601" s="78"/>
      <c r="K1601" s="78"/>
      <c r="L1601" s="146">
        <f t="shared" si="80"/>
        <v>13126700</v>
      </c>
      <c r="M1601" s="73"/>
      <c r="N1601" s="73"/>
      <c r="O1601" s="73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14.25" customHeight="1" x14ac:dyDescent="0.35">
      <c r="A1602" s="9">
        <f t="shared" si="81"/>
        <v>1594</v>
      </c>
      <c r="B1602" s="15"/>
      <c r="C1602" s="11">
        <f t="shared" si="82"/>
        <v>1</v>
      </c>
      <c r="D1602" s="11"/>
      <c r="E1602" s="11"/>
      <c r="F1602" s="11"/>
      <c r="G1602" s="89">
        <f>IFERROR(VLOOKUP(F1602,COA!$A$1:$K$26,2,FALSE),0)</f>
        <v>0</v>
      </c>
      <c r="H1602" s="11"/>
      <c r="I1602" s="11"/>
      <c r="J1602" s="78"/>
      <c r="K1602" s="78"/>
      <c r="L1602" s="146">
        <f t="shared" si="80"/>
        <v>13126700</v>
      </c>
      <c r="M1602" s="73"/>
      <c r="N1602" s="73"/>
      <c r="O1602" s="73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14.25" customHeight="1" x14ac:dyDescent="0.35">
      <c r="A1603" s="9">
        <f t="shared" si="81"/>
        <v>1595</v>
      </c>
      <c r="B1603" s="15"/>
      <c r="C1603" s="11">
        <f t="shared" si="82"/>
        <v>1</v>
      </c>
      <c r="D1603" s="11"/>
      <c r="E1603" s="11"/>
      <c r="F1603" s="11"/>
      <c r="G1603" s="89">
        <f>IFERROR(VLOOKUP(F1603,COA!$A$1:$K$26,2,FALSE),0)</f>
        <v>0</v>
      </c>
      <c r="H1603" s="11"/>
      <c r="I1603" s="11"/>
      <c r="J1603" s="78"/>
      <c r="K1603" s="78"/>
      <c r="L1603" s="146">
        <f t="shared" si="80"/>
        <v>13126700</v>
      </c>
      <c r="M1603" s="73"/>
      <c r="N1603" s="73"/>
      <c r="O1603" s="73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14.25" customHeight="1" x14ac:dyDescent="0.35">
      <c r="A1604" s="9">
        <f t="shared" si="81"/>
        <v>1596</v>
      </c>
      <c r="B1604" s="15"/>
      <c r="C1604" s="11">
        <f t="shared" si="82"/>
        <v>1</v>
      </c>
      <c r="D1604" s="11"/>
      <c r="E1604" s="11"/>
      <c r="F1604" s="11"/>
      <c r="G1604" s="89">
        <f>IFERROR(VLOOKUP(F1604,COA!$A$1:$K$26,2,FALSE),0)</f>
        <v>0</v>
      </c>
      <c r="H1604" s="11"/>
      <c r="I1604" s="11"/>
      <c r="J1604" s="78"/>
      <c r="K1604" s="78"/>
      <c r="L1604" s="146">
        <f t="shared" si="80"/>
        <v>13126700</v>
      </c>
      <c r="M1604" s="73"/>
      <c r="N1604" s="73"/>
      <c r="O1604" s="73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14.25" customHeight="1" x14ac:dyDescent="0.35">
      <c r="A1605" s="9">
        <f t="shared" si="81"/>
        <v>1597</v>
      </c>
      <c r="B1605" s="15"/>
      <c r="C1605" s="11">
        <f t="shared" si="82"/>
        <v>1</v>
      </c>
      <c r="D1605" s="11"/>
      <c r="E1605" s="11"/>
      <c r="F1605" s="11"/>
      <c r="G1605" s="89">
        <f>IFERROR(VLOOKUP(F1605,COA!$A$1:$K$26,2,FALSE),0)</f>
        <v>0</v>
      </c>
      <c r="H1605" s="11"/>
      <c r="I1605" s="11"/>
      <c r="J1605" s="78"/>
      <c r="K1605" s="78"/>
      <c r="L1605" s="146">
        <f t="shared" si="80"/>
        <v>13126700</v>
      </c>
      <c r="M1605" s="73"/>
      <c r="N1605" s="73"/>
      <c r="O1605" s="73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14.25" customHeight="1" x14ac:dyDescent="0.35">
      <c r="A1606" s="9">
        <f t="shared" si="81"/>
        <v>1598</v>
      </c>
      <c r="B1606" s="15"/>
      <c r="C1606" s="11">
        <f t="shared" si="82"/>
        <v>1</v>
      </c>
      <c r="D1606" s="11"/>
      <c r="E1606" s="11"/>
      <c r="F1606" s="11"/>
      <c r="G1606" s="89">
        <f>IFERROR(VLOOKUP(F1606,COA!$A$1:$K$26,2,FALSE),0)</f>
        <v>0</v>
      </c>
      <c r="H1606" s="11"/>
      <c r="I1606" s="11"/>
      <c r="J1606" s="78"/>
      <c r="K1606" s="78"/>
      <c r="L1606" s="146">
        <f t="shared" si="80"/>
        <v>13126700</v>
      </c>
      <c r="M1606" s="73"/>
      <c r="N1606" s="73"/>
      <c r="O1606" s="73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14.25" customHeight="1" x14ac:dyDescent="0.35">
      <c r="A1607" s="9">
        <f t="shared" si="81"/>
        <v>1599</v>
      </c>
      <c r="B1607" s="15"/>
      <c r="C1607" s="11">
        <f t="shared" si="82"/>
        <v>1</v>
      </c>
      <c r="D1607" s="11"/>
      <c r="E1607" s="11"/>
      <c r="F1607" s="11"/>
      <c r="G1607" s="89">
        <f>IFERROR(VLOOKUP(F1607,COA!$A$1:$K$26,2,FALSE),0)</f>
        <v>0</v>
      </c>
      <c r="H1607" s="11"/>
      <c r="I1607" s="11"/>
      <c r="J1607" s="78"/>
      <c r="K1607" s="78"/>
      <c r="L1607" s="146">
        <f t="shared" si="80"/>
        <v>13126700</v>
      </c>
      <c r="M1607" s="73"/>
      <c r="N1607" s="73"/>
      <c r="O1607" s="73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14.25" customHeight="1" x14ac:dyDescent="0.35">
      <c r="A1608" s="9">
        <f t="shared" si="81"/>
        <v>1600</v>
      </c>
      <c r="B1608" s="15"/>
      <c r="C1608" s="11">
        <f t="shared" si="82"/>
        <v>1</v>
      </c>
      <c r="D1608" s="11"/>
      <c r="E1608" s="11"/>
      <c r="F1608" s="11"/>
      <c r="G1608" s="89">
        <f>IFERROR(VLOOKUP(F1608,COA!$A$1:$K$26,2,FALSE),0)</f>
        <v>0</v>
      </c>
      <c r="H1608" s="11"/>
      <c r="I1608" s="11"/>
      <c r="J1608" s="78"/>
      <c r="K1608" s="78"/>
      <c r="L1608" s="146">
        <f t="shared" si="80"/>
        <v>13126700</v>
      </c>
      <c r="M1608" s="73"/>
      <c r="N1608" s="73"/>
      <c r="O1608" s="73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14.25" customHeight="1" x14ac:dyDescent="0.35">
      <c r="A1609" s="9">
        <f t="shared" si="81"/>
        <v>1601</v>
      </c>
      <c r="B1609" s="15"/>
      <c r="C1609" s="11">
        <f t="shared" si="82"/>
        <v>1</v>
      </c>
      <c r="D1609" s="11"/>
      <c r="E1609" s="11"/>
      <c r="F1609" s="11"/>
      <c r="G1609" s="89">
        <f>IFERROR(VLOOKUP(F1609,COA!$A$1:$K$26,2,FALSE),0)</f>
        <v>0</v>
      </c>
      <c r="H1609" s="11"/>
      <c r="I1609" s="11"/>
      <c r="J1609" s="78"/>
      <c r="K1609" s="78"/>
      <c r="L1609" s="146">
        <f t="shared" si="80"/>
        <v>13126700</v>
      </c>
      <c r="M1609" s="73"/>
      <c r="N1609" s="73"/>
      <c r="O1609" s="73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14.25" customHeight="1" x14ac:dyDescent="0.35">
      <c r="A1610" s="9">
        <f t="shared" si="81"/>
        <v>1602</v>
      </c>
      <c r="B1610" s="15"/>
      <c r="C1610" s="11">
        <f t="shared" si="82"/>
        <v>1</v>
      </c>
      <c r="D1610" s="11"/>
      <c r="E1610" s="11"/>
      <c r="F1610" s="11"/>
      <c r="G1610" s="89">
        <f>IFERROR(VLOOKUP(F1610,COA!$A$1:$K$26,2,FALSE),0)</f>
        <v>0</v>
      </c>
      <c r="H1610" s="11"/>
      <c r="I1610" s="11"/>
      <c r="J1610" s="78"/>
      <c r="K1610" s="78"/>
      <c r="L1610" s="146">
        <f t="shared" si="80"/>
        <v>13126700</v>
      </c>
      <c r="M1610" s="73"/>
      <c r="N1610" s="73"/>
      <c r="O1610" s="73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14.25" customHeight="1" x14ac:dyDescent="0.35">
      <c r="A1611" s="9">
        <f t="shared" si="81"/>
        <v>1603</v>
      </c>
      <c r="B1611" s="15"/>
      <c r="C1611" s="11">
        <f t="shared" si="82"/>
        <v>1</v>
      </c>
      <c r="D1611" s="11"/>
      <c r="E1611" s="11"/>
      <c r="F1611" s="11"/>
      <c r="G1611" s="89">
        <f>IFERROR(VLOOKUP(F1611,COA!$A$1:$K$26,2,FALSE),0)</f>
        <v>0</v>
      </c>
      <c r="H1611" s="11"/>
      <c r="I1611" s="11"/>
      <c r="J1611" s="78"/>
      <c r="K1611" s="78"/>
      <c r="L1611" s="146">
        <f t="shared" si="80"/>
        <v>13126700</v>
      </c>
      <c r="M1611" s="73"/>
      <c r="N1611" s="73"/>
      <c r="O1611" s="73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14.25" customHeight="1" x14ac:dyDescent="0.35">
      <c r="A1612" s="9">
        <f t="shared" si="81"/>
        <v>1604</v>
      </c>
      <c r="B1612" s="15"/>
      <c r="C1612" s="11">
        <f t="shared" si="82"/>
        <v>1</v>
      </c>
      <c r="D1612" s="11"/>
      <c r="E1612" s="11"/>
      <c r="F1612" s="11"/>
      <c r="G1612" s="89">
        <f>IFERROR(VLOOKUP(F1612,COA!$A$1:$K$26,2,FALSE),0)</f>
        <v>0</v>
      </c>
      <c r="H1612" s="11"/>
      <c r="I1612" s="11"/>
      <c r="J1612" s="78"/>
      <c r="K1612" s="78"/>
      <c r="L1612" s="146">
        <f t="shared" si="80"/>
        <v>13126700</v>
      </c>
      <c r="M1612" s="73"/>
      <c r="N1612" s="73"/>
      <c r="O1612" s="73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14.25" customHeight="1" x14ac:dyDescent="0.35">
      <c r="A1613" s="9">
        <f t="shared" si="81"/>
        <v>1605</v>
      </c>
      <c r="B1613" s="15"/>
      <c r="C1613" s="11">
        <f t="shared" si="82"/>
        <v>1</v>
      </c>
      <c r="D1613" s="11"/>
      <c r="E1613" s="11"/>
      <c r="F1613" s="11"/>
      <c r="G1613" s="89">
        <f>IFERROR(VLOOKUP(F1613,COA!$A$1:$K$26,2,FALSE),0)</f>
        <v>0</v>
      </c>
      <c r="H1613" s="11"/>
      <c r="I1613" s="11"/>
      <c r="J1613" s="78"/>
      <c r="K1613" s="78"/>
      <c r="L1613" s="146">
        <f t="shared" si="80"/>
        <v>13126700</v>
      </c>
      <c r="M1613" s="73"/>
      <c r="N1613" s="73"/>
      <c r="O1613" s="73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14.25" customHeight="1" x14ac:dyDescent="0.35">
      <c r="A1614" s="9">
        <f t="shared" si="81"/>
        <v>1606</v>
      </c>
      <c r="B1614" s="15"/>
      <c r="C1614" s="11">
        <f t="shared" si="82"/>
        <v>1</v>
      </c>
      <c r="D1614" s="11"/>
      <c r="E1614" s="11"/>
      <c r="F1614" s="11"/>
      <c r="G1614" s="89">
        <f>IFERROR(VLOOKUP(F1614,COA!$A$1:$K$26,2,FALSE),0)</f>
        <v>0</v>
      </c>
      <c r="H1614" s="11"/>
      <c r="I1614" s="11"/>
      <c r="J1614" s="78"/>
      <c r="K1614" s="78"/>
      <c r="L1614" s="146">
        <f t="shared" si="80"/>
        <v>13126700</v>
      </c>
      <c r="M1614" s="73"/>
      <c r="N1614" s="73"/>
      <c r="O1614" s="73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14.25" customHeight="1" x14ac:dyDescent="0.35">
      <c r="A1615" s="9">
        <f t="shared" si="81"/>
        <v>1607</v>
      </c>
      <c r="B1615" s="15"/>
      <c r="C1615" s="11">
        <f t="shared" si="82"/>
        <v>1</v>
      </c>
      <c r="D1615" s="11"/>
      <c r="E1615" s="11"/>
      <c r="F1615" s="11"/>
      <c r="G1615" s="89">
        <f>IFERROR(VLOOKUP(F1615,COA!$A$1:$K$26,2,FALSE),0)</f>
        <v>0</v>
      </c>
      <c r="H1615" s="11"/>
      <c r="I1615" s="11"/>
      <c r="J1615" s="78"/>
      <c r="K1615" s="78"/>
      <c r="L1615" s="146">
        <f t="shared" si="80"/>
        <v>13126700</v>
      </c>
      <c r="M1615" s="73"/>
      <c r="N1615" s="73"/>
      <c r="O1615" s="73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14.25" customHeight="1" x14ac:dyDescent="0.35">
      <c r="A1616" s="9">
        <f t="shared" si="81"/>
        <v>1608</v>
      </c>
      <c r="B1616" s="15"/>
      <c r="C1616" s="11">
        <f t="shared" si="82"/>
        <v>1</v>
      </c>
      <c r="D1616" s="11"/>
      <c r="E1616" s="11"/>
      <c r="F1616" s="11"/>
      <c r="G1616" s="89">
        <f>IFERROR(VLOOKUP(F1616,COA!$A$1:$K$26,2,FALSE),0)</f>
        <v>0</v>
      </c>
      <c r="H1616" s="11"/>
      <c r="I1616" s="11"/>
      <c r="J1616" s="78"/>
      <c r="K1616" s="78"/>
      <c r="L1616" s="146">
        <f t="shared" ref="L1616:L1679" si="83">L1615+J1616-K1616</f>
        <v>13126700</v>
      </c>
      <c r="M1616" s="73"/>
      <c r="N1616" s="73"/>
      <c r="O1616" s="73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14.25" customHeight="1" x14ac:dyDescent="0.35">
      <c r="A1617" s="9">
        <f t="shared" si="81"/>
        <v>1609</v>
      </c>
      <c r="B1617" s="15"/>
      <c r="C1617" s="11">
        <f t="shared" si="82"/>
        <v>1</v>
      </c>
      <c r="D1617" s="11"/>
      <c r="E1617" s="11"/>
      <c r="F1617" s="11"/>
      <c r="G1617" s="89">
        <f>IFERROR(VLOOKUP(F1617,COA!$A$1:$K$26,2,FALSE),0)</f>
        <v>0</v>
      </c>
      <c r="H1617" s="11"/>
      <c r="I1617" s="11"/>
      <c r="J1617" s="78"/>
      <c r="K1617" s="78"/>
      <c r="L1617" s="146">
        <f t="shared" si="83"/>
        <v>13126700</v>
      </c>
      <c r="M1617" s="73"/>
      <c r="N1617" s="73"/>
      <c r="O1617" s="73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14.25" customHeight="1" x14ac:dyDescent="0.35">
      <c r="A1618" s="9">
        <f t="shared" ref="A1618:A1681" si="84">A1617+1</f>
        <v>1610</v>
      </c>
      <c r="B1618" s="15"/>
      <c r="C1618" s="11">
        <f t="shared" si="82"/>
        <v>1</v>
      </c>
      <c r="D1618" s="11"/>
      <c r="E1618" s="11"/>
      <c r="F1618" s="11"/>
      <c r="G1618" s="89">
        <f>IFERROR(VLOOKUP(F1618,COA!$A$1:$K$26,2,FALSE),0)</f>
        <v>0</v>
      </c>
      <c r="H1618" s="11"/>
      <c r="I1618" s="11"/>
      <c r="J1618" s="78"/>
      <c r="K1618" s="78"/>
      <c r="L1618" s="146">
        <f t="shared" si="83"/>
        <v>13126700</v>
      </c>
      <c r="M1618" s="73"/>
      <c r="N1618" s="73"/>
      <c r="O1618" s="73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14.25" customHeight="1" x14ac:dyDescent="0.35">
      <c r="A1619" s="9">
        <f t="shared" si="84"/>
        <v>1611</v>
      </c>
      <c r="B1619" s="15"/>
      <c r="C1619" s="11">
        <f t="shared" si="82"/>
        <v>1</v>
      </c>
      <c r="D1619" s="11"/>
      <c r="E1619" s="11"/>
      <c r="F1619" s="11"/>
      <c r="G1619" s="89">
        <f>IFERROR(VLOOKUP(F1619,COA!$A$1:$K$26,2,FALSE),0)</f>
        <v>0</v>
      </c>
      <c r="H1619" s="11"/>
      <c r="I1619" s="11"/>
      <c r="J1619" s="78"/>
      <c r="K1619" s="78"/>
      <c r="L1619" s="146">
        <f t="shared" si="83"/>
        <v>13126700</v>
      </c>
      <c r="M1619" s="73"/>
      <c r="N1619" s="73"/>
      <c r="O1619" s="73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14.25" customHeight="1" x14ac:dyDescent="0.35">
      <c r="A1620" s="9">
        <f t="shared" si="84"/>
        <v>1612</v>
      </c>
      <c r="B1620" s="15"/>
      <c r="C1620" s="11">
        <f t="shared" si="82"/>
        <v>1</v>
      </c>
      <c r="D1620" s="11"/>
      <c r="E1620" s="11"/>
      <c r="F1620" s="11"/>
      <c r="G1620" s="89">
        <f>IFERROR(VLOOKUP(F1620,COA!$A$1:$K$26,2,FALSE),0)</f>
        <v>0</v>
      </c>
      <c r="H1620" s="11"/>
      <c r="I1620" s="11"/>
      <c r="J1620" s="78"/>
      <c r="K1620" s="78"/>
      <c r="L1620" s="146">
        <f t="shared" si="83"/>
        <v>13126700</v>
      </c>
      <c r="M1620" s="73"/>
      <c r="N1620" s="73"/>
      <c r="O1620" s="73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14.25" customHeight="1" x14ac:dyDescent="0.35">
      <c r="A1621" s="9">
        <f t="shared" si="84"/>
        <v>1613</v>
      </c>
      <c r="B1621" s="15"/>
      <c r="C1621" s="11">
        <f t="shared" si="82"/>
        <v>1</v>
      </c>
      <c r="D1621" s="11"/>
      <c r="E1621" s="11"/>
      <c r="F1621" s="11"/>
      <c r="G1621" s="89">
        <f>IFERROR(VLOOKUP(F1621,COA!$A$1:$K$26,2,FALSE),0)</f>
        <v>0</v>
      </c>
      <c r="H1621" s="11"/>
      <c r="I1621" s="11"/>
      <c r="J1621" s="78"/>
      <c r="K1621" s="78"/>
      <c r="L1621" s="146">
        <f t="shared" si="83"/>
        <v>13126700</v>
      </c>
      <c r="M1621" s="73"/>
      <c r="N1621" s="73"/>
      <c r="O1621" s="73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14.25" customHeight="1" x14ac:dyDescent="0.35">
      <c r="A1622" s="9">
        <f t="shared" si="84"/>
        <v>1614</v>
      </c>
      <c r="B1622" s="15"/>
      <c r="C1622" s="11">
        <f t="shared" si="82"/>
        <v>1</v>
      </c>
      <c r="D1622" s="11"/>
      <c r="E1622" s="11"/>
      <c r="F1622" s="11"/>
      <c r="G1622" s="89">
        <f>IFERROR(VLOOKUP(F1622,COA!$A$1:$K$26,2,FALSE),0)</f>
        <v>0</v>
      </c>
      <c r="H1622" s="11"/>
      <c r="I1622" s="11"/>
      <c r="J1622" s="78"/>
      <c r="K1622" s="78"/>
      <c r="L1622" s="146">
        <f t="shared" si="83"/>
        <v>13126700</v>
      </c>
      <c r="M1622" s="73"/>
      <c r="N1622" s="73"/>
      <c r="O1622" s="73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14.25" customHeight="1" x14ac:dyDescent="0.35">
      <c r="A1623" s="9">
        <f t="shared" si="84"/>
        <v>1615</v>
      </c>
      <c r="B1623" s="15"/>
      <c r="C1623" s="11">
        <f t="shared" si="82"/>
        <v>1</v>
      </c>
      <c r="D1623" s="11"/>
      <c r="E1623" s="11"/>
      <c r="F1623" s="11"/>
      <c r="G1623" s="89">
        <f>IFERROR(VLOOKUP(F1623,COA!$A$1:$K$26,2,FALSE),0)</f>
        <v>0</v>
      </c>
      <c r="H1623" s="11"/>
      <c r="I1623" s="11"/>
      <c r="J1623" s="78"/>
      <c r="K1623" s="78"/>
      <c r="L1623" s="146">
        <f t="shared" si="83"/>
        <v>13126700</v>
      </c>
      <c r="M1623" s="73"/>
      <c r="N1623" s="73"/>
      <c r="O1623" s="73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14.25" customHeight="1" x14ac:dyDescent="0.35">
      <c r="A1624" s="9">
        <f t="shared" si="84"/>
        <v>1616</v>
      </c>
      <c r="B1624" s="15"/>
      <c r="C1624" s="11">
        <f t="shared" si="82"/>
        <v>1</v>
      </c>
      <c r="D1624" s="11"/>
      <c r="E1624" s="11"/>
      <c r="F1624" s="11"/>
      <c r="G1624" s="89">
        <f>IFERROR(VLOOKUP(F1624,COA!$A$1:$K$26,2,FALSE),0)</f>
        <v>0</v>
      </c>
      <c r="H1624" s="11"/>
      <c r="I1624" s="11"/>
      <c r="J1624" s="78"/>
      <c r="K1624" s="78"/>
      <c r="L1624" s="146">
        <f t="shared" si="83"/>
        <v>13126700</v>
      </c>
      <c r="M1624" s="73"/>
      <c r="N1624" s="73"/>
      <c r="O1624" s="73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14.25" customHeight="1" x14ac:dyDescent="0.35">
      <c r="A1625" s="9">
        <f t="shared" si="84"/>
        <v>1617</v>
      </c>
      <c r="B1625" s="15"/>
      <c r="C1625" s="11">
        <f t="shared" si="82"/>
        <v>1</v>
      </c>
      <c r="D1625" s="11"/>
      <c r="E1625" s="11"/>
      <c r="F1625" s="11"/>
      <c r="G1625" s="89">
        <f>IFERROR(VLOOKUP(F1625,COA!$A$1:$K$26,2,FALSE),0)</f>
        <v>0</v>
      </c>
      <c r="H1625" s="11"/>
      <c r="I1625" s="11"/>
      <c r="J1625" s="78"/>
      <c r="K1625" s="78"/>
      <c r="L1625" s="146">
        <f t="shared" si="83"/>
        <v>13126700</v>
      </c>
      <c r="M1625" s="73"/>
      <c r="N1625" s="73"/>
      <c r="O1625" s="73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14.25" customHeight="1" x14ac:dyDescent="0.35">
      <c r="A1626" s="9">
        <f t="shared" si="84"/>
        <v>1618</v>
      </c>
      <c r="B1626" s="15"/>
      <c r="C1626" s="11">
        <f t="shared" si="82"/>
        <v>1</v>
      </c>
      <c r="D1626" s="11"/>
      <c r="E1626" s="11"/>
      <c r="F1626" s="11"/>
      <c r="G1626" s="89">
        <f>IFERROR(VLOOKUP(F1626,COA!$A$1:$K$26,2,FALSE),0)</f>
        <v>0</v>
      </c>
      <c r="H1626" s="11"/>
      <c r="I1626" s="11"/>
      <c r="J1626" s="78"/>
      <c r="K1626" s="78"/>
      <c r="L1626" s="146">
        <f t="shared" si="83"/>
        <v>13126700</v>
      </c>
      <c r="M1626" s="73"/>
      <c r="N1626" s="73"/>
      <c r="O1626" s="73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14.25" customHeight="1" x14ac:dyDescent="0.35">
      <c r="A1627" s="9">
        <f t="shared" si="84"/>
        <v>1619</v>
      </c>
      <c r="B1627" s="15"/>
      <c r="C1627" s="11">
        <f t="shared" si="82"/>
        <v>1</v>
      </c>
      <c r="D1627" s="11"/>
      <c r="E1627" s="11"/>
      <c r="F1627" s="11"/>
      <c r="G1627" s="89">
        <f>IFERROR(VLOOKUP(F1627,COA!$A$1:$K$26,2,FALSE),0)</f>
        <v>0</v>
      </c>
      <c r="H1627" s="11"/>
      <c r="I1627" s="11"/>
      <c r="J1627" s="78"/>
      <c r="K1627" s="78"/>
      <c r="L1627" s="146">
        <f t="shared" si="83"/>
        <v>13126700</v>
      </c>
      <c r="M1627" s="73"/>
      <c r="N1627" s="73"/>
      <c r="O1627" s="73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14.25" customHeight="1" x14ac:dyDescent="0.35">
      <c r="A1628" s="9">
        <f t="shared" si="84"/>
        <v>1620</v>
      </c>
      <c r="B1628" s="15"/>
      <c r="C1628" s="11">
        <f t="shared" si="82"/>
        <v>1</v>
      </c>
      <c r="D1628" s="11"/>
      <c r="E1628" s="11"/>
      <c r="F1628" s="11"/>
      <c r="G1628" s="89">
        <f>IFERROR(VLOOKUP(F1628,COA!$A$1:$K$26,2,FALSE),0)</f>
        <v>0</v>
      </c>
      <c r="H1628" s="11"/>
      <c r="I1628" s="11"/>
      <c r="J1628" s="78"/>
      <c r="K1628" s="78"/>
      <c r="L1628" s="146">
        <f t="shared" si="83"/>
        <v>13126700</v>
      </c>
      <c r="M1628" s="73"/>
      <c r="N1628" s="73"/>
      <c r="O1628" s="73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14.25" customHeight="1" x14ac:dyDescent="0.35">
      <c r="A1629" s="9">
        <f t="shared" si="84"/>
        <v>1621</v>
      </c>
      <c r="B1629" s="15"/>
      <c r="C1629" s="11">
        <f t="shared" si="82"/>
        <v>1</v>
      </c>
      <c r="D1629" s="11"/>
      <c r="E1629" s="11"/>
      <c r="F1629" s="11"/>
      <c r="G1629" s="89">
        <f>IFERROR(VLOOKUP(F1629,COA!$A$1:$K$26,2,FALSE),0)</f>
        <v>0</v>
      </c>
      <c r="H1629" s="11"/>
      <c r="I1629" s="11"/>
      <c r="J1629" s="78"/>
      <c r="K1629" s="78"/>
      <c r="L1629" s="146">
        <f t="shared" si="83"/>
        <v>13126700</v>
      </c>
      <c r="M1629" s="73"/>
      <c r="N1629" s="73"/>
      <c r="O1629" s="73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14.25" customHeight="1" x14ac:dyDescent="0.35">
      <c r="A1630" s="9">
        <f t="shared" si="84"/>
        <v>1622</v>
      </c>
      <c r="B1630" s="15"/>
      <c r="C1630" s="11">
        <f t="shared" si="82"/>
        <v>1</v>
      </c>
      <c r="D1630" s="11"/>
      <c r="E1630" s="11"/>
      <c r="F1630" s="11"/>
      <c r="G1630" s="89">
        <f>IFERROR(VLOOKUP(F1630,COA!$A$1:$K$26,2,FALSE),0)</f>
        <v>0</v>
      </c>
      <c r="H1630" s="11"/>
      <c r="I1630" s="11"/>
      <c r="J1630" s="78"/>
      <c r="K1630" s="78"/>
      <c r="L1630" s="146">
        <f t="shared" si="83"/>
        <v>13126700</v>
      </c>
      <c r="M1630" s="73"/>
      <c r="N1630" s="73"/>
      <c r="O1630" s="73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14.25" customHeight="1" x14ac:dyDescent="0.35">
      <c r="A1631" s="9">
        <f t="shared" si="84"/>
        <v>1623</v>
      </c>
      <c r="B1631" s="15"/>
      <c r="C1631" s="11">
        <f t="shared" si="82"/>
        <v>1</v>
      </c>
      <c r="D1631" s="11"/>
      <c r="E1631" s="11"/>
      <c r="F1631" s="11"/>
      <c r="G1631" s="89">
        <f>IFERROR(VLOOKUP(F1631,COA!$A$1:$K$26,2,FALSE),0)</f>
        <v>0</v>
      </c>
      <c r="H1631" s="11"/>
      <c r="I1631" s="11"/>
      <c r="J1631" s="78"/>
      <c r="K1631" s="78"/>
      <c r="L1631" s="146">
        <f t="shared" si="83"/>
        <v>13126700</v>
      </c>
      <c r="M1631" s="73"/>
      <c r="N1631" s="73"/>
      <c r="O1631" s="73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14.25" customHeight="1" x14ac:dyDescent="0.35">
      <c r="A1632" s="9">
        <f t="shared" si="84"/>
        <v>1624</v>
      </c>
      <c r="B1632" s="15"/>
      <c r="C1632" s="11">
        <f t="shared" si="82"/>
        <v>1</v>
      </c>
      <c r="D1632" s="11"/>
      <c r="E1632" s="11"/>
      <c r="F1632" s="11"/>
      <c r="G1632" s="89">
        <f>IFERROR(VLOOKUP(F1632,COA!$A$1:$K$26,2,FALSE),0)</f>
        <v>0</v>
      </c>
      <c r="H1632" s="11"/>
      <c r="I1632" s="11"/>
      <c r="J1632" s="78"/>
      <c r="K1632" s="78"/>
      <c r="L1632" s="146">
        <f t="shared" si="83"/>
        <v>13126700</v>
      </c>
      <c r="M1632" s="73"/>
      <c r="N1632" s="73"/>
      <c r="O1632" s="73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14.25" customHeight="1" x14ac:dyDescent="0.35">
      <c r="A1633" s="9">
        <f t="shared" si="84"/>
        <v>1625</v>
      </c>
      <c r="B1633" s="15"/>
      <c r="C1633" s="11">
        <f t="shared" si="82"/>
        <v>1</v>
      </c>
      <c r="D1633" s="11"/>
      <c r="E1633" s="11"/>
      <c r="F1633" s="11"/>
      <c r="G1633" s="89">
        <f>IFERROR(VLOOKUP(F1633,COA!$A$1:$K$26,2,FALSE),0)</f>
        <v>0</v>
      </c>
      <c r="H1633" s="11"/>
      <c r="I1633" s="11"/>
      <c r="J1633" s="78"/>
      <c r="K1633" s="78"/>
      <c r="L1633" s="146">
        <f t="shared" si="83"/>
        <v>13126700</v>
      </c>
      <c r="M1633" s="73"/>
      <c r="N1633" s="73"/>
      <c r="O1633" s="73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14.25" customHeight="1" x14ac:dyDescent="0.35">
      <c r="A1634" s="9">
        <f t="shared" si="84"/>
        <v>1626</v>
      </c>
      <c r="B1634" s="15"/>
      <c r="C1634" s="11">
        <f t="shared" si="82"/>
        <v>1</v>
      </c>
      <c r="D1634" s="11"/>
      <c r="E1634" s="11"/>
      <c r="F1634" s="11"/>
      <c r="G1634" s="89">
        <f>IFERROR(VLOOKUP(F1634,COA!$A$1:$K$26,2,FALSE),0)</f>
        <v>0</v>
      </c>
      <c r="H1634" s="11"/>
      <c r="I1634" s="11"/>
      <c r="J1634" s="78"/>
      <c r="K1634" s="78"/>
      <c r="L1634" s="146">
        <f t="shared" si="83"/>
        <v>13126700</v>
      </c>
      <c r="M1634" s="73"/>
      <c r="N1634" s="73"/>
      <c r="O1634" s="73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14.25" customHeight="1" x14ac:dyDescent="0.35">
      <c r="A1635" s="9">
        <f t="shared" si="84"/>
        <v>1627</v>
      </c>
      <c r="B1635" s="15"/>
      <c r="C1635" s="11">
        <f t="shared" si="82"/>
        <v>1</v>
      </c>
      <c r="D1635" s="11"/>
      <c r="E1635" s="11"/>
      <c r="F1635" s="11"/>
      <c r="G1635" s="89">
        <f>IFERROR(VLOOKUP(F1635,COA!$A$1:$K$26,2,FALSE),0)</f>
        <v>0</v>
      </c>
      <c r="H1635" s="11"/>
      <c r="I1635" s="11"/>
      <c r="J1635" s="78"/>
      <c r="K1635" s="78"/>
      <c r="L1635" s="146">
        <f t="shared" si="83"/>
        <v>13126700</v>
      </c>
      <c r="M1635" s="73"/>
      <c r="N1635" s="73"/>
      <c r="O1635" s="73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14.25" customHeight="1" x14ac:dyDescent="0.35">
      <c r="A1636" s="9">
        <f t="shared" si="84"/>
        <v>1628</v>
      </c>
      <c r="B1636" s="15"/>
      <c r="C1636" s="11">
        <f t="shared" ref="C1636:C1699" si="85">MONTH(B1636)</f>
        <v>1</v>
      </c>
      <c r="D1636" s="11"/>
      <c r="E1636" s="11"/>
      <c r="F1636" s="11"/>
      <c r="G1636" s="89">
        <f>IFERROR(VLOOKUP(F1636,COA!$A$1:$K$26,2,FALSE),0)</f>
        <v>0</v>
      </c>
      <c r="H1636" s="11"/>
      <c r="I1636" s="11"/>
      <c r="J1636" s="78"/>
      <c r="K1636" s="78"/>
      <c r="L1636" s="146">
        <f t="shared" si="83"/>
        <v>13126700</v>
      </c>
      <c r="M1636" s="73"/>
      <c r="N1636" s="73"/>
      <c r="O1636" s="73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14.25" customHeight="1" x14ac:dyDescent="0.35">
      <c r="A1637" s="9">
        <f t="shared" si="84"/>
        <v>1629</v>
      </c>
      <c r="B1637" s="15"/>
      <c r="C1637" s="11">
        <f t="shared" si="85"/>
        <v>1</v>
      </c>
      <c r="D1637" s="11"/>
      <c r="E1637" s="11"/>
      <c r="F1637" s="11"/>
      <c r="G1637" s="89">
        <f>IFERROR(VLOOKUP(F1637,COA!$A$1:$K$26,2,FALSE),0)</f>
        <v>0</v>
      </c>
      <c r="H1637" s="11"/>
      <c r="I1637" s="11"/>
      <c r="J1637" s="78"/>
      <c r="K1637" s="78"/>
      <c r="L1637" s="146">
        <f t="shared" si="83"/>
        <v>13126700</v>
      </c>
      <c r="M1637" s="73"/>
      <c r="N1637" s="73"/>
      <c r="O1637" s="73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14.25" customHeight="1" x14ac:dyDescent="0.35">
      <c r="A1638" s="9">
        <f t="shared" si="84"/>
        <v>1630</v>
      </c>
      <c r="B1638" s="15"/>
      <c r="C1638" s="11">
        <f t="shared" si="85"/>
        <v>1</v>
      </c>
      <c r="D1638" s="11"/>
      <c r="E1638" s="11"/>
      <c r="F1638" s="11"/>
      <c r="G1638" s="89">
        <f>IFERROR(VLOOKUP(F1638,COA!$A$1:$K$26,2,FALSE),0)</f>
        <v>0</v>
      </c>
      <c r="H1638" s="11"/>
      <c r="I1638" s="11"/>
      <c r="J1638" s="78"/>
      <c r="K1638" s="78"/>
      <c r="L1638" s="146">
        <f t="shared" si="83"/>
        <v>13126700</v>
      </c>
      <c r="M1638" s="73"/>
      <c r="N1638" s="73"/>
      <c r="O1638" s="73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14.25" customHeight="1" x14ac:dyDescent="0.35">
      <c r="A1639" s="9">
        <f t="shared" si="84"/>
        <v>1631</v>
      </c>
      <c r="B1639" s="15"/>
      <c r="C1639" s="11">
        <f t="shared" si="85"/>
        <v>1</v>
      </c>
      <c r="D1639" s="11"/>
      <c r="E1639" s="11"/>
      <c r="F1639" s="11"/>
      <c r="G1639" s="89">
        <f>IFERROR(VLOOKUP(F1639,COA!$A$1:$K$26,2,FALSE),0)</f>
        <v>0</v>
      </c>
      <c r="H1639" s="11"/>
      <c r="I1639" s="11"/>
      <c r="J1639" s="78"/>
      <c r="K1639" s="78"/>
      <c r="L1639" s="146">
        <f t="shared" si="83"/>
        <v>13126700</v>
      </c>
      <c r="M1639" s="73"/>
      <c r="N1639" s="73"/>
      <c r="O1639" s="73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14.25" customHeight="1" x14ac:dyDescent="0.35">
      <c r="A1640" s="9">
        <f t="shared" si="84"/>
        <v>1632</v>
      </c>
      <c r="B1640" s="15"/>
      <c r="C1640" s="11">
        <f t="shared" si="85"/>
        <v>1</v>
      </c>
      <c r="D1640" s="11"/>
      <c r="E1640" s="11"/>
      <c r="F1640" s="11"/>
      <c r="G1640" s="89">
        <f>IFERROR(VLOOKUP(F1640,COA!$A$1:$K$26,2,FALSE),0)</f>
        <v>0</v>
      </c>
      <c r="H1640" s="11"/>
      <c r="I1640" s="11"/>
      <c r="J1640" s="78"/>
      <c r="K1640" s="78"/>
      <c r="L1640" s="146">
        <f t="shared" si="83"/>
        <v>13126700</v>
      </c>
      <c r="M1640" s="73"/>
      <c r="N1640" s="73"/>
      <c r="O1640" s="73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14.25" customHeight="1" x14ac:dyDescent="0.35">
      <c r="A1641" s="9">
        <f t="shared" si="84"/>
        <v>1633</v>
      </c>
      <c r="B1641" s="15"/>
      <c r="C1641" s="11">
        <f t="shared" si="85"/>
        <v>1</v>
      </c>
      <c r="D1641" s="11"/>
      <c r="E1641" s="11"/>
      <c r="F1641" s="11"/>
      <c r="G1641" s="89">
        <f>IFERROR(VLOOKUP(F1641,COA!$A$1:$K$26,2,FALSE),0)</f>
        <v>0</v>
      </c>
      <c r="H1641" s="11"/>
      <c r="I1641" s="11"/>
      <c r="J1641" s="78"/>
      <c r="K1641" s="78"/>
      <c r="L1641" s="146">
        <f t="shared" si="83"/>
        <v>13126700</v>
      </c>
      <c r="M1641" s="73"/>
      <c r="N1641" s="73"/>
      <c r="O1641" s="73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14.25" customHeight="1" x14ac:dyDescent="0.35">
      <c r="A1642" s="9">
        <f t="shared" si="84"/>
        <v>1634</v>
      </c>
      <c r="B1642" s="15"/>
      <c r="C1642" s="11">
        <f t="shared" si="85"/>
        <v>1</v>
      </c>
      <c r="D1642" s="11"/>
      <c r="E1642" s="11"/>
      <c r="F1642" s="11"/>
      <c r="G1642" s="89">
        <f>IFERROR(VLOOKUP(F1642,COA!$A$1:$K$26,2,FALSE),0)</f>
        <v>0</v>
      </c>
      <c r="H1642" s="11"/>
      <c r="I1642" s="11"/>
      <c r="J1642" s="78"/>
      <c r="K1642" s="78"/>
      <c r="L1642" s="146">
        <f t="shared" si="83"/>
        <v>13126700</v>
      </c>
      <c r="M1642" s="73"/>
      <c r="N1642" s="73"/>
      <c r="O1642" s="73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14.25" customHeight="1" x14ac:dyDescent="0.35">
      <c r="A1643" s="9">
        <f t="shared" si="84"/>
        <v>1635</v>
      </c>
      <c r="B1643" s="15"/>
      <c r="C1643" s="11">
        <f t="shared" si="85"/>
        <v>1</v>
      </c>
      <c r="D1643" s="11"/>
      <c r="E1643" s="11"/>
      <c r="F1643" s="11"/>
      <c r="G1643" s="89">
        <f>IFERROR(VLOOKUP(F1643,COA!$A$1:$K$26,2,FALSE),0)</f>
        <v>0</v>
      </c>
      <c r="H1643" s="11"/>
      <c r="I1643" s="11"/>
      <c r="J1643" s="78"/>
      <c r="K1643" s="78"/>
      <c r="L1643" s="146">
        <f t="shared" si="83"/>
        <v>13126700</v>
      </c>
      <c r="M1643" s="73"/>
      <c r="N1643" s="73"/>
      <c r="O1643" s="73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14.25" customHeight="1" x14ac:dyDescent="0.35">
      <c r="A1644" s="9">
        <f t="shared" si="84"/>
        <v>1636</v>
      </c>
      <c r="B1644" s="15"/>
      <c r="C1644" s="11">
        <f t="shared" si="85"/>
        <v>1</v>
      </c>
      <c r="D1644" s="11"/>
      <c r="E1644" s="11"/>
      <c r="F1644" s="11"/>
      <c r="G1644" s="89">
        <f>IFERROR(VLOOKUP(F1644,COA!$A$1:$K$26,2,FALSE),0)</f>
        <v>0</v>
      </c>
      <c r="H1644" s="11"/>
      <c r="I1644" s="11"/>
      <c r="J1644" s="78"/>
      <c r="K1644" s="78"/>
      <c r="L1644" s="146">
        <f t="shared" si="83"/>
        <v>13126700</v>
      </c>
      <c r="M1644" s="73"/>
      <c r="N1644" s="73"/>
      <c r="O1644" s="73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14.25" customHeight="1" x14ac:dyDescent="0.35">
      <c r="A1645" s="9">
        <f t="shared" si="84"/>
        <v>1637</v>
      </c>
      <c r="B1645" s="15"/>
      <c r="C1645" s="11">
        <f t="shared" si="85"/>
        <v>1</v>
      </c>
      <c r="D1645" s="11"/>
      <c r="E1645" s="11"/>
      <c r="F1645" s="11"/>
      <c r="G1645" s="89">
        <f>IFERROR(VLOOKUP(F1645,COA!$A$1:$K$26,2,FALSE),0)</f>
        <v>0</v>
      </c>
      <c r="H1645" s="11"/>
      <c r="I1645" s="11"/>
      <c r="J1645" s="78"/>
      <c r="K1645" s="78"/>
      <c r="L1645" s="146">
        <f t="shared" si="83"/>
        <v>13126700</v>
      </c>
      <c r="M1645" s="73"/>
      <c r="N1645" s="73"/>
      <c r="O1645" s="73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14.25" customHeight="1" x14ac:dyDescent="0.35">
      <c r="A1646" s="9">
        <f t="shared" si="84"/>
        <v>1638</v>
      </c>
      <c r="B1646" s="15"/>
      <c r="C1646" s="11">
        <f t="shared" si="85"/>
        <v>1</v>
      </c>
      <c r="D1646" s="11"/>
      <c r="E1646" s="11"/>
      <c r="F1646" s="11"/>
      <c r="G1646" s="89">
        <f>IFERROR(VLOOKUP(F1646,COA!$A$1:$K$26,2,FALSE),0)</f>
        <v>0</v>
      </c>
      <c r="H1646" s="11"/>
      <c r="I1646" s="11"/>
      <c r="J1646" s="78"/>
      <c r="K1646" s="78"/>
      <c r="L1646" s="146">
        <f t="shared" si="83"/>
        <v>13126700</v>
      </c>
      <c r="M1646" s="73"/>
      <c r="N1646" s="73"/>
      <c r="O1646" s="73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14.25" customHeight="1" x14ac:dyDescent="0.35">
      <c r="A1647" s="9">
        <f t="shared" si="84"/>
        <v>1639</v>
      </c>
      <c r="B1647" s="15"/>
      <c r="C1647" s="11">
        <f t="shared" si="85"/>
        <v>1</v>
      </c>
      <c r="D1647" s="11"/>
      <c r="E1647" s="11"/>
      <c r="F1647" s="11"/>
      <c r="G1647" s="89">
        <f>IFERROR(VLOOKUP(F1647,COA!$A$1:$K$26,2,FALSE),0)</f>
        <v>0</v>
      </c>
      <c r="H1647" s="11"/>
      <c r="I1647" s="11"/>
      <c r="J1647" s="78"/>
      <c r="K1647" s="78"/>
      <c r="L1647" s="146">
        <f t="shared" si="83"/>
        <v>13126700</v>
      </c>
      <c r="M1647" s="73"/>
      <c r="N1647" s="73"/>
      <c r="O1647" s="73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14.25" customHeight="1" x14ac:dyDescent="0.35">
      <c r="A1648" s="9">
        <f t="shared" si="84"/>
        <v>1640</v>
      </c>
      <c r="B1648" s="15"/>
      <c r="C1648" s="11">
        <f t="shared" si="85"/>
        <v>1</v>
      </c>
      <c r="D1648" s="11"/>
      <c r="E1648" s="11"/>
      <c r="F1648" s="11"/>
      <c r="G1648" s="89">
        <f>IFERROR(VLOOKUP(F1648,COA!$A$1:$K$26,2,FALSE),0)</f>
        <v>0</v>
      </c>
      <c r="H1648" s="11"/>
      <c r="I1648" s="11"/>
      <c r="J1648" s="78"/>
      <c r="K1648" s="78"/>
      <c r="L1648" s="146">
        <f t="shared" si="83"/>
        <v>13126700</v>
      </c>
      <c r="M1648" s="73"/>
      <c r="N1648" s="73"/>
      <c r="O1648" s="73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14.25" customHeight="1" x14ac:dyDescent="0.35">
      <c r="A1649" s="9">
        <f t="shared" si="84"/>
        <v>1641</v>
      </c>
      <c r="B1649" s="15"/>
      <c r="C1649" s="11">
        <f t="shared" si="85"/>
        <v>1</v>
      </c>
      <c r="D1649" s="11"/>
      <c r="E1649" s="11"/>
      <c r="F1649" s="11"/>
      <c r="G1649" s="89">
        <f>IFERROR(VLOOKUP(F1649,COA!$A$1:$K$26,2,FALSE),0)</f>
        <v>0</v>
      </c>
      <c r="H1649" s="11"/>
      <c r="I1649" s="11"/>
      <c r="J1649" s="78"/>
      <c r="K1649" s="78"/>
      <c r="L1649" s="146">
        <f t="shared" si="83"/>
        <v>13126700</v>
      </c>
      <c r="M1649" s="73"/>
      <c r="N1649" s="73"/>
      <c r="O1649" s="73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14.25" customHeight="1" x14ac:dyDescent="0.35">
      <c r="A1650" s="9">
        <f t="shared" si="84"/>
        <v>1642</v>
      </c>
      <c r="B1650" s="15"/>
      <c r="C1650" s="11">
        <f t="shared" si="85"/>
        <v>1</v>
      </c>
      <c r="D1650" s="11"/>
      <c r="E1650" s="11"/>
      <c r="F1650" s="11"/>
      <c r="G1650" s="89">
        <f>IFERROR(VLOOKUP(F1650,COA!$A$1:$K$26,2,FALSE),0)</f>
        <v>0</v>
      </c>
      <c r="H1650" s="11"/>
      <c r="I1650" s="11"/>
      <c r="J1650" s="78"/>
      <c r="K1650" s="78"/>
      <c r="L1650" s="146">
        <f t="shared" si="83"/>
        <v>13126700</v>
      </c>
      <c r="M1650" s="73"/>
      <c r="N1650" s="73"/>
      <c r="O1650" s="73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14.25" customHeight="1" x14ac:dyDescent="0.35">
      <c r="A1651" s="9">
        <f t="shared" si="84"/>
        <v>1643</v>
      </c>
      <c r="B1651" s="15"/>
      <c r="C1651" s="11">
        <f t="shared" si="85"/>
        <v>1</v>
      </c>
      <c r="D1651" s="11"/>
      <c r="E1651" s="11"/>
      <c r="F1651" s="11"/>
      <c r="G1651" s="89">
        <f>IFERROR(VLOOKUP(F1651,COA!$A$1:$K$26,2,FALSE),0)</f>
        <v>0</v>
      </c>
      <c r="H1651" s="11"/>
      <c r="I1651" s="11"/>
      <c r="J1651" s="78"/>
      <c r="K1651" s="78"/>
      <c r="L1651" s="146">
        <f t="shared" si="83"/>
        <v>13126700</v>
      </c>
      <c r="M1651" s="73"/>
      <c r="N1651" s="73"/>
      <c r="O1651" s="73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14.25" customHeight="1" x14ac:dyDescent="0.35">
      <c r="A1652" s="9">
        <f t="shared" si="84"/>
        <v>1644</v>
      </c>
      <c r="B1652" s="15"/>
      <c r="C1652" s="11">
        <f t="shared" si="85"/>
        <v>1</v>
      </c>
      <c r="D1652" s="11"/>
      <c r="E1652" s="11"/>
      <c r="F1652" s="11"/>
      <c r="G1652" s="89">
        <f>IFERROR(VLOOKUP(F1652,COA!$A$1:$K$26,2,FALSE),0)</f>
        <v>0</v>
      </c>
      <c r="H1652" s="11"/>
      <c r="I1652" s="11"/>
      <c r="J1652" s="78"/>
      <c r="K1652" s="78"/>
      <c r="L1652" s="146">
        <f t="shared" si="83"/>
        <v>13126700</v>
      </c>
      <c r="M1652" s="73"/>
      <c r="N1652" s="73"/>
      <c r="O1652" s="73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14.25" customHeight="1" x14ac:dyDescent="0.35">
      <c r="A1653" s="9">
        <f t="shared" si="84"/>
        <v>1645</v>
      </c>
      <c r="B1653" s="15"/>
      <c r="C1653" s="11">
        <f t="shared" si="85"/>
        <v>1</v>
      </c>
      <c r="D1653" s="11"/>
      <c r="E1653" s="11"/>
      <c r="F1653" s="11"/>
      <c r="G1653" s="89">
        <f>IFERROR(VLOOKUP(F1653,COA!$A$1:$K$26,2,FALSE),0)</f>
        <v>0</v>
      </c>
      <c r="H1653" s="11"/>
      <c r="I1653" s="11"/>
      <c r="J1653" s="78"/>
      <c r="K1653" s="78"/>
      <c r="L1653" s="146">
        <f t="shared" si="83"/>
        <v>13126700</v>
      </c>
      <c r="M1653" s="73"/>
      <c r="N1653" s="73"/>
      <c r="O1653" s="73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14.25" customHeight="1" x14ac:dyDescent="0.35">
      <c r="A1654" s="9">
        <f t="shared" si="84"/>
        <v>1646</v>
      </c>
      <c r="B1654" s="15"/>
      <c r="C1654" s="11">
        <f t="shared" si="85"/>
        <v>1</v>
      </c>
      <c r="D1654" s="11"/>
      <c r="E1654" s="11"/>
      <c r="F1654" s="11"/>
      <c r="G1654" s="89">
        <f>IFERROR(VLOOKUP(F1654,COA!$A$1:$K$26,2,FALSE),0)</f>
        <v>0</v>
      </c>
      <c r="H1654" s="11"/>
      <c r="I1654" s="11"/>
      <c r="J1654" s="78"/>
      <c r="K1654" s="78"/>
      <c r="L1654" s="146">
        <f t="shared" si="83"/>
        <v>13126700</v>
      </c>
      <c r="M1654" s="73"/>
      <c r="N1654" s="73"/>
      <c r="O1654" s="73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14.25" customHeight="1" x14ac:dyDescent="0.35">
      <c r="A1655" s="9">
        <f t="shared" si="84"/>
        <v>1647</v>
      </c>
      <c r="B1655" s="15"/>
      <c r="C1655" s="11">
        <f t="shared" si="85"/>
        <v>1</v>
      </c>
      <c r="D1655" s="11"/>
      <c r="E1655" s="11"/>
      <c r="F1655" s="11"/>
      <c r="G1655" s="89">
        <f>IFERROR(VLOOKUP(F1655,COA!$A$1:$K$26,2,FALSE),0)</f>
        <v>0</v>
      </c>
      <c r="H1655" s="11"/>
      <c r="I1655" s="11"/>
      <c r="J1655" s="78"/>
      <c r="K1655" s="78"/>
      <c r="L1655" s="146">
        <f t="shared" si="83"/>
        <v>13126700</v>
      </c>
      <c r="M1655" s="73"/>
      <c r="N1655" s="73"/>
      <c r="O1655" s="73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14.25" customHeight="1" x14ac:dyDescent="0.35">
      <c r="A1656" s="9">
        <f t="shared" si="84"/>
        <v>1648</v>
      </c>
      <c r="B1656" s="15"/>
      <c r="C1656" s="11">
        <f t="shared" si="85"/>
        <v>1</v>
      </c>
      <c r="D1656" s="11"/>
      <c r="E1656" s="11"/>
      <c r="F1656" s="11"/>
      <c r="G1656" s="89">
        <f>IFERROR(VLOOKUP(F1656,COA!$A$1:$K$26,2,FALSE),0)</f>
        <v>0</v>
      </c>
      <c r="H1656" s="11"/>
      <c r="I1656" s="11"/>
      <c r="J1656" s="78"/>
      <c r="K1656" s="78"/>
      <c r="L1656" s="146">
        <f t="shared" si="83"/>
        <v>13126700</v>
      </c>
      <c r="M1656" s="73"/>
      <c r="N1656" s="73"/>
      <c r="O1656" s="73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14.25" customHeight="1" x14ac:dyDescent="0.35">
      <c r="A1657" s="9">
        <f t="shared" si="84"/>
        <v>1649</v>
      </c>
      <c r="B1657" s="15"/>
      <c r="C1657" s="11">
        <f t="shared" si="85"/>
        <v>1</v>
      </c>
      <c r="D1657" s="11"/>
      <c r="E1657" s="11"/>
      <c r="F1657" s="11"/>
      <c r="G1657" s="89">
        <f>IFERROR(VLOOKUP(F1657,COA!$A$1:$K$26,2,FALSE),0)</f>
        <v>0</v>
      </c>
      <c r="H1657" s="11"/>
      <c r="I1657" s="11"/>
      <c r="J1657" s="78"/>
      <c r="K1657" s="78"/>
      <c r="L1657" s="146">
        <f t="shared" si="83"/>
        <v>13126700</v>
      </c>
      <c r="M1657" s="73"/>
      <c r="N1657" s="73"/>
      <c r="O1657" s="73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14.25" customHeight="1" x14ac:dyDescent="0.35">
      <c r="A1658" s="9">
        <f t="shared" si="84"/>
        <v>1650</v>
      </c>
      <c r="B1658" s="15"/>
      <c r="C1658" s="11">
        <f t="shared" si="85"/>
        <v>1</v>
      </c>
      <c r="D1658" s="11"/>
      <c r="E1658" s="11"/>
      <c r="F1658" s="11"/>
      <c r="G1658" s="89">
        <f>IFERROR(VLOOKUP(F1658,COA!$A$1:$K$26,2,FALSE),0)</f>
        <v>0</v>
      </c>
      <c r="H1658" s="11"/>
      <c r="I1658" s="11"/>
      <c r="J1658" s="78"/>
      <c r="K1658" s="78"/>
      <c r="L1658" s="146">
        <f t="shared" si="83"/>
        <v>13126700</v>
      </c>
      <c r="M1658" s="73"/>
      <c r="N1658" s="73"/>
      <c r="O1658" s="73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14.25" customHeight="1" x14ac:dyDescent="0.35">
      <c r="A1659" s="9">
        <f t="shared" si="84"/>
        <v>1651</v>
      </c>
      <c r="B1659" s="15"/>
      <c r="C1659" s="11">
        <f t="shared" si="85"/>
        <v>1</v>
      </c>
      <c r="D1659" s="11"/>
      <c r="E1659" s="11"/>
      <c r="F1659" s="11"/>
      <c r="G1659" s="89">
        <f>IFERROR(VLOOKUP(F1659,COA!$A$1:$K$26,2,FALSE),0)</f>
        <v>0</v>
      </c>
      <c r="H1659" s="11"/>
      <c r="I1659" s="11"/>
      <c r="J1659" s="78"/>
      <c r="K1659" s="78"/>
      <c r="L1659" s="146">
        <f t="shared" si="83"/>
        <v>13126700</v>
      </c>
      <c r="M1659" s="73"/>
      <c r="N1659" s="73"/>
      <c r="O1659" s="73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14.25" customHeight="1" x14ac:dyDescent="0.35">
      <c r="A1660" s="9">
        <f t="shared" si="84"/>
        <v>1652</v>
      </c>
      <c r="B1660" s="15"/>
      <c r="C1660" s="11">
        <f t="shared" si="85"/>
        <v>1</v>
      </c>
      <c r="D1660" s="11"/>
      <c r="E1660" s="11"/>
      <c r="F1660" s="11"/>
      <c r="G1660" s="89">
        <f>IFERROR(VLOOKUP(F1660,COA!$A$1:$K$26,2,FALSE),0)</f>
        <v>0</v>
      </c>
      <c r="H1660" s="11"/>
      <c r="I1660" s="11"/>
      <c r="J1660" s="78"/>
      <c r="K1660" s="78"/>
      <c r="L1660" s="146">
        <f t="shared" si="83"/>
        <v>13126700</v>
      </c>
      <c r="M1660" s="73"/>
      <c r="N1660" s="73"/>
      <c r="O1660" s="73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14.25" customHeight="1" x14ac:dyDescent="0.35">
      <c r="A1661" s="9">
        <f t="shared" si="84"/>
        <v>1653</v>
      </c>
      <c r="B1661" s="15"/>
      <c r="C1661" s="11">
        <f t="shared" si="85"/>
        <v>1</v>
      </c>
      <c r="D1661" s="11"/>
      <c r="E1661" s="11"/>
      <c r="F1661" s="11"/>
      <c r="G1661" s="89">
        <f>IFERROR(VLOOKUP(F1661,COA!$A$1:$K$26,2,FALSE),0)</f>
        <v>0</v>
      </c>
      <c r="H1661" s="11"/>
      <c r="I1661" s="11"/>
      <c r="J1661" s="78"/>
      <c r="K1661" s="78"/>
      <c r="L1661" s="146">
        <f t="shared" si="83"/>
        <v>13126700</v>
      </c>
      <c r="M1661" s="73"/>
      <c r="N1661" s="73"/>
      <c r="O1661" s="73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14.25" customHeight="1" x14ac:dyDescent="0.35">
      <c r="A1662" s="9">
        <f t="shared" si="84"/>
        <v>1654</v>
      </c>
      <c r="B1662" s="15"/>
      <c r="C1662" s="11">
        <f t="shared" si="85"/>
        <v>1</v>
      </c>
      <c r="D1662" s="11"/>
      <c r="E1662" s="11"/>
      <c r="F1662" s="11"/>
      <c r="G1662" s="89">
        <f>IFERROR(VLOOKUP(F1662,COA!$A$1:$K$26,2,FALSE),0)</f>
        <v>0</v>
      </c>
      <c r="H1662" s="11"/>
      <c r="I1662" s="11"/>
      <c r="J1662" s="78"/>
      <c r="K1662" s="78"/>
      <c r="L1662" s="146">
        <f t="shared" si="83"/>
        <v>13126700</v>
      </c>
      <c r="M1662" s="73"/>
      <c r="N1662" s="73"/>
      <c r="O1662" s="73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14.25" customHeight="1" x14ac:dyDescent="0.35">
      <c r="A1663" s="9">
        <f t="shared" si="84"/>
        <v>1655</v>
      </c>
      <c r="B1663" s="15"/>
      <c r="C1663" s="11">
        <f t="shared" si="85"/>
        <v>1</v>
      </c>
      <c r="D1663" s="11"/>
      <c r="E1663" s="11"/>
      <c r="F1663" s="11"/>
      <c r="G1663" s="89">
        <f>IFERROR(VLOOKUP(F1663,COA!$A$1:$K$26,2,FALSE),0)</f>
        <v>0</v>
      </c>
      <c r="H1663" s="11"/>
      <c r="I1663" s="11"/>
      <c r="J1663" s="78"/>
      <c r="K1663" s="78"/>
      <c r="L1663" s="146">
        <f t="shared" si="83"/>
        <v>13126700</v>
      </c>
      <c r="M1663" s="73"/>
      <c r="N1663" s="73"/>
      <c r="O1663" s="73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14.25" customHeight="1" x14ac:dyDescent="0.35">
      <c r="A1664" s="9">
        <f t="shared" si="84"/>
        <v>1656</v>
      </c>
      <c r="B1664" s="15"/>
      <c r="C1664" s="11">
        <f t="shared" si="85"/>
        <v>1</v>
      </c>
      <c r="D1664" s="11"/>
      <c r="E1664" s="11"/>
      <c r="F1664" s="11"/>
      <c r="G1664" s="89">
        <f>IFERROR(VLOOKUP(F1664,COA!$A$1:$K$26,2,FALSE),0)</f>
        <v>0</v>
      </c>
      <c r="H1664" s="11"/>
      <c r="I1664" s="11"/>
      <c r="J1664" s="78"/>
      <c r="K1664" s="78"/>
      <c r="L1664" s="146">
        <f t="shared" si="83"/>
        <v>13126700</v>
      </c>
      <c r="M1664" s="73"/>
      <c r="N1664" s="73"/>
      <c r="O1664" s="73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14.25" customHeight="1" x14ac:dyDescent="0.35">
      <c r="A1665" s="9">
        <f t="shared" si="84"/>
        <v>1657</v>
      </c>
      <c r="B1665" s="15"/>
      <c r="C1665" s="11">
        <f t="shared" si="85"/>
        <v>1</v>
      </c>
      <c r="D1665" s="11"/>
      <c r="E1665" s="11"/>
      <c r="F1665" s="11"/>
      <c r="G1665" s="89">
        <f>IFERROR(VLOOKUP(F1665,COA!$A$1:$K$26,2,FALSE),0)</f>
        <v>0</v>
      </c>
      <c r="H1665" s="11"/>
      <c r="I1665" s="11"/>
      <c r="J1665" s="78"/>
      <c r="K1665" s="78"/>
      <c r="L1665" s="146">
        <f t="shared" si="83"/>
        <v>13126700</v>
      </c>
      <c r="M1665" s="73"/>
      <c r="N1665" s="73"/>
      <c r="O1665" s="73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14.25" customHeight="1" x14ac:dyDescent="0.35">
      <c r="A1666" s="9">
        <f t="shared" si="84"/>
        <v>1658</v>
      </c>
      <c r="B1666" s="15"/>
      <c r="C1666" s="11">
        <f t="shared" si="85"/>
        <v>1</v>
      </c>
      <c r="D1666" s="11"/>
      <c r="E1666" s="11"/>
      <c r="F1666" s="11"/>
      <c r="G1666" s="89">
        <f>IFERROR(VLOOKUP(F1666,COA!$A$1:$K$26,2,FALSE),0)</f>
        <v>0</v>
      </c>
      <c r="H1666" s="11"/>
      <c r="I1666" s="11"/>
      <c r="J1666" s="78"/>
      <c r="K1666" s="78"/>
      <c r="L1666" s="146">
        <f t="shared" si="83"/>
        <v>13126700</v>
      </c>
      <c r="M1666" s="73"/>
      <c r="N1666" s="73"/>
      <c r="O1666" s="73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14.25" customHeight="1" x14ac:dyDescent="0.35">
      <c r="A1667" s="9">
        <f t="shared" si="84"/>
        <v>1659</v>
      </c>
      <c r="B1667" s="15"/>
      <c r="C1667" s="11">
        <f t="shared" si="85"/>
        <v>1</v>
      </c>
      <c r="D1667" s="11"/>
      <c r="E1667" s="11"/>
      <c r="F1667" s="11"/>
      <c r="G1667" s="89">
        <f>IFERROR(VLOOKUP(F1667,COA!$A$1:$K$26,2,FALSE),0)</f>
        <v>0</v>
      </c>
      <c r="H1667" s="11"/>
      <c r="I1667" s="11"/>
      <c r="J1667" s="78"/>
      <c r="K1667" s="78"/>
      <c r="L1667" s="146">
        <f t="shared" si="83"/>
        <v>13126700</v>
      </c>
      <c r="M1667" s="73"/>
      <c r="N1667" s="73"/>
      <c r="O1667" s="73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14.25" customHeight="1" x14ac:dyDescent="0.35">
      <c r="A1668" s="9">
        <f t="shared" si="84"/>
        <v>1660</v>
      </c>
      <c r="B1668" s="15"/>
      <c r="C1668" s="11">
        <f t="shared" si="85"/>
        <v>1</v>
      </c>
      <c r="D1668" s="11"/>
      <c r="E1668" s="11"/>
      <c r="F1668" s="11"/>
      <c r="G1668" s="89">
        <f>IFERROR(VLOOKUP(F1668,COA!$A$1:$K$26,2,FALSE),0)</f>
        <v>0</v>
      </c>
      <c r="H1668" s="11"/>
      <c r="I1668" s="11"/>
      <c r="J1668" s="78"/>
      <c r="K1668" s="78"/>
      <c r="L1668" s="146">
        <f t="shared" si="83"/>
        <v>13126700</v>
      </c>
      <c r="M1668" s="73"/>
      <c r="N1668" s="73"/>
      <c r="O1668" s="73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14.25" customHeight="1" x14ac:dyDescent="0.35">
      <c r="A1669" s="9">
        <f t="shared" si="84"/>
        <v>1661</v>
      </c>
      <c r="B1669" s="15"/>
      <c r="C1669" s="11">
        <f t="shared" si="85"/>
        <v>1</v>
      </c>
      <c r="D1669" s="11"/>
      <c r="E1669" s="11"/>
      <c r="F1669" s="11"/>
      <c r="G1669" s="89">
        <f>IFERROR(VLOOKUP(F1669,COA!$A$1:$K$26,2,FALSE),0)</f>
        <v>0</v>
      </c>
      <c r="H1669" s="11"/>
      <c r="I1669" s="11"/>
      <c r="J1669" s="78"/>
      <c r="K1669" s="78"/>
      <c r="L1669" s="146">
        <f t="shared" si="83"/>
        <v>13126700</v>
      </c>
      <c r="M1669" s="73"/>
      <c r="N1669" s="73"/>
      <c r="O1669" s="73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14.25" customHeight="1" x14ac:dyDescent="0.35">
      <c r="A1670" s="9">
        <f t="shared" si="84"/>
        <v>1662</v>
      </c>
      <c r="B1670" s="15"/>
      <c r="C1670" s="11">
        <f t="shared" si="85"/>
        <v>1</v>
      </c>
      <c r="D1670" s="11"/>
      <c r="E1670" s="11"/>
      <c r="F1670" s="11"/>
      <c r="G1670" s="89">
        <f>IFERROR(VLOOKUP(F1670,COA!$A$1:$K$26,2,FALSE),0)</f>
        <v>0</v>
      </c>
      <c r="H1670" s="11"/>
      <c r="I1670" s="11"/>
      <c r="J1670" s="78"/>
      <c r="K1670" s="78"/>
      <c r="L1670" s="146">
        <f t="shared" si="83"/>
        <v>13126700</v>
      </c>
      <c r="M1670" s="73"/>
      <c r="N1670" s="73"/>
      <c r="O1670" s="73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14.25" customHeight="1" x14ac:dyDescent="0.35">
      <c r="A1671" s="9">
        <f t="shared" si="84"/>
        <v>1663</v>
      </c>
      <c r="B1671" s="15"/>
      <c r="C1671" s="11">
        <f t="shared" si="85"/>
        <v>1</v>
      </c>
      <c r="D1671" s="11"/>
      <c r="E1671" s="11"/>
      <c r="F1671" s="11"/>
      <c r="G1671" s="89">
        <f>IFERROR(VLOOKUP(F1671,COA!$A$1:$K$26,2,FALSE),0)</f>
        <v>0</v>
      </c>
      <c r="H1671" s="11"/>
      <c r="I1671" s="11"/>
      <c r="J1671" s="78"/>
      <c r="K1671" s="78"/>
      <c r="L1671" s="146">
        <f t="shared" si="83"/>
        <v>13126700</v>
      </c>
      <c r="M1671" s="73"/>
      <c r="N1671" s="73"/>
      <c r="O1671" s="73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14.25" customHeight="1" x14ac:dyDescent="0.35">
      <c r="A1672" s="9">
        <f t="shared" si="84"/>
        <v>1664</v>
      </c>
      <c r="B1672" s="15"/>
      <c r="C1672" s="11">
        <f t="shared" si="85"/>
        <v>1</v>
      </c>
      <c r="D1672" s="11"/>
      <c r="E1672" s="11"/>
      <c r="F1672" s="11"/>
      <c r="G1672" s="89">
        <f>IFERROR(VLOOKUP(F1672,COA!$A$1:$K$26,2,FALSE),0)</f>
        <v>0</v>
      </c>
      <c r="H1672" s="11"/>
      <c r="I1672" s="11"/>
      <c r="J1672" s="78"/>
      <c r="K1672" s="78"/>
      <c r="L1672" s="146">
        <f t="shared" si="83"/>
        <v>13126700</v>
      </c>
      <c r="M1672" s="73"/>
      <c r="N1672" s="73"/>
      <c r="O1672" s="73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14.25" customHeight="1" x14ac:dyDescent="0.35">
      <c r="A1673" s="9">
        <f t="shared" si="84"/>
        <v>1665</v>
      </c>
      <c r="B1673" s="15"/>
      <c r="C1673" s="11">
        <f t="shared" si="85"/>
        <v>1</v>
      </c>
      <c r="D1673" s="11"/>
      <c r="E1673" s="11"/>
      <c r="F1673" s="11"/>
      <c r="G1673" s="89">
        <f>IFERROR(VLOOKUP(F1673,COA!$A$1:$K$26,2,FALSE),0)</f>
        <v>0</v>
      </c>
      <c r="H1673" s="11"/>
      <c r="I1673" s="11"/>
      <c r="J1673" s="78"/>
      <c r="K1673" s="78"/>
      <c r="L1673" s="146">
        <f t="shared" si="83"/>
        <v>13126700</v>
      </c>
      <c r="M1673" s="73"/>
      <c r="N1673" s="73"/>
      <c r="O1673" s="73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14.25" customHeight="1" x14ac:dyDescent="0.35">
      <c r="A1674" s="9">
        <f t="shared" si="84"/>
        <v>1666</v>
      </c>
      <c r="B1674" s="15"/>
      <c r="C1674" s="11">
        <f t="shared" si="85"/>
        <v>1</v>
      </c>
      <c r="D1674" s="11"/>
      <c r="E1674" s="11"/>
      <c r="F1674" s="11"/>
      <c r="G1674" s="89">
        <f>IFERROR(VLOOKUP(F1674,COA!$A$1:$K$26,2,FALSE),0)</f>
        <v>0</v>
      </c>
      <c r="H1674" s="11"/>
      <c r="I1674" s="11"/>
      <c r="J1674" s="78"/>
      <c r="K1674" s="78"/>
      <c r="L1674" s="146">
        <f t="shared" si="83"/>
        <v>13126700</v>
      </c>
      <c r="M1674" s="73"/>
      <c r="N1674" s="73"/>
      <c r="O1674" s="73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14.25" customHeight="1" x14ac:dyDescent="0.35">
      <c r="A1675" s="9">
        <f t="shared" si="84"/>
        <v>1667</v>
      </c>
      <c r="B1675" s="15"/>
      <c r="C1675" s="11">
        <f t="shared" si="85"/>
        <v>1</v>
      </c>
      <c r="D1675" s="11"/>
      <c r="E1675" s="11"/>
      <c r="F1675" s="11"/>
      <c r="G1675" s="89">
        <f>IFERROR(VLOOKUP(F1675,COA!$A$1:$K$26,2,FALSE),0)</f>
        <v>0</v>
      </c>
      <c r="H1675" s="11"/>
      <c r="I1675" s="11"/>
      <c r="J1675" s="78"/>
      <c r="K1675" s="78"/>
      <c r="L1675" s="146">
        <f t="shared" si="83"/>
        <v>13126700</v>
      </c>
      <c r="M1675" s="73"/>
      <c r="N1675" s="73"/>
      <c r="O1675" s="73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14.25" customHeight="1" x14ac:dyDescent="0.35">
      <c r="A1676" s="9">
        <f t="shared" si="84"/>
        <v>1668</v>
      </c>
      <c r="B1676" s="15"/>
      <c r="C1676" s="11">
        <f t="shared" si="85"/>
        <v>1</v>
      </c>
      <c r="D1676" s="11"/>
      <c r="E1676" s="11"/>
      <c r="F1676" s="11"/>
      <c r="G1676" s="89">
        <f>IFERROR(VLOOKUP(F1676,COA!$A$1:$K$26,2,FALSE),0)</f>
        <v>0</v>
      </c>
      <c r="H1676" s="11"/>
      <c r="I1676" s="11"/>
      <c r="J1676" s="78"/>
      <c r="K1676" s="78"/>
      <c r="L1676" s="146">
        <f t="shared" si="83"/>
        <v>13126700</v>
      </c>
      <c r="M1676" s="73"/>
      <c r="N1676" s="73"/>
      <c r="O1676" s="73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14.25" customHeight="1" x14ac:dyDescent="0.35">
      <c r="A1677" s="9">
        <f t="shared" si="84"/>
        <v>1669</v>
      </c>
      <c r="B1677" s="15"/>
      <c r="C1677" s="11">
        <f t="shared" si="85"/>
        <v>1</v>
      </c>
      <c r="D1677" s="11"/>
      <c r="E1677" s="11"/>
      <c r="F1677" s="11"/>
      <c r="G1677" s="89">
        <f>IFERROR(VLOOKUP(F1677,COA!$A$1:$K$26,2,FALSE),0)</f>
        <v>0</v>
      </c>
      <c r="H1677" s="11"/>
      <c r="I1677" s="11"/>
      <c r="J1677" s="78"/>
      <c r="K1677" s="78"/>
      <c r="L1677" s="146">
        <f t="shared" si="83"/>
        <v>13126700</v>
      </c>
      <c r="M1677" s="73"/>
      <c r="N1677" s="73"/>
      <c r="O1677" s="73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14.25" customHeight="1" x14ac:dyDescent="0.35">
      <c r="A1678" s="9">
        <f t="shared" si="84"/>
        <v>1670</v>
      </c>
      <c r="B1678" s="15"/>
      <c r="C1678" s="11">
        <f t="shared" si="85"/>
        <v>1</v>
      </c>
      <c r="D1678" s="11"/>
      <c r="E1678" s="11"/>
      <c r="F1678" s="11"/>
      <c r="G1678" s="89">
        <f>IFERROR(VLOOKUP(F1678,COA!$A$1:$K$26,2,FALSE),0)</f>
        <v>0</v>
      </c>
      <c r="H1678" s="11"/>
      <c r="I1678" s="11"/>
      <c r="J1678" s="78"/>
      <c r="K1678" s="78"/>
      <c r="L1678" s="146">
        <f t="shared" si="83"/>
        <v>13126700</v>
      </c>
      <c r="M1678" s="73"/>
      <c r="N1678" s="73"/>
      <c r="O1678" s="73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14.25" customHeight="1" x14ac:dyDescent="0.35">
      <c r="A1679" s="9">
        <f t="shared" si="84"/>
        <v>1671</v>
      </c>
      <c r="B1679" s="15"/>
      <c r="C1679" s="11">
        <f t="shared" si="85"/>
        <v>1</v>
      </c>
      <c r="D1679" s="11"/>
      <c r="E1679" s="11"/>
      <c r="F1679" s="11"/>
      <c r="G1679" s="89">
        <f>IFERROR(VLOOKUP(F1679,COA!$A$1:$K$26,2,FALSE),0)</f>
        <v>0</v>
      </c>
      <c r="H1679" s="11"/>
      <c r="I1679" s="11"/>
      <c r="J1679" s="78"/>
      <c r="K1679" s="78"/>
      <c r="L1679" s="146">
        <f t="shared" si="83"/>
        <v>13126700</v>
      </c>
      <c r="M1679" s="73"/>
      <c r="N1679" s="73"/>
      <c r="O1679" s="73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14.25" customHeight="1" x14ac:dyDescent="0.35">
      <c r="A1680" s="9">
        <f t="shared" si="84"/>
        <v>1672</v>
      </c>
      <c r="B1680" s="15"/>
      <c r="C1680" s="11">
        <f t="shared" si="85"/>
        <v>1</v>
      </c>
      <c r="D1680" s="11"/>
      <c r="E1680" s="11"/>
      <c r="F1680" s="11"/>
      <c r="G1680" s="89">
        <f>IFERROR(VLOOKUP(F1680,COA!$A$1:$K$26,2,FALSE),0)</f>
        <v>0</v>
      </c>
      <c r="H1680" s="11"/>
      <c r="I1680" s="11"/>
      <c r="J1680" s="78"/>
      <c r="K1680" s="78"/>
      <c r="L1680" s="146">
        <f t="shared" ref="L1680:L1743" si="86">L1679+J1680-K1680</f>
        <v>13126700</v>
      </c>
      <c r="M1680" s="73"/>
      <c r="N1680" s="73"/>
      <c r="O1680" s="73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14.25" customHeight="1" x14ac:dyDescent="0.35">
      <c r="A1681" s="9">
        <f t="shared" si="84"/>
        <v>1673</v>
      </c>
      <c r="B1681" s="15"/>
      <c r="C1681" s="11">
        <f t="shared" si="85"/>
        <v>1</v>
      </c>
      <c r="D1681" s="11"/>
      <c r="E1681" s="11"/>
      <c r="F1681" s="11"/>
      <c r="G1681" s="89">
        <f>IFERROR(VLOOKUP(F1681,COA!$A$1:$K$26,2,FALSE),0)</f>
        <v>0</v>
      </c>
      <c r="H1681" s="11"/>
      <c r="I1681" s="11"/>
      <c r="J1681" s="78"/>
      <c r="K1681" s="78"/>
      <c r="L1681" s="146">
        <f t="shared" si="86"/>
        <v>13126700</v>
      </c>
      <c r="M1681" s="73"/>
      <c r="N1681" s="73"/>
      <c r="O1681" s="73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14.25" customHeight="1" x14ac:dyDescent="0.35">
      <c r="A1682" s="9">
        <f t="shared" ref="A1682:A1745" si="87">A1681+1</f>
        <v>1674</v>
      </c>
      <c r="B1682" s="15"/>
      <c r="C1682" s="11">
        <f t="shared" si="85"/>
        <v>1</v>
      </c>
      <c r="D1682" s="11"/>
      <c r="E1682" s="11"/>
      <c r="F1682" s="11"/>
      <c r="G1682" s="89">
        <f>IFERROR(VLOOKUP(F1682,COA!$A$1:$K$26,2,FALSE),0)</f>
        <v>0</v>
      </c>
      <c r="H1682" s="11"/>
      <c r="I1682" s="11"/>
      <c r="J1682" s="78"/>
      <c r="K1682" s="78"/>
      <c r="L1682" s="146">
        <f t="shared" si="86"/>
        <v>13126700</v>
      </c>
      <c r="M1682" s="73"/>
      <c r="N1682" s="73"/>
      <c r="O1682" s="73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14.25" customHeight="1" x14ac:dyDescent="0.35">
      <c r="A1683" s="9">
        <f t="shared" si="87"/>
        <v>1675</v>
      </c>
      <c r="B1683" s="15"/>
      <c r="C1683" s="11">
        <f t="shared" si="85"/>
        <v>1</v>
      </c>
      <c r="D1683" s="11"/>
      <c r="E1683" s="11"/>
      <c r="F1683" s="11"/>
      <c r="G1683" s="89">
        <f>IFERROR(VLOOKUP(F1683,COA!$A$1:$K$26,2,FALSE),0)</f>
        <v>0</v>
      </c>
      <c r="H1683" s="11"/>
      <c r="I1683" s="11"/>
      <c r="J1683" s="78"/>
      <c r="K1683" s="78"/>
      <c r="L1683" s="146">
        <f t="shared" si="86"/>
        <v>13126700</v>
      </c>
      <c r="M1683" s="73"/>
      <c r="N1683" s="73"/>
      <c r="O1683" s="73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14.25" customHeight="1" x14ac:dyDescent="0.35">
      <c r="A1684" s="9">
        <f t="shared" si="87"/>
        <v>1676</v>
      </c>
      <c r="B1684" s="15"/>
      <c r="C1684" s="11">
        <f t="shared" si="85"/>
        <v>1</v>
      </c>
      <c r="D1684" s="11"/>
      <c r="E1684" s="11"/>
      <c r="F1684" s="11"/>
      <c r="G1684" s="89">
        <f>IFERROR(VLOOKUP(F1684,COA!$A$1:$K$26,2,FALSE),0)</f>
        <v>0</v>
      </c>
      <c r="H1684" s="11"/>
      <c r="I1684" s="11"/>
      <c r="J1684" s="78"/>
      <c r="K1684" s="78"/>
      <c r="L1684" s="146">
        <f t="shared" si="86"/>
        <v>13126700</v>
      </c>
      <c r="M1684" s="73"/>
      <c r="N1684" s="73"/>
      <c r="O1684" s="73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14.25" customHeight="1" x14ac:dyDescent="0.35">
      <c r="A1685" s="9">
        <f t="shared" si="87"/>
        <v>1677</v>
      </c>
      <c r="B1685" s="15"/>
      <c r="C1685" s="11">
        <f t="shared" si="85"/>
        <v>1</v>
      </c>
      <c r="D1685" s="11"/>
      <c r="E1685" s="11"/>
      <c r="F1685" s="11"/>
      <c r="G1685" s="89">
        <f>IFERROR(VLOOKUP(F1685,COA!$A$1:$K$26,2,FALSE),0)</f>
        <v>0</v>
      </c>
      <c r="H1685" s="11"/>
      <c r="I1685" s="11"/>
      <c r="J1685" s="78"/>
      <c r="K1685" s="78"/>
      <c r="L1685" s="146">
        <f t="shared" si="86"/>
        <v>13126700</v>
      </c>
      <c r="M1685" s="73"/>
      <c r="N1685" s="73"/>
      <c r="O1685" s="73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14.25" customHeight="1" x14ac:dyDescent="0.35">
      <c r="A1686" s="9">
        <f t="shared" si="87"/>
        <v>1678</v>
      </c>
      <c r="B1686" s="15"/>
      <c r="C1686" s="11">
        <f t="shared" si="85"/>
        <v>1</v>
      </c>
      <c r="D1686" s="11"/>
      <c r="E1686" s="11"/>
      <c r="F1686" s="11"/>
      <c r="G1686" s="89">
        <f>IFERROR(VLOOKUP(F1686,COA!$A$1:$K$26,2,FALSE),0)</f>
        <v>0</v>
      </c>
      <c r="H1686" s="11"/>
      <c r="I1686" s="11"/>
      <c r="J1686" s="78"/>
      <c r="K1686" s="78"/>
      <c r="L1686" s="146">
        <f t="shared" si="86"/>
        <v>13126700</v>
      </c>
      <c r="M1686" s="73"/>
      <c r="N1686" s="73"/>
      <c r="O1686" s="73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14.25" customHeight="1" x14ac:dyDescent="0.35">
      <c r="A1687" s="9">
        <f t="shared" si="87"/>
        <v>1679</v>
      </c>
      <c r="B1687" s="15"/>
      <c r="C1687" s="11">
        <f t="shared" si="85"/>
        <v>1</v>
      </c>
      <c r="D1687" s="11"/>
      <c r="E1687" s="11"/>
      <c r="F1687" s="11"/>
      <c r="G1687" s="89">
        <f>IFERROR(VLOOKUP(F1687,COA!$A$1:$K$26,2,FALSE),0)</f>
        <v>0</v>
      </c>
      <c r="H1687" s="11"/>
      <c r="I1687" s="11"/>
      <c r="J1687" s="78"/>
      <c r="K1687" s="78"/>
      <c r="L1687" s="146">
        <f t="shared" si="86"/>
        <v>13126700</v>
      </c>
      <c r="M1687" s="73"/>
      <c r="N1687" s="73"/>
      <c r="O1687" s="73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14.25" customHeight="1" x14ac:dyDescent="0.35">
      <c r="A1688" s="9">
        <f t="shared" si="87"/>
        <v>1680</v>
      </c>
      <c r="B1688" s="15"/>
      <c r="C1688" s="11">
        <f t="shared" si="85"/>
        <v>1</v>
      </c>
      <c r="D1688" s="11"/>
      <c r="E1688" s="11"/>
      <c r="F1688" s="11"/>
      <c r="G1688" s="89">
        <f>IFERROR(VLOOKUP(F1688,COA!$A$1:$K$26,2,FALSE),0)</f>
        <v>0</v>
      </c>
      <c r="H1688" s="11"/>
      <c r="I1688" s="11"/>
      <c r="J1688" s="78"/>
      <c r="K1688" s="78"/>
      <c r="L1688" s="146">
        <f t="shared" si="86"/>
        <v>13126700</v>
      </c>
      <c r="M1688" s="73"/>
      <c r="N1688" s="73"/>
      <c r="O1688" s="73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14.25" customHeight="1" x14ac:dyDescent="0.35">
      <c r="A1689" s="9">
        <f t="shared" si="87"/>
        <v>1681</v>
      </c>
      <c r="B1689" s="15"/>
      <c r="C1689" s="11">
        <f t="shared" si="85"/>
        <v>1</v>
      </c>
      <c r="D1689" s="11"/>
      <c r="E1689" s="11"/>
      <c r="F1689" s="11"/>
      <c r="G1689" s="89">
        <f>IFERROR(VLOOKUP(F1689,COA!$A$1:$K$26,2,FALSE),0)</f>
        <v>0</v>
      </c>
      <c r="H1689" s="11"/>
      <c r="I1689" s="11"/>
      <c r="J1689" s="78"/>
      <c r="K1689" s="78"/>
      <c r="L1689" s="146">
        <f t="shared" si="86"/>
        <v>13126700</v>
      </c>
      <c r="M1689" s="73"/>
      <c r="N1689" s="73"/>
      <c r="O1689" s="73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14.25" customHeight="1" x14ac:dyDescent="0.35">
      <c r="A1690" s="9">
        <f t="shared" si="87"/>
        <v>1682</v>
      </c>
      <c r="B1690" s="15"/>
      <c r="C1690" s="11">
        <f t="shared" si="85"/>
        <v>1</v>
      </c>
      <c r="D1690" s="11"/>
      <c r="E1690" s="11"/>
      <c r="F1690" s="11"/>
      <c r="G1690" s="89">
        <f>IFERROR(VLOOKUP(F1690,COA!$A$1:$K$26,2,FALSE),0)</f>
        <v>0</v>
      </c>
      <c r="H1690" s="11"/>
      <c r="I1690" s="11"/>
      <c r="J1690" s="78"/>
      <c r="K1690" s="78"/>
      <c r="L1690" s="146">
        <f t="shared" si="86"/>
        <v>13126700</v>
      </c>
      <c r="M1690" s="73"/>
      <c r="N1690" s="73"/>
      <c r="O1690" s="73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14.25" customHeight="1" x14ac:dyDescent="0.35">
      <c r="A1691" s="9">
        <f t="shared" si="87"/>
        <v>1683</v>
      </c>
      <c r="B1691" s="15"/>
      <c r="C1691" s="11">
        <f t="shared" si="85"/>
        <v>1</v>
      </c>
      <c r="D1691" s="11"/>
      <c r="E1691" s="11"/>
      <c r="F1691" s="11"/>
      <c r="G1691" s="89">
        <f>IFERROR(VLOOKUP(F1691,COA!$A$1:$K$26,2,FALSE),0)</f>
        <v>0</v>
      </c>
      <c r="H1691" s="11"/>
      <c r="I1691" s="11"/>
      <c r="J1691" s="78"/>
      <c r="K1691" s="78"/>
      <c r="L1691" s="146">
        <f t="shared" si="86"/>
        <v>13126700</v>
      </c>
      <c r="M1691" s="73"/>
      <c r="N1691" s="73"/>
      <c r="O1691" s="73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14.25" customHeight="1" x14ac:dyDescent="0.35">
      <c r="A1692" s="9">
        <f t="shared" si="87"/>
        <v>1684</v>
      </c>
      <c r="B1692" s="15"/>
      <c r="C1692" s="11">
        <f t="shared" si="85"/>
        <v>1</v>
      </c>
      <c r="D1692" s="11"/>
      <c r="E1692" s="11"/>
      <c r="F1692" s="11"/>
      <c r="G1692" s="89">
        <f>IFERROR(VLOOKUP(F1692,COA!$A$1:$K$26,2,FALSE),0)</f>
        <v>0</v>
      </c>
      <c r="H1692" s="11"/>
      <c r="I1692" s="11"/>
      <c r="J1692" s="78"/>
      <c r="K1692" s="78"/>
      <c r="L1692" s="146">
        <f t="shared" si="86"/>
        <v>13126700</v>
      </c>
      <c r="M1692" s="73"/>
      <c r="N1692" s="73"/>
      <c r="O1692" s="73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14.25" customHeight="1" x14ac:dyDescent="0.35">
      <c r="A1693" s="9">
        <f t="shared" si="87"/>
        <v>1685</v>
      </c>
      <c r="B1693" s="15"/>
      <c r="C1693" s="11">
        <f t="shared" si="85"/>
        <v>1</v>
      </c>
      <c r="D1693" s="11"/>
      <c r="E1693" s="11"/>
      <c r="F1693" s="11"/>
      <c r="G1693" s="89">
        <f>IFERROR(VLOOKUP(F1693,COA!$A$1:$K$26,2,FALSE),0)</f>
        <v>0</v>
      </c>
      <c r="H1693" s="11"/>
      <c r="I1693" s="11"/>
      <c r="J1693" s="78"/>
      <c r="K1693" s="78"/>
      <c r="L1693" s="146">
        <f t="shared" si="86"/>
        <v>13126700</v>
      </c>
      <c r="M1693" s="73"/>
      <c r="N1693" s="73"/>
      <c r="O1693" s="73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14.25" customHeight="1" x14ac:dyDescent="0.35">
      <c r="A1694" s="9">
        <f t="shared" si="87"/>
        <v>1686</v>
      </c>
      <c r="B1694" s="15"/>
      <c r="C1694" s="11">
        <f t="shared" si="85"/>
        <v>1</v>
      </c>
      <c r="D1694" s="11"/>
      <c r="E1694" s="11"/>
      <c r="F1694" s="11"/>
      <c r="G1694" s="89">
        <f>IFERROR(VLOOKUP(F1694,COA!$A$1:$K$26,2,FALSE),0)</f>
        <v>0</v>
      </c>
      <c r="H1694" s="11"/>
      <c r="I1694" s="11"/>
      <c r="J1694" s="78"/>
      <c r="K1694" s="78"/>
      <c r="L1694" s="146">
        <f t="shared" si="86"/>
        <v>13126700</v>
      </c>
      <c r="M1694" s="73"/>
      <c r="N1694" s="73"/>
      <c r="O1694" s="73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14.25" customHeight="1" x14ac:dyDescent="0.35">
      <c r="A1695" s="9">
        <f t="shared" si="87"/>
        <v>1687</v>
      </c>
      <c r="B1695" s="15"/>
      <c r="C1695" s="11">
        <f t="shared" si="85"/>
        <v>1</v>
      </c>
      <c r="D1695" s="11"/>
      <c r="E1695" s="11"/>
      <c r="F1695" s="11"/>
      <c r="G1695" s="89">
        <f>IFERROR(VLOOKUP(F1695,COA!$A$1:$K$26,2,FALSE),0)</f>
        <v>0</v>
      </c>
      <c r="H1695" s="11"/>
      <c r="I1695" s="11"/>
      <c r="J1695" s="78"/>
      <c r="K1695" s="78"/>
      <c r="L1695" s="146">
        <f t="shared" si="86"/>
        <v>13126700</v>
      </c>
      <c r="M1695" s="73"/>
      <c r="N1695" s="73"/>
      <c r="O1695" s="73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14.25" customHeight="1" x14ac:dyDescent="0.35">
      <c r="A1696" s="9">
        <f t="shared" si="87"/>
        <v>1688</v>
      </c>
      <c r="B1696" s="15"/>
      <c r="C1696" s="11">
        <f t="shared" si="85"/>
        <v>1</v>
      </c>
      <c r="D1696" s="11"/>
      <c r="E1696" s="11"/>
      <c r="F1696" s="11"/>
      <c r="G1696" s="89">
        <f>IFERROR(VLOOKUP(F1696,COA!$A$1:$K$26,2,FALSE),0)</f>
        <v>0</v>
      </c>
      <c r="H1696" s="11"/>
      <c r="I1696" s="11"/>
      <c r="J1696" s="78"/>
      <c r="K1696" s="78"/>
      <c r="L1696" s="146">
        <f t="shared" si="86"/>
        <v>13126700</v>
      </c>
      <c r="M1696" s="73"/>
      <c r="N1696" s="73"/>
      <c r="O1696" s="73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14.25" customHeight="1" x14ac:dyDescent="0.35">
      <c r="A1697" s="9">
        <f t="shared" si="87"/>
        <v>1689</v>
      </c>
      <c r="B1697" s="15"/>
      <c r="C1697" s="11">
        <f t="shared" si="85"/>
        <v>1</v>
      </c>
      <c r="D1697" s="11"/>
      <c r="E1697" s="11"/>
      <c r="F1697" s="11"/>
      <c r="G1697" s="89">
        <f>IFERROR(VLOOKUP(F1697,COA!$A$1:$K$26,2,FALSE),0)</f>
        <v>0</v>
      </c>
      <c r="H1697" s="11"/>
      <c r="I1697" s="11"/>
      <c r="J1697" s="78"/>
      <c r="K1697" s="78"/>
      <c r="L1697" s="146">
        <f t="shared" si="86"/>
        <v>13126700</v>
      </c>
      <c r="M1697" s="73"/>
      <c r="N1697" s="73"/>
      <c r="O1697" s="73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14.25" customHeight="1" x14ac:dyDescent="0.35">
      <c r="A1698" s="9">
        <f t="shared" si="87"/>
        <v>1690</v>
      </c>
      <c r="B1698" s="15"/>
      <c r="C1698" s="11">
        <f t="shared" si="85"/>
        <v>1</v>
      </c>
      <c r="D1698" s="11"/>
      <c r="E1698" s="11"/>
      <c r="F1698" s="11"/>
      <c r="G1698" s="89">
        <f>IFERROR(VLOOKUP(F1698,COA!$A$1:$K$26,2,FALSE),0)</f>
        <v>0</v>
      </c>
      <c r="H1698" s="11"/>
      <c r="I1698" s="11"/>
      <c r="J1698" s="78"/>
      <c r="K1698" s="78"/>
      <c r="L1698" s="146">
        <f t="shared" si="86"/>
        <v>13126700</v>
      </c>
      <c r="M1698" s="73"/>
      <c r="N1698" s="73"/>
      <c r="O1698" s="73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14.25" customHeight="1" x14ac:dyDescent="0.35">
      <c r="A1699" s="9">
        <f t="shared" si="87"/>
        <v>1691</v>
      </c>
      <c r="B1699" s="15"/>
      <c r="C1699" s="11">
        <f t="shared" si="85"/>
        <v>1</v>
      </c>
      <c r="D1699" s="11"/>
      <c r="E1699" s="11"/>
      <c r="F1699" s="11"/>
      <c r="G1699" s="89">
        <f>IFERROR(VLOOKUP(F1699,COA!$A$1:$K$26,2,FALSE),0)</f>
        <v>0</v>
      </c>
      <c r="H1699" s="11"/>
      <c r="I1699" s="11"/>
      <c r="J1699" s="78"/>
      <c r="K1699" s="78"/>
      <c r="L1699" s="146">
        <f t="shared" si="86"/>
        <v>13126700</v>
      </c>
      <c r="M1699" s="73"/>
      <c r="N1699" s="73"/>
      <c r="O1699" s="73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14.25" customHeight="1" x14ac:dyDescent="0.35">
      <c r="A1700" s="9">
        <f t="shared" si="87"/>
        <v>1692</v>
      </c>
      <c r="B1700" s="15"/>
      <c r="C1700" s="11">
        <f t="shared" ref="C1700:C1763" si="88">MONTH(B1700)</f>
        <v>1</v>
      </c>
      <c r="D1700" s="11"/>
      <c r="E1700" s="11"/>
      <c r="F1700" s="11"/>
      <c r="G1700" s="89">
        <f>IFERROR(VLOOKUP(F1700,COA!$A$1:$K$26,2,FALSE),0)</f>
        <v>0</v>
      </c>
      <c r="H1700" s="11"/>
      <c r="I1700" s="11"/>
      <c r="J1700" s="78"/>
      <c r="K1700" s="78"/>
      <c r="L1700" s="146">
        <f t="shared" si="86"/>
        <v>13126700</v>
      </c>
      <c r="M1700" s="73"/>
      <c r="N1700" s="73"/>
      <c r="O1700" s="73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14.25" customHeight="1" x14ac:dyDescent="0.35">
      <c r="A1701" s="9">
        <f t="shared" si="87"/>
        <v>1693</v>
      </c>
      <c r="B1701" s="15"/>
      <c r="C1701" s="11">
        <f t="shared" si="88"/>
        <v>1</v>
      </c>
      <c r="D1701" s="11"/>
      <c r="E1701" s="11"/>
      <c r="F1701" s="11"/>
      <c r="G1701" s="89">
        <f>IFERROR(VLOOKUP(F1701,COA!$A$1:$K$26,2,FALSE),0)</f>
        <v>0</v>
      </c>
      <c r="H1701" s="11"/>
      <c r="I1701" s="11"/>
      <c r="J1701" s="78"/>
      <c r="K1701" s="78"/>
      <c r="L1701" s="146">
        <f t="shared" si="86"/>
        <v>13126700</v>
      </c>
      <c r="M1701" s="73"/>
      <c r="N1701" s="73"/>
      <c r="O1701" s="73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14.25" customHeight="1" x14ac:dyDescent="0.35">
      <c r="A1702" s="9">
        <f t="shared" si="87"/>
        <v>1694</v>
      </c>
      <c r="B1702" s="15"/>
      <c r="C1702" s="11">
        <f t="shared" si="88"/>
        <v>1</v>
      </c>
      <c r="D1702" s="11"/>
      <c r="E1702" s="11"/>
      <c r="F1702" s="11"/>
      <c r="G1702" s="89">
        <f>IFERROR(VLOOKUP(F1702,COA!$A$1:$K$26,2,FALSE),0)</f>
        <v>0</v>
      </c>
      <c r="H1702" s="11"/>
      <c r="I1702" s="11"/>
      <c r="J1702" s="78"/>
      <c r="K1702" s="78"/>
      <c r="L1702" s="146">
        <f t="shared" si="86"/>
        <v>13126700</v>
      </c>
      <c r="M1702" s="73"/>
      <c r="N1702" s="73"/>
      <c r="O1702" s="73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14.25" customHeight="1" x14ac:dyDescent="0.35">
      <c r="A1703" s="9">
        <f t="shared" si="87"/>
        <v>1695</v>
      </c>
      <c r="B1703" s="15"/>
      <c r="C1703" s="11">
        <f t="shared" si="88"/>
        <v>1</v>
      </c>
      <c r="D1703" s="11"/>
      <c r="E1703" s="11"/>
      <c r="F1703" s="11"/>
      <c r="G1703" s="89">
        <f>IFERROR(VLOOKUP(F1703,COA!$A$1:$K$26,2,FALSE),0)</f>
        <v>0</v>
      </c>
      <c r="H1703" s="11"/>
      <c r="I1703" s="11"/>
      <c r="J1703" s="78"/>
      <c r="K1703" s="78"/>
      <c r="L1703" s="146">
        <f t="shared" si="86"/>
        <v>13126700</v>
      </c>
      <c r="M1703" s="73"/>
      <c r="N1703" s="73"/>
      <c r="O1703" s="73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14.25" customHeight="1" x14ac:dyDescent="0.35">
      <c r="A1704" s="9">
        <f t="shared" si="87"/>
        <v>1696</v>
      </c>
      <c r="B1704" s="15"/>
      <c r="C1704" s="11">
        <f t="shared" si="88"/>
        <v>1</v>
      </c>
      <c r="D1704" s="11"/>
      <c r="E1704" s="11"/>
      <c r="F1704" s="11"/>
      <c r="G1704" s="89">
        <f>IFERROR(VLOOKUP(F1704,COA!$A$1:$K$26,2,FALSE),0)</f>
        <v>0</v>
      </c>
      <c r="H1704" s="11"/>
      <c r="I1704" s="11"/>
      <c r="J1704" s="78"/>
      <c r="K1704" s="78"/>
      <c r="L1704" s="146">
        <f t="shared" si="86"/>
        <v>13126700</v>
      </c>
      <c r="M1704" s="73"/>
      <c r="N1704" s="73"/>
      <c r="O1704" s="73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14.25" customHeight="1" x14ac:dyDescent="0.35">
      <c r="A1705" s="9">
        <f t="shared" si="87"/>
        <v>1697</v>
      </c>
      <c r="B1705" s="15"/>
      <c r="C1705" s="11">
        <f t="shared" si="88"/>
        <v>1</v>
      </c>
      <c r="D1705" s="11"/>
      <c r="E1705" s="11"/>
      <c r="F1705" s="11"/>
      <c r="G1705" s="89">
        <f>IFERROR(VLOOKUP(F1705,COA!$A$1:$K$26,2,FALSE),0)</f>
        <v>0</v>
      </c>
      <c r="H1705" s="11"/>
      <c r="I1705" s="11"/>
      <c r="J1705" s="78"/>
      <c r="K1705" s="78"/>
      <c r="L1705" s="146">
        <f t="shared" si="86"/>
        <v>13126700</v>
      </c>
      <c r="M1705" s="73"/>
      <c r="N1705" s="73"/>
      <c r="O1705" s="73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14.25" customHeight="1" x14ac:dyDescent="0.35">
      <c r="A1706" s="9">
        <f t="shared" si="87"/>
        <v>1698</v>
      </c>
      <c r="B1706" s="15"/>
      <c r="C1706" s="11">
        <f t="shared" si="88"/>
        <v>1</v>
      </c>
      <c r="D1706" s="11"/>
      <c r="E1706" s="11"/>
      <c r="F1706" s="11"/>
      <c r="G1706" s="89">
        <f>IFERROR(VLOOKUP(F1706,COA!$A$1:$K$26,2,FALSE),0)</f>
        <v>0</v>
      </c>
      <c r="H1706" s="11"/>
      <c r="I1706" s="11"/>
      <c r="J1706" s="78"/>
      <c r="K1706" s="78"/>
      <c r="L1706" s="146">
        <f t="shared" si="86"/>
        <v>13126700</v>
      </c>
      <c r="M1706" s="73"/>
      <c r="N1706" s="73"/>
      <c r="O1706" s="73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14.25" customHeight="1" x14ac:dyDescent="0.35">
      <c r="A1707" s="9">
        <f t="shared" si="87"/>
        <v>1699</v>
      </c>
      <c r="B1707" s="15"/>
      <c r="C1707" s="11">
        <f t="shared" si="88"/>
        <v>1</v>
      </c>
      <c r="D1707" s="11"/>
      <c r="E1707" s="11"/>
      <c r="F1707" s="11"/>
      <c r="G1707" s="89">
        <f>IFERROR(VLOOKUP(F1707,COA!$A$1:$K$26,2,FALSE),0)</f>
        <v>0</v>
      </c>
      <c r="H1707" s="11"/>
      <c r="I1707" s="11"/>
      <c r="J1707" s="78"/>
      <c r="K1707" s="78"/>
      <c r="L1707" s="146">
        <f t="shared" si="86"/>
        <v>13126700</v>
      </c>
      <c r="M1707" s="73"/>
      <c r="N1707" s="73"/>
      <c r="O1707" s="73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14.25" customHeight="1" x14ac:dyDescent="0.35">
      <c r="A1708" s="9">
        <f t="shared" si="87"/>
        <v>1700</v>
      </c>
      <c r="B1708" s="15"/>
      <c r="C1708" s="11">
        <f t="shared" si="88"/>
        <v>1</v>
      </c>
      <c r="D1708" s="11"/>
      <c r="E1708" s="11"/>
      <c r="F1708" s="11"/>
      <c r="G1708" s="89">
        <f>IFERROR(VLOOKUP(F1708,COA!$A$1:$K$26,2,FALSE),0)</f>
        <v>0</v>
      </c>
      <c r="H1708" s="11"/>
      <c r="I1708" s="11"/>
      <c r="J1708" s="78"/>
      <c r="K1708" s="78"/>
      <c r="L1708" s="146">
        <f t="shared" si="86"/>
        <v>13126700</v>
      </c>
      <c r="M1708" s="73"/>
      <c r="N1708" s="73"/>
      <c r="O1708" s="73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14.25" customHeight="1" x14ac:dyDescent="0.35">
      <c r="A1709" s="9">
        <f t="shared" si="87"/>
        <v>1701</v>
      </c>
      <c r="B1709" s="15"/>
      <c r="C1709" s="11">
        <f t="shared" si="88"/>
        <v>1</v>
      </c>
      <c r="D1709" s="11"/>
      <c r="E1709" s="11"/>
      <c r="F1709" s="11"/>
      <c r="G1709" s="89">
        <f>IFERROR(VLOOKUP(F1709,COA!$A$1:$K$26,2,FALSE),0)</f>
        <v>0</v>
      </c>
      <c r="H1709" s="11"/>
      <c r="I1709" s="11"/>
      <c r="J1709" s="78"/>
      <c r="K1709" s="78"/>
      <c r="L1709" s="146">
        <f t="shared" si="86"/>
        <v>13126700</v>
      </c>
      <c r="M1709" s="73"/>
      <c r="N1709" s="73"/>
      <c r="O1709" s="73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14.25" customHeight="1" x14ac:dyDescent="0.35">
      <c r="A1710" s="9">
        <f t="shared" si="87"/>
        <v>1702</v>
      </c>
      <c r="B1710" s="15"/>
      <c r="C1710" s="11">
        <f t="shared" si="88"/>
        <v>1</v>
      </c>
      <c r="D1710" s="11"/>
      <c r="E1710" s="11"/>
      <c r="F1710" s="11"/>
      <c r="G1710" s="89">
        <f>IFERROR(VLOOKUP(F1710,COA!$A$1:$K$26,2,FALSE),0)</f>
        <v>0</v>
      </c>
      <c r="H1710" s="11"/>
      <c r="I1710" s="11"/>
      <c r="J1710" s="78"/>
      <c r="K1710" s="78"/>
      <c r="L1710" s="146">
        <f t="shared" si="86"/>
        <v>13126700</v>
      </c>
      <c r="M1710" s="73"/>
      <c r="N1710" s="73"/>
      <c r="O1710" s="73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14.25" customHeight="1" x14ac:dyDescent="0.35">
      <c r="A1711" s="9">
        <f t="shared" si="87"/>
        <v>1703</v>
      </c>
      <c r="B1711" s="15"/>
      <c r="C1711" s="11">
        <f t="shared" si="88"/>
        <v>1</v>
      </c>
      <c r="D1711" s="11"/>
      <c r="E1711" s="11"/>
      <c r="F1711" s="11"/>
      <c r="G1711" s="89">
        <f>IFERROR(VLOOKUP(F1711,COA!$A$1:$K$26,2,FALSE),0)</f>
        <v>0</v>
      </c>
      <c r="H1711" s="11"/>
      <c r="I1711" s="11"/>
      <c r="J1711" s="78"/>
      <c r="K1711" s="78"/>
      <c r="L1711" s="146">
        <f t="shared" si="86"/>
        <v>13126700</v>
      </c>
      <c r="M1711" s="73"/>
      <c r="N1711" s="73"/>
      <c r="O1711" s="73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14.25" customHeight="1" x14ac:dyDescent="0.35">
      <c r="A1712" s="9">
        <f t="shared" si="87"/>
        <v>1704</v>
      </c>
      <c r="B1712" s="15"/>
      <c r="C1712" s="11">
        <f t="shared" si="88"/>
        <v>1</v>
      </c>
      <c r="D1712" s="11"/>
      <c r="E1712" s="11"/>
      <c r="F1712" s="11"/>
      <c r="G1712" s="89">
        <f>IFERROR(VLOOKUP(F1712,COA!$A$1:$K$26,2,FALSE),0)</f>
        <v>0</v>
      </c>
      <c r="H1712" s="11"/>
      <c r="I1712" s="11"/>
      <c r="J1712" s="78"/>
      <c r="K1712" s="78"/>
      <c r="L1712" s="146">
        <f t="shared" si="86"/>
        <v>13126700</v>
      </c>
      <c r="M1712" s="73"/>
      <c r="N1712" s="73"/>
      <c r="O1712" s="73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14.25" customHeight="1" x14ac:dyDescent="0.35">
      <c r="A1713" s="9">
        <f t="shared" si="87"/>
        <v>1705</v>
      </c>
      <c r="B1713" s="15"/>
      <c r="C1713" s="11">
        <f t="shared" si="88"/>
        <v>1</v>
      </c>
      <c r="D1713" s="11"/>
      <c r="E1713" s="11"/>
      <c r="F1713" s="11"/>
      <c r="G1713" s="89">
        <f>IFERROR(VLOOKUP(F1713,COA!$A$1:$K$26,2,FALSE),0)</f>
        <v>0</v>
      </c>
      <c r="H1713" s="11"/>
      <c r="I1713" s="11"/>
      <c r="J1713" s="78"/>
      <c r="K1713" s="78"/>
      <c r="L1713" s="146">
        <f t="shared" si="86"/>
        <v>13126700</v>
      </c>
      <c r="M1713" s="73"/>
      <c r="N1713" s="73"/>
      <c r="O1713" s="73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14.25" customHeight="1" x14ac:dyDescent="0.35">
      <c r="A1714" s="9">
        <f t="shared" si="87"/>
        <v>1706</v>
      </c>
      <c r="B1714" s="15"/>
      <c r="C1714" s="11">
        <f t="shared" si="88"/>
        <v>1</v>
      </c>
      <c r="D1714" s="11"/>
      <c r="E1714" s="11"/>
      <c r="F1714" s="11"/>
      <c r="G1714" s="89">
        <f>IFERROR(VLOOKUP(F1714,COA!$A$1:$K$26,2,FALSE),0)</f>
        <v>0</v>
      </c>
      <c r="H1714" s="11"/>
      <c r="I1714" s="11"/>
      <c r="J1714" s="78"/>
      <c r="K1714" s="78"/>
      <c r="L1714" s="146">
        <f t="shared" si="86"/>
        <v>13126700</v>
      </c>
      <c r="M1714" s="73"/>
      <c r="N1714" s="73"/>
      <c r="O1714" s="73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14.25" customHeight="1" x14ac:dyDescent="0.35">
      <c r="A1715" s="9">
        <f t="shared" si="87"/>
        <v>1707</v>
      </c>
      <c r="B1715" s="15"/>
      <c r="C1715" s="11">
        <f t="shared" si="88"/>
        <v>1</v>
      </c>
      <c r="D1715" s="11"/>
      <c r="E1715" s="11"/>
      <c r="F1715" s="11"/>
      <c r="G1715" s="89">
        <f>IFERROR(VLOOKUP(F1715,COA!$A$1:$K$26,2,FALSE),0)</f>
        <v>0</v>
      </c>
      <c r="H1715" s="11"/>
      <c r="I1715" s="11"/>
      <c r="J1715" s="78"/>
      <c r="K1715" s="78"/>
      <c r="L1715" s="146">
        <f t="shared" si="86"/>
        <v>13126700</v>
      </c>
      <c r="M1715" s="73"/>
      <c r="N1715" s="73"/>
      <c r="O1715" s="73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14.25" customHeight="1" x14ac:dyDescent="0.35">
      <c r="A1716" s="9">
        <f t="shared" si="87"/>
        <v>1708</v>
      </c>
      <c r="B1716" s="15"/>
      <c r="C1716" s="11">
        <f t="shared" si="88"/>
        <v>1</v>
      </c>
      <c r="D1716" s="11"/>
      <c r="E1716" s="11"/>
      <c r="F1716" s="11"/>
      <c r="G1716" s="89">
        <f>IFERROR(VLOOKUP(F1716,COA!$A$1:$K$26,2,FALSE),0)</f>
        <v>0</v>
      </c>
      <c r="H1716" s="11"/>
      <c r="I1716" s="11"/>
      <c r="J1716" s="78"/>
      <c r="K1716" s="78"/>
      <c r="L1716" s="146">
        <f t="shared" si="86"/>
        <v>13126700</v>
      </c>
      <c r="M1716" s="73"/>
      <c r="N1716" s="73"/>
      <c r="O1716" s="73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14.25" customHeight="1" x14ac:dyDescent="0.35">
      <c r="A1717" s="9">
        <f t="shared" si="87"/>
        <v>1709</v>
      </c>
      <c r="B1717" s="15"/>
      <c r="C1717" s="11">
        <f t="shared" si="88"/>
        <v>1</v>
      </c>
      <c r="D1717" s="11"/>
      <c r="E1717" s="11"/>
      <c r="F1717" s="11"/>
      <c r="G1717" s="89">
        <f>IFERROR(VLOOKUP(F1717,COA!$A$1:$K$26,2,FALSE),0)</f>
        <v>0</v>
      </c>
      <c r="H1717" s="11"/>
      <c r="I1717" s="11"/>
      <c r="J1717" s="78"/>
      <c r="K1717" s="78"/>
      <c r="L1717" s="146">
        <f t="shared" si="86"/>
        <v>13126700</v>
      </c>
      <c r="M1717" s="73"/>
      <c r="N1717" s="73"/>
      <c r="O1717" s="73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14.25" customHeight="1" x14ac:dyDescent="0.35">
      <c r="A1718" s="9">
        <f t="shared" si="87"/>
        <v>1710</v>
      </c>
      <c r="B1718" s="15"/>
      <c r="C1718" s="11">
        <f t="shared" si="88"/>
        <v>1</v>
      </c>
      <c r="D1718" s="11"/>
      <c r="E1718" s="11"/>
      <c r="F1718" s="11"/>
      <c r="G1718" s="89">
        <f>IFERROR(VLOOKUP(F1718,COA!$A$1:$K$26,2,FALSE),0)</f>
        <v>0</v>
      </c>
      <c r="H1718" s="11"/>
      <c r="I1718" s="11"/>
      <c r="J1718" s="78"/>
      <c r="K1718" s="78"/>
      <c r="L1718" s="146">
        <f t="shared" si="86"/>
        <v>13126700</v>
      </c>
      <c r="M1718" s="73"/>
      <c r="N1718" s="73"/>
      <c r="O1718" s="73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14.25" customHeight="1" x14ac:dyDescent="0.35">
      <c r="A1719" s="9">
        <f t="shared" si="87"/>
        <v>1711</v>
      </c>
      <c r="B1719" s="15"/>
      <c r="C1719" s="11">
        <f t="shared" si="88"/>
        <v>1</v>
      </c>
      <c r="D1719" s="11"/>
      <c r="E1719" s="11"/>
      <c r="F1719" s="11"/>
      <c r="G1719" s="89">
        <f>IFERROR(VLOOKUP(F1719,COA!$A$1:$K$26,2,FALSE),0)</f>
        <v>0</v>
      </c>
      <c r="H1719" s="11"/>
      <c r="I1719" s="11"/>
      <c r="J1719" s="78"/>
      <c r="K1719" s="78"/>
      <c r="L1719" s="146">
        <f t="shared" si="86"/>
        <v>13126700</v>
      </c>
      <c r="M1719" s="73"/>
      <c r="N1719" s="73"/>
      <c r="O1719" s="73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14.25" customHeight="1" x14ac:dyDescent="0.35">
      <c r="A1720" s="9">
        <f t="shared" si="87"/>
        <v>1712</v>
      </c>
      <c r="B1720" s="15"/>
      <c r="C1720" s="11">
        <f t="shared" si="88"/>
        <v>1</v>
      </c>
      <c r="D1720" s="11"/>
      <c r="E1720" s="11"/>
      <c r="F1720" s="11"/>
      <c r="G1720" s="89">
        <f>IFERROR(VLOOKUP(F1720,COA!$A$1:$K$26,2,FALSE),0)</f>
        <v>0</v>
      </c>
      <c r="H1720" s="11"/>
      <c r="I1720" s="11"/>
      <c r="J1720" s="78"/>
      <c r="K1720" s="78"/>
      <c r="L1720" s="146">
        <f t="shared" si="86"/>
        <v>13126700</v>
      </c>
      <c r="M1720" s="73"/>
      <c r="N1720" s="73"/>
      <c r="O1720" s="73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14.25" customHeight="1" x14ac:dyDescent="0.35">
      <c r="A1721" s="9">
        <f t="shared" si="87"/>
        <v>1713</v>
      </c>
      <c r="B1721" s="15"/>
      <c r="C1721" s="11">
        <f t="shared" si="88"/>
        <v>1</v>
      </c>
      <c r="D1721" s="11"/>
      <c r="E1721" s="11"/>
      <c r="F1721" s="11"/>
      <c r="G1721" s="89">
        <f>IFERROR(VLOOKUP(F1721,COA!$A$1:$K$26,2,FALSE),0)</f>
        <v>0</v>
      </c>
      <c r="H1721" s="11"/>
      <c r="I1721" s="11"/>
      <c r="J1721" s="78"/>
      <c r="K1721" s="78"/>
      <c r="L1721" s="146">
        <f t="shared" si="86"/>
        <v>13126700</v>
      </c>
      <c r="M1721" s="73"/>
      <c r="N1721" s="73"/>
      <c r="O1721" s="73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14.25" customHeight="1" x14ac:dyDescent="0.35">
      <c r="A1722" s="9">
        <f t="shared" si="87"/>
        <v>1714</v>
      </c>
      <c r="B1722" s="15"/>
      <c r="C1722" s="11">
        <f t="shared" si="88"/>
        <v>1</v>
      </c>
      <c r="D1722" s="11"/>
      <c r="E1722" s="11"/>
      <c r="F1722" s="11"/>
      <c r="G1722" s="89">
        <f>IFERROR(VLOOKUP(F1722,COA!$A$1:$K$26,2,FALSE),0)</f>
        <v>0</v>
      </c>
      <c r="H1722" s="11"/>
      <c r="I1722" s="11"/>
      <c r="J1722" s="78"/>
      <c r="K1722" s="78"/>
      <c r="L1722" s="146">
        <f t="shared" si="86"/>
        <v>13126700</v>
      </c>
      <c r="M1722" s="73"/>
      <c r="N1722" s="73"/>
      <c r="O1722" s="73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14.25" customHeight="1" x14ac:dyDescent="0.35">
      <c r="A1723" s="9">
        <f t="shared" si="87"/>
        <v>1715</v>
      </c>
      <c r="B1723" s="15"/>
      <c r="C1723" s="11">
        <f t="shared" si="88"/>
        <v>1</v>
      </c>
      <c r="D1723" s="11"/>
      <c r="E1723" s="11"/>
      <c r="F1723" s="11"/>
      <c r="G1723" s="89">
        <f>IFERROR(VLOOKUP(F1723,COA!$A$1:$K$26,2,FALSE),0)</f>
        <v>0</v>
      </c>
      <c r="H1723" s="11"/>
      <c r="I1723" s="11"/>
      <c r="J1723" s="78"/>
      <c r="K1723" s="78"/>
      <c r="L1723" s="146">
        <f t="shared" si="86"/>
        <v>13126700</v>
      </c>
      <c r="M1723" s="73"/>
      <c r="N1723" s="73"/>
      <c r="O1723" s="73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14.25" customHeight="1" x14ac:dyDescent="0.35">
      <c r="A1724" s="9">
        <f t="shared" si="87"/>
        <v>1716</v>
      </c>
      <c r="B1724" s="15"/>
      <c r="C1724" s="11">
        <f t="shared" si="88"/>
        <v>1</v>
      </c>
      <c r="D1724" s="11"/>
      <c r="E1724" s="11"/>
      <c r="F1724" s="11"/>
      <c r="G1724" s="89">
        <f>IFERROR(VLOOKUP(F1724,COA!$A$1:$K$26,2,FALSE),0)</f>
        <v>0</v>
      </c>
      <c r="H1724" s="11"/>
      <c r="I1724" s="11"/>
      <c r="J1724" s="78"/>
      <c r="K1724" s="78"/>
      <c r="L1724" s="146">
        <f t="shared" si="86"/>
        <v>13126700</v>
      </c>
      <c r="M1724" s="73"/>
      <c r="N1724" s="73"/>
      <c r="O1724" s="73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14.25" customHeight="1" x14ac:dyDescent="0.35">
      <c r="A1725" s="9">
        <f t="shared" si="87"/>
        <v>1717</v>
      </c>
      <c r="B1725" s="15"/>
      <c r="C1725" s="11">
        <f t="shared" si="88"/>
        <v>1</v>
      </c>
      <c r="D1725" s="11"/>
      <c r="E1725" s="11"/>
      <c r="F1725" s="11"/>
      <c r="G1725" s="89">
        <f>IFERROR(VLOOKUP(F1725,COA!$A$1:$K$26,2,FALSE),0)</f>
        <v>0</v>
      </c>
      <c r="H1725" s="11"/>
      <c r="I1725" s="11"/>
      <c r="J1725" s="78"/>
      <c r="K1725" s="78"/>
      <c r="L1725" s="146">
        <f t="shared" si="86"/>
        <v>13126700</v>
      </c>
      <c r="M1725" s="73"/>
      <c r="N1725" s="73"/>
      <c r="O1725" s="73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14.25" customHeight="1" x14ac:dyDescent="0.35">
      <c r="A1726" s="9">
        <f t="shared" si="87"/>
        <v>1718</v>
      </c>
      <c r="B1726" s="15"/>
      <c r="C1726" s="11">
        <f t="shared" si="88"/>
        <v>1</v>
      </c>
      <c r="D1726" s="11"/>
      <c r="E1726" s="11"/>
      <c r="F1726" s="11"/>
      <c r="G1726" s="89">
        <f>IFERROR(VLOOKUP(F1726,COA!$A$1:$K$26,2,FALSE),0)</f>
        <v>0</v>
      </c>
      <c r="H1726" s="11"/>
      <c r="I1726" s="11"/>
      <c r="J1726" s="78"/>
      <c r="K1726" s="78"/>
      <c r="L1726" s="146">
        <f t="shared" si="86"/>
        <v>13126700</v>
      </c>
      <c r="M1726" s="73"/>
      <c r="N1726" s="73"/>
      <c r="O1726" s="73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14.25" customHeight="1" x14ac:dyDescent="0.35">
      <c r="A1727" s="9">
        <f t="shared" si="87"/>
        <v>1719</v>
      </c>
      <c r="B1727" s="15"/>
      <c r="C1727" s="11">
        <f t="shared" si="88"/>
        <v>1</v>
      </c>
      <c r="D1727" s="11"/>
      <c r="E1727" s="11"/>
      <c r="F1727" s="11"/>
      <c r="G1727" s="89">
        <f>IFERROR(VLOOKUP(F1727,COA!$A$1:$K$26,2,FALSE),0)</f>
        <v>0</v>
      </c>
      <c r="H1727" s="11"/>
      <c r="I1727" s="11"/>
      <c r="J1727" s="78"/>
      <c r="K1727" s="78"/>
      <c r="L1727" s="146">
        <f t="shared" si="86"/>
        <v>13126700</v>
      </c>
      <c r="M1727" s="73"/>
      <c r="N1727" s="73"/>
      <c r="O1727" s="73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14.25" customHeight="1" x14ac:dyDescent="0.35">
      <c r="A1728" s="9">
        <f t="shared" si="87"/>
        <v>1720</v>
      </c>
      <c r="B1728" s="15"/>
      <c r="C1728" s="11">
        <f t="shared" si="88"/>
        <v>1</v>
      </c>
      <c r="D1728" s="11"/>
      <c r="E1728" s="11"/>
      <c r="F1728" s="11"/>
      <c r="G1728" s="89">
        <f>IFERROR(VLOOKUP(F1728,COA!$A$1:$K$26,2,FALSE),0)</f>
        <v>0</v>
      </c>
      <c r="H1728" s="11"/>
      <c r="I1728" s="11"/>
      <c r="J1728" s="78"/>
      <c r="K1728" s="78"/>
      <c r="L1728" s="146">
        <f t="shared" si="86"/>
        <v>13126700</v>
      </c>
      <c r="M1728" s="73"/>
      <c r="N1728" s="73"/>
      <c r="O1728" s="73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14.25" customHeight="1" x14ac:dyDescent="0.35">
      <c r="A1729" s="9">
        <f t="shared" si="87"/>
        <v>1721</v>
      </c>
      <c r="B1729" s="15"/>
      <c r="C1729" s="11">
        <f t="shared" si="88"/>
        <v>1</v>
      </c>
      <c r="D1729" s="11"/>
      <c r="E1729" s="11"/>
      <c r="F1729" s="11"/>
      <c r="G1729" s="89">
        <f>IFERROR(VLOOKUP(F1729,COA!$A$1:$K$26,2,FALSE),0)</f>
        <v>0</v>
      </c>
      <c r="H1729" s="11"/>
      <c r="I1729" s="11"/>
      <c r="J1729" s="78"/>
      <c r="K1729" s="78"/>
      <c r="L1729" s="146">
        <f t="shared" si="86"/>
        <v>13126700</v>
      </c>
      <c r="M1729" s="73"/>
      <c r="N1729" s="73"/>
      <c r="O1729" s="73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14.25" customHeight="1" x14ac:dyDescent="0.35">
      <c r="A1730" s="9">
        <f t="shared" si="87"/>
        <v>1722</v>
      </c>
      <c r="B1730" s="15"/>
      <c r="C1730" s="11">
        <f t="shared" si="88"/>
        <v>1</v>
      </c>
      <c r="D1730" s="11"/>
      <c r="E1730" s="11"/>
      <c r="F1730" s="11"/>
      <c r="G1730" s="89">
        <f>IFERROR(VLOOKUP(F1730,COA!$A$1:$K$26,2,FALSE),0)</f>
        <v>0</v>
      </c>
      <c r="H1730" s="11"/>
      <c r="I1730" s="11"/>
      <c r="J1730" s="78"/>
      <c r="K1730" s="78"/>
      <c r="L1730" s="146">
        <f t="shared" si="86"/>
        <v>13126700</v>
      </c>
      <c r="M1730" s="73"/>
      <c r="N1730" s="73"/>
      <c r="O1730" s="73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14.25" customHeight="1" x14ac:dyDescent="0.35">
      <c r="A1731" s="9">
        <f t="shared" si="87"/>
        <v>1723</v>
      </c>
      <c r="B1731" s="15"/>
      <c r="C1731" s="11">
        <f t="shared" si="88"/>
        <v>1</v>
      </c>
      <c r="D1731" s="11"/>
      <c r="E1731" s="11"/>
      <c r="F1731" s="11"/>
      <c r="G1731" s="89">
        <f>IFERROR(VLOOKUP(F1731,COA!$A$1:$K$26,2,FALSE),0)</f>
        <v>0</v>
      </c>
      <c r="H1731" s="11"/>
      <c r="I1731" s="11"/>
      <c r="J1731" s="78"/>
      <c r="K1731" s="78"/>
      <c r="L1731" s="146">
        <f t="shared" si="86"/>
        <v>13126700</v>
      </c>
      <c r="M1731" s="73"/>
      <c r="N1731" s="73"/>
      <c r="O1731" s="73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14.25" customHeight="1" x14ac:dyDescent="0.35">
      <c r="A1732" s="9">
        <f t="shared" si="87"/>
        <v>1724</v>
      </c>
      <c r="B1732" s="15"/>
      <c r="C1732" s="11">
        <f t="shared" si="88"/>
        <v>1</v>
      </c>
      <c r="D1732" s="11"/>
      <c r="E1732" s="11"/>
      <c r="F1732" s="11"/>
      <c r="G1732" s="89">
        <f>IFERROR(VLOOKUP(F1732,COA!$A$1:$K$26,2,FALSE),0)</f>
        <v>0</v>
      </c>
      <c r="H1732" s="11"/>
      <c r="I1732" s="11"/>
      <c r="J1732" s="78"/>
      <c r="K1732" s="78"/>
      <c r="L1732" s="146">
        <f t="shared" si="86"/>
        <v>13126700</v>
      </c>
      <c r="M1732" s="73"/>
      <c r="N1732" s="73"/>
      <c r="O1732" s="73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14.25" customHeight="1" x14ac:dyDescent="0.35">
      <c r="A1733" s="9">
        <f t="shared" si="87"/>
        <v>1725</v>
      </c>
      <c r="B1733" s="15"/>
      <c r="C1733" s="11">
        <f t="shared" si="88"/>
        <v>1</v>
      </c>
      <c r="D1733" s="11"/>
      <c r="E1733" s="11"/>
      <c r="F1733" s="11"/>
      <c r="G1733" s="89">
        <f>IFERROR(VLOOKUP(F1733,COA!$A$1:$K$26,2,FALSE),0)</f>
        <v>0</v>
      </c>
      <c r="H1733" s="11"/>
      <c r="I1733" s="11"/>
      <c r="J1733" s="78"/>
      <c r="K1733" s="78"/>
      <c r="L1733" s="146">
        <f t="shared" si="86"/>
        <v>13126700</v>
      </c>
      <c r="M1733" s="73"/>
      <c r="N1733" s="73"/>
      <c r="O1733" s="73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14.25" customHeight="1" x14ac:dyDescent="0.35">
      <c r="A1734" s="9">
        <f t="shared" si="87"/>
        <v>1726</v>
      </c>
      <c r="B1734" s="15"/>
      <c r="C1734" s="11">
        <f t="shared" si="88"/>
        <v>1</v>
      </c>
      <c r="D1734" s="11"/>
      <c r="E1734" s="11"/>
      <c r="F1734" s="11"/>
      <c r="G1734" s="89">
        <f>IFERROR(VLOOKUP(F1734,COA!$A$1:$K$26,2,FALSE),0)</f>
        <v>0</v>
      </c>
      <c r="H1734" s="11"/>
      <c r="I1734" s="11"/>
      <c r="J1734" s="78"/>
      <c r="K1734" s="78"/>
      <c r="L1734" s="146">
        <f t="shared" si="86"/>
        <v>13126700</v>
      </c>
      <c r="M1734" s="73"/>
      <c r="N1734" s="73"/>
      <c r="O1734" s="73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14.25" customHeight="1" x14ac:dyDescent="0.35">
      <c r="A1735" s="9">
        <f t="shared" si="87"/>
        <v>1727</v>
      </c>
      <c r="B1735" s="15"/>
      <c r="C1735" s="11">
        <f t="shared" si="88"/>
        <v>1</v>
      </c>
      <c r="D1735" s="11"/>
      <c r="E1735" s="11"/>
      <c r="F1735" s="11"/>
      <c r="G1735" s="89">
        <f>IFERROR(VLOOKUP(F1735,COA!$A$1:$K$26,2,FALSE),0)</f>
        <v>0</v>
      </c>
      <c r="H1735" s="11"/>
      <c r="I1735" s="11"/>
      <c r="J1735" s="78"/>
      <c r="K1735" s="78"/>
      <c r="L1735" s="146">
        <f t="shared" si="86"/>
        <v>13126700</v>
      </c>
      <c r="M1735" s="73"/>
      <c r="N1735" s="73"/>
      <c r="O1735" s="73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14.25" customHeight="1" x14ac:dyDescent="0.35">
      <c r="A1736" s="9">
        <f t="shared" si="87"/>
        <v>1728</v>
      </c>
      <c r="B1736" s="15"/>
      <c r="C1736" s="11">
        <f t="shared" si="88"/>
        <v>1</v>
      </c>
      <c r="D1736" s="11"/>
      <c r="E1736" s="11"/>
      <c r="F1736" s="11"/>
      <c r="G1736" s="89">
        <f>IFERROR(VLOOKUP(F1736,COA!$A$1:$K$26,2,FALSE),0)</f>
        <v>0</v>
      </c>
      <c r="H1736" s="11"/>
      <c r="I1736" s="11"/>
      <c r="J1736" s="78"/>
      <c r="K1736" s="78"/>
      <c r="L1736" s="146">
        <f t="shared" si="86"/>
        <v>13126700</v>
      </c>
      <c r="M1736" s="73"/>
      <c r="N1736" s="73"/>
      <c r="O1736" s="73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14.25" customHeight="1" x14ac:dyDescent="0.35">
      <c r="A1737" s="9">
        <f t="shared" si="87"/>
        <v>1729</v>
      </c>
      <c r="B1737" s="15"/>
      <c r="C1737" s="11">
        <f t="shared" si="88"/>
        <v>1</v>
      </c>
      <c r="D1737" s="11"/>
      <c r="E1737" s="11"/>
      <c r="F1737" s="11"/>
      <c r="G1737" s="89">
        <f>IFERROR(VLOOKUP(F1737,COA!$A$1:$K$26,2,FALSE),0)</f>
        <v>0</v>
      </c>
      <c r="H1737" s="11"/>
      <c r="I1737" s="11"/>
      <c r="J1737" s="78"/>
      <c r="K1737" s="78"/>
      <c r="L1737" s="146">
        <f t="shared" si="86"/>
        <v>13126700</v>
      </c>
      <c r="M1737" s="73"/>
      <c r="N1737" s="73"/>
      <c r="O1737" s="73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14.25" customHeight="1" x14ac:dyDescent="0.35">
      <c r="A1738" s="9">
        <f t="shared" si="87"/>
        <v>1730</v>
      </c>
      <c r="B1738" s="15"/>
      <c r="C1738" s="11">
        <f t="shared" si="88"/>
        <v>1</v>
      </c>
      <c r="D1738" s="11"/>
      <c r="E1738" s="11"/>
      <c r="F1738" s="11"/>
      <c r="G1738" s="89">
        <f>IFERROR(VLOOKUP(F1738,COA!$A$1:$K$26,2,FALSE),0)</f>
        <v>0</v>
      </c>
      <c r="H1738" s="11"/>
      <c r="I1738" s="11"/>
      <c r="J1738" s="78"/>
      <c r="K1738" s="78"/>
      <c r="L1738" s="146">
        <f t="shared" si="86"/>
        <v>13126700</v>
      </c>
      <c r="M1738" s="73"/>
      <c r="N1738" s="73"/>
      <c r="O1738" s="73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14.25" customHeight="1" x14ac:dyDescent="0.35">
      <c r="A1739" s="9">
        <f t="shared" si="87"/>
        <v>1731</v>
      </c>
      <c r="B1739" s="15"/>
      <c r="C1739" s="11">
        <f t="shared" si="88"/>
        <v>1</v>
      </c>
      <c r="D1739" s="11"/>
      <c r="E1739" s="11"/>
      <c r="F1739" s="11"/>
      <c r="G1739" s="89">
        <f>IFERROR(VLOOKUP(F1739,COA!$A$1:$K$26,2,FALSE),0)</f>
        <v>0</v>
      </c>
      <c r="H1739" s="11"/>
      <c r="I1739" s="11"/>
      <c r="J1739" s="78"/>
      <c r="K1739" s="78"/>
      <c r="L1739" s="146">
        <f t="shared" si="86"/>
        <v>13126700</v>
      </c>
      <c r="M1739" s="73"/>
      <c r="N1739" s="73"/>
      <c r="O1739" s="73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14.25" customHeight="1" x14ac:dyDescent="0.35">
      <c r="A1740" s="9">
        <f t="shared" si="87"/>
        <v>1732</v>
      </c>
      <c r="B1740" s="15"/>
      <c r="C1740" s="11">
        <f t="shared" si="88"/>
        <v>1</v>
      </c>
      <c r="D1740" s="11"/>
      <c r="E1740" s="11"/>
      <c r="F1740" s="11"/>
      <c r="G1740" s="89">
        <f>IFERROR(VLOOKUP(F1740,COA!$A$1:$K$26,2,FALSE),0)</f>
        <v>0</v>
      </c>
      <c r="H1740" s="11"/>
      <c r="I1740" s="11"/>
      <c r="J1740" s="78"/>
      <c r="K1740" s="78"/>
      <c r="L1740" s="146">
        <f t="shared" si="86"/>
        <v>13126700</v>
      </c>
      <c r="M1740" s="73"/>
      <c r="N1740" s="73"/>
      <c r="O1740" s="73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14.25" customHeight="1" x14ac:dyDescent="0.35">
      <c r="A1741" s="9">
        <f t="shared" si="87"/>
        <v>1733</v>
      </c>
      <c r="B1741" s="15"/>
      <c r="C1741" s="11">
        <f t="shared" si="88"/>
        <v>1</v>
      </c>
      <c r="D1741" s="11"/>
      <c r="E1741" s="11"/>
      <c r="F1741" s="11"/>
      <c r="G1741" s="89">
        <f>IFERROR(VLOOKUP(F1741,COA!$A$1:$K$26,2,FALSE),0)</f>
        <v>0</v>
      </c>
      <c r="H1741" s="11"/>
      <c r="I1741" s="11"/>
      <c r="J1741" s="78"/>
      <c r="K1741" s="78"/>
      <c r="L1741" s="146">
        <f t="shared" si="86"/>
        <v>13126700</v>
      </c>
      <c r="M1741" s="73"/>
      <c r="N1741" s="73"/>
      <c r="O1741" s="73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14.25" customHeight="1" x14ac:dyDescent="0.35">
      <c r="A1742" s="9">
        <f t="shared" si="87"/>
        <v>1734</v>
      </c>
      <c r="B1742" s="15"/>
      <c r="C1742" s="11">
        <f t="shared" si="88"/>
        <v>1</v>
      </c>
      <c r="D1742" s="11"/>
      <c r="E1742" s="11"/>
      <c r="F1742" s="11"/>
      <c r="G1742" s="89">
        <f>IFERROR(VLOOKUP(F1742,COA!$A$1:$K$26,2,FALSE),0)</f>
        <v>0</v>
      </c>
      <c r="H1742" s="11"/>
      <c r="I1742" s="11"/>
      <c r="J1742" s="78"/>
      <c r="K1742" s="78"/>
      <c r="L1742" s="146">
        <f t="shared" si="86"/>
        <v>13126700</v>
      </c>
      <c r="M1742" s="73"/>
      <c r="N1742" s="73"/>
      <c r="O1742" s="73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14.25" customHeight="1" x14ac:dyDescent="0.35">
      <c r="A1743" s="9">
        <f t="shared" si="87"/>
        <v>1735</v>
      </c>
      <c r="B1743" s="15"/>
      <c r="C1743" s="11">
        <f t="shared" si="88"/>
        <v>1</v>
      </c>
      <c r="D1743" s="11"/>
      <c r="E1743" s="11"/>
      <c r="F1743" s="11"/>
      <c r="G1743" s="89">
        <f>IFERROR(VLOOKUP(F1743,COA!$A$1:$K$26,2,FALSE),0)</f>
        <v>0</v>
      </c>
      <c r="H1743" s="11"/>
      <c r="I1743" s="11"/>
      <c r="J1743" s="78"/>
      <c r="K1743" s="78"/>
      <c r="L1743" s="146">
        <f t="shared" si="86"/>
        <v>13126700</v>
      </c>
      <c r="M1743" s="73"/>
      <c r="N1743" s="73"/>
      <c r="O1743" s="73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14.25" customHeight="1" x14ac:dyDescent="0.35">
      <c r="A1744" s="9">
        <f t="shared" si="87"/>
        <v>1736</v>
      </c>
      <c r="B1744" s="15"/>
      <c r="C1744" s="11">
        <f t="shared" si="88"/>
        <v>1</v>
      </c>
      <c r="D1744" s="11"/>
      <c r="E1744" s="11"/>
      <c r="F1744" s="11"/>
      <c r="G1744" s="89">
        <f>IFERROR(VLOOKUP(F1744,COA!$A$1:$K$26,2,FALSE),0)</f>
        <v>0</v>
      </c>
      <c r="H1744" s="11"/>
      <c r="I1744" s="11"/>
      <c r="J1744" s="78"/>
      <c r="K1744" s="78"/>
      <c r="L1744" s="146">
        <f t="shared" ref="L1744:L1764" si="89">L1743+J1744-K1744</f>
        <v>13126700</v>
      </c>
      <c r="M1744" s="73"/>
      <c r="N1744" s="73"/>
      <c r="O1744" s="73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14.25" customHeight="1" x14ac:dyDescent="0.35">
      <c r="A1745" s="9">
        <f t="shared" si="87"/>
        <v>1737</v>
      </c>
      <c r="B1745" s="15"/>
      <c r="C1745" s="11">
        <f t="shared" si="88"/>
        <v>1</v>
      </c>
      <c r="D1745" s="11"/>
      <c r="E1745" s="11"/>
      <c r="F1745" s="11"/>
      <c r="G1745" s="89">
        <f>IFERROR(VLOOKUP(F1745,COA!$A$1:$K$26,2,FALSE),0)</f>
        <v>0</v>
      </c>
      <c r="H1745" s="11"/>
      <c r="I1745" s="11"/>
      <c r="J1745" s="78"/>
      <c r="K1745" s="78"/>
      <c r="L1745" s="146">
        <f t="shared" si="89"/>
        <v>13126700</v>
      </c>
      <c r="M1745" s="73"/>
      <c r="N1745" s="73"/>
      <c r="O1745" s="73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14.25" customHeight="1" x14ac:dyDescent="0.35">
      <c r="A1746" s="9">
        <f t="shared" ref="A1746:A1765" si="90">A1745+1</f>
        <v>1738</v>
      </c>
      <c r="B1746" s="15"/>
      <c r="C1746" s="11">
        <f t="shared" si="88"/>
        <v>1</v>
      </c>
      <c r="D1746" s="11"/>
      <c r="E1746" s="11"/>
      <c r="F1746" s="11"/>
      <c r="G1746" s="89">
        <f>IFERROR(VLOOKUP(F1746,COA!$A$1:$K$26,2,FALSE),0)</f>
        <v>0</v>
      </c>
      <c r="H1746" s="11"/>
      <c r="I1746" s="11"/>
      <c r="J1746" s="78"/>
      <c r="K1746" s="78"/>
      <c r="L1746" s="146">
        <f t="shared" si="89"/>
        <v>13126700</v>
      </c>
      <c r="M1746" s="73"/>
      <c r="N1746" s="73"/>
      <c r="O1746" s="73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14.25" customHeight="1" x14ac:dyDescent="0.35">
      <c r="A1747" s="9">
        <f t="shared" si="90"/>
        <v>1739</v>
      </c>
      <c r="B1747" s="15"/>
      <c r="C1747" s="11">
        <f t="shared" si="88"/>
        <v>1</v>
      </c>
      <c r="D1747" s="11"/>
      <c r="E1747" s="11"/>
      <c r="F1747" s="11"/>
      <c r="G1747" s="89">
        <f>IFERROR(VLOOKUP(F1747,COA!$A$1:$K$26,2,FALSE),0)</f>
        <v>0</v>
      </c>
      <c r="H1747" s="11"/>
      <c r="I1747" s="11"/>
      <c r="J1747" s="78"/>
      <c r="K1747" s="78"/>
      <c r="L1747" s="146">
        <f t="shared" si="89"/>
        <v>13126700</v>
      </c>
      <c r="M1747" s="73"/>
      <c r="N1747" s="73"/>
      <c r="O1747" s="73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14.25" customHeight="1" x14ac:dyDescent="0.35">
      <c r="A1748" s="9">
        <f t="shared" si="90"/>
        <v>1740</v>
      </c>
      <c r="B1748" s="15"/>
      <c r="C1748" s="11">
        <f t="shared" si="88"/>
        <v>1</v>
      </c>
      <c r="D1748" s="11"/>
      <c r="E1748" s="11"/>
      <c r="F1748" s="11"/>
      <c r="G1748" s="89">
        <f>IFERROR(VLOOKUP(F1748,COA!$A$1:$K$26,2,FALSE),0)</f>
        <v>0</v>
      </c>
      <c r="H1748" s="11"/>
      <c r="I1748" s="11"/>
      <c r="J1748" s="78"/>
      <c r="K1748" s="78"/>
      <c r="L1748" s="146">
        <f t="shared" si="89"/>
        <v>13126700</v>
      </c>
      <c r="M1748" s="73"/>
      <c r="N1748" s="73"/>
      <c r="O1748" s="73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14.25" customHeight="1" x14ac:dyDescent="0.35">
      <c r="A1749" s="9">
        <f t="shared" si="90"/>
        <v>1741</v>
      </c>
      <c r="B1749" s="15"/>
      <c r="C1749" s="11">
        <f t="shared" si="88"/>
        <v>1</v>
      </c>
      <c r="D1749" s="11"/>
      <c r="E1749" s="11"/>
      <c r="F1749" s="11"/>
      <c r="G1749" s="89">
        <f>IFERROR(VLOOKUP(F1749,COA!$A$1:$K$26,2,FALSE),0)</f>
        <v>0</v>
      </c>
      <c r="H1749" s="11"/>
      <c r="I1749" s="11"/>
      <c r="J1749" s="78"/>
      <c r="K1749" s="78"/>
      <c r="L1749" s="146">
        <f t="shared" si="89"/>
        <v>13126700</v>
      </c>
      <c r="M1749" s="73"/>
      <c r="N1749" s="73"/>
      <c r="O1749" s="73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14.25" customHeight="1" x14ac:dyDescent="0.35">
      <c r="A1750" s="9">
        <f t="shared" si="90"/>
        <v>1742</v>
      </c>
      <c r="B1750" s="15"/>
      <c r="C1750" s="11">
        <f t="shared" si="88"/>
        <v>1</v>
      </c>
      <c r="D1750" s="11"/>
      <c r="E1750" s="11"/>
      <c r="F1750" s="11"/>
      <c r="G1750" s="89">
        <f>IFERROR(VLOOKUP(F1750,COA!$A$1:$K$26,2,FALSE),0)</f>
        <v>0</v>
      </c>
      <c r="H1750" s="11"/>
      <c r="I1750" s="11"/>
      <c r="J1750" s="78"/>
      <c r="K1750" s="78"/>
      <c r="L1750" s="146">
        <f t="shared" si="89"/>
        <v>13126700</v>
      </c>
      <c r="M1750" s="73"/>
      <c r="N1750" s="73"/>
      <c r="O1750" s="73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14.25" customHeight="1" x14ac:dyDescent="0.35">
      <c r="A1751" s="9">
        <f t="shared" si="90"/>
        <v>1743</v>
      </c>
      <c r="B1751" s="15"/>
      <c r="C1751" s="11">
        <f t="shared" si="88"/>
        <v>1</v>
      </c>
      <c r="D1751" s="11"/>
      <c r="E1751" s="11"/>
      <c r="F1751" s="11"/>
      <c r="G1751" s="89">
        <f>IFERROR(VLOOKUP(F1751,COA!$A$1:$K$26,2,FALSE),0)</f>
        <v>0</v>
      </c>
      <c r="H1751" s="11"/>
      <c r="I1751" s="11"/>
      <c r="J1751" s="78"/>
      <c r="K1751" s="78"/>
      <c r="L1751" s="146">
        <f t="shared" si="89"/>
        <v>13126700</v>
      </c>
      <c r="M1751" s="73"/>
      <c r="N1751" s="73"/>
      <c r="O1751" s="73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14.25" customHeight="1" x14ac:dyDescent="0.35">
      <c r="A1752" s="9">
        <f t="shared" si="90"/>
        <v>1744</v>
      </c>
      <c r="B1752" s="15"/>
      <c r="C1752" s="11">
        <f t="shared" si="88"/>
        <v>1</v>
      </c>
      <c r="D1752" s="11"/>
      <c r="E1752" s="11"/>
      <c r="F1752" s="11"/>
      <c r="G1752" s="89">
        <f>IFERROR(VLOOKUP(F1752,COA!$A$1:$K$26,2,FALSE),0)</f>
        <v>0</v>
      </c>
      <c r="H1752" s="11"/>
      <c r="I1752" s="11"/>
      <c r="J1752" s="78"/>
      <c r="K1752" s="78"/>
      <c r="L1752" s="146">
        <f t="shared" si="89"/>
        <v>13126700</v>
      </c>
      <c r="M1752" s="73"/>
      <c r="N1752" s="73"/>
      <c r="O1752" s="73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14.25" customHeight="1" x14ac:dyDescent="0.35">
      <c r="A1753" s="9">
        <f t="shared" si="90"/>
        <v>1745</v>
      </c>
      <c r="B1753" s="15"/>
      <c r="C1753" s="11">
        <f t="shared" si="88"/>
        <v>1</v>
      </c>
      <c r="D1753" s="11"/>
      <c r="E1753" s="11"/>
      <c r="F1753" s="11"/>
      <c r="G1753" s="89">
        <f>IFERROR(VLOOKUP(F1753,COA!$A$1:$K$26,2,FALSE),0)</f>
        <v>0</v>
      </c>
      <c r="H1753" s="11"/>
      <c r="I1753" s="11"/>
      <c r="J1753" s="78"/>
      <c r="K1753" s="78"/>
      <c r="L1753" s="146">
        <f t="shared" si="89"/>
        <v>13126700</v>
      </c>
      <c r="M1753" s="73"/>
      <c r="N1753" s="73"/>
      <c r="O1753" s="73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14.25" customHeight="1" x14ac:dyDescent="0.35">
      <c r="A1754" s="9">
        <f t="shared" si="90"/>
        <v>1746</v>
      </c>
      <c r="B1754" s="15"/>
      <c r="C1754" s="11">
        <f t="shared" si="88"/>
        <v>1</v>
      </c>
      <c r="D1754" s="11"/>
      <c r="E1754" s="11"/>
      <c r="F1754" s="11"/>
      <c r="G1754" s="89">
        <f>IFERROR(VLOOKUP(F1754,COA!$A$1:$K$26,2,FALSE),0)</f>
        <v>0</v>
      </c>
      <c r="H1754" s="11"/>
      <c r="I1754" s="11"/>
      <c r="J1754" s="78"/>
      <c r="K1754" s="78"/>
      <c r="L1754" s="146">
        <f t="shared" si="89"/>
        <v>13126700</v>
      </c>
      <c r="M1754" s="73"/>
      <c r="N1754" s="73"/>
      <c r="O1754" s="73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14.25" customHeight="1" x14ac:dyDescent="0.35">
      <c r="A1755" s="9">
        <f t="shared" si="90"/>
        <v>1747</v>
      </c>
      <c r="B1755" s="15"/>
      <c r="C1755" s="11">
        <f t="shared" si="88"/>
        <v>1</v>
      </c>
      <c r="D1755" s="11"/>
      <c r="E1755" s="11"/>
      <c r="F1755" s="11"/>
      <c r="G1755" s="89">
        <f>IFERROR(VLOOKUP(F1755,COA!$A$1:$K$26,2,FALSE),0)</f>
        <v>0</v>
      </c>
      <c r="H1755" s="11"/>
      <c r="I1755" s="11"/>
      <c r="J1755" s="78"/>
      <c r="K1755" s="78"/>
      <c r="L1755" s="146">
        <f t="shared" si="89"/>
        <v>13126700</v>
      </c>
      <c r="M1755" s="73"/>
      <c r="N1755" s="73"/>
      <c r="O1755" s="73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14.25" customHeight="1" x14ac:dyDescent="0.35">
      <c r="A1756" s="9">
        <f t="shared" si="90"/>
        <v>1748</v>
      </c>
      <c r="B1756" s="15"/>
      <c r="C1756" s="11">
        <f t="shared" si="88"/>
        <v>1</v>
      </c>
      <c r="D1756" s="11"/>
      <c r="E1756" s="11"/>
      <c r="F1756" s="11"/>
      <c r="G1756" s="89">
        <f>IFERROR(VLOOKUP(F1756,COA!$A$1:$K$26,2,FALSE),0)</f>
        <v>0</v>
      </c>
      <c r="H1756" s="11"/>
      <c r="I1756" s="11"/>
      <c r="J1756" s="78"/>
      <c r="K1756" s="78"/>
      <c r="L1756" s="146">
        <f t="shared" si="89"/>
        <v>13126700</v>
      </c>
      <c r="M1756" s="73"/>
      <c r="N1756" s="73"/>
      <c r="O1756" s="73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14.25" customHeight="1" x14ac:dyDescent="0.35">
      <c r="A1757" s="9">
        <f t="shared" si="90"/>
        <v>1749</v>
      </c>
      <c r="B1757" s="15"/>
      <c r="C1757" s="11">
        <f t="shared" si="88"/>
        <v>1</v>
      </c>
      <c r="D1757" s="11"/>
      <c r="E1757" s="11"/>
      <c r="F1757" s="11"/>
      <c r="G1757" s="89">
        <f>IFERROR(VLOOKUP(F1757,COA!$A$1:$K$26,2,FALSE),0)</f>
        <v>0</v>
      </c>
      <c r="H1757" s="11"/>
      <c r="I1757" s="11"/>
      <c r="J1757" s="78"/>
      <c r="K1757" s="78"/>
      <c r="L1757" s="146">
        <f t="shared" si="89"/>
        <v>13126700</v>
      </c>
      <c r="M1757" s="73"/>
      <c r="N1757" s="73"/>
      <c r="O1757" s="73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14.25" customHeight="1" x14ac:dyDescent="0.35">
      <c r="A1758" s="9">
        <f t="shared" si="90"/>
        <v>1750</v>
      </c>
      <c r="B1758" s="15"/>
      <c r="C1758" s="11">
        <f t="shared" si="88"/>
        <v>1</v>
      </c>
      <c r="D1758" s="11"/>
      <c r="E1758" s="11"/>
      <c r="F1758" s="11"/>
      <c r="G1758" s="89">
        <f>IFERROR(VLOOKUP(F1758,COA!$A$1:$K$26,2,FALSE),0)</f>
        <v>0</v>
      </c>
      <c r="H1758" s="11"/>
      <c r="I1758" s="11"/>
      <c r="J1758" s="78"/>
      <c r="K1758" s="78"/>
      <c r="L1758" s="146">
        <f t="shared" si="89"/>
        <v>13126700</v>
      </c>
      <c r="M1758" s="73"/>
      <c r="N1758" s="73"/>
      <c r="O1758" s="73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14.25" customHeight="1" x14ac:dyDescent="0.35">
      <c r="A1759" s="9">
        <f t="shared" si="90"/>
        <v>1751</v>
      </c>
      <c r="B1759" s="15"/>
      <c r="C1759" s="11">
        <f t="shared" si="88"/>
        <v>1</v>
      </c>
      <c r="D1759" s="11"/>
      <c r="E1759" s="11"/>
      <c r="F1759" s="11"/>
      <c r="G1759" s="89">
        <f>IFERROR(VLOOKUP(F1759,COA!$A$1:$K$26,2,FALSE),0)</f>
        <v>0</v>
      </c>
      <c r="H1759" s="11"/>
      <c r="I1759" s="11"/>
      <c r="J1759" s="78"/>
      <c r="K1759" s="78"/>
      <c r="L1759" s="146">
        <f t="shared" si="89"/>
        <v>13126700</v>
      </c>
      <c r="M1759" s="73"/>
      <c r="N1759" s="73"/>
      <c r="O1759" s="73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14.25" customHeight="1" x14ac:dyDescent="0.35">
      <c r="A1760" s="9">
        <f t="shared" si="90"/>
        <v>1752</v>
      </c>
      <c r="B1760" s="15"/>
      <c r="C1760" s="11">
        <f t="shared" si="88"/>
        <v>1</v>
      </c>
      <c r="D1760" s="11"/>
      <c r="E1760" s="11"/>
      <c r="F1760" s="11"/>
      <c r="G1760" s="89">
        <f>IFERROR(VLOOKUP(F1760,COA!$A$1:$K$26,2,FALSE),0)</f>
        <v>0</v>
      </c>
      <c r="H1760" s="11"/>
      <c r="I1760" s="11"/>
      <c r="J1760" s="78"/>
      <c r="K1760" s="78"/>
      <c r="L1760" s="146">
        <f t="shared" si="89"/>
        <v>13126700</v>
      </c>
      <c r="M1760" s="73"/>
      <c r="N1760" s="73"/>
      <c r="O1760" s="73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14.25" customHeight="1" x14ac:dyDescent="0.35">
      <c r="A1761" s="9">
        <f t="shared" si="90"/>
        <v>1753</v>
      </c>
      <c r="B1761" s="15"/>
      <c r="C1761" s="11">
        <f t="shared" si="88"/>
        <v>1</v>
      </c>
      <c r="D1761" s="11"/>
      <c r="E1761" s="11"/>
      <c r="F1761" s="11"/>
      <c r="G1761" s="89">
        <f>IFERROR(VLOOKUP(F1761,COA!$A$1:$K$26,2,FALSE),0)</f>
        <v>0</v>
      </c>
      <c r="H1761" s="11"/>
      <c r="I1761" s="11"/>
      <c r="J1761" s="78"/>
      <c r="K1761" s="78"/>
      <c r="L1761" s="146">
        <f t="shared" si="89"/>
        <v>13126700</v>
      </c>
      <c r="M1761" s="73"/>
      <c r="N1761" s="73"/>
      <c r="O1761" s="73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14.25" customHeight="1" x14ac:dyDescent="0.35">
      <c r="A1762" s="9">
        <f t="shared" si="90"/>
        <v>1754</v>
      </c>
      <c r="B1762" s="15"/>
      <c r="C1762" s="11">
        <f t="shared" si="88"/>
        <v>1</v>
      </c>
      <c r="D1762" s="11"/>
      <c r="E1762" s="11"/>
      <c r="F1762" s="11"/>
      <c r="G1762" s="89">
        <f>IFERROR(VLOOKUP(F1762,COA!$A$1:$K$26,2,FALSE),0)</f>
        <v>0</v>
      </c>
      <c r="H1762" s="11"/>
      <c r="I1762" s="11"/>
      <c r="J1762" s="78"/>
      <c r="K1762" s="78"/>
      <c r="L1762" s="146">
        <f t="shared" si="89"/>
        <v>13126700</v>
      </c>
      <c r="M1762" s="73"/>
      <c r="N1762" s="73"/>
      <c r="O1762" s="73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14.25" customHeight="1" x14ac:dyDescent="0.35">
      <c r="A1763" s="9">
        <f t="shared" si="90"/>
        <v>1755</v>
      </c>
      <c r="B1763" s="15"/>
      <c r="C1763" s="11">
        <f t="shared" si="88"/>
        <v>1</v>
      </c>
      <c r="D1763" s="11"/>
      <c r="E1763" s="11"/>
      <c r="F1763" s="11"/>
      <c r="G1763" s="89">
        <f>IFERROR(VLOOKUP(F1763,COA!$A$1:$K$26,2,FALSE),0)</f>
        <v>0</v>
      </c>
      <c r="H1763" s="11"/>
      <c r="I1763" s="11"/>
      <c r="J1763" s="78"/>
      <c r="K1763" s="78"/>
      <c r="L1763" s="146">
        <f t="shared" si="89"/>
        <v>13126700</v>
      </c>
      <c r="M1763" s="73"/>
      <c r="N1763" s="73"/>
      <c r="O1763" s="73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14.25" customHeight="1" x14ac:dyDescent="0.35">
      <c r="A1764" s="9">
        <f t="shared" si="90"/>
        <v>1756</v>
      </c>
      <c r="B1764" s="15"/>
      <c r="C1764" s="11">
        <f t="shared" ref="C1764" si="91">MONTH(B1764)</f>
        <v>1</v>
      </c>
      <c r="D1764" s="11"/>
      <c r="E1764" s="11"/>
      <c r="F1764" s="11"/>
      <c r="G1764" s="89">
        <f>IFERROR(VLOOKUP(F1764,COA!$A$1:$K$26,2,FALSE),0)</f>
        <v>0</v>
      </c>
      <c r="H1764" s="11"/>
      <c r="I1764" s="11"/>
      <c r="J1764" s="78"/>
      <c r="K1764" s="78"/>
      <c r="L1764" s="146">
        <f t="shared" si="89"/>
        <v>13126700</v>
      </c>
      <c r="M1764" s="73"/>
      <c r="N1764" s="73"/>
      <c r="O1764" s="73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14.25" customHeight="1" x14ac:dyDescent="0.35">
      <c r="A1765" s="9">
        <f t="shared" si="90"/>
        <v>1757</v>
      </c>
      <c r="B1765" s="15"/>
      <c r="C1765" s="15"/>
      <c r="D1765" s="11"/>
      <c r="E1765" s="11"/>
      <c r="F1765" s="11"/>
      <c r="G1765" s="11"/>
      <c r="H1765" s="11"/>
      <c r="I1765" s="11"/>
      <c r="J1765" s="80">
        <f>SUBTOTAL(9,J9:J1764)</f>
        <v>35230000</v>
      </c>
      <c r="K1765" s="80">
        <f>SUBTOTAL(9,K9:K1764)</f>
        <v>30363800</v>
      </c>
      <c r="L1765" s="84">
        <f>L8+J1765-K1765</f>
        <v>13126700</v>
      </c>
      <c r="M1765" s="73"/>
      <c r="N1765" s="73"/>
      <c r="O1765" s="73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14.25" customHeight="1" x14ac:dyDescent="0.35">
      <c r="A1766" s="23"/>
      <c r="B1766" s="6"/>
      <c r="C1766" s="6"/>
      <c r="D1766" s="2"/>
      <c r="E1766" s="2"/>
      <c r="F1766" s="2"/>
      <c r="G1766" s="2"/>
      <c r="H1766" s="2"/>
      <c r="I1766" s="2"/>
      <c r="J1766" s="73"/>
      <c r="K1766" s="73"/>
      <c r="L1766" s="73">
        <f>L1764-L1765</f>
        <v>0</v>
      </c>
      <c r="M1766" s="73"/>
      <c r="N1766" s="73"/>
      <c r="O1766" s="73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14.25" customHeight="1" x14ac:dyDescent="0.35">
      <c r="A1767" s="23"/>
      <c r="B1767" s="6"/>
      <c r="C1767" s="6"/>
      <c r="D1767" s="2"/>
      <c r="E1767" s="2"/>
      <c r="F1767" s="2"/>
      <c r="G1767" s="2"/>
      <c r="H1767" s="2"/>
      <c r="I1767" s="2"/>
      <c r="J1767" s="73"/>
      <c r="K1767" s="73"/>
      <c r="L1767" s="73"/>
      <c r="M1767" s="73"/>
      <c r="N1767" s="73"/>
      <c r="O1767" s="73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14.25" customHeight="1" x14ac:dyDescent="0.35">
      <c r="A1768" s="23"/>
      <c r="B1768" s="6"/>
      <c r="C1768" s="6"/>
      <c r="D1768" s="2"/>
      <c r="E1768" s="2"/>
      <c r="F1768" s="2"/>
      <c r="G1768" s="2"/>
      <c r="H1768" s="2"/>
      <c r="I1768" s="2"/>
      <c r="J1768" s="73"/>
      <c r="K1768" s="73"/>
      <c r="L1768" s="73"/>
      <c r="M1768" s="73"/>
      <c r="N1768" s="73"/>
      <c r="O1768" s="73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14.25" customHeight="1" x14ac:dyDescent="0.35">
      <c r="A1769" s="23"/>
      <c r="B1769" s="6"/>
      <c r="C1769" s="6"/>
      <c r="D1769" s="2"/>
      <c r="E1769" s="2"/>
      <c r="F1769" s="2"/>
      <c r="G1769" s="2"/>
      <c r="H1769" s="2"/>
      <c r="I1769" s="2"/>
      <c r="J1769" s="73"/>
      <c r="K1769" s="73"/>
      <c r="L1769" s="73"/>
      <c r="M1769" s="73"/>
      <c r="N1769" s="73"/>
      <c r="O1769" s="73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14.25" customHeight="1" x14ac:dyDescent="0.35">
      <c r="A1770" s="23"/>
      <c r="B1770" s="6"/>
      <c r="C1770" s="6"/>
      <c r="D1770" s="2"/>
      <c r="E1770" s="2"/>
      <c r="F1770" s="2"/>
      <c r="G1770" s="2"/>
      <c r="H1770" s="2"/>
      <c r="I1770" s="2"/>
      <c r="J1770" s="73"/>
      <c r="K1770" s="73"/>
      <c r="L1770" s="73"/>
      <c r="M1770" s="73"/>
      <c r="N1770" s="73"/>
      <c r="O1770" s="73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14.25" customHeight="1" x14ac:dyDescent="0.35">
      <c r="A1771" s="23"/>
      <c r="B1771" s="6"/>
      <c r="C1771" s="6"/>
      <c r="D1771" s="2"/>
      <c r="E1771" s="2"/>
      <c r="F1771" s="2"/>
      <c r="G1771" s="2"/>
      <c r="H1771" s="2"/>
      <c r="I1771" s="2"/>
      <c r="J1771" s="73"/>
      <c r="K1771" s="73"/>
      <c r="L1771" s="73"/>
      <c r="M1771" s="73"/>
      <c r="N1771" s="73"/>
      <c r="O1771" s="73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14.25" customHeight="1" x14ac:dyDescent="0.35">
      <c r="A1772" s="23"/>
      <c r="B1772" s="6"/>
      <c r="C1772" s="6"/>
      <c r="D1772" s="2"/>
      <c r="E1772" s="2"/>
      <c r="F1772" s="2"/>
      <c r="G1772" s="2"/>
      <c r="H1772" s="2"/>
      <c r="I1772" s="2"/>
      <c r="J1772" s="73"/>
      <c r="K1772" s="73"/>
      <c r="L1772" s="73"/>
      <c r="M1772" s="73"/>
      <c r="N1772" s="73"/>
      <c r="O1772" s="73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14.25" customHeight="1" x14ac:dyDescent="0.35">
      <c r="A1773" s="23"/>
      <c r="B1773" s="6"/>
      <c r="C1773" s="6"/>
      <c r="D1773" s="2"/>
      <c r="E1773" s="2"/>
      <c r="F1773" s="2"/>
      <c r="G1773" s="2"/>
      <c r="H1773" s="2"/>
      <c r="I1773" s="2"/>
      <c r="J1773" s="73"/>
      <c r="K1773" s="73"/>
      <c r="L1773" s="73"/>
      <c r="M1773" s="73"/>
      <c r="N1773" s="73"/>
      <c r="O1773" s="73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14.25" customHeight="1" x14ac:dyDescent="0.35">
      <c r="A1774" s="23"/>
      <c r="B1774" s="6"/>
      <c r="C1774" s="6"/>
      <c r="D1774" s="2"/>
      <c r="E1774" s="2"/>
      <c r="F1774" s="2"/>
      <c r="G1774" s="2"/>
      <c r="H1774" s="2"/>
      <c r="I1774" s="2"/>
      <c r="J1774" s="73"/>
      <c r="K1774" s="73"/>
      <c r="L1774" s="73"/>
      <c r="M1774" s="73"/>
      <c r="N1774" s="73"/>
      <c r="O1774" s="73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14.25" customHeight="1" x14ac:dyDescent="0.35">
      <c r="A1775" s="23"/>
      <c r="B1775" s="6"/>
      <c r="C1775" s="6"/>
      <c r="D1775" s="2"/>
      <c r="E1775" s="2"/>
      <c r="F1775" s="2"/>
      <c r="G1775" s="2"/>
      <c r="H1775" s="2"/>
      <c r="I1775" s="2"/>
      <c r="J1775" s="73"/>
      <c r="K1775" s="73"/>
      <c r="L1775" s="73"/>
      <c r="M1775" s="73"/>
      <c r="N1775" s="73"/>
      <c r="O1775" s="73"/>
      <c r="P1775" s="2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 spans="1:29" ht="14.25" customHeight="1" x14ac:dyDescent="0.35">
      <c r="A1776" s="23"/>
      <c r="B1776" s="6"/>
      <c r="C1776" s="6"/>
      <c r="D1776" s="2"/>
      <c r="E1776" s="2"/>
      <c r="F1776" s="2"/>
      <c r="G1776" s="2"/>
      <c r="H1776" s="2"/>
      <c r="I1776" s="2"/>
      <c r="J1776" s="73"/>
      <c r="K1776" s="73"/>
      <c r="L1776" s="73"/>
      <c r="M1776" s="73"/>
      <c r="N1776" s="73"/>
      <c r="O1776" s="73"/>
      <c r="P1776" s="2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 ht="14.25" customHeight="1" x14ac:dyDescent="0.35">
      <c r="A1777" s="23"/>
      <c r="B1777" s="6"/>
      <c r="C1777" s="6"/>
      <c r="D1777" s="2"/>
      <c r="E1777" s="2"/>
      <c r="F1777" s="2"/>
      <c r="G1777" s="2"/>
      <c r="H1777" s="2"/>
      <c r="I1777" s="2"/>
      <c r="J1777" s="73"/>
      <c r="K1777" s="73"/>
      <c r="L1777" s="73"/>
      <c r="M1777" s="73"/>
      <c r="N1777" s="73"/>
      <c r="O1777" s="73"/>
      <c r="P1777" s="2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 spans="1:29" ht="14.25" customHeight="1" x14ac:dyDescent="0.35">
      <c r="A1778" s="23"/>
      <c r="B1778" s="6"/>
      <c r="C1778" s="6"/>
      <c r="D1778" s="2"/>
      <c r="E1778" s="2"/>
      <c r="F1778" s="2"/>
      <c r="G1778" s="2"/>
      <c r="H1778" s="2"/>
      <c r="I1778" s="2"/>
      <c r="J1778" s="73"/>
      <c r="K1778" s="73"/>
      <c r="L1778" s="73"/>
      <c r="M1778" s="73"/>
      <c r="N1778" s="73"/>
      <c r="O1778" s="73"/>
      <c r="P1778" s="2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29" ht="14.25" customHeight="1" x14ac:dyDescent="0.35">
      <c r="A1779" s="23"/>
      <c r="B1779" s="6"/>
      <c r="C1779" s="6"/>
      <c r="D1779" s="2"/>
      <c r="E1779" s="2"/>
      <c r="F1779" s="2"/>
      <c r="G1779" s="2"/>
      <c r="H1779" s="2"/>
      <c r="I1779" s="2"/>
      <c r="J1779" s="73"/>
      <c r="K1779" s="73"/>
      <c r="L1779" s="73"/>
      <c r="M1779" s="73"/>
      <c r="N1779" s="73"/>
      <c r="O1779" s="73"/>
      <c r="P1779" s="2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 spans="1:29" ht="14.25" customHeight="1" x14ac:dyDescent="0.35">
      <c r="A1780" s="23"/>
      <c r="B1780" s="6"/>
      <c r="C1780" s="6"/>
      <c r="D1780" s="2"/>
      <c r="E1780" s="2"/>
      <c r="F1780" s="2"/>
      <c r="G1780" s="2"/>
      <c r="H1780" s="2"/>
      <c r="I1780" s="2"/>
      <c r="J1780" s="73"/>
      <c r="K1780" s="73"/>
      <c r="L1780" s="73"/>
      <c r="M1780" s="73"/>
      <c r="N1780" s="73"/>
      <c r="O1780" s="73"/>
      <c r="P1780" s="2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 spans="1:29" ht="14.25" customHeight="1" x14ac:dyDescent="0.35">
      <c r="A1781" s="23"/>
      <c r="B1781" s="6"/>
      <c r="C1781" s="6"/>
      <c r="D1781" s="2"/>
      <c r="E1781" s="2"/>
      <c r="F1781" s="2"/>
      <c r="G1781" s="2"/>
      <c r="H1781" s="2"/>
      <c r="I1781" s="2"/>
      <c r="J1781" s="73"/>
      <c r="K1781" s="73"/>
      <c r="L1781" s="73"/>
      <c r="M1781" s="73"/>
      <c r="N1781" s="73"/>
      <c r="O1781" s="73"/>
      <c r="P1781" s="2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 spans="1:29" ht="14.25" customHeight="1" x14ac:dyDescent="0.35">
      <c r="A1782" s="23"/>
      <c r="B1782" s="6"/>
      <c r="C1782" s="6"/>
      <c r="D1782" s="2"/>
      <c r="E1782" s="2"/>
      <c r="F1782" s="2"/>
      <c r="G1782" s="2"/>
      <c r="H1782" s="2"/>
      <c r="I1782" s="2"/>
      <c r="J1782" s="73"/>
      <c r="K1782" s="73"/>
      <c r="L1782" s="73"/>
      <c r="M1782" s="73"/>
      <c r="N1782" s="73"/>
      <c r="O1782" s="73"/>
      <c r="P1782" s="2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 spans="1:29" ht="14.25" customHeight="1" x14ac:dyDescent="0.35">
      <c r="A1783" s="23"/>
      <c r="B1783" s="6"/>
      <c r="C1783" s="6"/>
      <c r="D1783" s="2"/>
      <c r="E1783" s="2"/>
      <c r="F1783" s="2"/>
      <c r="G1783" s="2"/>
      <c r="H1783" s="2"/>
      <c r="I1783" s="2"/>
      <c r="J1783" s="73"/>
      <c r="K1783" s="73"/>
      <c r="L1783" s="73"/>
      <c r="M1783" s="73"/>
      <c r="N1783" s="73"/>
      <c r="O1783" s="73"/>
      <c r="P1783" s="2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 spans="1:29" ht="14.25" customHeight="1" x14ac:dyDescent="0.35">
      <c r="A1784" s="23"/>
      <c r="B1784" s="6"/>
      <c r="C1784" s="6"/>
      <c r="D1784" s="2"/>
      <c r="E1784" s="2"/>
      <c r="F1784" s="2"/>
      <c r="G1784" s="2"/>
      <c r="H1784" s="2"/>
      <c r="I1784" s="2"/>
      <c r="J1784" s="73"/>
      <c r="K1784" s="73"/>
      <c r="L1784" s="73"/>
      <c r="M1784" s="73"/>
      <c r="N1784" s="73"/>
      <c r="O1784" s="73"/>
      <c r="P1784" s="2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 spans="1:29" ht="14.25" customHeight="1" x14ac:dyDescent="0.35">
      <c r="A1785" s="23"/>
      <c r="B1785" s="6"/>
      <c r="C1785" s="6"/>
      <c r="D1785" s="2"/>
      <c r="E1785" s="2"/>
      <c r="F1785" s="2"/>
      <c r="G1785" s="2"/>
      <c r="H1785" s="2"/>
      <c r="I1785" s="2"/>
      <c r="J1785" s="73"/>
      <c r="K1785" s="73"/>
      <c r="L1785" s="73"/>
      <c r="M1785" s="73"/>
      <c r="N1785" s="73"/>
      <c r="O1785" s="73"/>
      <c r="P1785" s="2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 spans="1:29" ht="14.25" customHeight="1" x14ac:dyDescent="0.35">
      <c r="A1786" s="23"/>
      <c r="B1786" s="6"/>
      <c r="C1786" s="6"/>
      <c r="D1786" s="2"/>
      <c r="E1786" s="2"/>
      <c r="F1786" s="2"/>
      <c r="G1786" s="2"/>
      <c r="H1786" s="2"/>
      <c r="I1786" s="2"/>
      <c r="J1786" s="73"/>
      <c r="K1786" s="73"/>
      <c r="L1786" s="73"/>
      <c r="M1786" s="73"/>
      <c r="N1786" s="73"/>
      <c r="O1786" s="73"/>
      <c r="P1786" s="2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 ht="14.25" customHeight="1" x14ac:dyDescent="0.35">
      <c r="A1787" s="23"/>
      <c r="B1787" s="6"/>
      <c r="C1787" s="6"/>
      <c r="D1787" s="2"/>
      <c r="E1787" s="2"/>
      <c r="F1787" s="2"/>
      <c r="G1787" s="2"/>
      <c r="H1787" s="2"/>
      <c r="I1787" s="2"/>
      <c r="J1787" s="73"/>
      <c r="K1787" s="73"/>
      <c r="L1787" s="73"/>
      <c r="M1787" s="73"/>
      <c r="N1787" s="73"/>
      <c r="O1787" s="73"/>
      <c r="P1787" s="2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 spans="1:29" ht="14.25" customHeight="1" x14ac:dyDescent="0.35">
      <c r="A1788" s="23"/>
      <c r="B1788" s="6"/>
      <c r="C1788" s="6"/>
      <c r="D1788" s="2"/>
      <c r="E1788" s="2"/>
      <c r="F1788" s="2"/>
      <c r="G1788" s="2"/>
      <c r="H1788" s="2"/>
      <c r="I1788" s="2"/>
      <c r="J1788" s="73"/>
      <c r="K1788" s="73"/>
      <c r="L1788" s="73"/>
      <c r="M1788" s="73"/>
      <c r="N1788" s="73"/>
      <c r="O1788" s="73"/>
      <c r="P1788" s="2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 spans="1:29" ht="14.25" customHeight="1" x14ac:dyDescent="0.35">
      <c r="A1789" s="23"/>
      <c r="B1789" s="6"/>
      <c r="C1789" s="6"/>
      <c r="D1789" s="2"/>
      <c r="E1789" s="2"/>
      <c r="F1789" s="2"/>
      <c r="G1789" s="2"/>
      <c r="H1789" s="2"/>
      <c r="I1789" s="2"/>
      <c r="J1789" s="73"/>
      <c r="K1789" s="73"/>
      <c r="L1789" s="73"/>
      <c r="M1789" s="73"/>
      <c r="N1789" s="73"/>
      <c r="O1789" s="73"/>
      <c r="P1789" s="2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 spans="1:29" ht="14.25" customHeight="1" x14ac:dyDescent="0.35">
      <c r="A1790" s="23"/>
      <c r="B1790" s="6"/>
      <c r="C1790" s="6"/>
      <c r="D1790" s="2"/>
      <c r="E1790" s="2"/>
      <c r="F1790" s="2"/>
      <c r="G1790" s="2"/>
      <c r="H1790" s="2"/>
      <c r="I1790" s="2"/>
      <c r="J1790" s="73"/>
      <c r="K1790" s="73"/>
      <c r="L1790" s="73"/>
      <c r="M1790" s="73"/>
      <c r="N1790" s="73"/>
      <c r="O1790" s="73"/>
      <c r="P1790" s="2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 spans="1:29" ht="14.25" customHeight="1" x14ac:dyDescent="0.35">
      <c r="A1791" s="23"/>
      <c r="B1791" s="6"/>
      <c r="C1791" s="6"/>
      <c r="D1791" s="2"/>
      <c r="E1791" s="2"/>
      <c r="F1791" s="2"/>
      <c r="G1791" s="2"/>
      <c r="H1791" s="2"/>
      <c r="I1791" s="2"/>
      <c r="J1791" s="73"/>
      <c r="K1791" s="73"/>
      <c r="L1791" s="73"/>
      <c r="M1791" s="73"/>
      <c r="N1791" s="73"/>
      <c r="O1791" s="73"/>
      <c r="P1791" s="2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 spans="1:29" ht="14.25" customHeight="1" x14ac:dyDescent="0.35">
      <c r="A1792" s="23"/>
      <c r="B1792" s="6"/>
      <c r="C1792" s="6"/>
      <c r="D1792" s="2"/>
      <c r="E1792" s="2"/>
      <c r="F1792" s="2"/>
      <c r="G1792" s="2"/>
      <c r="H1792" s="2"/>
      <c r="I1792" s="2"/>
      <c r="J1792" s="73"/>
      <c r="K1792" s="73"/>
      <c r="L1792" s="73"/>
      <c r="M1792" s="73"/>
      <c r="N1792" s="73"/>
      <c r="O1792" s="73"/>
      <c r="P1792" s="2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 spans="1:29" ht="14.25" customHeight="1" x14ac:dyDescent="0.35">
      <c r="A1793" s="23"/>
      <c r="B1793" s="6"/>
      <c r="C1793" s="6"/>
      <c r="D1793" s="2"/>
      <c r="E1793" s="2"/>
      <c r="F1793" s="2"/>
      <c r="G1793" s="2"/>
      <c r="H1793" s="2"/>
      <c r="I1793" s="2"/>
      <c r="J1793" s="73"/>
      <c r="K1793" s="73"/>
      <c r="L1793" s="73"/>
      <c r="M1793" s="73"/>
      <c r="N1793" s="73"/>
      <c r="O1793" s="73"/>
      <c r="P1793" s="2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 spans="1:29" ht="14.25" customHeight="1" x14ac:dyDescent="0.35">
      <c r="A1794" s="23"/>
      <c r="B1794" s="6"/>
      <c r="C1794" s="6"/>
      <c r="D1794" s="2"/>
      <c r="E1794" s="2"/>
      <c r="F1794" s="2"/>
      <c r="G1794" s="2"/>
      <c r="H1794" s="2"/>
      <c r="I1794" s="2"/>
      <c r="J1794" s="73"/>
      <c r="K1794" s="73"/>
      <c r="L1794" s="73"/>
      <c r="M1794" s="73"/>
      <c r="N1794" s="73"/>
      <c r="O1794" s="73"/>
      <c r="P1794" s="2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 spans="1:29" ht="14.25" customHeight="1" x14ac:dyDescent="0.35">
      <c r="A1795" s="23"/>
      <c r="B1795" s="6"/>
      <c r="C1795" s="6"/>
      <c r="D1795" s="2"/>
      <c r="E1795" s="2"/>
      <c r="F1795" s="2"/>
      <c r="G1795" s="2"/>
      <c r="H1795" s="2"/>
      <c r="I1795" s="2"/>
      <c r="J1795" s="73"/>
      <c r="K1795" s="73"/>
      <c r="L1795" s="73"/>
      <c r="M1795" s="73"/>
      <c r="N1795" s="73"/>
      <c r="O1795" s="73"/>
      <c r="P1795" s="2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 spans="1:29" ht="14.25" customHeight="1" x14ac:dyDescent="0.35">
      <c r="A1796" s="23"/>
      <c r="B1796" s="6"/>
      <c r="C1796" s="6"/>
      <c r="D1796" s="2"/>
      <c r="E1796" s="2"/>
      <c r="F1796" s="2"/>
      <c r="G1796" s="2"/>
      <c r="H1796" s="2"/>
      <c r="I1796" s="2"/>
      <c r="J1796" s="73"/>
      <c r="K1796" s="73"/>
      <c r="L1796" s="73"/>
      <c r="M1796" s="73"/>
      <c r="N1796" s="73"/>
      <c r="O1796" s="73"/>
      <c r="P1796" s="2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 spans="1:29" ht="14.25" customHeight="1" x14ac:dyDescent="0.35">
      <c r="A1797" s="23"/>
      <c r="B1797" s="6"/>
      <c r="C1797" s="6"/>
      <c r="D1797" s="2"/>
      <c r="E1797" s="2"/>
      <c r="F1797" s="2"/>
      <c r="G1797" s="2"/>
      <c r="H1797" s="2"/>
      <c r="I1797" s="2"/>
      <c r="J1797" s="73"/>
      <c r="K1797" s="73"/>
      <c r="L1797" s="73"/>
      <c r="M1797" s="73"/>
      <c r="N1797" s="73"/>
      <c r="O1797" s="73"/>
      <c r="P1797" s="2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29" ht="14.25" customHeight="1" x14ac:dyDescent="0.35">
      <c r="A1798" s="23"/>
      <c r="B1798" s="6"/>
      <c r="C1798" s="6"/>
      <c r="D1798" s="2"/>
      <c r="E1798" s="2"/>
      <c r="F1798" s="2"/>
      <c r="G1798" s="2"/>
      <c r="H1798" s="2"/>
      <c r="I1798" s="2"/>
      <c r="J1798" s="73"/>
      <c r="K1798" s="73"/>
      <c r="L1798" s="73"/>
      <c r="M1798" s="73"/>
      <c r="N1798" s="73"/>
      <c r="O1798" s="73"/>
      <c r="P1798" s="2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 spans="1:29" ht="14.25" customHeight="1" x14ac:dyDescent="0.35">
      <c r="A1799" s="23"/>
      <c r="B1799" s="6"/>
      <c r="C1799" s="6"/>
      <c r="D1799" s="2"/>
      <c r="E1799" s="2"/>
      <c r="F1799" s="2"/>
      <c r="G1799" s="2"/>
      <c r="H1799" s="2"/>
      <c r="I1799" s="2"/>
      <c r="J1799" s="73"/>
      <c r="K1799" s="73"/>
      <c r="L1799" s="73"/>
      <c r="M1799" s="73"/>
      <c r="N1799" s="73"/>
      <c r="O1799" s="73"/>
      <c r="P1799" s="2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 spans="1:29" ht="14.25" customHeight="1" x14ac:dyDescent="0.35">
      <c r="A1800" s="23"/>
      <c r="B1800" s="6"/>
      <c r="C1800" s="6"/>
      <c r="D1800" s="2"/>
      <c r="E1800" s="2"/>
      <c r="F1800" s="2"/>
      <c r="G1800" s="2"/>
      <c r="H1800" s="2"/>
      <c r="I1800" s="2"/>
      <c r="J1800" s="73"/>
      <c r="K1800" s="73"/>
      <c r="L1800" s="73"/>
      <c r="M1800" s="73"/>
      <c r="N1800" s="73"/>
      <c r="O1800" s="73"/>
      <c r="P1800" s="2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 spans="1:29" ht="14.25" customHeight="1" x14ac:dyDescent="0.35">
      <c r="A1801" s="23"/>
      <c r="B1801" s="6"/>
      <c r="C1801" s="6"/>
      <c r="D1801" s="2"/>
      <c r="E1801" s="2"/>
      <c r="F1801" s="2"/>
      <c r="G1801" s="2"/>
      <c r="H1801" s="2"/>
      <c r="I1801" s="2"/>
      <c r="J1801" s="73"/>
      <c r="K1801" s="73"/>
      <c r="L1801" s="73"/>
      <c r="M1801" s="73"/>
      <c r="N1801" s="73"/>
      <c r="O1801" s="73"/>
      <c r="P1801" s="2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 ht="14.25" customHeight="1" x14ac:dyDescent="0.35">
      <c r="A1802" s="23"/>
      <c r="B1802" s="6"/>
      <c r="C1802" s="6"/>
      <c r="D1802" s="2"/>
      <c r="E1802" s="2"/>
      <c r="F1802" s="2"/>
      <c r="G1802" s="2"/>
      <c r="H1802" s="2"/>
      <c r="I1802" s="2"/>
      <c r="J1802" s="73"/>
      <c r="K1802" s="73"/>
      <c r="L1802" s="73"/>
      <c r="M1802" s="73"/>
      <c r="N1802" s="73"/>
      <c r="O1802" s="73"/>
      <c r="P1802" s="2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 spans="1:29" ht="14.25" customHeight="1" x14ac:dyDescent="0.35">
      <c r="A1803" s="23"/>
      <c r="B1803" s="6"/>
      <c r="C1803" s="6"/>
      <c r="D1803" s="2"/>
      <c r="E1803" s="2"/>
      <c r="F1803" s="2"/>
      <c r="G1803" s="2"/>
      <c r="H1803" s="2"/>
      <c r="I1803" s="2"/>
      <c r="J1803" s="73"/>
      <c r="K1803" s="73"/>
      <c r="L1803" s="73"/>
      <c r="M1803" s="73"/>
      <c r="N1803" s="73"/>
      <c r="O1803" s="73"/>
      <c r="P1803" s="2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 spans="1:29" ht="14.25" customHeight="1" x14ac:dyDescent="0.35">
      <c r="A1804" s="23"/>
      <c r="B1804" s="6"/>
      <c r="C1804" s="6"/>
      <c r="D1804" s="2"/>
      <c r="E1804" s="2"/>
      <c r="F1804" s="2"/>
      <c r="G1804" s="2"/>
      <c r="H1804" s="2"/>
      <c r="I1804" s="2"/>
      <c r="J1804" s="73"/>
      <c r="K1804" s="73"/>
      <c r="L1804" s="73"/>
      <c r="M1804" s="73"/>
      <c r="N1804" s="73"/>
      <c r="O1804" s="73"/>
      <c r="P1804" s="2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 ht="14.25" customHeight="1" x14ac:dyDescent="0.35">
      <c r="A1805" s="23"/>
      <c r="B1805" s="6"/>
      <c r="C1805" s="6"/>
      <c r="D1805" s="2"/>
      <c r="E1805" s="2"/>
      <c r="F1805" s="2"/>
      <c r="G1805" s="2"/>
      <c r="H1805" s="2"/>
      <c r="I1805" s="2"/>
      <c r="J1805" s="73"/>
      <c r="K1805" s="73"/>
      <c r="L1805" s="73"/>
      <c r="M1805" s="73"/>
      <c r="N1805" s="73"/>
      <c r="O1805" s="73"/>
      <c r="P1805" s="2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 spans="1:29" ht="14.25" customHeight="1" x14ac:dyDescent="0.35">
      <c r="A1806" s="23"/>
      <c r="B1806" s="6"/>
      <c r="C1806" s="6"/>
      <c r="D1806" s="2"/>
      <c r="E1806" s="2"/>
      <c r="F1806" s="2"/>
      <c r="G1806" s="2"/>
      <c r="H1806" s="2"/>
      <c r="I1806" s="2"/>
      <c r="J1806" s="73"/>
      <c r="K1806" s="73"/>
      <c r="L1806" s="73"/>
      <c r="M1806" s="73"/>
      <c r="N1806" s="73"/>
      <c r="O1806" s="73"/>
      <c r="P1806" s="2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 spans="1:29" ht="14.25" customHeight="1" x14ac:dyDescent="0.35">
      <c r="A1807" s="23"/>
      <c r="B1807" s="6"/>
      <c r="C1807" s="6"/>
      <c r="D1807" s="2"/>
      <c r="E1807" s="2"/>
      <c r="F1807" s="2"/>
      <c r="G1807" s="2"/>
      <c r="H1807" s="2"/>
      <c r="I1807" s="2"/>
      <c r="J1807" s="73"/>
      <c r="K1807" s="73"/>
      <c r="L1807" s="73"/>
      <c r="M1807" s="73"/>
      <c r="N1807" s="73"/>
      <c r="O1807" s="73"/>
      <c r="P1807" s="2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 spans="1:29" ht="14.25" customHeight="1" x14ac:dyDescent="0.35">
      <c r="A1808" s="23"/>
      <c r="B1808" s="6"/>
      <c r="C1808" s="6"/>
      <c r="D1808" s="2"/>
      <c r="E1808" s="2"/>
      <c r="F1808" s="2"/>
      <c r="G1808" s="2"/>
      <c r="H1808" s="2"/>
      <c r="I1808" s="2"/>
      <c r="J1808" s="73"/>
      <c r="K1808" s="73"/>
      <c r="L1808" s="73"/>
      <c r="M1808" s="73"/>
      <c r="N1808" s="73"/>
      <c r="O1808" s="73"/>
      <c r="P1808" s="2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 spans="1:29" ht="14.25" customHeight="1" x14ac:dyDescent="0.35">
      <c r="A1809" s="23"/>
      <c r="B1809" s="6"/>
      <c r="C1809" s="6"/>
      <c r="D1809" s="2"/>
      <c r="E1809" s="2"/>
      <c r="F1809" s="2"/>
      <c r="G1809" s="2"/>
      <c r="H1809" s="2"/>
      <c r="I1809" s="2"/>
      <c r="J1809" s="73"/>
      <c r="K1809" s="73"/>
      <c r="L1809" s="73"/>
      <c r="M1809" s="73"/>
      <c r="N1809" s="73"/>
      <c r="O1809" s="73"/>
      <c r="P1809" s="2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 spans="1:29" ht="14.25" customHeight="1" x14ac:dyDescent="0.35">
      <c r="A1810" s="23"/>
      <c r="B1810" s="6"/>
      <c r="C1810" s="6"/>
      <c r="D1810" s="2"/>
      <c r="E1810" s="2"/>
      <c r="F1810" s="2"/>
      <c r="G1810" s="2"/>
      <c r="H1810" s="2"/>
      <c r="I1810" s="2"/>
      <c r="J1810" s="73"/>
      <c r="K1810" s="73"/>
      <c r="L1810" s="73"/>
      <c r="M1810" s="73"/>
      <c r="N1810" s="73"/>
      <c r="O1810" s="73"/>
      <c r="P1810" s="2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 spans="1:29" ht="14.25" customHeight="1" x14ac:dyDescent="0.35">
      <c r="A1811" s="23"/>
      <c r="B1811" s="6"/>
      <c r="C1811" s="6"/>
      <c r="D1811" s="2"/>
      <c r="E1811" s="2"/>
      <c r="F1811" s="2"/>
      <c r="G1811" s="2"/>
      <c r="H1811" s="2"/>
      <c r="I1811" s="2"/>
      <c r="J1811" s="73"/>
      <c r="K1811" s="73"/>
      <c r="L1811" s="73"/>
      <c r="M1811" s="73"/>
      <c r="N1811" s="73"/>
      <c r="O1811" s="73"/>
      <c r="P1811" s="2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  <row r="1812" spans="1:29" ht="14.25" customHeight="1" x14ac:dyDescent="0.35">
      <c r="A1812" s="23"/>
      <c r="B1812" s="6"/>
      <c r="C1812" s="6"/>
      <c r="D1812" s="2"/>
      <c r="E1812" s="2"/>
      <c r="F1812" s="2"/>
      <c r="G1812" s="2"/>
      <c r="H1812" s="2"/>
      <c r="I1812" s="2"/>
      <c r="J1812" s="73"/>
      <c r="K1812" s="73"/>
      <c r="L1812" s="73"/>
      <c r="M1812" s="73"/>
      <c r="N1812" s="73"/>
      <c r="O1812" s="73"/>
      <c r="P1812" s="2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</row>
    <row r="1813" spans="1:29" ht="14.25" customHeight="1" x14ac:dyDescent="0.35">
      <c r="A1813" s="23"/>
      <c r="B1813" s="6"/>
      <c r="C1813" s="6"/>
      <c r="D1813" s="2"/>
      <c r="E1813" s="2"/>
      <c r="F1813" s="2"/>
      <c r="G1813" s="2"/>
      <c r="H1813" s="2"/>
      <c r="I1813" s="2"/>
      <c r="J1813" s="73"/>
      <c r="K1813" s="73"/>
      <c r="L1813" s="73"/>
      <c r="M1813" s="73"/>
      <c r="N1813" s="73"/>
      <c r="O1813" s="73"/>
      <c r="P1813" s="2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</row>
    <row r="1814" spans="1:29" ht="14.25" customHeight="1" x14ac:dyDescent="0.35">
      <c r="A1814" s="23"/>
      <c r="B1814" s="6"/>
      <c r="C1814" s="6"/>
      <c r="D1814" s="2"/>
      <c r="E1814" s="2"/>
      <c r="F1814" s="2"/>
      <c r="G1814" s="2"/>
      <c r="H1814" s="2"/>
      <c r="I1814" s="2"/>
      <c r="J1814" s="73"/>
      <c r="K1814" s="73"/>
      <c r="L1814" s="73"/>
      <c r="M1814" s="73"/>
      <c r="N1814" s="73"/>
      <c r="O1814" s="73"/>
      <c r="P1814" s="2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</row>
    <row r="1815" spans="1:29" ht="14.25" customHeight="1" x14ac:dyDescent="0.35">
      <c r="A1815" s="23"/>
      <c r="B1815" s="6"/>
      <c r="C1815" s="6"/>
      <c r="D1815" s="2"/>
      <c r="E1815" s="2"/>
      <c r="F1815" s="2"/>
      <c r="G1815" s="2"/>
      <c r="H1815" s="2"/>
      <c r="I1815" s="2"/>
      <c r="J1815" s="73"/>
      <c r="K1815" s="73"/>
      <c r="L1815" s="73"/>
      <c r="M1815" s="73"/>
      <c r="N1815" s="73"/>
      <c r="O1815" s="73"/>
      <c r="P1815" s="2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</row>
    <row r="1816" spans="1:29" ht="14.25" customHeight="1" x14ac:dyDescent="0.35">
      <c r="A1816" s="23"/>
      <c r="B1816" s="6"/>
      <c r="C1816" s="6"/>
      <c r="D1816" s="2"/>
      <c r="E1816" s="2"/>
      <c r="F1816" s="2"/>
      <c r="G1816" s="2"/>
      <c r="H1816" s="2"/>
      <c r="I1816" s="2"/>
      <c r="J1816" s="73"/>
      <c r="K1816" s="73"/>
      <c r="L1816" s="73"/>
      <c r="M1816" s="73"/>
      <c r="N1816" s="73"/>
      <c r="O1816" s="73"/>
      <c r="P1816" s="2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</row>
    <row r="1817" spans="1:29" ht="14.25" customHeight="1" x14ac:dyDescent="0.35">
      <c r="A1817" s="23"/>
      <c r="B1817" s="6"/>
      <c r="C1817" s="6"/>
      <c r="D1817" s="2"/>
      <c r="E1817" s="2"/>
      <c r="F1817" s="2"/>
      <c r="G1817" s="2"/>
      <c r="H1817" s="2"/>
      <c r="I1817" s="2"/>
      <c r="J1817" s="73"/>
      <c r="K1817" s="73"/>
      <c r="L1817" s="73"/>
      <c r="M1817" s="73"/>
      <c r="N1817" s="73"/>
      <c r="O1817" s="73"/>
      <c r="P1817" s="2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</row>
    <row r="1818" spans="1:29" ht="14.25" customHeight="1" x14ac:dyDescent="0.35">
      <c r="A1818" s="23"/>
      <c r="B1818" s="6"/>
      <c r="C1818" s="6"/>
      <c r="D1818" s="2"/>
      <c r="E1818" s="2"/>
      <c r="F1818" s="2"/>
      <c r="G1818" s="2"/>
      <c r="H1818" s="2"/>
      <c r="I1818" s="2"/>
      <c r="J1818" s="73"/>
      <c r="K1818" s="73"/>
      <c r="L1818" s="73"/>
      <c r="M1818" s="73"/>
      <c r="N1818" s="73"/>
      <c r="O1818" s="73"/>
      <c r="P1818" s="2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</row>
    <row r="1819" spans="1:29" ht="14.25" customHeight="1" x14ac:dyDescent="0.35">
      <c r="A1819" s="23"/>
      <c r="B1819" s="6"/>
      <c r="C1819" s="6"/>
      <c r="D1819" s="2"/>
      <c r="E1819" s="2"/>
      <c r="F1819" s="2"/>
      <c r="G1819" s="2"/>
      <c r="H1819" s="2"/>
      <c r="I1819" s="2"/>
      <c r="J1819" s="73"/>
      <c r="K1819" s="73"/>
      <c r="L1819" s="73"/>
      <c r="M1819" s="73"/>
      <c r="N1819" s="73"/>
      <c r="O1819" s="73"/>
      <c r="P1819" s="2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</row>
    <row r="1820" spans="1:29" ht="14.25" customHeight="1" x14ac:dyDescent="0.35">
      <c r="A1820" s="23"/>
      <c r="B1820" s="6"/>
      <c r="C1820" s="6"/>
      <c r="D1820" s="2"/>
      <c r="E1820" s="2"/>
      <c r="F1820" s="2"/>
      <c r="G1820" s="2"/>
      <c r="H1820" s="2"/>
      <c r="I1820" s="2"/>
      <c r="J1820" s="73"/>
      <c r="K1820" s="73"/>
      <c r="L1820" s="73"/>
      <c r="M1820" s="73"/>
      <c r="N1820" s="73"/>
      <c r="O1820" s="73"/>
      <c r="P1820" s="2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</row>
    <row r="1821" spans="1:29" ht="14.25" customHeight="1" x14ac:dyDescent="0.35">
      <c r="A1821" s="23"/>
      <c r="B1821" s="6"/>
      <c r="C1821" s="6"/>
      <c r="D1821" s="2"/>
      <c r="E1821" s="2"/>
      <c r="F1821" s="2"/>
      <c r="G1821" s="2"/>
      <c r="H1821" s="2"/>
      <c r="I1821" s="2"/>
      <c r="J1821" s="73"/>
      <c r="K1821" s="73"/>
      <c r="L1821" s="73"/>
      <c r="M1821" s="73"/>
      <c r="N1821" s="73"/>
      <c r="O1821" s="73"/>
      <c r="P1821" s="2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</row>
    <row r="1822" spans="1:29" ht="14.25" customHeight="1" x14ac:dyDescent="0.35">
      <c r="A1822" s="23"/>
      <c r="B1822" s="6"/>
      <c r="C1822" s="6"/>
      <c r="D1822" s="2"/>
      <c r="E1822" s="2"/>
      <c r="F1822" s="2"/>
      <c r="G1822" s="2"/>
      <c r="H1822" s="2"/>
      <c r="I1822" s="2"/>
      <c r="J1822" s="73"/>
      <c r="K1822" s="73"/>
      <c r="L1822" s="73"/>
      <c r="M1822" s="73"/>
      <c r="N1822" s="73"/>
      <c r="O1822" s="73"/>
      <c r="P1822" s="2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</row>
    <row r="1823" spans="1:29" ht="14.25" customHeight="1" x14ac:dyDescent="0.35">
      <c r="A1823" s="23"/>
      <c r="B1823" s="6"/>
      <c r="C1823" s="6"/>
      <c r="D1823" s="2"/>
      <c r="E1823" s="2"/>
      <c r="F1823" s="2"/>
      <c r="G1823" s="2"/>
      <c r="H1823" s="2"/>
      <c r="I1823" s="2"/>
      <c r="J1823" s="73"/>
      <c r="K1823" s="73"/>
      <c r="L1823" s="73"/>
      <c r="M1823" s="73"/>
      <c r="N1823" s="73"/>
      <c r="O1823" s="73"/>
      <c r="P1823" s="2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</row>
    <row r="1824" spans="1:29" ht="14.25" customHeight="1" x14ac:dyDescent="0.35">
      <c r="A1824" s="23"/>
      <c r="B1824" s="6"/>
      <c r="C1824" s="6"/>
      <c r="D1824" s="2"/>
      <c r="E1824" s="2"/>
      <c r="F1824" s="2"/>
      <c r="G1824" s="2"/>
      <c r="H1824" s="2"/>
      <c r="I1824" s="2"/>
      <c r="J1824" s="73"/>
      <c r="K1824" s="73"/>
      <c r="L1824" s="73"/>
      <c r="M1824" s="73"/>
      <c r="N1824" s="73"/>
      <c r="O1824" s="73"/>
      <c r="P1824" s="2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</row>
    <row r="1825" spans="1:29" ht="14.25" customHeight="1" x14ac:dyDescent="0.35">
      <c r="A1825" s="23"/>
      <c r="B1825" s="6"/>
      <c r="C1825" s="6"/>
      <c r="D1825" s="2"/>
      <c r="E1825" s="2"/>
      <c r="F1825" s="2"/>
      <c r="G1825" s="2"/>
      <c r="H1825" s="2"/>
      <c r="I1825" s="2"/>
      <c r="J1825" s="73"/>
      <c r="K1825" s="73"/>
      <c r="L1825" s="73"/>
      <c r="M1825" s="73"/>
      <c r="N1825" s="73"/>
      <c r="O1825" s="73"/>
      <c r="P1825" s="2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</row>
    <row r="1826" spans="1:29" ht="14.25" customHeight="1" x14ac:dyDescent="0.35">
      <c r="A1826" s="23"/>
      <c r="B1826" s="6"/>
      <c r="C1826" s="6"/>
      <c r="D1826" s="2"/>
      <c r="E1826" s="2"/>
      <c r="F1826" s="2"/>
      <c r="G1826" s="2"/>
      <c r="H1826" s="2"/>
      <c r="I1826" s="2"/>
      <c r="J1826" s="73"/>
      <c r="K1826" s="73"/>
      <c r="L1826" s="73"/>
      <c r="M1826" s="73"/>
      <c r="N1826" s="73"/>
      <c r="O1826" s="73"/>
      <c r="P1826" s="2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</row>
    <row r="1827" spans="1:29" ht="14.25" customHeight="1" x14ac:dyDescent="0.35">
      <c r="A1827" s="23"/>
      <c r="B1827" s="6"/>
      <c r="C1827" s="6"/>
      <c r="D1827" s="2"/>
      <c r="E1827" s="2"/>
      <c r="F1827" s="2"/>
      <c r="G1827" s="2"/>
      <c r="H1827" s="2"/>
      <c r="I1827" s="2"/>
      <c r="J1827" s="73"/>
      <c r="K1827" s="73"/>
      <c r="L1827" s="73"/>
      <c r="M1827" s="73"/>
      <c r="N1827" s="73"/>
      <c r="O1827" s="73"/>
      <c r="P1827" s="2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</row>
    <row r="1828" spans="1:29" ht="14.25" customHeight="1" x14ac:dyDescent="0.35">
      <c r="A1828" s="23"/>
      <c r="B1828" s="6"/>
      <c r="C1828" s="6"/>
      <c r="D1828" s="2"/>
      <c r="E1828" s="2"/>
      <c r="F1828" s="2"/>
      <c r="G1828" s="2"/>
      <c r="H1828" s="2"/>
      <c r="I1828" s="2"/>
      <c r="J1828" s="73"/>
      <c r="K1828" s="73"/>
      <c r="L1828" s="73"/>
      <c r="M1828" s="73"/>
      <c r="N1828" s="73"/>
      <c r="O1828" s="73"/>
      <c r="P1828" s="2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</row>
    <row r="1829" spans="1:29" ht="14.25" customHeight="1" x14ac:dyDescent="0.35">
      <c r="A1829" s="2"/>
      <c r="B1829" s="6"/>
      <c r="C1829" s="6"/>
      <c r="D1829" s="2"/>
      <c r="E1829" s="2"/>
      <c r="F1829" s="2"/>
      <c r="G1829" s="2"/>
      <c r="H1829" s="2"/>
      <c r="I1829" s="2"/>
      <c r="J1829" s="73"/>
      <c r="K1829" s="73"/>
      <c r="L1829" s="73"/>
      <c r="M1829" s="73"/>
      <c r="N1829" s="73"/>
      <c r="O1829" s="73"/>
      <c r="P1829" s="2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</row>
    <row r="1830" spans="1:29" ht="14.25" customHeight="1" x14ac:dyDescent="0.35">
      <c r="A1830" s="2"/>
      <c r="B1830" s="6"/>
      <c r="C1830" s="6"/>
      <c r="D1830" s="2"/>
      <c r="E1830" s="2"/>
      <c r="F1830" s="2"/>
      <c r="G1830" s="2"/>
      <c r="H1830" s="2"/>
      <c r="I1830" s="2"/>
      <c r="J1830" s="73"/>
      <c r="K1830" s="73"/>
      <c r="L1830" s="73"/>
      <c r="M1830" s="73"/>
      <c r="N1830" s="73"/>
      <c r="O1830" s="73"/>
      <c r="P1830" s="2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</row>
    <row r="1831" spans="1:29" ht="14.25" customHeight="1" x14ac:dyDescent="0.35">
      <c r="A1831" s="2"/>
      <c r="B1831" s="6"/>
      <c r="C1831" s="6"/>
      <c r="D1831" s="2"/>
      <c r="E1831" s="2"/>
      <c r="F1831" s="2"/>
      <c r="G1831" s="2"/>
      <c r="H1831" s="2"/>
      <c r="I1831" s="2"/>
      <c r="J1831" s="73"/>
      <c r="K1831" s="73"/>
      <c r="L1831" s="73"/>
      <c r="M1831" s="73"/>
      <c r="N1831" s="73"/>
      <c r="O1831" s="73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14.25" customHeight="1" x14ac:dyDescent="0.35">
      <c r="A1832" s="2"/>
      <c r="B1832" s="6"/>
      <c r="C1832" s="6"/>
      <c r="D1832" s="2"/>
      <c r="E1832" s="2"/>
      <c r="F1832" s="2"/>
      <c r="G1832" s="2"/>
      <c r="H1832" s="2"/>
      <c r="I1832" s="2"/>
      <c r="J1832" s="73"/>
      <c r="K1832" s="73"/>
      <c r="L1832" s="73"/>
      <c r="M1832" s="73"/>
      <c r="N1832" s="73"/>
      <c r="O1832" s="73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14.25" customHeight="1" x14ac:dyDescent="0.35">
      <c r="A1833" s="2"/>
      <c r="B1833" s="6"/>
      <c r="C1833" s="6"/>
      <c r="D1833" s="2"/>
      <c r="E1833" s="2"/>
      <c r="F1833" s="2"/>
      <c r="G1833" s="2"/>
      <c r="H1833" s="2"/>
      <c r="I1833" s="2"/>
      <c r="J1833" s="73"/>
      <c r="K1833" s="73"/>
      <c r="L1833" s="73"/>
      <c r="M1833" s="73"/>
      <c r="N1833" s="73"/>
      <c r="O1833" s="73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14.25" customHeight="1" x14ac:dyDescent="0.35">
      <c r="A1834" s="2"/>
      <c r="B1834" s="6"/>
      <c r="C1834" s="6"/>
      <c r="D1834" s="2"/>
      <c r="E1834" s="2"/>
      <c r="F1834" s="2"/>
      <c r="G1834" s="2"/>
      <c r="H1834" s="2"/>
      <c r="I1834" s="2"/>
      <c r="J1834" s="73"/>
      <c r="K1834" s="73"/>
      <c r="L1834" s="73"/>
      <c r="M1834" s="73"/>
      <c r="N1834" s="73"/>
      <c r="O1834" s="73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14.25" customHeight="1" x14ac:dyDescent="0.35">
      <c r="A1835" s="2"/>
      <c r="B1835" s="6"/>
      <c r="C1835" s="6"/>
      <c r="D1835" s="2"/>
      <c r="E1835" s="2"/>
      <c r="F1835" s="2"/>
      <c r="G1835" s="2"/>
      <c r="H1835" s="2"/>
      <c r="I1835" s="2"/>
      <c r="J1835" s="73"/>
      <c r="K1835" s="73"/>
      <c r="L1835" s="73"/>
      <c r="M1835" s="73"/>
      <c r="N1835" s="73"/>
      <c r="O1835" s="73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14.25" customHeight="1" x14ac:dyDescent="0.35">
      <c r="A1836" s="2"/>
      <c r="B1836" s="6"/>
      <c r="C1836" s="6"/>
      <c r="D1836" s="2"/>
      <c r="E1836" s="2"/>
      <c r="F1836" s="2"/>
      <c r="G1836" s="2"/>
      <c r="H1836" s="2"/>
      <c r="I1836" s="2"/>
      <c r="J1836" s="73"/>
      <c r="K1836" s="73"/>
      <c r="L1836" s="73"/>
      <c r="M1836" s="73"/>
      <c r="N1836" s="73"/>
      <c r="O1836" s="73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14.25" customHeight="1" x14ac:dyDescent="0.35">
      <c r="A1837" s="2"/>
      <c r="B1837" s="6"/>
      <c r="C1837" s="6"/>
      <c r="D1837" s="2"/>
      <c r="E1837" s="2"/>
      <c r="F1837" s="2"/>
      <c r="G1837" s="2"/>
      <c r="H1837" s="2"/>
      <c r="I1837" s="2"/>
      <c r="J1837" s="73"/>
      <c r="K1837" s="73"/>
      <c r="L1837" s="73"/>
      <c r="M1837" s="73"/>
      <c r="N1837" s="73"/>
      <c r="O1837" s="73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14.25" customHeight="1" x14ac:dyDescent="0.35">
      <c r="A1838" s="2"/>
      <c r="B1838" s="6"/>
      <c r="C1838" s="6"/>
      <c r="D1838" s="2"/>
      <c r="E1838" s="2"/>
      <c r="F1838" s="2"/>
      <c r="G1838" s="2"/>
      <c r="H1838" s="2"/>
      <c r="I1838" s="2"/>
      <c r="J1838" s="73"/>
      <c r="K1838" s="73"/>
      <c r="L1838" s="73"/>
      <c r="M1838" s="73"/>
      <c r="N1838" s="73"/>
      <c r="O1838" s="73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14.25" customHeight="1" x14ac:dyDescent="0.35">
      <c r="A1839" s="2"/>
      <c r="B1839" s="6"/>
      <c r="C1839" s="6"/>
      <c r="D1839" s="2"/>
      <c r="E1839" s="2"/>
      <c r="F1839" s="2"/>
      <c r="G1839" s="2"/>
      <c r="H1839" s="2"/>
      <c r="I1839" s="2"/>
      <c r="J1839" s="73"/>
      <c r="K1839" s="73"/>
      <c r="L1839" s="73"/>
      <c r="M1839" s="73"/>
      <c r="N1839" s="73"/>
      <c r="O1839" s="73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14.25" customHeight="1" x14ac:dyDescent="0.35">
      <c r="A1840" s="2"/>
      <c r="B1840" s="6"/>
      <c r="C1840" s="6"/>
      <c r="D1840" s="2"/>
      <c r="E1840" s="2"/>
      <c r="F1840" s="2"/>
      <c r="G1840" s="2"/>
      <c r="H1840" s="2"/>
      <c r="I1840" s="2"/>
      <c r="J1840" s="73"/>
      <c r="K1840" s="73"/>
      <c r="L1840" s="73"/>
      <c r="M1840" s="73"/>
      <c r="N1840" s="73"/>
      <c r="O1840" s="73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14.25" customHeight="1" x14ac:dyDescent="0.35">
      <c r="A1841" s="2"/>
      <c r="B1841" s="6"/>
      <c r="C1841" s="6"/>
      <c r="D1841" s="2"/>
      <c r="E1841" s="2"/>
      <c r="F1841" s="2"/>
      <c r="G1841" s="2"/>
      <c r="H1841" s="2"/>
      <c r="I1841" s="2"/>
      <c r="J1841" s="73"/>
      <c r="K1841" s="73"/>
      <c r="L1841" s="73"/>
      <c r="M1841" s="73"/>
      <c r="N1841" s="73"/>
      <c r="O1841" s="73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14.25" customHeight="1" x14ac:dyDescent="0.35">
      <c r="A1842" s="2"/>
      <c r="B1842" s="6"/>
      <c r="C1842" s="6"/>
      <c r="D1842" s="2"/>
      <c r="E1842" s="2"/>
      <c r="F1842" s="2"/>
      <c r="G1842" s="2"/>
      <c r="H1842" s="2"/>
      <c r="I1842" s="2"/>
      <c r="J1842" s="73"/>
      <c r="K1842" s="73"/>
      <c r="L1842" s="73"/>
      <c r="M1842" s="73"/>
      <c r="N1842" s="73"/>
      <c r="O1842" s="73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14.25" customHeight="1" x14ac:dyDescent="0.35">
      <c r="A1843" s="2"/>
      <c r="B1843" s="6"/>
      <c r="C1843" s="6"/>
      <c r="D1843" s="2"/>
      <c r="E1843" s="2"/>
      <c r="F1843" s="2"/>
      <c r="G1843" s="2"/>
      <c r="H1843" s="2"/>
      <c r="I1843" s="2"/>
      <c r="J1843" s="73"/>
      <c r="K1843" s="73"/>
      <c r="L1843" s="73"/>
      <c r="M1843" s="73"/>
      <c r="N1843" s="73"/>
      <c r="O1843" s="73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14.25" customHeight="1" x14ac:dyDescent="0.35">
      <c r="A1844" s="2"/>
      <c r="B1844" s="6"/>
      <c r="C1844" s="6"/>
      <c r="D1844" s="2"/>
      <c r="E1844" s="2"/>
      <c r="F1844" s="2"/>
      <c r="G1844" s="2"/>
      <c r="H1844" s="2"/>
      <c r="I1844" s="2"/>
      <c r="J1844" s="73"/>
      <c r="K1844" s="73"/>
      <c r="L1844" s="73"/>
      <c r="M1844" s="73"/>
      <c r="N1844" s="73"/>
      <c r="O1844" s="73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14.25" customHeight="1" x14ac:dyDescent="0.35">
      <c r="A1845" s="2"/>
      <c r="B1845" s="6"/>
      <c r="C1845" s="6"/>
      <c r="D1845" s="2"/>
      <c r="E1845" s="2"/>
      <c r="F1845" s="2"/>
      <c r="G1845" s="2"/>
      <c r="H1845" s="2"/>
      <c r="I1845" s="2"/>
      <c r="J1845" s="73"/>
      <c r="K1845" s="73"/>
      <c r="L1845" s="73"/>
      <c r="M1845" s="73"/>
      <c r="N1845" s="73"/>
      <c r="O1845" s="73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14.25" customHeight="1" x14ac:dyDescent="0.35">
      <c r="A1846" s="2"/>
      <c r="B1846" s="6"/>
      <c r="C1846" s="6"/>
      <c r="D1846" s="2"/>
      <c r="E1846" s="2"/>
      <c r="F1846" s="2"/>
      <c r="G1846" s="2"/>
      <c r="H1846" s="2"/>
      <c r="I1846" s="2"/>
      <c r="J1846" s="73"/>
      <c r="K1846" s="73"/>
      <c r="L1846" s="73"/>
      <c r="M1846" s="73"/>
      <c r="N1846" s="73"/>
      <c r="O1846" s="73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14.25" customHeight="1" x14ac:dyDescent="0.35">
      <c r="A1847" s="2"/>
      <c r="B1847" s="6"/>
      <c r="C1847" s="6"/>
      <c r="D1847" s="2"/>
      <c r="E1847" s="2"/>
      <c r="F1847" s="2"/>
      <c r="G1847" s="2"/>
      <c r="H1847" s="2"/>
      <c r="I1847" s="2"/>
      <c r="J1847" s="73"/>
      <c r="K1847" s="73"/>
      <c r="L1847" s="73"/>
      <c r="M1847" s="73"/>
      <c r="N1847" s="73"/>
      <c r="O1847" s="73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14.25" customHeight="1" x14ac:dyDescent="0.35">
      <c r="A1848" s="2"/>
      <c r="B1848" s="6"/>
      <c r="C1848" s="6"/>
      <c r="D1848" s="2"/>
      <c r="E1848" s="2"/>
      <c r="F1848" s="2"/>
      <c r="G1848" s="2"/>
      <c r="H1848" s="2"/>
      <c r="I1848" s="2"/>
      <c r="J1848" s="73"/>
      <c r="K1848" s="73"/>
      <c r="L1848" s="73"/>
      <c r="M1848" s="73"/>
      <c r="N1848" s="73"/>
      <c r="O1848" s="73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14.25" customHeight="1" x14ac:dyDescent="0.35">
      <c r="A1849" s="2"/>
      <c r="B1849" s="6"/>
      <c r="C1849" s="6"/>
      <c r="D1849" s="2"/>
      <c r="E1849" s="2"/>
      <c r="F1849" s="2"/>
      <c r="G1849" s="2"/>
      <c r="H1849" s="2"/>
      <c r="I1849" s="2"/>
      <c r="J1849" s="73"/>
      <c r="K1849" s="73"/>
      <c r="L1849" s="73"/>
      <c r="M1849" s="73"/>
      <c r="N1849" s="73"/>
      <c r="O1849" s="73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14.25" customHeight="1" x14ac:dyDescent="0.35">
      <c r="A1850" s="2"/>
      <c r="B1850" s="6"/>
      <c r="C1850" s="6"/>
      <c r="D1850" s="2"/>
      <c r="E1850" s="2"/>
      <c r="F1850" s="2"/>
      <c r="G1850" s="2"/>
      <c r="H1850" s="2"/>
      <c r="I1850" s="2"/>
      <c r="J1850" s="73"/>
      <c r="K1850" s="73"/>
      <c r="L1850" s="73"/>
      <c r="M1850" s="73"/>
      <c r="N1850" s="73"/>
      <c r="O1850" s="73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14.25" customHeight="1" x14ac:dyDescent="0.35">
      <c r="A1851" s="2"/>
      <c r="B1851" s="6"/>
      <c r="C1851" s="6"/>
      <c r="D1851" s="2"/>
      <c r="E1851" s="2"/>
      <c r="F1851" s="2"/>
      <c r="G1851" s="2"/>
      <c r="H1851" s="2"/>
      <c r="I1851" s="2"/>
      <c r="J1851" s="73"/>
      <c r="K1851" s="73"/>
      <c r="L1851" s="73"/>
      <c r="M1851" s="73"/>
      <c r="N1851" s="73"/>
      <c r="O1851" s="73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14.25" customHeight="1" x14ac:dyDescent="0.35">
      <c r="A1852" s="2"/>
      <c r="B1852" s="6"/>
      <c r="C1852" s="6"/>
      <c r="D1852" s="2"/>
      <c r="E1852" s="2"/>
      <c r="F1852" s="2"/>
      <c r="G1852" s="2"/>
      <c r="H1852" s="2"/>
      <c r="I1852" s="2"/>
      <c r="J1852" s="73"/>
      <c r="K1852" s="73"/>
      <c r="L1852" s="73"/>
      <c r="M1852" s="73"/>
      <c r="N1852" s="73"/>
      <c r="O1852" s="73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14.25" customHeight="1" x14ac:dyDescent="0.35">
      <c r="A1853" s="2"/>
      <c r="B1853" s="6"/>
      <c r="C1853" s="6"/>
      <c r="D1853" s="2"/>
      <c r="E1853" s="2"/>
      <c r="F1853" s="2"/>
      <c r="G1853" s="2"/>
      <c r="H1853" s="2"/>
      <c r="I1853" s="2"/>
      <c r="J1853" s="73"/>
      <c r="K1853" s="73"/>
      <c r="L1853" s="73"/>
      <c r="M1853" s="73"/>
      <c r="N1853" s="73"/>
      <c r="O1853" s="73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14.25" customHeight="1" x14ac:dyDescent="0.35">
      <c r="A1854" s="2"/>
      <c r="B1854" s="6"/>
      <c r="C1854" s="6"/>
      <c r="D1854" s="2"/>
      <c r="E1854" s="2"/>
      <c r="F1854" s="2"/>
      <c r="G1854" s="2"/>
      <c r="H1854" s="2"/>
      <c r="I1854" s="2"/>
      <c r="J1854" s="73"/>
      <c r="K1854" s="73"/>
      <c r="L1854" s="73"/>
      <c r="M1854" s="73"/>
      <c r="N1854" s="73"/>
      <c r="O1854" s="73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14.25" customHeight="1" x14ac:dyDescent="0.35">
      <c r="A1855" s="2"/>
      <c r="B1855" s="6"/>
      <c r="C1855" s="6"/>
      <c r="D1855" s="2"/>
      <c r="E1855" s="2"/>
      <c r="F1855" s="2"/>
      <c r="G1855" s="2"/>
      <c r="H1855" s="2"/>
      <c r="I1855" s="2"/>
      <c r="J1855" s="73"/>
      <c r="K1855" s="73"/>
      <c r="L1855" s="73"/>
      <c r="M1855" s="73"/>
      <c r="N1855" s="73"/>
      <c r="O1855" s="73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14.25" customHeight="1" x14ac:dyDescent="0.35">
      <c r="A1856" s="2"/>
      <c r="B1856" s="6"/>
      <c r="C1856" s="6"/>
      <c r="D1856" s="2"/>
      <c r="E1856" s="2"/>
      <c r="F1856" s="2"/>
      <c r="G1856" s="2"/>
      <c r="H1856" s="2"/>
      <c r="I1856" s="2"/>
      <c r="J1856" s="73"/>
      <c r="K1856" s="73"/>
      <c r="L1856" s="73"/>
      <c r="M1856" s="73"/>
      <c r="N1856" s="73"/>
      <c r="O1856" s="73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14.25" customHeight="1" x14ac:dyDescent="0.35">
      <c r="A1857" s="2"/>
      <c r="B1857" s="6"/>
      <c r="C1857" s="6"/>
      <c r="D1857" s="2"/>
      <c r="E1857" s="2"/>
      <c r="F1857" s="2"/>
      <c r="G1857" s="2"/>
      <c r="H1857" s="2"/>
      <c r="I1857" s="2"/>
      <c r="J1857" s="73"/>
      <c r="K1857" s="73"/>
      <c r="L1857" s="73"/>
      <c r="M1857" s="73"/>
      <c r="N1857" s="73"/>
      <c r="O1857" s="73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14.25" customHeight="1" x14ac:dyDescent="0.35">
      <c r="A1858" s="2"/>
      <c r="B1858" s="6"/>
      <c r="C1858" s="6"/>
      <c r="D1858" s="2"/>
      <c r="E1858" s="2"/>
      <c r="F1858" s="2"/>
      <c r="G1858" s="2"/>
      <c r="H1858" s="2"/>
      <c r="I1858" s="2"/>
      <c r="J1858" s="73"/>
      <c r="K1858" s="73"/>
      <c r="L1858" s="73"/>
      <c r="M1858" s="73"/>
      <c r="N1858" s="73"/>
      <c r="O1858" s="73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14.25" customHeight="1" x14ac:dyDescent="0.35">
      <c r="A1859" s="2"/>
      <c r="B1859" s="6"/>
      <c r="C1859" s="6"/>
      <c r="D1859" s="2"/>
      <c r="E1859" s="2"/>
      <c r="F1859" s="2"/>
      <c r="G1859" s="2"/>
      <c r="H1859" s="2"/>
      <c r="I1859" s="2"/>
      <c r="J1859" s="73"/>
      <c r="K1859" s="73"/>
      <c r="L1859" s="73"/>
      <c r="M1859" s="73"/>
      <c r="N1859" s="73"/>
      <c r="O1859" s="73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14.25" customHeight="1" x14ac:dyDescent="0.35">
      <c r="A1860" s="2"/>
      <c r="B1860" s="6"/>
      <c r="C1860" s="6"/>
      <c r="D1860" s="2"/>
      <c r="E1860" s="2"/>
      <c r="F1860" s="2"/>
      <c r="G1860" s="2"/>
      <c r="H1860" s="2"/>
      <c r="I1860" s="2"/>
      <c r="J1860" s="73"/>
      <c r="K1860" s="73"/>
      <c r="L1860" s="73"/>
      <c r="M1860" s="73"/>
      <c r="N1860" s="73"/>
      <c r="O1860" s="73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14.25" customHeight="1" x14ac:dyDescent="0.35">
      <c r="A1861" s="2"/>
      <c r="B1861" s="6"/>
      <c r="C1861" s="6"/>
      <c r="D1861" s="2"/>
      <c r="E1861" s="2"/>
      <c r="F1861" s="2"/>
      <c r="G1861" s="2"/>
      <c r="H1861" s="2"/>
      <c r="I1861" s="2"/>
      <c r="J1861" s="73"/>
      <c r="K1861" s="73"/>
      <c r="L1861" s="73"/>
      <c r="M1861" s="73"/>
      <c r="N1861" s="73"/>
      <c r="O1861" s="73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14.25" customHeight="1" x14ac:dyDescent="0.35">
      <c r="A1862" s="2"/>
      <c r="B1862" s="6"/>
      <c r="C1862" s="6"/>
      <c r="D1862" s="2"/>
      <c r="E1862" s="2"/>
      <c r="F1862" s="2"/>
      <c r="G1862" s="2"/>
      <c r="H1862" s="2"/>
      <c r="I1862" s="2"/>
      <c r="J1862" s="73"/>
      <c r="K1862" s="73"/>
      <c r="L1862" s="73"/>
      <c r="M1862" s="73"/>
      <c r="N1862" s="73"/>
      <c r="O1862" s="73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14.25" customHeight="1" x14ac:dyDescent="0.35">
      <c r="A1863" s="2"/>
      <c r="B1863" s="6"/>
      <c r="C1863" s="6"/>
      <c r="D1863" s="2"/>
      <c r="E1863" s="2"/>
      <c r="F1863" s="2"/>
      <c r="G1863" s="2"/>
      <c r="H1863" s="2"/>
      <c r="I1863" s="2"/>
      <c r="J1863" s="73"/>
      <c r="K1863" s="73"/>
      <c r="L1863" s="73"/>
      <c r="M1863" s="73"/>
      <c r="N1863" s="73"/>
      <c r="O1863" s="73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14.25" customHeight="1" x14ac:dyDescent="0.35">
      <c r="A1864" s="2"/>
      <c r="B1864" s="6"/>
      <c r="C1864" s="6"/>
      <c r="D1864" s="2"/>
      <c r="E1864" s="2"/>
      <c r="F1864" s="2"/>
      <c r="G1864" s="2"/>
      <c r="H1864" s="2"/>
      <c r="I1864" s="2"/>
      <c r="J1864" s="73"/>
      <c r="K1864" s="73"/>
      <c r="L1864" s="73"/>
      <c r="M1864" s="73"/>
      <c r="N1864" s="73"/>
      <c r="O1864" s="73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14.25" customHeight="1" x14ac:dyDescent="0.35">
      <c r="A1865" s="2"/>
      <c r="B1865" s="6"/>
      <c r="C1865" s="6"/>
      <c r="D1865" s="2"/>
      <c r="E1865" s="2"/>
      <c r="F1865" s="2"/>
      <c r="G1865" s="2"/>
      <c r="H1865" s="2"/>
      <c r="I1865" s="2"/>
      <c r="J1865" s="73"/>
      <c r="K1865" s="73"/>
      <c r="L1865" s="73"/>
      <c r="M1865" s="73"/>
      <c r="N1865" s="73"/>
      <c r="O1865" s="73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14.25" customHeight="1" x14ac:dyDescent="0.35">
      <c r="A1866" s="2"/>
      <c r="B1866" s="6"/>
      <c r="C1866" s="6"/>
      <c r="D1866" s="2"/>
      <c r="E1866" s="2"/>
      <c r="F1866" s="2"/>
      <c r="G1866" s="2"/>
      <c r="H1866" s="2"/>
      <c r="I1866" s="2"/>
      <c r="J1866" s="73"/>
      <c r="K1866" s="73"/>
      <c r="L1866" s="73"/>
      <c r="M1866" s="73"/>
      <c r="N1866" s="73"/>
      <c r="O1866" s="73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14.25" customHeight="1" x14ac:dyDescent="0.35">
      <c r="A1867" s="2"/>
      <c r="B1867" s="6"/>
      <c r="C1867" s="6"/>
      <c r="D1867" s="2"/>
      <c r="E1867" s="2"/>
      <c r="F1867" s="2"/>
      <c r="G1867" s="2"/>
      <c r="H1867" s="2"/>
      <c r="I1867" s="2"/>
      <c r="J1867" s="73"/>
      <c r="K1867" s="73"/>
      <c r="L1867" s="73"/>
      <c r="M1867" s="73"/>
      <c r="N1867" s="73"/>
      <c r="O1867" s="73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14.25" customHeight="1" x14ac:dyDescent="0.35">
      <c r="A1868" s="2"/>
      <c r="B1868" s="6"/>
      <c r="C1868" s="6"/>
      <c r="D1868" s="2"/>
      <c r="E1868" s="2"/>
      <c r="F1868" s="2"/>
      <c r="G1868" s="2"/>
      <c r="H1868" s="2"/>
      <c r="I1868" s="2"/>
      <c r="J1868" s="73"/>
      <c r="K1868" s="73"/>
      <c r="L1868" s="73"/>
      <c r="M1868" s="73"/>
      <c r="N1868" s="73"/>
      <c r="O1868" s="73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14.25" customHeight="1" x14ac:dyDescent="0.35">
      <c r="A1869" s="2"/>
      <c r="B1869" s="6"/>
      <c r="C1869" s="6"/>
      <c r="D1869" s="2"/>
      <c r="E1869" s="2"/>
      <c r="F1869" s="2"/>
      <c r="G1869" s="2"/>
      <c r="H1869" s="2"/>
      <c r="I1869" s="2"/>
      <c r="J1869" s="73"/>
      <c r="K1869" s="73"/>
      <c r="L1869" s="73"/>
      <c r="M1869" s="73"/>
      <c r="N1869" s="73"/>
      <c r="O1869" s="73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14.25" customHeight="1" x14ac:dyDescent="0.35">
      <c r="A1870" s="2"/>
      <c r="B1870" s="6"/>
      <c r="C1870" s="6"/>
      <c r="D1870" s="2"/>
      <c r="E1870" s="2"/>
      <c r="F1870" s="2"/>
      <c r="G1870" s="2"/>
      <c r="H1870" s="2"/>
      <c r="I1870" s="2"/>
      <c r="J1870" s="73"/>
      <c r="K1870" s="73"/>
      <c r="L1870" s="73"/>
      <c r="M1870" s="73"/>
      <c r="N1870" s="73"/>
      <c r="O1870" s="73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14.25" customHeight="1" x14ac:dyDescent="0.35">
      <c r="A1871" s="2"/>
      <c r="B1871" s="6"/>
      <c r="C1871" s="6"/>
      <c r="D1871" s="2"/>
      <c r="E1871" s="2"/>
      <c r="F1871" s="2"/>
      <c r="G1871" s="2"/>
      <c r="H1871" s="2"/>
      <c r="I1871" s="2"/>
      <c r="J1871" s="73"/>
      <c r="K1871" s="73"/>
      <c r="L1871" s="73"/>
      <c r="M1871" s="73"/>
      <c r="N1871" s="73"/>
      <c r="O1871" s="73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14.25" customHeight="1" x14ac:dyDescent="0.35">
      <c r="A1872" s="2"/>
      <c r="B1872" s="6"/>
      <c r="C1872" s="6"/>
      <c r="D1872" s="2"/>
      <c r="E1872" s="2"/>
      <c r="F1872" s="2"/>
      <c r="G1872" s="2"/>
      <c r="H1872" s="2"/>
      <c r="I1872" s="2"/>
      <c r="J1872" s="73"/>
      <c r="K1872" s="73"/>
      <c r="L1872" s="73"/>
      <c r="M1872" s="73"/>
      <c r="N1872" s="73"/>
      <c r="O1872" s="73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14.25" customHeight="1" x14ac:dyDescent="0.35">
      <c r="A1873" s="2"/>
      <c r="B1873" s="6"/>
      <c r="C1873" s="6"/>
      <c r="D1873" s="2"/>
      <c r="E1873" s="2"/>
      <c r="F1873" s="2"/>
      <c r="G1873" s="2"/>
      <c r="H1873" s="2"/>
      <c r="I1873" s="2"/>
      <c r="J1873" s="73"/>
      <c r="K1873" s="73"/>
      <c r="L1873" s="73"/>
      <c r="M1873" s="73"/>
      <c r="N1873" s="73"/>
      <c r="O1873" s="73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14.25" customHeight="1" x14ac:dyDescent="0.35">
      <c r="A1874" s="2"/>
      <c r="B1874" s="6"/>
      <c r="C1874" s="6"/>
      <c r="D1874" s="2"/>
      <c r="E1874" s="2"/>
      <c r="F1874" s="2"/>
      <c r="G1874" s="2"/>
      <c r="H1874" s="2"/>
      <c r="I1874" s="2"/>
      <c r="J1874" s="73"/>
      <c r="K1874" s="73"/>
      <c r="L1874" s="73"/>
      <c r="M1874" s="73"/>
      <c r="N1874" s="73"/>
      <c r="O1874" s="73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14.25" customHeight="1" x14ac:dyDescent="0.35">
      <c r="A1875" s="2"/>
      <c r="B1875" s="6"/>
      <c r="C1875" s="6"/>
      <c r="D1875" s="2"/>
      <c r="E1875" s="2"/>
      <c r="F1875" s="2"/>
      <c r="G1875" s="2"/>
      <c r="H1875" s="2"/>
      <c r="I1875" s="2"/>
      <c r="J1875" s="73"/>
      <c r="K1875" s="73"/>
      <c r="L1875" s="73"/>
      <c r="M1875" s="73"/>
      <c r="N1875" s="73"/>
      <c r="O1875" s="73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14.25" customHeight="1" x14ac:dyDescent="0.35">
      <c r="A1876" s="2"/>
      <c r="B1876" s="6"/>
      <c r="C1876" s="6"/>
      <c r="D1876" s="2"/>
      <c r="E1876" s="2"/>
      <c r="F1876" s="2"/>
      <c r="G1876" s="2"/>
      <c r="H1876" s="2"/>
      <c r="I1876" s="2"/>
      <c r="J1876" s="73"/>
      <c r="K1876" s="73"/>
      <c r="L1876" s="73"/>
      <c r="M1876" s="73"/>
      <c r="N1876" s="73"/>
      <c r="O1876" s="73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14.25" customHeight="1" x14ac:dyDescent="0.35">
      <c r="A1877" s="2"/>
      <c r="B1877" s="6"/>
      <c r="C1877" s="6"/>
      <c r="D1877" s="2"/>
      <c r="E1877" s="2"/>
      <c r="F1877" s="2"/>
      <c r="G1877" s="2"/>
      <c r="H1877" s="2"/>
      <c r="I1877" s="2"/>
      <c r="J1877" s="73"/>
      <c r="K1877" s="73"/>
      <c r="L1877" s="73"/>
      <c r="M1877" s="73"/>
      <c r="N1877" s="73"/>
      <c r="O1877" s="73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14.25" customHeight="1" x14ac:dyDescent="0.35">
      <c r="A1878" s="2"/>
      <c r="B1878" s="6"/>
      <c r="C1878" s="6"/>
      <c r="D1878" s="2"/>
      <c r="E1878" s="2"/>
      <c r="F1878" s="2"/>
      <c r="G1878" s="2"/>
      <c r="H1878" s="2"/>
      <c r="I1878" s="2"/>
      <c r="J1878" s="73"/>
      <c r="K1878" s="73"/>
      <c r="L1878" s="73"/>
      <c r="M1878" s="73"/>
      <c r="N1878" s="73"/>
      <c r="O1878" s="73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14.25" customHeight="1" x14ac:dyDescent="0.35">
      <c r="A1879" s="2"/>
      <c r="B1879" s="6"/>
      <c r="C1879" s="6"/>
      <c r="D1879" s="2"/>
      <c r="E1879" s="2"/>
      <c r="F1879" s="2"/>
      <c r="G1879" s="2"/>
      <c r="H1879" s="2"/>
      <c r="I1879" s="2"/>
      <c r="J1879" s="73"/>
      <c r="K1879" s="73"/>
      <c r="L1879" s="73"/>
      <c r="M1879" s="73"/>
      <c r="N1879" s="73"/>
      <c r="O1879" s="73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14.25" customHeight="1" x14ac:dyDescent="0.35">
      <c r="A1880" s="2"/>
      <c r="B1880" s="6"/>
      <c r="C1880" s="6"/>
      <c r="D1880" s="2"/>
      <c r="E1880" s="2"/>
      <c r="F1880" s="2"/>
      <c r="G1880" s="2"/>
      <c r="H1880" s="2"/>
      <c r="I1880" s="2"/>
      <c r="J1880" s="73"/>
      <c r="K1880" s="73"/>
      <c r="L1880" s="73"/>
      <c r="M1880" s="73"/>
      <c r="N1880" s="73"/>
      <c r="O1880" s="73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14.25" customHeight="1" x14ac:dyDescent="0.35">
      <c r="A1881" s="2"/>
      <c r="B1881" s="6"/>
      <c r="C1881" s="6"/>
      <c r="D1881" s="2"/>
      <c r="E1881" s="2"/>
      <c r="F1881" s="2"/>
      <c r="G1881" s="2"/>
      <c r="H1881" s="2"/>
      <c r="I1881" s="2"/>
      <c r="J1881" s="73"/>
      <c r="K1881" s="73"/>
      <c r="L1881" s="73"/>
      <c r="M1881" s="73"/>
      <c r="N1881" s="73"/>
      <c r="O1881" s="73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14.25" customHeight="1" x14ac:dyDescent="0.35">
      <c r="A1882" s="2"/>
      <c r="B1882" s="6"/>
      <c r="C1882" s="6"/>
      <c r="D1882" s="2"/>
      <c r="E1882" s="2"/>
      <c r="F1882" s="2"/>
      <c r="G1882" s="2"/>
      <c r="H1882" s="2"/>
      <c r="I1882" s="2"/>
      <c r="J1882" s="73"/>
      <c r="K1882" s="73"/>
      <c r="L1882" s="73"/>
      <c r="M1882" s="73"/>
      <c r="N1882" s="73"/>
      <c r="O1882" s="73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14.25" customHeight="1" x14ac:dyDescent="0.35">
      <c r="A1883" s="2"/>
      <c r="B1883" s="6"/>
      <c r="C1883" s="6"/>
      <c r="D1883" s="2"/>
      <c r="E1883" s="2"/>
      <c r="F1883" s="2"/>
      <c r="G1883" s="2"/>
      <c r="H1883" s="2"/>
      <c r="I1883" s="2"/>
      <c r="J1883" s="73"/>
      <c r="K1883" s="73"/>
      <c r="L1883" s="73"/>
      <c r="M1883" s="73"/>
      <c r="N1883" s="73"/>
      <c r="O1883" s="73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14.25" customHeight="1" x14ac:dyDescent="0.35">
      <c r="A1884" s="2"/>
      <c r="B1884" s="6"/>
      <c r="C1884" s="6"/>
      <c r="D1884" s="2"/>
      <c r="E1884" s="2"/>
      <c r="F1884" s="2"/>
      <c r="G1884" s="2"/>
      <c r="H1884" s="2"/>
      <c r="I1884" s="2"/>
      <c r="J1884" s="73"/>
      <c r="K1884" s="73"/>
      <c r="L1884" s="73"/>
      <c r="M1884" s="73"/>
      <c r="N1884" s="73"/>
      <c r="O1884" s="73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14.25" customHeight="1" x14ac:dyDescent="0.35">
      <c r="A1885" s="2"/>
      <c r="B1885" s="6"/>
      <c r="C1885" s="6"/>
      <c r="D1885" s="2"/>
      <c r="E1885" s="2"/>
      <c r="F1885" s="2"/>
      <c r="G1885" s="2"/>
      <c r="H1885" s="2"/>
      <c r="I1885" s="2"/>
      <c r="J1885" s="73"/>
      <c r="K1885" s="73"/>
      <c r="L1885" s="73"/>
      <c r="M1885" s="73"/>
      <c r="N1885" s="73"/>
      <c r="O1885" s="73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14.25" customHeight="1" x14ac:dyDescent="0.35">
      <c r="A1886" s="2"/>
      <c r="B1886" s="6"/>
      <c r="C1886" s="6"/>
      <c r="D1886" s="2"/>
      <c r="E1886" s="2"/>
      <c r="F1886" s="2"/>
      <c r="G1886" s="2"/>
      <c r="H1886" s="2"/>
      <c r="I1886" s="2"/>
      <c r="J1886" s="73"/>
      <c r="K1886" s="73"/>
      <c r="L1886" s="73"/>
      <c r="M1886" s="73"/>
      <c r="N1886" s="73"/>
      <c r="O1886" s="73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14.25" customHeight="1" x14ac:dyDescent="0.35">
      <c r="A1887" s="2"/>
      <c r="B1887" s="6"/>
      <c r="C1887" s="6"/>
      <c r="D1887" s="2"/>
      <c r="E1887" s="2"/>
      <c r="F1887" s="2"/>
      <c r="G1887" s="2"/>
      <c r="H1887" s="2"/>
      <c r="I1887" s="2"/>
      <c r="J1887" s="73"/>
      <c r="K1887" s="73"/>
      <c r="L1887" s="73"/>
      <c r="M1887" s="73"/>
      <c r="N1887" s="73"/>
      <c r="O1887" s="73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14.25" customHeight="1" x14ac:dyDescent="0.35">
      <c r="A1888" s="2"/>
      <c r="B1888" s="6"/>
      <c r="C1888" s="6"/>
      <c r="D1888" s="2"/>
      <c r="E1888" s="2"/>
      <c r="F1888" s="2"/>
      <c r="G1888" s="2"/>
      <c r="H1888" s="2"/>
      <c r="I1888" s="2"/>
      <c r="J1888" s="73"/>
      <c r="K1888" s="73"/>
      <c r="L1888" s="73"/>
      <c r="M1888" s="73"/>
      <c r="N1888" s="73"/>
      <c r="O1888" s="73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14.25" customHeight="1" x14ac:dyDescent="0.35">
      <c r="A1889" s="2"/>
      <c r="B1889" s="6"/>
      <c r="C1889" s="6"/>
      <c r="D1889" s="2"/>
      <c r="E1889" s="2"/>
      <c r="F1889" s="2"/>
      <c r="G1889" s="2"/>
      <c r="H1889" s="2"/>
      <c r="I1889" s="2"/>
      <c r="J1889" s="73"/>
      <c r="K1889" s="73"/>
      <c r="L1889" s="73"/>
      <c r="M1889" s="73"/>
      <c r="N1889" s="73"/>
      <c r="O1889" s="73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14.25" customHeight="1" x14ac:dyDescent="0.35">
      <c r="A1890" s="2"/>
      <c r="B1890" s="6"/>
      <c r="C1890" s="6"/>
      <c r="D1890" s="2"/>
      <c r="E1890" s="2"/>
      <c r="F1890" s="2"/>
      <c r="G1890" s="2"/>
      <c r="H1890" s="2"/>
      <c r="I1890" s="2"/>
      <c r="J1890" s="73"/>
      <c r="K1890" s="73"/>
      <c r="L1890" s="73"/>
      <c r="M1890" s="73"/>
      <c r="N1890" s="73"/>
      <c r="O1890" s="73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14.25" customHeight="1" x14ac:dyDescent="0.35">
      <c r="A1891" s="2"/>
      <c r="B1891" s="6"/>
      <c r="C1891" s="6"/>
      <c r="D1891" s="2"/>
      <c r="E1891" s="2"/>
      <c r="F1891" s="2"/>
      <c r="G1891" s="2"/>
      <c r="H1891" s="2"/>
      <c r="I1891" s="2"/>
      <c r="J1891" s="73"/>
      <c r="K1891" s="73"/>
      <c r="L1891" s="73"/>
      <c r="M1891" s="73"/>
      <c r="N1891" s="73"/>
      <c r="O1891" s="73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14.25" customHeight="1" x14ac:dyDescent="0.35">
      <c r="A1892" s="2"/>
      <c r="B1892" s="6"/>
      <c r="C1892" s="6"/>
      <c r="D1892" s="2"/>
      <c r="E1892" s="2"/>
      <c r="F1892" s="2"/>
      <c r="G1892" s="2"/>
      <c r="H1892" s="2"/>
      <c r="I1892" s="2"/>
      <c r="J1892" s="73"/>
      <c r="K1892" s="73"/>
      <c r="L1892" s="73"/>
      <c r="M1892" s="73"/>
      <c r="N1892" s="73"/>
      <c r="O1892" s="73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14.25" customHeight="1" x14ac:dyDescent="0.35">
      <c r="A1893" s="2"/>
      <c r="B1893" s="6"/>
      <c r="C1893" s="6"/>
      <c r="D1893" s="2"/>
      <c r="E1893" s="2"/>
      <c r="F1893" s="2"/>
      <c r="G1893" s="2"/>
      <c r="H1893" s="2"/>
      <c r="I1893" s="2"/>
      <c r="J1893" s="73"/>
      <c r="K1893" s="73"/>
      <c r="L1893" s="73"/>
      <c r="M1893" s="73"/>
      <c r="N1893" s="73"/>
      <c r="O1893" s="73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14.25" customHeight="1" x14ac:dyDescent="0.35">
      <c r="A1894" s="2"/>
      <c r="B1894" s="6"/>
      <c r="C1894" s="6"/>
      <c r="D1894" s="2"/>
      <c r="E1894" s="2"/>
      <c r="F1894" s="2"/>
      <c r="G1894" s="2"/>
      <c r="H1894" s="2"/>
      <c r="I1894" s="2"/>
      <c r="J1894" s="73"/>
      <c r="K1894" s="73"/>
      <c r="L1894" s="73"/>
      <c r="M1894" s="73"/>
      <c r="N1894" s="73"/>
      <c r="O1894" s="73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14.25" customHeight="1" x14ac:dyDescent="0.35">
      <c r="A1895" s="2"/>
      <c r="B1895" s="6"/>
      <c r="C1895" s="6"/>
      <c r="D1895" s="2"/>
      <c r="E1895" s="2"/>
      <c r="F1895" s="2"/>
      <c r="G1895" s="2"/>
      <c r="H1895" s="2"/>
      <c r="I1895" s="2"/>
      <c r="J1895" s="73"/>
      <c r="K1895" s="73"/>
      <c r="L1895" s="73"/>
      <c r="M1895" s="73"/>
      <c r="N1895" s="73"/>
      <c r="O1895" s="73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14.25" customHeight="1" x14ac:dyDescent="0.35">
      <c r="A1896" s="2"/>
      <c r="B1896" s="6"/>
      <c r="C1896" s="6"/>
      <c r="D1896" s="2"/>
      <c r="E1896" s="2"/>
      <c r="F1896" s="2"/>
      <c r="G1896" s="2"/>
      <c r="H1896" s="2"/>
      <c r="I1896" s="2"/>
      <c r="J1896" s="73"/>
      <c r="K1896" s="73"/>
      <c r="L1896" s="73"/>
      <c r="M1896" s="73"/>
      <c r="N1896" s="73"/>
      <c r="O1896" s="73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14.25" customHeight="1" x14ac:dyDescent="0.35">
      <c r="A1897" s="2"/>
      <c r="B1897" s="6"/>
      <c r="C1897" s="6"/>
      <c r="D1897" s="2"/>
      <c r="E1897" s="2"/>
      <c r="F1897" s="2"/>
      <c r="G1897" s="2"/>
      <c r="H1897" s="2"/>
      <c r="I1897" s="2"/>
      <c r="J1897" s="73"/>
      <c r="K1897" s="73"/>
      <c r="L1897" s="73"/>
      <c r="M1897" s="73"/>
      <c r="N1897" s="73"/>
      <c r="O1897" s="73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14.25" customHeight="1" x14ac:dyDescent="0.35">
      <c r="A1898" s="2"/>
      <c r="B1898" s="6"/>
      <c r="C1898" s="6"/>
      <c r="D1898" s="2"/>
      <c r="E1898" s="2"/>
      <c r="F1898" s="2"/>
      <c r="G1898" s="2"/>
      <c r="H1898" s="2"/>
      <c r="I1898" s="2"/>
      <c r="J1898" s="73"/>
      <c r="K1898" s="73"/>
      <c r="L1898" s="73"/>
      <c r="M1898" s="73"/>
      <c r="N1898" s="73"/>
      <c r="O1898" s="73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14.25" customHeight="1" x14ac:dyDescent="0.35">
      <c r="A1899" s="2"/>
      <c r="B1899" s="6"/>
      <c r="C1899" s="6"/>
      <c r="D1899" s="2"/>
      <c r="E1899" s="2"/>
      <c r="F1899" s="2"/>
      <c r="G1899" s="2"/>
      <c r="H1899" s="2"/>
      <c r="I1899" s="2"/>
      <c r="J1899" s="73"/>
      <c r="K1899" s="73"/>
      <c r="L1899" s="73"/>
      <c r="M1899" s="73"/>
      <c r="N1899" s="73"/>
      <c r="O1899" s="73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14.25" customHeight="1" x14ac:dyDescent="0.35">
      <c r="A1900" s="2"/>
      <c r="B1900" s="6"/>
      <c r="C1900" s="6"/>
      <c r="D1900" s="2"/>
      <c r="E1900" s="2"/>
      <c r="F1900" s="2"/>
      <c r="G1900" s="2"/>
      <c r="H1900" s="2"/>
      <c r="I1900" s="2"/>
      <c r="J1900" s="73"/>
      <c r="K1900" s="73"/>
      <c r="L1900" s="73"/>
      <c r="M1900" s="73"/>
      <c r="N1900" s="73"/>
      <c r="O1900" s="73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14.25" customHeight="1" x14ac:dyDescent="0.35">
      <c r="A1901" s="2"/>
      <c r="B1901" s="6"/>
      <c r="C1901" s="6"/>
      <c r="D1901" s="2"/>
      <c r="E1901" s="2"/>
      <c r="F1901" s="2"/>
      <c r="G1901" s="2"/>
      <c r="H1901" s="2"/>
      <c r="I1901" s="2"/>
      <c r="J1901" s="73"/>
      <c r="K1901" s="73"/>
      <c r="L1901" s="73"/>
      <c r="M1901" s="73"/>
      <c r="N1901" s="73"/>
      <c r="O1901" s="73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14.25" customHeight="1" x14ac:dyDescent="0.35">
      <c r="A1902" s="2"/>
      <c r="B1902" s="6"/>
      <c r="C1902" s="6"/>
      <c r="D1902" s="2"/>
      <c r="E1902" s="2"/>
      <c r="F1902" s="2"/>
      <c r="G1902" s="2"/>
      <c r="H1902" s="2"/>
      <c r="I1902" s="2"/>
      <c r="J1902" s="73"/>
      <c r="K1902" s="73"/>
      <c r="L1902" s="73"/>
      <c r="M1902" s="73"/>
      <c r="N1902" s="73"/>
      <c r="O1902" s="73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14.25" customHeight="1" x14ac:dyDescent="0.35">
      <c r="A1903" s="2"/>
      <c r="B1903" s="6"/>
      <c r="C1903" s="6"/>
      <c r="D1903" s="2"/>
      <c r="E1903" s="2"/>
      <c r="F1903" s="2"/>
      <c r="G1903" s="2"/>
      <c r="H1903" s="2"/>
      <c r="I1903" s="2"/>
      <c r="J1903" s="73"/>
      <c r="K1903" s="73"/>
      <c r="L1903" s="73"/>
      <c r="M1903" s="73"/>
      <c r="N1903" s="73"/>
      <c r="O1903" s="73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14.25" customHeight="1" x14ac:dyDescent="0.35">
      <c r="A1904" s="2"/>
      <c r="B1904" s="6"/>
      <c r="C1904" s="6"/>
      <c r="D1904" s="2"/>
      <c r="E1904" s="2"/>
      <c r="F1904" s="2"/>
      <c r="G1904" s="2"/>
      <c r="H1904" s="2"/>
      <c r="I1904" s="2"/>
      <c r="J1904" s="73"/>
      <c r="K1904" s="73"/>
      <c r="L1904" s="73"/>
      <c r="M1904" s="73"/>
      <c r="N1904" s="73"/>
      <c r="O1904" s="73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14.25" customHeight="1" x14ac:dyDescent="0.35">
      <c r="A1905" s="2"/>
      <c r="B1905" s="6"/>
      <c r="C1905" s="6"/>
      <c r="D1905" s="2"/>
      <c r="E1905" s="2"/>
      <c r="F1905" s="2"/>
      <c r="G1905" s="2"/>
      <c r="H1905" s="2"/>
      <c r="I1905" s="2"/>
      <c r="J1905" s="73"/>
      <c r="K1905" s="73"/>
      <c r="L1905" s="73"/>
      <c r="M1905" s="73"/>
      <c r="N1905" s="73"/>
      <c r="O1905" s="73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14.25" customHeight="1" x14ac:dyDescent="0.35">
      <c r="A1906" s="2"/>
      <c r="B1906" s="6"/>
      <c r="C1906" s="6"/>
      <c r="D1906" s="2"/>
      <c r="E1906" s="2"/>
      <c r="F1906" s="2"/>
      <c r="G1906" s="2"/>
      <c r="H1906" s="2"/>
      <c r="I1906" s="2"/>
      <c r="J1906" s="73"/>
      <c r="K1906" s="73"/>
      <c r="L1906" s="73"/>
      <c r="M1906" s="73"/>
      <c r="N1906" s="73"/>
      <c r="O1906" s="73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14.25" customHeight="1" x14ac:dyDescent="0.35">
      <c r="A1907" s="2"/>
      <c r="B1907" s="6"/>
      <c r="C1907" s="6"/>
      <c r="D1907" s="2"/>
      <c r="E1907" s="2"/>
      <c r="F1907" s="2"/>
      <c r="G1907" s="2"/>
      <c r="H1907" s="2"/>
      <c r="I1907" s="2"/>
      <c r="J1907" s="73"/>
      <c r="K1907" s="73"/>
      <c r="L1907" s="73"/>
      <c r="M1907" s="73"/>
      <c r="N1907" s="73"/>
      <c r="O1907" s="73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14.25" customHeight="1" x14ac:dyDescent="0.35">
      <c r="A1908" s="2"/>
      <c r="B1908" s="6"/>
      <c r="C1908" s="6"/>
      <c r="D1908" s="2"/>
      <c r="E1908" s="2"/>
      <c r="F1908" s="2"/>
      <c r="G1908" s="2"/>
      <c r="H1908" s="2"/>
      <c r="I1908" s="2"/>
      <c r="J1908" s="73"/>
      <c r="K1908" s="73"/>
      <c r="L1908" s="73"/>
      <c r="M1908" s="73"/>
      <c r="N1908" s="73"/>
      <c r="O1908" s="73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14.25" customHeight="1" x14ac:dyDescent="0.35">
      <c r="A1909" s="2"/>
      <c r="B1909" s="6"/>
      <c r="C1909" s="6"/>
      <c r="D1909" s="2"/>
      <c r="E1909" s="2"/>
      <c r="F1909" s="2"/>
      <c r="G1909" s="2"/>
      <c r="H1909" s="2"/>
      <c r="I1909" s="2"/>
      <c r="J1909" s="73"/>
      <c r="K1909" s="73"/>
      <c r="L1909" s="73"/>
      <c r="M1909" s="73"/>
      <c r="N1909" s="73"/>
      <c r="O1909" s="73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14.25" customHeight="1" x14ac:dyDescent="0.35">
      <c r="A1910" s="2"/>
      <c r="B1910" s="6"/>
      <c r="C1910" s="6"/>
      <c r="D1910" s="2"/>
      <c r="E1910" s="2"/>
      <c r="F1910" s="2"/>
      <c r="G1910" s="2"/>
      <c r="H1910" s="2"/>
      <c r="I1910" s="2"/>
      <c r="J1910" s="73"/>
      <c r="K1910" s="73"/>
      <c r="L1910" s="73"/>
      <c r="M1910" s="73"/>
      <c r="N1910" s="73"/>
      <c r="O1910" s="73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14.25" customHeight="1" x14ac:dyDescent="0.35">
      <c r="A1911" s="2"/>
      <c r="B1911" s="6"/>
      <c r="C1911" s="6"/>
      <c r="D1911" s="2"/>
      <c r="E1911" s="2"/>
      <c r="F1911" s="2"/>
      <c r="G1911" s="2"/>
      <c r="H1911" s="2"/>
      <c r="I1911" s="2"/>
      <c r="J1911" s="73"/>
      <c r="K1911" s="73"/>
      <c r="L1911" s="73"/>
      <c r="M1911" s="73"/>
      <c r="N1911" s="73"/>
      <c r="O1911" s="73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14.25" customHeight="1" x14ac:dyDescent="0.35">
      <c r="A1912" s="2"/>
      <c r="B1912" s="6"/>
      <c r="C1912" s="6"/>
      <c r="D1912" s="2"/>
      <c r="E1912" s="2"/>
      <c r="F1912" s="2"/>
      <c r="G1912" s="2"/>
      <c r="H1912" s="2"/>
      <c r="I1912" s="2"/>
      <c r="J1912" s="73"/>
      <c r="K1912" s="73"/>
      <c r="L1912" s="73"/>
      <c r="M1912" s="73"/>
      <c r="N1912" s="73"/>
      <c r="O1912" s="73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14.25" customHeight="1" x14ac:dyDescent="0.35">
      <c r="A1913" s="2"/>
      <c r="B1913" s="6"/>
      <c r="C1913" s="6"/>
      <c r="D1913" s="2"/>
      <c r="E1913" s="2"/>
      <c r="F1913" s="2"/>
      <c r="G1913" s="2"/>
      <c r="H1913" s="2"/>
      <c r="I1913" s="2"/>
      <c r="J1913" s="73"/>
      <c r="K1913" s="73"/>
      <c r="L1913" s="73"/>
      <c r="M1913" s="73"/>
      <c r="N1913" s="73"/>
      <c r="O1913" s="73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14.25" customHeight="1" x14ac:dyDescent="0.35">
      <c r="A1914" s="2"/>
      <c r="B1914" s="6"/>
      <c r="C1914" s="6"/>
      <c r="D1914" s="2"/>
      <c r="E1914" s="2"/>
      <c r="F1914" s="2"/>
      <c r="G1914" s="2"/>
      <c r="H1914" s="2"/>
      <c r="I1914" s="2"/>
      <c r="J1914" s="73"/>
      <c r="K1914" s="73"/>
      <c r="L1914" s="73"/>
      <c r="M1914" s="73"/>
      <c r="N1914" s="73"/>
      <c r="O1914" s="73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14.25" customHeight="1" x14ac:dyDescent="0.35">
      <c r="A1915" s="2"/>
      <c r="B1915" s="6"/>
      <c r="C1915" s="6"/>
      <c r="D1915" s="2"/>
      <c r="E1915" s="2"/>
      <c r="F1915" s="2"/>
      <c r="G1915" s="2"/>
      <c r="H1915" s="2"/>
      <c r="I1915" s="2"/>
      <c r="J1915" s="73"/>
      <c r="K1915" s="73"/>
      <c r="L1915" s="73"/>
      <c r="M1915" s="73"/>
      <c r="N1915" s="73"/>
      <c r="O1915" s="73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14.25" customHeight="1" x14ac:dyDescent="0.35">
      <c r="A1916" s="2"/>
      <c r="B1916" s="6"/>
      <c r="C1916" s="6"/>
      <c r="D1916" s="2"/>
      <c r="E1916" s="2"/>
      <c r="F1916" s="2"/>
      <c r="G1916" s="2"/>
      <c r="H1916" s="2"/>
      <c r="I1916" s="2"/>
      <c r="J1916" s="73"/>
      <c r="K1916" s="73"/>
      <c r="L1916" s="73"/>
      <c r="M1916" s="73"/>
      <c r="N1916" s="73"/>
      <c r="O1916" s="73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14.25" customHeight="1" x14ac:dyDescent="0.35">
      <c r="A1917" s="2"/>
      <c r="B1917" s="6"/>
      <c r="C1917" s="6"/>
      <c r="D1917" s="2"/>
      <c r="E1917" s="2"/>
      <c r="F1917" s="2"/>
      <c r="G1917" s="2"/>
      <c r="H1917" s="2"/>
      <c r="I1917" s="2"/>
      <c r="J1917" s="73"/>
      <c r="K1917" s="73"/>
      <c r="L1917" s="73"/>
      <c r="M1917" s="73"/>
      <c r="N1917" s="73"/>
      <c r="O1917" s="73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14.25" customHeight="1" x14ac:dyDescent="0.35">
      <c r="A1918" s="2"/>
      <c r="B1918" s="6"/>
      <c r="C1918" s="6"/>
      <c r="D1918" s="2"/>
      <c r="E1918" s="2"/>
      <c r="F1918" s="2"/>
      <c r="G1918" s="2"/>
      <c r="H1918" s="2"/>
      <c r="I1918" s="2"/>
      <c r="J1918" s="73"/>
      <c r="K1918" s="73"/>
      <c r="L1918" s="73"/>
      <c r="M1918" s="73"/>
      <c r="N1918" s="73"/>
      <c r="O1918" s="73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14.25" customHeight="1" x14ac:dyDescent="0.35">
      <c r="A1919" s="2"/>
      <c r="B1919" s="6"/>
      <c r="C1919" s="6"/>
      <c r="D1919" s="2"/>
      <c r="E1919" s="2"/>
      <c r="F1919" s="2"/>
      <c r="G1919" s="2"/>
      <c r="H1919" s="2"/>
      <c r="I1919" s="2"/>
      <c r="J1919" s="73"/>
      <c r="K1919" s="73"/>
      <c r="L1919" s="73"/>
      <c r="M1919" s="73"/>
      <c r="N1919" s="73"/>
      <c r="O1919" s="73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14.25" customHeight="1" x14ac:dyDescent="0.35">
      <c r="A1920" s="2"/>
      <c r="B1920" s="6"/>
      <c r="C1920" s="6"/>
      <c r="D1920" s="2"/>
      <c r="E1920" s="2"/>
      <c r="F1920" s="2"/>
      <c r="G1920" s="2"/>
      <c r="H1920" s="2"/>
      <c r="I1920" s="2"/>
      <c r="J1920" s="73"/>
      <c r="K1920" s="73"/>
      <c r="L1920" s="73"/>
      <c r="M1920" s="73"/>
      <c r="N1920" s="73"/>
      <c r="O1920" s="73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14.25" customHeight="1" x14ac:dyDescent="0.35">
      <c r="A1921" s="2"/>
      <c r="B1921" s="6"/>
      <c r="C1921" s="6"/>
      <c r="D1921" s="2"/>
      <c r="E1921" s="2"/>
      <c r="F1921" s="2"/>
      <c r="G1921" s="2"/>
      <c r="H1921" s="2"/>
      <c r="I1921" s="2"/>
      <c r="J1921" s="73"/>
      <c r="K1921" s="73"/>
      <c r="L1921" s="73"/>
      <c r="M1921" s="73"/>
      <c r="N1921" s="73"/>
      <c r="O1921" s="73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14.25" customHeight="1" x14ac:dyDescent="0.35">
      <c r="A1922" s="2"/>
      <c r="B1922" s="6"/>
      <c r="C1922" s="6"/>
      <c r="D1922" s="2"/>
      <c r="E1922" s="2"/>
      <c r="F1922" s="2"/>
      <c r="G1922" s="2"/>
      <c r="H1922" s="2"/>
      <c r="I1922" s="2"/>
      <c r="J1922" s="73"/>
      <c r="K1922" s="73"/>
      <c r="L1922" s="73"/>
      <c r="M1922" s="73"/>
      <c r="N1922" s="73"/>
      <c r="O1922" s="73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14.25" customHeight="1" x14ac:dyDescent="0.35">
      <c r="A1923" s="2"/>
      <c r="B1923" s="6"/>
      <c r="C1923" s="6"/>
      <c r="D1923" s="2"/>
      <c r="E1923" s="2"/>
      <c r="F1923" s="2"/>
      <c r="G1923" s="2"/>
      <c r="H1923" s="2"/>
      <c r="I1923" s="2"/>
      <c r="J1923" s="73"/>
      <c r="K1923" s="73"/>
      <c r="L1923" s="73"/>
      <c r="M1923" s="73"/>
      <c r="N1923" s="73"/>
      <c r="O1923" s="73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14.25" customHeight="1" x14ac:dyDescent="0.35">
      <c r="A1924" s="2"/>
      <c r="B1924" s="6"/>
      <c r="C1924" s="6"/>
      <c r="D1924" s="2"/>
      <c r="E1924" s="2"/>
      <c r="F1924" s="2"/>
      <c r="G1924" s="2"/>
      <c r="H1924" s="2"/>
      <c r="I1924" s="2"/>
      <c r="J1924" s="73"/>
      <c r="K1924" s="73"/>
      <c r="L1924" s="73"/>
      <c r="M1924" s="73"/>
      <c r="N1924" s="73"/>
      <c r="O1924" s="73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14.25" customHeight="1" x14ac:dyDescent="0.35">
      <c r="A1925" s="2"/>
      <c r="B1925" s="6"/>
      <c r="C1925" s="6"/>
      <c r="D1925" s="2"/>
      <c r="E1925" s="2"/>
      <c r="F1925" s="2"/>
      <c r="G1925" s="2"/>
      <c r="H1925" s="2"/>
      <c r="I1925" s="2"/>
      <c r="J1925" s="73"/>
      <c r="K1925" s="73"/>
      <c r="L1925" s="73"/>
      <c r="M1925" s="73"/>
      <c r="N1925" s="73"/>
      <c r="O1925" s="73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14.25" customHeight="1" x14ac:dyDescent="0.35">
      <c r="A1926" s="2"/>
      <c r="B1926" s="6"/>
      <c r="C1926" s="6"/>
      <c r="D1926" s="2"/>
      <c r="E1926" s="2"/>
      <c r="F1926" s="2"/>
      <c r="G1926" s="2"/>
      <c r="H1926" s="2"/>
      <c r="I1926" s="2"/>
      <c r="J1926" s="73"/>
      <c r="K1926" s="73"/>
      <c r="L1926" s="73"/>
      <c r="M1926" s="73"/>
      <c r="N1926" s="73"/>
      <c r="O1926" s="73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14.25" customHeight="1" x14ac:dyDescent="0.35">
      <c r="A1927" s="2"/>
      <c r="B1927" s="6"/>
      <c r="C1927" s="6"/>
      <c r="D1927" s="2"/>
      <c r="E1927" s="2"/>
      <c r="F1927" s="2"/>
      <c r="G1927" s="2"/>
      <c r="H1927" s="2"/>
      <c r="I1927" s="2"/>
      <c r="J1927" s="73"/>
      <c r="K1927" s="73"/>
      <c r="L1927" s="73"/>
      <c r="M1927" s="73"/>
      <c r="N1927" s="73"/>
      <c r="O1927" s="73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14.25" customHeight="1" x14ac:dyDescent="0.35">
      <c r="A1928" s="2"/>
      <c r="B1928" s="6"/>
      <c r="C1928" s="6"/>
      <c r="D1928" s="2"/>
      <c r="E1928" s="2"/>
      <c r="F1928" s="2"/>
      <c r="G1928" s="2"/>
      <c r="H1928" s="2"/>
      <c r="I1928" s="2"/>
      <c r="J1928" s="73"/>
      <c r="K1928" s="73"/>
      <c r="L1928" s="73"/>
      <c r="M1928" s="73"/>
      <c r="N1928" s="73"/>
      <c r="O1928" s="73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14.25" customHeight="1" x14ac:dyDescent="0.35">
      <c r="A1929" s="2"/>
      <c r="B1929" s="6"/>
      <c r="C1929" s="6"/>
      <c r="D1929" s="2"/>
      <c r="E1929" s="2"/>
      <c r="F1929" s="2"/>
      <c r="G1929" s="2"/>
      <c r="H1929" s="2"/>
      <c r="I1929" s="2"/>
      <c r="J1929" s="73"/>
      <c r="K1929" s="73"/>
      <c r="L1929" s="73"/>
      <c r="M1929" s="73"/>
      <c r="N1929" s="73"/>
      <c r="O1929" s="73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14.25" customHeight="1" x14ac:dyDescent="0.35">
      <c r="A1930" s="2"/>
      <c r="B1930" s="6"/>
      <c r="C1930" s="6"/>
      <c r="D1930" s="2"/>
      <c r="E1930" s="2"/>
      <c r="F1930" s="2"/>
      <c r="G1930" s="2"/>
      <c r="H1930" s="2"/>
      <c r="I1930" s="2"/>
      <c r="J1930" s="73"/>
      <c r="K1930" s="73"/>
      <c r="L1930" s="73"/>
      <c r="M1930" s="73"/>
      <c r="N1930" s="73"/>
      <c r="O1930" s="73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14.25" customHeight="1" x14ac:dyDescent="0.35">
      <c r="A1931" s="2"/>
      <c r="B1931" s="6"/>
      <c r="C1931" s="6"/>
      <c r="D1931" s="2"/>
      <c r="E1931" s="2"/>
      <c r="F1931" s="2"/>
      <c r="G1931" s="2"/>
      <c r="H1931" s="2"/>
      <c r="I1931" s="2"/>
      <c r="J1931" s="73"/>
      <c r="K1931" s="73"/>
      <c r="L1931" s="73"/>
      <c r="M1931" s="73"/>
      <c r="N1931" s="73"/>
      <c r="O1931" s="73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14.25" customHeight="1" x14ac:dyDescent="0.35">
      <c r="A1932" s="2"/>
      <c r="B1932" s="6"/>
      <c r="C1932" s="6"/>
      <c r="D1932" s="2"/>
      <c r="E1932" s="2"/>
      <c r="F1932" s="2"/>
      <c r="G1932" s="2"/>
      <c r="H1932" s="2"/>
      <c r="I1932" s="2"/>
      <c r="J1932" s="73"/>
      <c r="K1932" s="73"/>
      <c r="L1932" s="73"/>
      <c r="M1932" s="73"/>
      <c r="N1932" s="73"/>
      <c r="O1932" s="73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14.25" customHeight="1" x14ac:dyDescent="0.35">
      <c r="A1933" s="2"/>
      <c r="B1933" s="6"/>
      <c r="C1933" s="6"/>
      <c r="D1933" s="2"/>
      <c r="E1933" s="2"/>
      <c r="F1933" s="2"/>
      <c r="G1933" s="2"/>
      <c r="H1933" s="2"/>
      <c r="I1933" s="2"/>
      <c r="J1933" s="73"/>
      <c r="K1933" s="73"/>
      <c r="L1933" s="73"/>
      <c r="M1933" s="73"/>
      <c r="N1933" s="73"/>
      <c r="O1933" s="73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14.25" customHeight="1" x14ac:dyDescent="0.35">
      <c r="A1934" s="2"/>
      <c r="B1934" s="6"/>
      <c r="C1934" s="6"/>
      <c r="D1934" s="2"/>
      <c r="E1934" s="2"/>
      <c r="F1934" s="2"/>
      <c r="G1934" s="2"/>
      <c r="H1934" s="2"/>
      <c r="I1934" s="2"/>
      <c r="J1934" s="73"/>
      <c r="K1934" s="73"/>
      <c r="L1934" s="73"/>
      <c r="M1934" s="73"/>
      <c r="N1934" s="73"/>
      <c r="O1934" s="73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14.25" customHeight="1" x14ac:dyDescent="0.35">
      <c r="A1935" s="2"/>
      <c r="B1935" s="6"/>
      <c r="C1935" s="6"/>
      <c r="D1935" s="2"/>
      <c r="E1935" s="2"/>
      <c r="F1935" s="2"/>
      <c r="G1935" s="2"/>
      <c r="H1935" s="2"/>
      <c r="I1935" s="2"/>
      <c r="J1935" s="73"/>
      <c r="K1935" s="73"/>
      <c r="L1935" s="73"/>
      <c r="M1935" s="73"/>
      <c r="N1935" s="73"/>
      <c r="O1935" s="73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14.25" customHeight="1" x14ac:dyDescent="0.35">
      <c r="A1936" s="2"/>
      <c r="B1936" s="6"/>
      <c r="C1936" s="6"/>
      <c r="D1936" s="2"/>
      <c r="E1936" s="2"/>
      <c r="F1936" s="2"/>
      <c r="G1936" s="2"/>
      <c r="H1936" s="2"/>
      <c r="I1936" s="2"/>
      <c r="J1936" s="73"/>
      <c r="K1936" s="73"/>
      <c r="L1936" s="73"/>
      <c r="M1936" s="73"/>
      <c r="N1936" s="73"/>
      <c r="O1936" s="73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14.25" customHeight="1" x14ac:dyDescent="0.35">
      <c r="A1937" s="2"/>
      <c r="B1937" s="6"/>
      <c r="C1937" s="6"/>
      <c r="D1937" s="2"/>
      <c r="E1937" s="2"/>
      <c r="F1937" s="2"/>
      <c r="G1937" s="2"/>
      <c r="H1937" s="2"/>
      <c r="I1937" s="2"/>
      <c r="J1937" s="73"/>
      <c r="K1937" s="73"/>
      <c r="L1937" s="73"/>
      <c r="M1937" s="73"/>
      <c r="N1937" s="73"/>
      <c r="O1937" s="73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14.25" customHeight="1" x14ac:dyDescent="0.35">
      <c r="A1938" s="2"/>
      <c r="B1938" s="6"/>
      <c r="C1938" s="6"/>
      <c r="D1938" s="2"/>
      <c r="E1938" s="2"/>
      <c r="F1938" s="2"/>
      <c r="G1938" s="2"/>
      <c r="H1938" s="2"/>
      <c r="I1938" s="2"/>
      <c r="J1938" s="73"/>
      <c r="K1938" s="73"/>
      <c r="L1938" s="73"/>
      <c r="M1938" s="73"/>
      <c r="N1938" s="73"/>
      <c r="O1938" s="73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14.25" customHeight="1" x14ac:dyDescent="0.35">
      <c r="A1939" s="2"/>
      <c r="B1939" s="6"/>
      <c r="C1939" s="6"/>
      <c r="D1939" s="2"/>
      <c r="E1939" s="2"/>
      <c r="F1939" s="2"/>
      <c r="G1939" s="2"/>
      <c r="H1939" s="2"/>
      <c r="I1939" s="2"/>
      <c r="J1939" s="73"/>
      <c r="K1939" s="73"/>
      <c r="L1939" s="73"/>
      <c r="M1939" s="73"/>
      <c r="N1939" s="73"/>
      <c r="O1939" s="73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14.25" customHeight="1" x14ac:dyDescent="0.35">
      <c r="A1940" s="2"/>
      <c r="B1940" s="6"/>
      <c r="C1940" s="6"/>
      <c r="D1940" s="2"/>
      <c r="E1940" s="2"/>
      <c r="F1940" s="2"/>
      <c r="G1940" s="2"/>
      <c r="H1940" s="2"/>
      <c r="I1940" s="2"/>
      <c r="J1940" s="73"/>
      <c r="K1940" s="73"/>
      <c r="L1940" s="73"/>
      <c r="M1940" s="73"/>
      <c r="N1940" s="73"/>
      <c r="O1940" s="73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14.25" customHeight="1" x14ac:dyDescent="0.35">
      <c r="A1941" s="2"/>
      <c r="B1941" s="6"/>
      <c r="C1941" s="6"/>
      <c r="D1941" s="2"/>
      <c r="E1941" s="2"/>
      <c r="F1941" s="2"/>
      <c r="G1941" s="2"/>
      <c r="H1941" s="2"/>
      <c r="I1941" s="2"/>
      <c r="J1941" s="73"/>
      <c r="K1941" s="73"/>
      <c r="L1941" s="73"/>
      <c r="M1941" s="73"/>
      <c r="N1941" s="73"/>
      <c r="O1941" s="73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14.25" customHeight="1" x14ac:dyDescent="0.35">
      <c r="A1942" s="2"/>
      <c r="B1942" s="6"/>
      <c r="C1942" s="6"/>
      <c r="D1942" s="2"/>
      <c r="E1942" s="2"/>
      <c r="F1942" s="2"/>
      <c r="G1942" s="2"/>
      <c r="H1942" s="2"/>
      <c r="I1942" s="2"/>
      <c r="J1942" s="73"/>
      <c r="K1942" s="73"/>
      <c r="L1942" s="73"/>
      <c r="M1942" s="73"/>
      <c r="N1942" s="73"/>
      <c r="O1942" s="73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14.25" customHeight="1" x14ac:dyDescent="0.35">
      <c r="A1943" s="2"/>
      <c r="B1943" s="6"/>
      <c r="C1943" s="6"/>
      <c r="D1943" s="2"/>
      <c r="E1943" s="2"/>
      <c r="F1943" s="2"/>
      <c r="G1943" s="2"/>
      <c r="H1943" s="2"/>
      <c r="I1943" s="2"/>
      <c r="J1943" s="73"/>
      <c r="K1943" s="73"/>
      <c r="L1943" s="73"/>
      <c r="M1943" s="73"/>
      <c r="N1943" s="73"/>
      <c r="O1943" s="73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14.25" customHeight="1" x14ac:dyDescent="0.35">
      <c r="A1944" s="2"/>
      <c r="B1944" s="6"/>
      <c r="C1944" s="6"/>
      <c r="D1944" s="2"/>
      <c r="E1944" s="2"/>
      <c r="F1944" s="2"/>
      <c r="G1944" s="2"/>
      <c r="H1944" s="2"/>
      <c r="I1944" s="2"/>
      <c r="J1944" s="73"/>
      <c r="K1944" s="73"/>
      <c r="L1944" s="73"/>
      <c r="M1944" s="73"/>
      <c r="N1944" s="73"/>
      <c r="O1944" s="73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14.25" customHeight="1" x14ac:dyDescent="0.35">
      <c r="A1945" s="2"/>
      <c r="B1945" s="6"/>
      <c r="C1945" s="6"/>
      <c r="D1945" s="2"/>
      <c r="E1945" s="2"/>
      <c r="F1945" s="2"/>
      <c r="G1945" s="2"/>
      <c r="H1945" s="2"/>
      <c r="I1945" s="2"/>
      <c r="J1945" s="73"/>
      <c r="K1945" s="73"/>
      <c r="L1945" s="73"/>
      <c r="M1945" s="73"/>
      <c r="N1945" s="73"/>
      <c r="O1945" s="73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14.25" customHeight="1" x14ac:dyDescent="0.35">
      <c r="A1946" s="2"/>
      <c r="B1946" s="6"/>
      <c r="C1946" s="6"/>
      <c r="D1946" s="2"/>
      <c r="E1946" s="2"/>
      <c r="F1946" s="2"/>
      <c r="G1946" s="2"/>
      <c r="H1946" s="2"/>
      <c r="I1946" s="2"/>
      <c r="J1946" s="73"/>
      <c r="K1946" s="73"/>
      <c r="L1946" s="73"/>
      <c r="M1946" s="73"/>
      <c r="N1946" s="73"/>
      <c r="O1946" s="73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14.25" customHeight="1" x14ac:dyDescent="0.35">
      <c r="A1947" s="2"/>
      <c r="B1947" s="6"/>
      <c r="C1947" s="6"/>
      <c r="D1947" s="2"/>
      <c r="E1947" s="2"/>
      <c r="F1947" s="2"/>
      <c r="G1947" s="2"/>
      <c r="H1947" s="2"/>
      <c r="I1947" s="2"/>
      <c r="J1947" s="73"/>
      <c r="K1947" s="73"/>
      <c r="L1947" s="73"/>
      <c r="M1947" s="73"/>
      <c r="N1947" s="73"/>
      <c r="O1947" s="73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14.25" customHeight="1" x14ac:dyDescent="0.35">
      <c r="A1948" s="2"/>
      <c r="B1948" s="6"/>
      <c r="C1948" s="6"/>
      <c r="D1948" s="2"/>
      <c r="E1948" s="2"/>
      <c r="F1948" s="2"/>
      <c r="G1948" s="2"/>
      <c r="H1948" s="2"/>
      <c r="I1948" s="2"/>
      <c r="J1948" s="73"/>
      <c r="K1948" s="73"/>
      <c r="L1948" s="73"/>
      <c r="M1948" s="73"/>
      <c r="N1948" s="73"/>
      <c r="O1948" s="73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14.25" customHeight="1" x14ac:dyDescent="0.35">
      <c r="A1949" s="2"/>
      <c r="B1949" s="6"/>
      <c r="C1949" s="6"/>
      <c r="D1949" s="2"/>
      <c r="E1949" s="2"/>
      <c r="F1949" s="2"/>
      <c r="G1949" s="2"/>
      <c r="H1949" s="2"/>
      <c r="I1949" s="2"/>
      <c r="J1949" s="73"/>
      <c r="K1949" s="73"/>
      <c r="L1949" s="73"/>
      <c r="M1949" s="73"/>
      <c r="N1949" s="73"/>
      <c r="O1949" s="73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14.25" customHeight="1" x14ac:dyDescent="0.35">
      <c r="A1950" s="2"/>
      <c r="B1950" s="6"/>
      <c r="C1950" s="6"/>
      <c r="D1950" s="2"/>
      <c r="E1950" s="2"/>
      <c r="F1950" s="2"/>
      <c r="G1950" s="2"/>
      <c r="H1950" s="2"/>
      <c r="I1950" s="2"/>
      <c r="J1950" s="73"/>
      <c r="K1950" s="73"/>
      <c r="L1950" s="73"/>
      <c r="M1950" s="73"/>
      <c r="N1950" s="73"/>
      <c r="O1950" s="73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14.25" customHeight="1" x14ac:dyDescent="0.35">
      <c r="A1951" s="2"/>
      <c r="B1951" s="6"/>
      <c r="C1951" s="6"/>
      <c r="D1951" s="2"/>
      <c r="E1951" s="2"/>
      <c r="F1951" s="2"/>
      <c r="G1951" s="2"/>
      <c r="H1951" s="2"/>
      <c r="I1951" s="2"/>
      <c r="J1951" s="73"/>
      <c r="K1951" s="73"/>
      <c r="L1951" s="73"/>
      <c r="M1951" s="73"/>
      <c r="N1951" s="73"/>
      <c r="O1951" s="73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14.25" customHeight="1" x14ac:dyDescent="0.35">
      <c r="A1952" s="2"/>
      <c r="B1952" s="6"/>
      <c r="C1952" s="6"/>
      <c r="D1952" s="2"/>
      <c r="E1952" s="2"/>
      <c r="F1952" s="2"/>
      <c r="G1952" s="2"/>
      <c r="H1952" s="2"/>
      <c r="I1952" s="2"/>
      <c r="J1952" s="73"/>
      <c r="K1952" s="73"/>
      <c r="L1952" s="73"/>
      <c r="M1952" s="73"/>
      <c r="N1952" s="73"/>
      <c r="O1952" s="73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14.25" customHeight="1" x14ac:dyDescent="0.35">
      <c r="A1953" s="2"/>
      <c r="B1953" s="6"/>
      <c r="C1953" s="6"/>
      <c r="D1953" s="2"/>
      <c r="E1953" s="2"/>
      <c r="F1953" s="2"/>
      <c r="G1953" s="2"/>
      <c r="H1953" s="2"/>
      <c r="I1953" s="2"/>
      <c r="J1953" s="73"/>
      <c r="K1953" s="73"/>
      <c r="L1953" s="73"/>
      <c r="M1953" s="73"/>
      <c r="N1953" s="73"/>
      <c r="O1953" s="73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14.25" customHeight="1" x14ac:dyDescent="0.35">
      <c r="A1954" s="2"/>
      <c r="B1954" s="6"/>
      <c r="C1954" s="6"/>
      <c r="D1954" s="2"/>
      <c r="E1954" s="2"/>
      <c r="F1954" s="2"/>
      <c r="G1954" s="2"/>
      <c r="H1954" s="2"/>
      <c r="I1954" s="2"/>
      <c r="J1954" s="73"/>
      <c r="K1954" s="73"/>
      <c r="L1954" s="73"/>
      <c r="M1954" s="73"/>
      <c r="N1954" s="73"/>
      <c r="O1954" s="73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14.25" customHeight="1" x14ac:dyDescent="0.35">
      <c r="A1955" s="2"/>
      <c r="B1955" s="6"/>
      <c r="C1955" s="6"/>
      <c r="D1955" s="2"/>
      <c r="E1955" s="2"/>
      <c r="F1955" s="2"/>
      <c r="G1955" s="2"/>
      <c r="H1955" s="2"/>
      <c r="I1955" s="2"/>
      <c r="J1955" s="73"/>
      <c r="K1955" s="73"/>
      <c r="L1955" s="73"/>
      <c r="M1955" s="73"/>
      <c r="N1955" s="73"/>
      <c r="O1955" s="73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14.25" customHeight="1" x14ac:dyDescent="0.35">
      <c r="A1956" s="2"/>
      <c r="B1956" s="6"/>
      <c r="C1956" s="6"/>
      <c r="D1956" s="2"/>
      <c r="E1956" s="2"/>
      <c r="F1956" s="2"/>
      <c r="G1956" s="2"/>
      <c r="H1956" s="2"/>
      <c r="I1956" s="2"/>
      <c r="J1956" s="73"/>
      <c r="K1956" s="73"/>
      <c r="L1956" s="73"/>
      <c r="M1956" s="73"/>
      <c r="N1956" s="73"/>
      <c r="O1956" s="73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14.25" customHeight="1" x14ac:dyDescent="0.35">
      <c r="A1957" s="2"/>
      <c r="B1957" s="6"/>
      <c r="C1957" s="6"/>
      <c r="D1957" s="2"/>
      <c r="E1957" s="2"/>
      <c r="F1957" s="2"/>
      <c r="G1957" s="2"/>
      <c r="H1957" s="2"/>
      <c r="I1957" s="2"/>
      <c r="J1957" s="73"/>
      <c r="K1957" s="73"/>
      <c r="L1957" s="73"/>
      <c r="M1957" s="73"/>
      <c r="N1957" s="73"/>
      <c r="O1957" s="73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14.25" customHeight="1" x14ac:dyDescent="0.35">
      <c r="A1958" s="2"/>
      <c r="B1958" s="6"/>
      <c r="C1958" s="6"/>
      <c r="D1958" s="2"/>
      <c r="E1958" s="2"/>
      <c r="F1958" s="2"/>
      <c r="G1958" s="2"/>
      <c r="H1958" s="2"/>
      <c r="I1958" s="2"/>
      <c r="J1958" s="73"/>
      <c r="K1958" s="73"/>
      <c r="L1958" s="73"/>
      <c r="M1958" s="73"/>
      <c r="N1958" s="73"/>
      <c r="O1958" s="73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14.25" customHeight="1" x14ac:dyDescent="0.35">
      <c r="A1959" s="2"/>
      <c r="B1959" s="6"/>
      <c r="C1959" s="6"/>
      <c r="D1959" s="2"/>
      <c r="E1959" s="2"/>
      <c r="F1959" s="2"/>
      <c r="G1959" s="2"/>
      <c r="H1959" s="2"/>
      <c r="I1959" s="2"/>
      <c r="J1959" s="73"/>
      <c r="K1959" s="73"/>
      <c r="L1959" s="73"/>
      <c r="M1959" s="73"/>
      <c r="N1959" s="73"/>
      <c r="O1959" s="73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14.25" customHeight="1" x14ac:dyDescent="0.35">
      <c r="A1960" s="2"/>
      <c r="B1960" s="6"/>
      <c r="C1960" s="6"/>
      <c r="D1960" s="2"/>
      <c r="E1960" s="2"/>
      <c r="F1960" s="2"/>
      <c r="G1960" s="2"/>
      <c r="H1960" s="2"/>
      <c r="I1960" s="2"/>
      <c r="J1960" s="73"/>
      <c r="K1960" s="73"/>
      <c r="L1960" s="73"/>
      <c r="M1960" s="73"/>
      <c r="N1960" s="73"/>
      <c r="O1960" s="73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14.25" customHeight="1" x14ac:dyDescent="0.35">
      <c r="A1961" s="2"/>
      <c r="B1961" s="6"/>
      <c r="C1961" s="6"/>
      <c r="D1961" s="2"/>
      <c r="E1961" s="2"/>
      <c r="F1961" s="2"/>
      <c r="G1961" s="2"/>
      <c r="H1961" s="2"/>
      <c r="I1961" s="2"/>
      <c r="J1961" s="73"/>
      <c r="K1961" s="73"/>
      <c r="L1961" s="73"/>
      <c r="M1961" s="73"/>
      <c r="N1961" s="73"/>
      <c r="O1961" s="73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14.25" customHeight="1" x14ac:dyDescent="0.35">
      <c r="A1962" s="2"/>
      <c r="B1962" s="6"/>
      <c r="C1962" s="6"/>
      <c r="D1962" s="2"/>
      <c r="E1962" s="2"/>
      <c r="F1962" s="2"/>
      <c r="G1962" s="2"/>
      <c r="H1962" s="2"/>
      <c r="I1962" s="2"/>
      <c r="J1962" s="73"/>
      <c r="K1962" s="73"/>
      <c r="L1962" s="73"/>
      <c r="M1962" s="73"/>
      <c r="N1962" s="73"/>
      <c r="O1962" s="73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14.25" customHeight="1" x14ac:dyDescent="0.35">
      <c r="A1963" s="2"/>
      <c r="B1963" s="6"/>
      <c r="C1963" s="6"/>
      <c r="D1963" s="2"/>
      <c r="E1963" s="2"/>
      <c r="F1963" s="2"/>
      <c r="G1963" s="2"/>
      <c r="H1963" s="2"/>
      <c r="I1963" s="2"/>
      <c r="J1963" s="73"/>
      <c r="K1963" s="73"/>
      <c r="L1963" s="73"/>
      <c r="M1963" s="73"/>
      <c r="N1963" s="73"/>
      <c r="O1963" s="73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14.25" customHeight="1" x14ac:dyDescent="0.35">
      <c r="A1964" s="2"/>
      <c r="B1964" s="6"/>
      <c r="C1964" s="6"/>
      <c r="D1964" s="2"/>
      <c r="E1964" s="2"/>
      <c r="F1964" s="2"/>
      <c r="G1964" s="2"/>
      <c r="H1964" s="2"/>
      <c r="I1964" s="2"/>
      <c r="J1964" s="73"/>
      <c r="K1964" s="73"/>
      <c r="L1964" s="73"/>
      <c r="M1964" s="73"/>
      <c r="N1964" s="73"/>
      <c r="O1964" s="73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14.25" customHeight="1" x14ac:dyDescent="0.35">
      <c r="A1965" s="2"/>
      <c r="B1965" s="6"/>
      <c r="C1965" s="6"/>
      <c r="D1965" s="2"/>
      <c r="E1965" s="2"/>
      <c r="F1965" s="2"/>
      <c r="G1965" s="2"/>
      <c r="H1965" s="2"/>
      <c r="I1965" s="2"/>
      <c r="J1965" s="73"/>
      <c r="K1965" s="73"/>
      <c r="L1965" s="73"/>
      <c r="M1965" s="73"/>
      <c r="N1965" s="73"/>
      <c r="O1965" s="73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</sheetData>
  <autoFilter ref="A7:O1766" xr:uid="{00000000-0001-0000-0300-000000000000}"/>
  <mergeCells count="1">
    <mergeCell ref="A5:J5"/>
  </mergeCells>
  <pageMargins left="0.7" right="0.7" top="0.75" bottom="0.75" header="0" footer="0"/>
  <pageSetup paperSize="14"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Z1001"/>
  <sheetViews>
    <sheetView workbookViewId="0">
      <selection activeCell="L4" sqref="L4"/>
    </sheetView>
  </sheetViews>
  <sheetFormatPr defaultColWidth="14.453125" defaultRowHeight="15" customHeight="1" x14ac:dyDescent="0.35"/>
  <cols>
    <col min="1" max="1" width="6.453125" customWidth="1"/>
    <col min="2" max="22" width="8.81640625" customWidth="1"/>
  </cols>
  <sheetData>
    <row r="1" spans="1:26" ht="14.25" customHeight="1" x14ac:dyDescent="0.35">
      <c r="A1" s="2">
        <v>10</v>
      </c>
      <c r="B1" s="119" t="s">
        <v>334</v>
      </c>
      <c r="C1" s="2"/>
      <c r="D1" s="2"/>
      <c r="E1" s="2"/>
      <c r="F1" s="2"/>
      <c r="G1" s="2"/>
      <c r="H1" s="2"/>
      <c r="I1" s="2"/>
      <c r="J1" s="2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2">
        <v>11</v>
      </c>
      <c r="B2" s="119" t="s">
        <v>335</v>
      </c>
      <c r="C2" s="2"/>
      <c r="D2" s="2"/>
      <c r="E2" s="2"/>
      <c r="F2" s="2"/>
      <c r="G2" s="2"/>
      <c r="H2" s="2"/>
      <c r="I2" s="2"/>
      <c r="J2" s="2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">
        <v>12</v>
      </c>
      <c r="B3" s="2" t="s">
        <v>144</v>
      </c>
      <c r="C3" s="2"/>
      <c r="D3" s="2"/>
      <c r="E3" s="2"/>
      <c r="F3" s="2"/>
      <c r="G3" s="2"/>
      <c r="H3" s="2"/>
      <c r="I3" s="2"/>
      <c r="J3" s="2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>
        <v>13</v>
      </c>
      <c r="B4" s="2" t="s">
        <v>143</v>
      </c>
      <c r="C4" s="2"/>
      <c r="D4" s="2"/>
      <c r="E4" s="2"/>
      <c r="F4" s="2"/>
      <c r="G4" s="2"/>
      <c r="H4" s="2"/>
      <c r="I4" s="2"/>
      <c r="J4" s="2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2">
        <v>20</v>
      </c>
      <c r="B5" s="119" t="s">
        <v>289</v>
      </c>
      <c r="C5" s="2"/>
      <c r="D5" s="2"/>
      <c r="E5" s="2"/>
      <c r="F5" s="2"/>
      <c r="G5" s="2"/>
      <c r="H5" s="2"/>
      <c r="I5" s="2"/>
      <c r="J5" s="2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2">
        <v>21</v>
      </c>
      <c r="B6" s="2" t="s">
        <v>14</v>
      </c>
      <c r="C6" s="2"/>
      <c r="D6" s="2"/>
      <c r="E6" s="2"/>
      <c r="F6" s="2"/>
      <c r="G6" s="2"/>
      <c r="H6" s="2"/>
      <c r="I6" s="2"/>
      <c r="J6" s="2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2">
        <v>40</v>
      </c>
      <c r="B7" s="2" t="s">
        <v>145</v>
      </c>
      <c r="C7" s="2"/>
      <c r="D7" s="2"/>
      <c r="E7" s="2"/>
      <c r="F7" s="2"/>
      <c r="G7" s="2"/>
      <c r="H7" s="2"/>
      <c r="I7" s="2"/>
      <c r="J7" s="2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2">
        <v>41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>
        <v>50</v>
      </c>
      <c r="B9" s="2" t="s">
        <v>146</v>
      </c>
      <c r="C9" s="2"/>
      <c r="D9" s="2"/>
      <c r="E9" s="2"/>
      <c r="F9" s="2"/>
      <c r="G9" s="2"/>
      <c r="H9" s="2"/>
      <c r="I9" s="2"/>
      <c r="J9" s="2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2">
        <v>51</v>
      </c>
      <c r="B10" s="2" t="s">
        <v>147</v>
      </c>
      <c r="C10" s="2"/>
      <c r="D10" s="2"/>
      <c r="E10" s="2"/>
      <c r="F10" s="2"/>
      <c r="G10" s="2"/>
      <c r="H10" s="2"/>
      <c r="I10" s="2"/>
      <c r="J10" s="2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">
        <v>52</v>
      </c>
      <c r="B11" s="119" t="s">
        <v>249</v>
      </c>
      <c r="C11" s="2"/>
      <c r="D11" s="2"/>
      <c r="E11" s="2"/>
      <c r="F11" s="2"/>
      <c r="G11" s="2"/>
      <c r="H11" s="2"/>
      <c r="I11" s="2"/>
      <c r="J11" s="2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">
        <v>53</v>
      </c>
      <c r="B12" s="2" t="s">
        <v>151</v>
      </c>
      <c r="C12" s="2"/>
      <c r="D12" s="2"/>
      <c r="E12" s="2"/>
      <c r="F12" s="2"/>
      <c r="G12" s="2"/>
      <c r="H12" s="2"/>
      <c r="I12" s="2"/>
      <c r="J12" s="2"/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>
        <v>54</v>
      </c>
      <c r="B13" s="2" t="s">
        <v>148</v>
      </c>
      <c r="C13" s="2"/>
      <c r="D13" s="2"/>
      <c r="E13" s="2"/>
      <c r="F13" s="2"/>
      <c r="G13" s="2"/>
      <c r="H13" s="2"/>
      <c r="I13" s="2"/>
      <c r="J13" s="2"/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>
        <v>55</v>
      </c>
      <c r="B14" s="2" t="s">
        <v>149</v>
      </c>
      <c r="C14" s="2"/>
      <c r="D14" s="2"/>
      <c r="E14" s="2"/>
      <c r="F14" s="2"/>
      <c r="G14" s="2"/>
      <c r="H14" s="2"/>
      <c r="I14" s="2"/>
      <c r="J14" s="2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>
        <v>56</v>
      </c>
      <c r="B15" s="2" t="s">
        <v>150</v>
      </c>
      <c r="C15" s="2"/>
      <c r="D15" s="2"/>
      <c r="E15" s="2"/>
      <c r="F15" s="2"/>
      <c r="G15" s="2"/>
      <c r="H15" s="2"/>
      <c r="I15" s="2"/>
      <c r="J15" s="2"/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>
        <v>57</v>
      </c>
      <c r="B16" s="2" t="s">
        <v>152</v>
      </c>
      <c r="C16" s="2"/>
      <c r="D16" s="2"/>
      <c r="E16" s="2"/>
      <c r="F16" s="2"/>
      <c r="G16" s="2"/>
      <c r="H16" s="2"/>
      <c r="I16" s="2"/>
      <c r="J16" s="2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>
        <v>58</v>
      </c>
      <c r="B17" s="119" t="s">
        <v>188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>
        <v>59</v>
      </c>
      <c r="B18" s="119" t="s">
        <v>200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119">
        <v>60</v>
      </c>
      <c r="B19" s="119" t="s">
        <v>287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119">
        <v>61</v>
      </c>
      <c r="B20" s="119" t="s">
        <v>288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5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5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5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5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5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5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5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5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5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5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5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5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5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5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5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5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5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Z1003"/>
  <sheetViews>
    <sheetView topLeftCell="A27" zoomScale="84" zoomScaleNormal="84" workbookViewId="0">
      <selection sqref="A1:M38"/>
    </sheetView>
  </sheetViews>
  <sheetFormatPr defaultColWidth="14.453125" defaultRowHeight="15" customHeight="1" x14ac:dyDescent="0.35"/>
  <cols>
    <col min="1" max="1" width="3.81640625" customWidth="1"/>
    <col min="2" max="2" width="2.81640625" customWidth="1"/>
    <col min="3" max="6" width="8.81640625" customWidth="1"/>
    <col min="7" max="7" width="16.453125" customWidth="1"/>
    <col min="8" max="8" width="12.453125" customWidth="1"/>
    <col min="9" max="9" width="5.08984375" customWidth="1"/>
    <col min="10" max="14" width="8.81640625" customWidth="1"/>
    <col min="15" max="15" width="11.453125" customWidth="1"/>
    <col min="16" max="18" width="8.81640625" customWidth="1"/>
    <col min="19" max="19" width="12" bestFit="1" customWidth="1"/>
    <col min="20" max="26" width="8.81640625" customWidth="1"/>
  </cols>
  <sheetData>
    <row r="1" spans="1:26" ht="14.25" customHeight="1" x14ac:dyDescent="0.35">
      <c r="A1" s="209" t="s">
        <v>279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24">
        <v>5</v>
      </c>
      <c r="O1" s="2"/>
      <c r="P1" s="5">
        <v>1</v>
      </c>
      <c r="Q1" s="2" t="s">
        <v>2</v>
      </c>
      <c r="R1" s="2"/>
      <c r="S1" s="25">
        <v>-965500</v>
      </c>
      <c r="T1" s="2" t="s">
        <v>26</v>
      </c>
      <c r="U1" s="2"/>
      <c r="V1" s="2"/>
      <c r="W1" s="2"/>
      <c r="X1" s="2"/>
      <c r="Y1" s="2"/>
      <c r="Z1" s="2"/>
    </row>
    <row r="2" spans="1:26" ht="14.25" customHeight="1" x14ac:dyDescent="0.35">
      <c r="A2" s="190" t="s">
        <v>27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2"/>
      <c r="O2" s="2"/>
      <c r="P2" s="5">
        <v>2</v>
      </c>
      <c r="Q2" s="2" t="s">
        <v>3</v>
      </c>
      <c r="R2" s="2"/>
      <c r="S2" s="25">
        <v>663000</v>
      </c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10" t="str">
        <f>"PERIODE "&amp;VLOOKUP(N1,P1:Q12,2,FALSE)</f>
        <v>PERIODE MEI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26"/>
      <c r="N3" s="2"/>
      <c r="O3" s="2"/>
      <c r="P3" s="5">
        <v>3</v>
      </c>
      <c r="Q3" s="2" t="s">
        <v>4</v>
      </c>
      <c r="R3" s="2"/>
      <c r="S3" s="25">
        <v>-6385000</v>
      </c>
      <c r="T3" s="2" t="s">
        <v>26</v>
      </c>
      <c r="U3" s="2"/>
      <c r="V3" s="2"/>
      <c r="W3" s="2"/>
      <c r="X3" s="2"/>
      <c r="Y3" s="2"/>
      <c r="Z3" s="2"/>
    </row>
    <row r="4" spans="1:26" ht="14.25" customHeight="1" x14ac:dyDescent="0.35">
      <c r="A4" s="190" t="str">
        <f>"Bulan "&amp;VLOOKUP(N1,P1:Q12,2,FALSE)</f>
        <v>Bulan MEI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2"/>
      <c r="N4" s="2"/>
      <c r="O4" s="2"/>
      <c r="P4" s="5">
        <v>4</v>
      </c>
      <c r="Q4" s="2" t="s">
        <v>0</v>
      </c>
      <c r="R4" s="2"/>
      <c r="S4" s="25">
        <v>4680000</v>
      </c>
      <c r="T4" s="2" t="s">
        <v>26</v>
      </c>
      <c r="U4" s="2"/>
      <c r="V4" s="2"/>
      <c r="W4" s="2"/>
      <c r="X4" s="2"/>
      <c r="Y4" s="2"/>
      <c r="Z4" s="2"/>
    </row>
    <row r="5" spans="1:26" ht="14.25" customHeight="1" x14ac:dyDescent="0.35">
      <c r="A5" s="2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5">
        <v>5</v>
      </c>
      <c r="Q5" s="2" t="s">
        <v>5</v>
      </c>
      <c r="R5" s="2"/>
      <c r="S5" s="25">
        <f>L29</f>
        <v>373700</v>
      </c>
      <c r="T5" s="2" t="s">
        <v>26</v>
      </c>
      <c r="U5" s="2"/>
      <c r="V5" s="2"/>
      <c r="W5" s="2"/>
      <c r="X5" s="2"/>
      <c r="Y5" s="2"/>
      <c r="Z5" s="2"/>
    </row>
    <row r="6" spans="1:26" ht="14.25" customHeight="1" x14ac:dyDescent="0.35">
      <c r="A6" s="1">
        <v>40</v>
      </c>
      <c r="B6" s="2" t="s">
        <v>145</v>
      </c>
      <c r="C6" s="1"/>
      <c r="D6" s="1"/>
      <c r="E6" s="1"/>
      <c r="F6" s="1"/>
      <c r="G6" s="1"/>
      <c r="H6" s="1"/>
      <c r="I6" s="1"/>
      <c r="J6" s="184">
        <f>SUMIFS(JURNAL_26!$J$9:$J$1764,JURNAL_26!$C$9:$C$1764,'LR BLN'!$N$1,JURNAL_26!$G$9:$G$1764,'LR BLN'!B6)</f>
        <v>6310000</v>
      </c>
      <c r="K6" s="185"/>
      <c r="L6" s="1"/>
      <c r="M6" s="1"/>
      <c r="N6" s="1"/>
      <c r="O6" s="1"/>
      <c r="P6" s="27">
        <v>6</v>
      </c>
      <c r="Q6" s="1" t="s">
        <v>6</v>
      </c>
      <c r="R6" s="1"/>
      <c r="S6" s="28"/>
      <c r="T6" s="2" t="s">
        <v>26</v>
      </c>
      <c r="U6" s="1"/>
      <c r="V6" s="1"/>
      <c r="W6" s="1"/>
      <c r="X6" s="1"/>
      <c r="Y6" s="1"/>
      <c r="Z6" s="1"/>
    </row>
    <row r="7" spans="1:26" ht="14.25" customHeight="1" x14ac:dyDescent="0.35">
      <c r="A7" s="1">
        <v>41</v>
      </c>
      <c r="B7" s="2" t="s">
        <v>15</v>
      </c>
      <c r="C7" s="1"/>
      <c r="D7" s="1"/>
      <c r="E7" s="1"/>
      <c r="F7" s="1"/>
      <c r="G7" s="1"/>
      <c r="H7" s="1"/>
      <c r="I7" s="1"/>
      <c r="J7" s="184">
        <f>SUMIFS(JURNAL_26!$J$9:$J$1764,JURNAL_26!$C$9:$C$1764,'LR BLN'!$N$1,JURNAL_26!$G$9:$G$1764,'LR BLN'!B7)</f>
        <v>100000</v>
      </c>
      <c r="K7" s="185"/>
      <c r="L7" s="1"/>
      <c r="M7" s="1"/>
      <c r="N7" s="1"/>
      <c r="O7" s="1"/>
      <c r="P7" s="29">
        <v>7</v>
      </c>
      <c r="Q7" s="1" t="s">
        <v>7</v>
      </c>
      <c r="R7" s="1"/>
      <c r="S7" s="28"/>
      <c r="T7" s="2" t="s">
        <v>26</v>
      </c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2"/>
      <c r="C8" s="1"/>
      <c r="D8" s="1"/>
      <c r="E8" s="1"/>
      <c r="F8" s="1"/>
      <c r="G8" s="1"/>
      <c r="H8" s="1"/>
      <c r="I8" s="1"/>
      <c r="J8" s="184">
        <f>SUMIFS(JURNAL_26!$J$9:$J$1764,JURNAL_26!$C$9:$C$1764,'LR BLN'!$N$1,JURNAL_26!$G$9:$G$1764,'LR BLN'!B8)</f>
        <v>0</v>
      </c>
      <c r="K8" s="185"/>
      <c r="L8" s="1"/>
      <c r="M8" s="1"/>
      <c r="N8" s="1"/>
      <c r="O8" s="1"/>
      <c r="P8" s="29">
        <v>8</v>
      </c>
      <c r="Q8" s="1" t="s">
        <v>8</v>
      </c>
      <c r="R8" s="1"/>
      <c r="S8" s="28"/>
      <c r="T8" s="2" t="s">
        <v>26</v>
      </c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2"/>
      <c r="C9" s="2"/>
      <c r="D9" s="2"/>
      <c r="E9" s="2"/>
      <c r="F9" s="2"/>
      <c r="G9" s="1"/>
      <c r="H9" s="1"/>
      <c r="I9" s="1"/>
      <c r="J9" s="184">
        <f>SUMIFS(JURNAL_26!$J$9:$J$1764,JURNAL_26!$C$9:$C$1764,'LR BLN'!$N$1,JURNAL_26!$G$9:$G$1764,'LR BLN'!B9)</f>
        <v>0</v>
      </c>
      <c r="K9" s="185"/>
      <c r="L9" s="1"/>
      <c r="M9" s="1"/>
      <c r="N9" s="1"/>
      <c r="O9" s="1"/>
      <c r="P9" s="29">
        <v>9</v>
      </c>
      <c r="Q9" s="1" t="s">
        <v>9</v>
      </c>
      <c r="R9" s="1"/>
      <c r="S9" s="28"/>
      <c r="T9" s="2" t="s">
        <v>26</v>
      </c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11">
        <f>SUM(J6:K9)</f>
        <v>6410000</v>
      </c>
      <c r="M10" s="212"/>
      <c r="N10" s="1"/>
      <c r="O10" s="1"/>
      <c r="P10" s="29">
        <v>10</v>
      </c>
      <c r="Q10" s="1" t="s">
        <v>10</v>
      </c>
      <c r="R10" s="1"/>
      <c r="S10" s="28"/>
      <c r="T10" s="2" t="s">
        <v>26</v>
      </c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5">
        <v>11</v>
      </c>
      <c r="Q11" s="1" t="s">
        <v>11</v>
      </c>
      <c r="R11" s="2"/>
      <c r="S11" s="25"/>
      <c r="T11" s="2" t="s">
        <v>26</v>
      </c>
      <c r="U11" s="1"/>
      <c r="V11" s="1"/>
      <c r="W11" s="1"/>
      <c r="X11" s="1"/>
      <c r="Y11" s="1"/>
      <c r="Z11" s="1"/>
    </row>
    <row r="12" spans="1:26" ht="14.25" customHeight="1" x14ac:dyDescent="0.35">
      <c r="A12" s="1" t="s">
        <v>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5">
        <v>12</v>
      </c>
      <c r="Q12" s="1" t="s">
        <v>12</v>
      </c>
      <c r="R12" s="2"/>
      <c r="S12" s="25"/>
      <c r="T12" s="2"/>
      <c r="U12" s="1"/>
      <c r="V12" s="1"/>
      <c r="W12" s="1"/>
      <c r="X12" s="1"/>
      <c r="Y12" s="1"/>
      <c r="Z12" s="1"/>
    </row>
    <row r="13" spans="1:26" ht="14.25" customHeight="1" x14ac:dyDescent="0.35">
      <c r="A13" s="2">
        <v>50</v>
      </c>
      <c r="B13" s="2" t="s">
        <v>146</v>
      </c>
      <c r="C13" s="2"/>
      <c r="D13" s="2"/>
      <c r="E13" s="2"/>
      <c r="F13" s="2"/>
      <c r="G13" s="2"/>
      <c r="H13" s="2"/>
      <c r="I13" s="2"/>
      <c r="J13" s="184">
        <f>SUMIFS(JURNAL_26!$K$9:$K$1764,JURNAL_26!$C$9:$C$1764,'LR BLN'!$N$1,JURNAL_26!$G$9:$G$1764,'LR BLN'!B13)</f>
        <v>3030000</v>
      </c>
      <c r="K13" s="185"/>
      <c r="L13" s="2"/>
      <c r="M13" s="2"/>
      <c r="N13" s="2"/>
      <c r="O13" s="5"/>
      <c r="P13" s="2"/>
      <c r="Q13" s="2"/>
      <c r="R13" s="2"/>
      <c r="S13" s="31">
        <f>SUM(S1:S12)</f>
        <v>-1633800</v>
      </c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>
        <v>51</v>
      </c>
      <c r="B14" s="2" t="s">
        <v>147</v>
      </c>
      <c r="C14" s="2"/>
      <c r="D14" s="2"/>
      <c r="E14" s="2"/>
      <c r="F14" s="2"/>
      <c r="G14" s="2"/>
      <c r="H14" s="2"/>
      <c r="I14" s="2"/>
      <c r="J14" s="184">
        <f>SUMIFS(JURNAL_26!$K$9:$K$1764,JURNAL_26!$C$9:$C$1764,'LR BLN'!$N$1,JURNAL_26!$G$9:$G$1764,'LR BLN'!B14)</f>
        <v>900000</v>
      </c>
      <c r="K14" s="185"/>
      <c r="L14" s="2"/>
      <c r="M14" s="2"/>
      <c r="N14" s="2"/>
      <c r="O14" s="5"/>
      <c r="P14" s="2"/>
      <c r="Q14" s="2"/>
      <c r="R14" s="2"/>
      <c r="S14" s="5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>
        <v>52</v>
      </c>
      <c r="B15" s="119" t="s">
        <v>249</v>
      </c>
      <c r="C15" s="2"/>
      <c r="D15" s="2"/>
      <c r="E15" s="2"/>
      <c r="F15" s="2"/>
      <c r="G15" s="2"/>
      <c r="H15" s="2"/>
      <c r="I15" s="2"/>
      <c r="J15" s="184">
        <f>SUMIFS(JURNAL_26!$K$9:$K$1764,JURNAL_26!$C$9:$C$1764,'LR BLN'!$N$1,JURNAL_26!$G$9:$G$1764,'LR BLN'!B15)</f>
        <v>750000</v>
      </c>
      <c r="K15" s="185"/>
      <c r="L15" s="2"/>
      <c r="M15" s="2"/>
      <c r="N15" s="2"/>
      <c r="O15" s="5"/>
      <c r="P15" s="5"/>
      <c r="Q15" s="2"/>
      <c r="R15" s="2"/>
      <c r="S15" s="5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>
        <v>53</v>
      </c>
      <c r="B16" s="2" t="s">
        <v>151</v>
      </c>
      <c r="C16" s="2"/>
      <c r="D16" s="2"/>
      <c r="E16" s="2"/>
      <c r="F16" s="2"/>
      <c r="G16" s="2"/>
      <c r="H16" s="2"/>
      <c r="I16" s="2"/>
      <c r="J16" s="184">
        <f>SUMIFS(JURNAL_26!$K$9:$K$1764,JURNAL_26!$C$9:$C$1764,'LR BLN'!$N$1,JURNAL_26!$G$9:$G$1764,'LR BLN'!B16)</f>
        <v>0</v>
      </c>
      <c r="K16" s="185"/>
      <c r="L16" s="2"/>
      <c r="M16" s="2"/>
      <c r="N16" s="2"/>
      <c r="O16" s="2"/>
      <c r="P16" s="2"/>
      <c r="Q16" s="2"/>
      <c r="R16" s="2"/>
      <c r="S16" s="5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>
        <v>54</v>
      </c>
      <c r="B17" s="2" t="s">
        <v>148</v>
      </c>
      <c r="C17" s="2"/>
      <c r="D17" s="2"/>
      <c r="E17" s="2"/>
      <c r="F17" s="2"/>
      <c r="G17" s="2"/>
      <c r="H17" s="2"/>
      <c r="I17" s="2"/>
      <c r="J17" s="184">
        <f>SUMIFS(JURNAL_26!$K$9:$K$1764,JURNAL_26!$C$9:$C$1764,'LR BLN'!$N$1,JURNAL_26!$G$9:$G$1764,'LR BLN'!B17)</f>
        <v>39648</v>
      </c>
      <c r="K17" s="185"/>
      <c r="L17" s="2"/>
      <c r="M17" s="2"/>
      <c r="N17" s="2"/>
      <c r="O17" s="2"/>
      <c r="P17" s="2"/>
      <c r="Q17" s="2"/>
      <c r="R17" s="2"/>
      <c r="S17" s="5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>
        <v>55</v>
      </c>
      <c r="B18" s="2" t="s">
        <v>149</v>
      </c>
      <c r="C18" s="2"/>
      <c r="D18" s="2"/>
      <c r="E18" s="2"/>
      <c r="F18" s="2"/>
      <c r="G18" s="2"/>
      <c r="H18" s="2"/>
      <c r="I18" s="2"/>
      <c r="J18" s="184">
        <f>SUMIFS(JURNAL_26!$K$9:$K$1764,JURNAL_26!$C$9:$C$1764,'LR BLN'!$N$1,JURNAL_26!$G$9:$G$1764,'LR BLN'!B18)</f>
        <v>12000</v>
      </c>
      <c r="K18" s="18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>
        <v>56</v>
      </c>
      <c r="B19" s="2" t="s">
        <v>150</v>
      </c>
      <c r="C19" s="2"/>
      <c r="D19" s="2"/>
      <c r="E19" s="2"/>
      <c r="F19" s="2"/>
      <c r="G19" s="2"/>
      <c r="H19" s="2"/>
      <c r="I19" s="2"/>
      <c r="J19" s="184">
        <f>SUMIFS(JURNAL_26!$K$9:$K$1764,JURNAL_26!$C$9:$C$1764,'LR BLN'!$N$1,JURNAL_26!$G$9:$G$1764,'LR BLN'!B19)</f>
        <v>1070000</v>
      </c>
      <c r="K19" s="18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>
        <v>57</v>
      </c>
      <c r="B20" s="2" t="s">
        <v>152</v>
      </c>
      <c r="C20" s="2"/>
      <c r="D20" s="2"/>
      <c r="E20" s="2"/>
      <c r="F20" s="2"/>
      <c r="G20" s="2"/>
      <c r="H20" s="2"/>
      <c r="I20" s="2"/>
      <c r="J20" s="184">
        <f>SUMIFS(JURNAL_26!$K$9:$K$1764,JURNAL_26!$C$9:$C$1764,'LR BLN'!$N$1,JURNAL_26!$G$9:$G$1764,'LR BLN'!B20)</f>
        <v>0</v>
      </c>
      <c r="K20" s="18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>
        <v>58</v>
      </c>
      <c r="B21" s="119" t="s">
        <v>188</v>
      </c>
      <c r="C21" s="2"/>
      <c r="D21" s="2"/>
      <c r="E21" s="2"/>
      <c r="F21" s="2"/>
      <c r="G21" s="2"/>
      <c r="H21" s="2"/>
      <c r="I21" s="2"/>
      <c r="J21" s="184">
        <f>SUMIFS(JURNAL_26!$K$9:$K$1764,JURNAL_26!$C$9:$C$1764,'LR BLN'!$N$1,JURNAL_26!$G$9:$G$1764,'LR BLN'!B21)</f>
        <v>15652</v>
      </c>
      <c r="K21" s="18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>
        <v>59</v>
      </c>
      <c r="B22" s="119" t="s">
        <v>200</v>
      </c>
      <c r="C22" s="2"/>
      <c r="D22" s="2"/>
      <c r="E22" s="2"/>
      <c r="F22" s="2"/>
      <c r="G22" s="2"/>
      <c r="H22" s="2"/>
      <c r="I22" s="2"/>
      <c r="J22" s="184">
        <f>SUMIFS(JURNAL_26!$K$9:$K$1764,JURNAL_26!$C$9:$C$1764,'LR BLN'!$N$1,JURNAL_26!$G$9:$G$1764,'LR BLN'!B22)</f>
        <v>0</v>
      </c>
      <c r="K22" s="18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119">
        <v>60</v>
      </c>
      <c r="B23" s="119" t="s">
        <v>287</v>
      </c>
      <c r="C23" s="2"/>
      <c r="D23" s="2"/>
      <c r="E23" s="2"/>
      <c r="F23" s="2"/>
      <c r="G23" s="2"/>
      <c r="H23" s="2"/>
      <c r="I23" s="2"/>
      <c r="J23" s="184">
        <f>SUMIFS(JURNAL_26!$K$9:$K$1764,JURNAL_26!$C$9:$C$1764,'LR BLN'!$N$1,JURNAL_26!$G$9:$G$1764,'LR BLN'!B23)</f>
        <v>219000</v>
      </c>
      <c r="K23" s="18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119">
        <v>61</v>
      </c>
      <c r="B24" s="119" t="s">
        <v>288</v>
      </c>
      <c r="C24" s="2"/>
      <c r="D24" s="2"/>
      <c r="E24" s="2"/>
      <c r="F24" s="2"/>
      <c r="G24" s="2"/>
      <c r="H24" s="2"/>
      <c r="I24" s="2"/>
      <c r="J24" s="184">
        <f>SUMIFS(JURNAL_26!$K$9:$K$1764,JURNAL_26!$C$9:$C$1764,'LR BLN'!$N$1,JURNAL_26!$G$9:$G$1764,'LR BLN'!B24)</f>
        <v>0</v>
      </c>
      <c r="K24" s="18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119"/>
      <c r="B25" s="119"/>
      <c r="C25" s="2"/>
      <c r="D25" s="2"/>
      <c r="E25" s="2"/>
      <c r="F25" s="2"/>
      <c r="G25" s="2"/>
      <c r="H25" s="2"/>
      <c r="I25" s="2"/>
      <c r="J25" s="27"/>
      <c r="K25" s="2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119"/>
      <c r="B26" s="119"/>
      <c r="C26" s="2"/>
      <c r="D26" s="2"/>
      <c r="E26" s="2"/>
      <c r="F26" s="2"/>
      <c r="G26" s="2"/>
      <c r="H26" s="2"/>
      <c r="I26" s="2"/>
      <c r="J26" s="27"/>
      <c r="K26" s="2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1" t="s">
        <v>30</v>
      </c>
      <c r="B27" s="26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211">
        <f>SUM(J13:K26)</f>
        <v>6036300</v>
      </c>
      <c r="M27" s="2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30"/>
      <c r="M28" s="3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32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13">
        <f>L10-L27</f>
        <v>373700</v>
      </c>
      <c r="M29" s="189"/>
      <c r="N29" s="2"/>
      <c r="O29" s="5"/>
      <c r="P29" s="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 t="s">
        <v>280</v>
      </c>
      <c r="K32" s="2"/>
      <c r="L32" s="2"/>
      <c r="M32" s="2"/>
      <c r="N32" s="2"/>
      <c r="O32" s="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 t="s">
        <v>33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5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33" t="s">
        <v>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5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5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5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5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5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5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5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5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5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5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5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5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5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5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5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5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5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5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5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5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5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5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5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5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5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5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5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5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5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5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5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5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5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5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5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5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5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5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5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5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5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5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5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5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5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5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5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5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5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5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5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5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5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5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5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5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5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5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5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5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5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5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5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5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5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5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5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5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5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5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5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5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5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5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5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5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5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5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5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5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5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5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5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5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5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5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5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5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5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5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5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5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5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5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5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5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5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5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5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5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5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5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5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5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5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5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5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5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5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5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5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5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5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5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5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5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5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5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5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5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5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5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5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5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5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5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5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5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5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5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5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5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5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5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5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5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5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5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5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5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5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5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5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5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5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5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5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5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5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5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5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5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5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5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5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5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5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5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5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5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5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5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5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5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5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5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5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5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5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5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5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5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5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5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5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5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5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5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5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5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5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5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5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5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5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5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5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5"/>
      <c r="T238" s="2"/>
      <c r="U238" s="2"/>
      <c r="V238" s="2"/>
      <c r="W238" s="2"/>
      <c r="X238" s="2"/>
      <c r="Y238" s="2"/>
      <c r="Z238" s="2"/>
    </row>
    <row r="239" spans="1:26" ht="15.75" customHeight="1" x14ac:dyDescent="0.35"/>
    <row r="240" spans="1:26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3">
    <mergeCell ref="J21:K21"/>
    <mergeCell ref="J22:K22"/>
    <mergeCell ref="L27:M27"/>
    <mergeCell ref="L29:M29"/>
    <mergeCell ref="J9:K9"/>
    <mergeCell ref="L10:M10"/>
    <mergeCell ref="J13:K13"/>
    <mergeCell ref="J14:K14"/>
    <mergeCell ref="J15:K15"/>
    <mergeCell ref="J16:K16"/>
    <mergeCell ref="J17:K17"/>
    <mergeCell ref="J23:K23"/>
    <mergeCell ref="J24:K24"/>
    <mergeCell ref="J7:K7"/>
    <mergeCell ref="J8:K8"/>
    <mergeCell ref="J18:K18"/>
    <mergeCell ref="J19:K19"/>
    <mergeCell ref="J20:K20"/>
    <mergeCell ref="A1:M1"/>
    <mergeCell ref="A2:M2"/>
    <mergeCell ref="A3:L3"/>
    <mergeCell ref="A4:L4"/>
    <mergeCell ref="J6:K6"/>
  </mergeCells>
  <printOptions horizontalCentered="1"/>
  <pageMargins left="0.70866141732283472" right="0.70866141732283472" top="0.74803149606299213" bottom="0.74803149606299213" header="0" footer="0"/>
  <pageSetup paperSize="9" scale="73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A1003"/>
  <sheetViews>
    <sheetView workbookViewId="0">
      <selection activeCell="O29" sqref="O29:P29"/>
    </sheetView>
  </sheetViews>
  <sheetFormatPr defaultColWidth="14.453125" defaultRowHeight="15" customHeight="1" x14ac:dyDescent="0.35"/>
  <cols>
    <col min="1" max="1" width="3.81640625" customWidth="1"/>
    <col min="2" max="2" width="2.81640625" customWidth="1"/>
    <col min="3" max="5" width="8.81640625" customWidth="1"/>
    <col min="6" max="6" width="11" customWidth="1"/>
    <col min="7" max="7" width="12" customWidth="1"/>
    <col min="8" max="8" width="17.08984375" customWidth="1"/>
    <col min="9" max="9" width="14.08984375" customWidth="1"/>
    <col min="10" max="16" width="8.81640625" customWidth="1"/>
    <col min="17" max="18" width="14.26953125" customWidth="1"/>
    <col min="19" max="19" width="11.1796875" bestFit="1" customWidth="1"/>
    <col min="20" max="20" width="10.81640625" customWidth="1"/>
    <col min="21" max="27" width="8.81640625" customWidth="1"/>
  </cols>
  <sheetData>
    <row r="1" spans="1:27" ht="14.25" customHeight="1" x14ac:dyDescent="0.35">
      <c r="A1" s="190" t="str">
        <f>'LR BLN'!A1:M1</f>
        <v>Paguyuban Puri Bunga 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51">
        <f>'LR BLN'!N1</f>
        <v>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 s="214" t="s">
        <v>27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 s="214" t="str">
        <f>"1 JANUARI s.d. 31 "&amp;VLOOKUP(N1,N3:O14,2,FALSE)</f>
        <v>1 JANUARI s.d. 31 MEI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5">
        <v>1</v>
      </c>
      <c r="O3" s="2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>
        <v>2</v>
      </c>
      <c r="O4" s="2" t="s">
        <v>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 s="2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>
        <v>3</v>
      </c>
      <c r="O5" s="2" t="s">
        <v>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 s="1">
        <v>40</v>
      </c>
      <c r="B6" s="2" t="s">
        <v>145</v>
      </c>
      <c r="C6" s="1"/>
      <c r="D6" s="1"/>
      <c r="E6" s="1"/>
      <c r="F6" s="1"/>
      <c r="G6" s="1"/>
      <c r="H6" s="1"/>
      <c r="I6" s="1"/>
      <c r="J6" s="184">
        <f>SUMIFS(JURNAL_26!$J$9:$J$1764,JURNAL_26!$D$9:$D$1764,'LR BLN'!$N$1,JURNAL_26!$G$9:$G$1764,'LR BLN'!B6)</f>
        <v>27810000</v>
      </c>
      <c r="K6" s="185"/>
      <c r="L6" s="1"/>
      <c r="M6" s="1"/>
      <c r="N6" s="5">
        <v>4</v>
      </c>
      <c r="O6" s="2" t="s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5">
      <c r="A7" s="1">
        <v>41</v>
      </c>
      <c r="B7" s="2" t="s">
        <v>15</v>
      </c>
      <c r="C7" s="1"/>
      <c r="D7" s="1"/>
      <c r="E7" s="1"/>
      <c r="F7" s="1"/>
      <c r="G7" s="1"/>
      <c r="H7" s="1"/>
      <c r="I7" s="1"/>
      <c r="J7" s="184">
        <f>SUMIFS(JURNAL_26!$J$9:$J$1764,JURNAL_26!$D$9:$D$1764,'LR BLN'!$N$1,JURNAL_26!$G$9:$G$1764,'LR BLN'!B7)</f>
        <v>420000</v>
      </c>
      <c r="K7" s="184"/>
      <c r="L7" s="1"/>
      <c r="M7" s="1"/>
      <c r="N7" s="5">
        <v>5</v>
      </c>
      <c r="O7" s="2" t="s">
        <v>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5">
      <c r="A8" s="1"/>
      <c r="B8" s="2"/>
      <c r="C8" s="1"/>
      <c r="D8" s="1"/>
      <c r="E8" s="1"/>
      <c r="F8" s="1"/>
      <c r="G8" s="1"/>
      <c r="H8" s="1"/>
      <c r="I8" s="1"/>
      <c r="J8" s="184">
        <f>SUMIFS(JURNAL_26!$J$9:$J$1764,JURNAL_26!$D$9:$D$1764,'LR BLN'!$N$1,JURNAL_26!$G$9:$G$1764,'LR BLN'!B8)</f>
        <v>0</v>
      </c>
      <c r="K8" s="184"/>
      <c r="L8" s="1"/>
      <c r="M8" s="1"/>
      <c r="N8" s="5">
        <v>6</v>
      </c>
      <c r="O8" s="1" t="s">
        <v>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5">
      <c r="A9" s="1"/>
      <c r="B9" s="2"/>
      <c r="C9" s="2"/>
      <c r="D9" s="2"/>
      <c r="E9" s="2"/>
      <c r="F9" s="2"/>
      <c r="G9" s="1"/>
      <c r="H9" s="1"/>
      <c r="I9" s="1"/>
      <c r="J9" s="184">
        <f>SUMIFS(JURNAL_26!$J$9:$J$1764,JURNAL_26!$D$9:$D$1764,'LR BLN'!$N$1,JURNAL_26!$G$9:$G$1764,'LR BLN'!B9)</f>
        <v>0</v>
      </c>
      <c r="K9" s="184"/>
      <c r="L9" s="1"/>
      <c r="M9" s="1"/>
      <c r="N9" s="5">
        <v>7</v>
      </c>
      <c r="O9" s="1" t="s">
        <v>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86">
        <f>SUM(J6:K9)</f>
        <v>28230000</v>
      </c>
      <c r="M10" s="187"/>
      <c r="N10" s="27">
        <v>8</v>
      </c>
      <c r="O10" s="1" t="s">
        <v>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9">
        <v>9</v>
      </c>
      <c r="O11" s="1" t="s">
        <v>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5">
      <c r="A12" s="1" t="s">
        <v>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9">
        <v>10</v>
      </c>
      <c r="O12" s="1" t="s">
        <v>10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5">
      <c r="A13" s="2">
        <v>50</v>
      </c>
      <c r="B13" s="2" t="s">
        <v>146</v>
      </c>
      <c r="C13" s="2"/>
      <c r="D13" s="2"/>
      <c r="E13" s="2"/>
      <c r="F13" s="2"/>
      <c r="G13" s="2"/>
      <c r="H13" s="2"/>
      <c r="I13" s="2"/>
      <c r="J13" s="184">
        <f>SUMIFS(JURNAL_26!$K$9:$K$1764,JURNAL_26!$D$9:$D$1764,'LR BLN'!$N$1,JURNAL_26!$G$9:$G$1764,'LR BLN'!B13)</f>
        <v>13028500</v>
      </c>
      <c r="K13" s="185"/>
      <c r="L13" s="2"/>
      <c r="M13" s="2"/>
      <c r="N13" s="29">
        <v>11</v>
      </c>
      <c r="O13" s="1" t="s">
        <v>11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 s="2">
        <v>51</v>
      </c>
      <c r="B14" s="2" t="s">
        <v>147</v>
      </c>
      <c r="C14" s="2"/>
      <c r="D14" s="2"/>
      <c r="E14" s="2"/>
      <c r="F14" s="2"/>
      <c r="G14" s="2"/>
      <c r="H14" s="2"/>
      <c r="I14" s="2"/>
      <c r="J14" s="184">
        <f>SUMIFS(JURNAL_26!$K$9:$K$1764,JURNAL_26!$D$9:$D$1764,'LR BLN'!$N$1,JURNAL_26!$G$9:$G$1764,'LR BLN'!B14)</f>
        <v>3450000</v>
      </c>
      <c r="K14" s="184"/>
      <c r="L14" s="2"/>
      <c r="M14" s="2"/>
      <c r="N14" s="5">
        <v>12</v>
      </c>
      <c r="O14" s="1" t="s">
        <v>12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 s="2">
        <v>52</v>
      </c>
      <c r="B15" s="119" t="s">
        <v>249</v>
      </c>
      <c r="C15" s="2"/>
      <c r="D15" s="2"/>
      <c r="E15" s="2"/>
      <c r="F15" s="2"/>
      <c r="G15" s="2"/>
      <c r="H15" s="2"/>
      <c r="I15" s="2"/>
      <c r="J15" s="184">
        <f>SUMIFS(JURNAL_26!$K$9:$K$1764,JURNAL_26!$D$9:$D$1764,'LR BLN'!$N$1,JURNAL_26!$G$9:$G$1764,'LR BLN'!B15)</f>
        <v>3000000</v>
      </c>
      <c r="K15" s="18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 s="2">
        <v>53</v>
      </c>
      <c r="B16" s="2" t="s">
        <v>151</v>
      </c>
      <c r="C16" s="2"/>
      <c r="D16" s="2"/>
      <c r="E16" s="2"/>
      <c r="F16" s="2"/>
      <c r="G16" s="2"/>
      <c r="H16" s="2"/>
      <c r="I16" s="2"/>
      <c r="J16" s="184">
        <f>SUMIFS(JURNAL_26!$K$9:$K$1764,JURNAL_26!$D$9:$D$1764,'LR BLN'!$N$1,JURNAL_26!$G$9:$G$1764,'LR BLN'!B16)</f>
        <v>3550000</v>
      </c>
      <c r="K16" s="18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 s="2">
        <v>54</v>
      </c>
      <c r="B17" s="2" t="s">
        <v>148</v>
      </c>
      <c r="C17" s="2"/>
      <c r="D17" s="2"/>
      <c r="E17" s="2"/>
      <c r="F17" s="2"/>
      <c r="G17" s="2"/>
      <c r="H17" s="2"/>
      <c r="I17" s="2"/>
      <c r="J17" s="184">
        <f>SUMIFS(JURNAL_26!$K$9:$K$1764,JURNAL_26!$D$9:$D$1764,'LR BLN'!$N$1,JURNAL_26!$G$9:$G$1764,'LR BLN'!B17)</f>
        <v>39648</v>
      </c>
      <c r="K17" s="18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 s="2">
        <v>55</v>
      </c>
      <c r="B18" s="2" t="s">
        <v>149</v>
      </c>
      <c r="C18" s="2"/>
      <c r="D18" s="2"/>
      <c r="E18" s="2"/>
      <c r="F18" s="2"/>
      <c r="G18" s="2"/>
      <c r="H18" s="2"/>
      <c r="I18" s="2"/>
      <c r="J18" s="184">
        <f>SUMIFS(JURNAL_26!$K$9:$K$1764,JURNAL_26!$D$9:$D$1764,'LR BLN'!$N$1,JURNAL_26!$G$9:$G$1764,'LR BLN'!B18)</f>
        <v>12000</v>
      </c>
      <c r="K18" s="18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 s="2">
        <v>56</v>
      </c>
      <c r="B19" s="2" t="s">
        <v>150</v>
      </c>
      <c r="C19" s="2"/>
      <c r="D19" s="2"/>
      <c r="E19" s="2"/>
      <c r="F19" s="2"/>
      <c r="G19" s="2"/>
      <c r="H19" s="2"/>
      <c r="I19" s="2"/>
      <c r="J19" s="184">
        <f>SUMIFS(JURNAL_26!$K$9:$K$1764,JURNAL_26!$D$9:$D$1764,'LR BLN'!$N$1,JURNAL_26!$G$9:$G$1764,'LR BLN'!B19)</f>
        <v>1300000</v>
      </c>
      <c r="K19" s="18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 s="2">
        <v>57</v>
      </c>
      <c r="B20" s="2" t="s">
        <v>152</v>
      </c>
      <c r="C20" s="2"/>
      <c r="D20" s="2"/>
      <c r="E20" s="2"/>
      <c r="F20" s="2"/>
      <c r="G20" s="2"/>
      <c r="H20" s="2"/>
      <c r="I20" s="2"/>
      <c r="J20" s="184">
        <f>SUMIFS(JURNAL_26!$K$9:$K$1764,JURNAL_26!$D$9:$D$1764,'LR BLN'!$N$1,JURNAL_26!$G$9:$G$1764,'LR BLN'!B20)</f>
        <v>0</v>
      </c>
      <c r="K20" s="18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 s="2">
        <v>58</v>
      </c>
      <c r="B21" s="119" t="s">
        <v>188</v>
      </c>
      <c r="C21" s="2"/>
      <c r="D21" s="2"/>
      <c r="E21" s="2"/>
      <c r="F21" s="2"/>
      <c r="G21" s="2"/>
      <c r="H21" s="2"/>
      <c r="I21" s="2"/>
      <c r="J21" s="184">
        <f>SUMIFS(JURNAL_26!$K$9:$K$1764,JURNAL_26!$D$9:$D$1764,'LR BLN'!$N$1,JURNAL_26!$G$9:$G$1764,'LR BLN'!B21)</f>
        <v>15652</v>
      </c>
      <c r="K21" s="18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 s="2">
        <v>59</v>
      </c>
      <c r="B22" s="119" t="s">
        <v>200</v>
      </c>
      <c r="C22" s="2"/>
      <c r="D22" s="2"/>
      <c r="E22" s="2"/>
      <c r="F22" s="2"/>
      <c r="G22" s="2"/>
      <c r="H22" s="2"/>
      <c r="I22" s="2"/>
      <c r="J22" s="184">
        <f>SUMIFS(JURNAL_26!$K$9:$K$1764,JURNAL_26!$D$9:$D$1764,'LR BLN'!$N$1,JURNAL_26!$G$9:$G$1764,'LR BLN'!B22)</f>
        <v>1500000</v>
      </c>
      <c r="K22" s="18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 s="119">
        <v>60</v>
      </c>
      <c r="B23" s="119" t="s">
        <v>287</v>
      </c>
      <c r="C23" s="2"/>
      <c r="D23" s="2"/>
      <c r="E23" s="2"/>
      <c r="F23" s="2"/>
      <c r="G23" s="2"/>
      <c r="H23" s="2"/>
      <c r="I23" s="2"/>
      <c r="J23" s="184">
        <f>SUMIFS(JURNAL_26!$K$9:$K$1764,JURNAL_26!$D$9:$D$1764,'LR BLN'!$N$1,JURNAL_26!$G$9:$G$1764,'LR BLN'!B23)</f>
        <v>3968000</v>
      </c>
      <c r="K23" s="18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 s="119">
        <v>61</v>
      </c>
      <c r="B24" s="119" t="s">
        <v>288</v>
      </c>
      <c r="C24" s="2"/>
      <c r="D24" s="2"/>
      <c r="E24" s="2"/>
      <c r="F24" s="2"/>
      <c r="G24" s="2"/>
      <c r="H24" s="2"/>
      <c r="I24" s="2"/>
      <c r="J24" s="184">
        <f>SUMIFS(JURNAL_26!$K$9:$K$1764,JURNAL_26!$D$9:$D$1764,'LR BLN'!$N$1,JURNAL_26!$G$9:$G$1764,'LR BLN'!B24)</f>
        <v>0</v>
      </c>
      <c r="K24" s="18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 s="119"/>
      <c r="B25" s="119"/>
      <c r="C25" s="2"/>
      <c r="D25" s="2"/>
      <c r="E25" s="2"/>
      <c r="F25" s="2"/>
      <c r="G25" s="2"/>
      <c r="H25" s="2"/>
      <c r="I25" s="2"/>
      <c r="J25" s="2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 s="119"/>
      <c r="B26" s="119"/>
      <c r="C26" s="2"/>
      <c r="D26" s="2"/>
      <c r="E26" s="2"/>
      <c r="F26" s="2"/>
      <c r="G26" s="2"/>
      <c r="H26" s="2"/>
      <c r="I26" s="2"/>
      <c r="J26" s="2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 s="1" t="s">
        <v>30</v>
      </c>
      <c r="B27" s="2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186">
        <f>SUM(J13:K26)</f>
        <v>29863800</v>
      </c>
      <c r="M27" s="18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30"/>
      <c r="M28" s="30"/>
      <c r="N28" s="2"/>
      <c r="O28" s="215" t="s">
        <v>34</v>
      </c>
      <c r="P28" s="185"/>
      <c r="Q28" s="2" t="s">
        <v>35</v>
      </c>
      <c r="R28" s="2" t="s">
        <v>36</v>
      </c>
      <c r="S28" s="2" t="s">
        <v>37</v>
      </c>
      <c r="T28" s="2" t="s">
        <v>38</v>
      </c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 s="32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17">
        <f>L10-L27</f>
        <v>-1633800</v>
      </c>
      <c r="M29" s="189"/>
      <c r="N29" s="2"/>
      <c r="O29" s="184">
        <f>JURNAL_26!L8</f>
        <v>8260500</v>
      </c>
      <c r="P29" s="185"/>
      <c r="Q29" s="5">
        <f>'LAP KAS YTD'!N33</f>
        <v>6500000</v>
      </c>
      <c r="R29" s="5">
        <f>L29+O29+Q29</f>
        <v>13126700</v>
      </c>
      <c r="S29" s="5">
        <f>'LAP KAS BLN'!N38</f>
        <v>13126700</v>
      </c>
      <c r="T29" s="35">
        <f>S29-R29</f>
        <v>0</v>
      </c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16"/>
      <c r="M30" s="185"/>
      <c r="N30" s="2"/>
      <c r="O30" s="2"/>
      <c r="P30" s="2"/>
      <c r="Q30" s="5"/>
      <c r="R30" s="5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 t="s">
        <v>280</v>
      </c>
      <c r="K31" s="2"/>
      <c r="L31" s="2"/>
      <c r="M31" s="2"/>
      <c r="N31" s="2"/>
      <c r="O31" s="2"/>
      <c r="P31" s="2"/>
      <c r="Q31" s="5"/>
      <c r="R31" s="5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 t="s">
        <v>33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33" t="s">
        <v>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/>
    <row r="239" spans="1:27" ht="15.75" customHeight="1" x14ac:dyDescent="0.35"/>
    <row r="240" spans="1:27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5">
    <mergeCell ref="L30:M30"/>
    <mergeCell ref="O29:P29"/>
    <mergeCell ref="J19:K19"/>
    <mergeCell ref="J20:K20"/>
    <mergeCell ref="J21:K21"/>
    <mergeCell ref="J22:K22"/>
    <mergeCell ref="J23:K23"/>
    <mergeCell ref="L27:M27"/>
    <mergeCell ref="L29:M29"/>
    <mergeCell ref="J24:K24"/>
    <mergeCell ref="J15:K15"/>
    <mergeCell ref="J16:K16"/>
    <mergeCell ref="J17:K17"/>
    <mergeCell ref="J18:K18"/>
    <mergeCell ref="O28:P28"/>
    <mergeCell ref="J8:K8"/>
    <mergeCell ref="L10:M10"/>
    <mergeCell ref="J9:K9"/>
    <mergeCell ref="J13:K13"/>
    <mergeCell ref="J14:K14"/>
    <mergeCell ref="A1:M1"/>
    <mergeCell ref="A2:M2"/>
    <mergeCell ref="A3:M3"/>
    <mergeCell ref="J6:K6"/>
    <mergeCell ref="J7:K7"/>
  </mergeCells>
  <printOptions horizontalCentered="1"/>
  <pageMargins left="0.70866141732283472" right="0.70866141732283472" top="0.74803149606299213" bottom="0.74803149606299213" header="0" footer="0"/>
  <pageSetup paperSize="9" scale="7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Z1005"/>
  <sheetViews>
    <sheetView topLeftCell="B19" zoomScale="82" zoomScaleNormal="82" workbookViewId="0">
      <selection activeCell="J30" sqref="J30:K30"/>
    </sheetView>
  </sheetViews>
  <sheetFormatPr defaultColWidth="14.453125" defaultRowHeight="15" customHeight="1" x14ac:dyDescent="0.35"/>
  <cols>
    <col min="1" max="1" width="3.81640625" customWidth="1"/>
    <col min="2" max="2" width="2.81640625" customWidth="1"/>
    <col min="3" max="7" width="8.81640625" customWidth="1"/>
    <col min="8" max="8" width="14.81640625" customWidth="1"/>
    <col min="9" max="9" width="10" customWidth="1"/>
    <col min="10" max="11" width="7.7265625" customWidth="1"/>
    <col min="12" max="15" width="7.453125" customWidth="1"/>
    <col min="16" max="16" width="8.81640625" customWidth="1"/>
    <col min="17" max="18" width="14.26953125" customWidth="1"/>
    <col min="19" max="19" width="11.54296875" customWidth="1"/>
    <col min="20" max="20" width="12.453125" customWidth="1"/>
    <col min="21" max="21" width="12.7265625" customWidth="1"/>
    <col min="22" max="22" width="12.81640625" customWidth="1"/>
    <col min="23" max="24" width="12.453125" customWidth="1"/>
    <col min="25" max="26" width="8.81640625" customWidth="1"/>
  </cols>
  <sheetData>
    <row r="1" spans="1:26" ht="14.25" customHeight="1" x14ac:dyDescent="0.35">
      <c r="A1" s="190" t="str">
        <f>'LR BLN'!A1:M1</f>
        <v>Paguyuban Puri Bunga 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2"/>
      <c r="Q1" s="24">
        <f>'LR BLN'!N1</f>
        <v>5</v>
      </c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190" t="s">
        <v>39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2"/>
      <c r="Q2" s="2"/>
      <c r="R2" s="2"/>
      <c r="S2" s="2"/>
      <c r="T2" s="2"/>
      <c r="U2" s="3" t="s">
        <v>40</v>
      </c>
      <c r="V2" s="143" t="s">
        <v>281</v>
      </c>
      <c r="W2" s="2"/>
      <c r="X2" s="2"/>
      <c r="Y2" s="2"/>
      <c r="Z2" s="2"/>
    </row>
    <row r="3" spans="1:26" ht="14.25" customHeight="1" x14ac:dyDescent="0.35">
      <c r="A3" s="210" t="str">
        <f>"BULAN "&amp;VLOOKUP(Q1,Q4:R15,2,FALSE)</f>
        <v>BULAN MEI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2"/>
      <c r="Q3" s="2"/>
      <c r="R3" s="2"/>
      <c r="S3" s="2"/>
      <c r="T3" s="2" t="s">
        <v>41</v>
      </c>
      <c r="U3" s="2" t="s">
        <v>42</v>
      </c>
      <c r="V3" s="2" t="s">
        <v>43</v>
      </c>
      <c r="W3" s="2" t="s">
        <v>44</v>
      </c>
      <c r="X3" s="2"/>
      <c r="Y3" s="2"/>
      <c r="Z3" s="2"/>
    </row>
    <row r="4" spans="1:26" ht="14.25" customHeight="1" x14ac:dyDescent="0.35">
      <c r="A4" s="220" t="str">
        <f>"Per 30  "&amp;VLOOKUP(Q1,$Q$4:$R$15,2,FALSE)</f>
        <v>Per 30  MEI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2"/>
      <c r="Q4" s="5">
        <v>1</v>
      </c>
      <c r="R4" s="2" t="s">
        <v>2</v>
      </c>
      <c r="S4" s="2"/>
      <c r="T4" s="27">
        <f>JURNAL_26!L8</f>
        <v>8260500</v>
      </c>
      <c r="U4" s="5">
        <f>'LR BLN'!S1</f>
        <v>-965500</v>
      </c>
      <c r="V4" s="5">
        <v>900000</v>
      </c>
      <c r="W4" s="5">
        <f t="shared" ref="W4:W15" si="0">T4+U4+V4</f>
        <v>8195000</v>
      </c>
      <c r="X4" s="5"/>
      <c r="Y4" s="2"/>
      <c r="Z4" s="2"/>
    </row>
    <row r="5" spans="1:26" ht="14.25" customHeight="1" thickBot="1" x14ac:dyDescent="0.4">
      <c r="A5" s="36" t="s">
        <v>45</v>
      </c>
      <c r="B5" s="36"/>
      <c r="C5" s="36"/>
      <c r="D5" s="36"/>
      <c r="E5" s="36"/>
      <c r="F5" s="36"/>
      <c r="G5" s="36"/>
      <c r="H5" s="36"/>
      <c r="I5" s="36"/>
      <c r="J5" s="221" t="s">
        <v>46</v>
      </c>
      <c r="K5" s="222"/>
      <c r="L5" s="221" t="s">
        <v>47</v>
      </c>
      <c r="M5" s="222"/>
      <c r="N5" s="221" t="s">
        <v>48</v>
      </c>
      <c r="O5" s="222"/>
      <c r="P5" s="2"/>
      <c r="Q5" s="5">
        <v>2</v>
      </c>
      <c r="R5" s="2" t="s">
        <v>3</v>
      </c>
      <c r="S5" s="2"/>
      <c r="T5" s="5">
        <f t="shared" ref="T5:T15" si="1">W4</f>
        <v>8195000</v>
      </c>
      <c r="U5" s="5">
        <f>'LR BLN'!S2</f>
        <v>663000</v>
      </c>
      <c r="V5" s="5">
        <v>2700000</v>
      </c>
      <c r="W5" s="5">
        <f t="shared" si="0"/>
        <v>11558000</v>
      </c>
      <c r="X5" s="5"/>
      <c r="Y5" s="2"/>
      <c r="Z5" s="2"/>
    </row>
    <row r="6" spans="1:26" ht="14.25" customHeight="1" x14ac:dyDescent="0.35">
      <c r="A6" s="2"/>
      <c r="B6" s="2"/>
      <c r="C6" s="37"/>
      <c r="D6" s="37"/>
      <c r="E6" s="37"/>
      <c r="F6" s="37"/>
      <c r="G6" s="2"/>
      <c r="H6" s="2"/>
      <c r="I6" s="2"/>
      <c r="J6" s="184"/>
      <c r="K6" s="185"/>
      <c r="L6" s="184"/>
      <c r="M6" s="185"/>
      <c r="N6" s="184"/>
      <c r="O6" s="185"/>
      <c r="P6" s="2"/>
      <c r="Q6" s="5">
        <v>3</v>
      </c>
      <c r="R6" s="2" t="s">
        <v>4</v>
      </c>
      <c r="S6" s="2"/>
      <c r="T6" s="5">
        <f t="shared" si="1"/>
        <v>11558000</v>
      </c>
      <c r="U6" s="5">
        <f>'LR BLN'!S3</f>
        <v>-6385000</v>
      </c>
      <c r="V6" s="5">
        <v>700000</v>
      </c>
      <c r="W6" s="5">
        <f t="shared" si="0"/>
        <v>5873000</v>
      </c>
      <c r="X6" s="5"/>
      <c r="Y6" s="2"/>
      <c r="Z6" s="2"/>
    </row>
    <row r="7" spans="1:26" ht="14.25" customHeight="1" x14ac:dyDescent="0.35">
      <c r="A7" s="2">
        <v>40</v>
      </c>
      <c r="B7" s="2" t="s">
        <v>145</v>
      </c>
      <c r="C7" s="2"/>
      <c r="D7" s="2"/>
      <c r="E7" s="2"/>
      <c r="F7" s="2"/>
      <c r="G7" s="2"/>
      <c r="H7" s="2"/>
      <c r="I7" s="2"/>
      <c r="J7" s="184">
        <f>SUMIFS(JURNAL_26!$J$9:$J$1764,JURNAL_26!$C$9:$C$1764,$Q$1,JURNAL_26!$G$9:$G$1764,B7)</f>
        <v>6310000</v>
      </c>
      <c r="K7" s="185"/>
      <c r="L7" s="184">
        <f>SUMIFS(JURNAL_26!$K$9:$K$1764,JURNAL_26!$C$9:$C$1764,$Q$1,JURNAL_26!$G$9:$G$1764,B7)</f>
        <v>0</v>
      </c>
      <c r="M7" s="185"/>
      <c r="N7" s="184"/>
      <c r="O7" s="185"/>
      <c r="P7" s="2"/>
      <c r="Q7" s="5">
        <v>4</v>
      </c>
      <c r="R7" s="2" t="s">
        <v>0</v>
      </c>
      <c r="S7" s="2"/>
      <c r="T7" s="5">
        <f t="shared" si="1"/>
        <v>5873000</v>
      </c>
      <c r="U7" s="5">
        <f>'LR BLN'!S4</f>
        <v>4680000</v>
      </c>
      <c r="V7" s="5">
        <v>1400000</v>
      </c>
      <c r="W7" s="5">
        <f t="shared" si="0"/>
        <v>11953000</v>
      </c>
      <c r="X7" s="5"/>
      <c r="Y7" s="2"/>
      <c r="Z7" s="2"/>
    </row>
    <row r="8" spans="1:26" ht="14.25" customHeight="1" x14ac:dyDescent="0.35">
      <c r="A8" s="2">
        <v>41</v>
      </c>
      <c r="B8" s="2" t="s">
        <v>15</v>
      </c>
      <c r="C8" s="2"/>
      <c r="D8" s="2"/>
      <c r="E8" s="2"/>
      <c r="F8" s="2"/>
      <c r="G8" s="2"/>
      <c r="H8" s="2"/>
      <c r="I8" s="2"/>
      <c r="J8" s="184">
        <f>SUMIFS(JURNAL_26!$J$9:$J$1764,JURNAL_26!$C$9:$C$1764,$Q$1,JURNAL_26!$G$9:$G$1764,B8)</f>
        <v>100000</v>
      </c>
      <c r="K8" s="185"/>
      <c r="L8" s="184">
        <f>SUMIFS(JURNAL_26!$K$9:$K$1764,JURNAL_26!$C$9:$C$1764,$Q$1,JURNAL_26!$G$9:$G$1764,B8)</f>
        <v>0</v>
      </c>
      <c r="M8" s="185"/>
      <c r="N8" s="184"/>
      <c r="O8" s="185"/>
      <c r="P8" s="2"/>
      <c r="Q8" s="5">
        <v>5</v>
      </c>
      <c r="R8" s="2" t="s">
        <v>5</v>
      </c>
      <c r="S8" s="2"/>
      <c r="T8" s="5">
        <f t="shared" si="1"/>
        <v>11953000</v>
      </c>
      <c r="U8" s="5">
        <f>'LR BLN'!S5</f>
        <v>373700</v>
      </c>
      <c r="V8" s="5">
        <f>N33</f>
        <v>800000</v>
      </c>
      <c r="W8" s="5">
        <f t="shared" si="0"/>
        <v>13126700</v>
      </c>
      <c r="X8" s="5"/>
      <c r="Y8" s="2"/>
      <c r="Z8" s="2"/>
    </row>
    <row r="9" spans="1:26" ht="14.25" customHeight="1" x14ac:dyDescent="0.35">
      <c r="A9" s="2">
        <v>50</v>
      </c>
      <c r="B9" s="2" t="s">
        <v>146</v>
      </c>
      <c r="C9" s="2"/>
      <c r="D9" s="2"/>
      <c r="E9" s="2"/>
      <c r="F9" s="2"/>
      <c r="G9" s="2"/>
      <c r="H9" s="2"/>
      <c r="I9" s="2"/>
      <c r="J9" s="184">
        <f>SUMIFS(JURNAL_26!$J$9:$J$1764,JURNAL_26!$C$9:$C$1764,$Q$1,JURNAL_26!$G$9:$G$1764,B9)</f>
        <v>0</v>
      </c>
      <c r="K9" s="185"/>
      <c r="L9" s="184">
        <f>SUMIFS(JURNAL_26!$K$9:$K$1764,JURNAL_26!$C$9:$C$1764,$Q$1,JURNAL_26!$G$9:$G$1764,B9)</f>
        <v>3030000</v>
      </c>
      <c r="M9" s="185"/>
      <c r="N9" s="184"/>
      <c r="O9" s="185"/>
      <c r="P9" s="2"/>
      <c r="Q9" s="27">
        <v>6</v>
      </c>
      <c r="R9" s="1" t="s">
        <v>6</v>
      </c>
      <c r="S9" s="1"/>
      <c r="T9" s="5">
        <f t="shared" si="1"/>
        <v>13126700</v>
      </c>
      <c r="U9" s="5">
        <f>'LR BLN'!S6</f>
        <v>0</v>
      </c>
      <c r="V9" s="5"/>
      <c r="W9" s="5">
        <f t="shared" si="0"/>
        <v>13126700</v>
      </c>
      <c r="X9" s="5"/>
      <c r="Y9" s="2"/>
      <c r="Z9" s="2"/>
    </row>
    <row r="10" spans="1:26" ht="14.25" customHeight="1" x14ac:dyDescent="0.35">
      <c r="A10" s="2">
        <v>51</v>
      </c>
      <c r="B10" s="2" t="s">
        <v>147</v>
      </c>
      <c r="C10" s="2"/>
      <c r="D10" s="2"/>
      <c r="E10" s="2"/>
      <c r="F10" s="2"/>
      <c r="G10" s="2"/>
      <c r="H10" s="2"/>
      <c r="I10" s="2"/>
      <c r="J10" s="184">
        <f>SUMIFS(JURNAL_26!$J$9:$J$1764,JURNAL_26!$C$9:$C$1764,$Q$1,JURNAL_26!$G$9:$G$1764,B10)</f>
        <v>0</v>
      </c>
      <c r="K10" s="185"/>
      <c r="L10" s="184">
        <f>SUMIFS(JURNAL_26!$K$9:$K$1764,JURNAL_26!$C$9:$C$1764,$Q$1,JURNAL_26!$G$9:$G$1764,B10)</f>
        <v>900000</v>
      </c>
      <c r="M10" s="185"/>
      <c r="N10" s="184"/>
      <c r="O10" s="185"/>
      <c r="P10" s="2"/>
      <c r="Q10" s="29">
        <v>7</v>
      </c>
      <c r="R10" s="1" t="s">
        <v>7</v>
      </c>
      <c r="S10" s="1"/>
      <c r="T10" s="5">
        <f t="shared" si="1"/>
        <v>13126700</v>
      </c>
      <c r="U10" s="5">
        <f>'LR BLN'!S7</f>
        <v>0</v>
      </c>
      <c r="V10" s="5"/>
      <c r="W10" s="5">
        <f t="shared" si="0"/>
        <v>13126700</v>
      </c>
      <c r="X10" s="5"/>
      <c r="Y10" s="2"/>
      <c r="Z10" s="2"/>
    </row>
    <row r="11" spans="1:26" ht="14.25" customHeight="1" x14ac:dyDescent="0.35">
      <c r="A11" s="2">
        <v>52</v>
      </c>
      <c r="B11" s="119" t="s">
        <v>249</v>
      </c>
      <c r="C11" s="2"/>
      <c r="D11" s="2"/>
      <c r="E11" s="2"/>
      <c r="F11" s="2"/>
      <c r="G11" s="2"/>
      <c r="H11" s="2"/>
      <c r="I11" s="2"/>
      <c r="J11" s="184">
        <f>SUMIFS(JURNAL_26!$J$9:$J$1764,JURNAL_26!$C$9:$C$1764,$Q$1,JURNAL_26!$G$9:$G$1764,B11)</f>
        <v>0</v>
      </c>
      <c r="K11" s="185"/>
      <c r="L11" s="184">
        <f>SUMIFS(JURNAL_26!$K$9:$K$1764,JURNAL_26!$C$9:$C$1764,$Q$1,JURNAL_26!$G$9:$G$1764,B11)</f>
        <v>750000</v>
      </c>
      <c r="M11" s="185"/>
      <c r="N11" s="184"/>
      <c r="O11" s="185"/>
      <c r="P11" s="2"/>
      <c r="Q11" s="29">
        <v>8</v>
      </c>
      <c r="R11" s="1" t="s">
        <v>8</v>
      </c>
      <c r="S11" s="29"/>
      <c r="T11" s="5">
        <f t="shared" si="1"/>
        <v>13126700</v>
      </c>
      <c r="U11" s="5">
        <f>'LR BLN'!S8</f>
        <v>0</v>
      </c>
      <c r="V11" s="5"/>
      <c r="W11" s="5">
        <f t="shared" si="0"/>
        <v>13126700</v>
      </c>
      <c r="X11" s="5"/>
      <c r="Y11" s="2"/>
      <c r="Z11" s="2"/>
    </row>
    <row r="12" spans="1:26" ht="14.25" customHeight="1" x14ac:dyDescent="0.35">
      <c r="A12" s="2">
        <v>53</v>
      </c>
      <c r="B12" s="2" t="s">
        <v>151</v>
      </c>
      <c r="C12" s="2"/>
      <c r="D12" s="2"/>
      <c r="E12" s="2"/>
      <c r="F12" s="2"/>
      <c r="G12" s="2"/>
      <c r="H12" s="2"/>
      <c r="I12" s="2"/>
      <c r="J12" s="184">
        <f>SUMIFS(JURNAL_26!$J$9:$J$1764,JURNAL_26!$C$9:$C$1764,$Q$1,JURNAL_26!$G$9:$G$1764,B12)</f>
        <v>0</v>
      </c>
      <c r="K12" s="185"/>
      <c r="L12" s="184">
        <f>SUMIFS(JURNAL_26!$K$9:$K$1764,JURNAL_26!$C$9:$C$1764,$Q$1,JURNAL_26!$G$9:$G$1764,B12)</f>
        <v>0</v>
      </c>
      <c r="M12" s="185"/>
      <c r="N12" s="184"/>
      <c r="O12" s="185"/>
      <c r="P12" s="2"/>
      <c r="Q12" s="29">
        <v>9</v>
      </c>
      <c r="R12" s="1" t="s">
        <v>9</v>
      </c>
      <c r="S12" s="1"/>
      <c r="T12" s="5">
        <f t="shared" si="1"/>
        <v>13126700</v>
      </c>
      <c r="U12" s="5">
        <f>'LR BLN'!S9</f>
        <v>0</v>
      </c>
      <c r="V12" s="5"/>
      <c r="W12" s="5">
        <f t="shared" si="0"/>
        <v>13126700</v>
      </c>
      <c r="X12" s="5"/>
      <c r="Y12" s="2"/>
      <c r="Z12" s="2"/>
    </row>
    <row r="13" spans="1:26" ht="14.25" customHeight="1" x14ac:dyDescent="0.35">
      <c r="A13" s="2">
        <v>54</v>
      </c>
      <c r="B13" s="2" t="s">
        <v>148</v>
      </c>
      <c r="C13" s="2"/>
      <c r="D13" s="2"/>
      <c r="E13" s="2"/>
      <c r="F13" s="2"/>
      <c r="G13" s="2"/>
      <c r="H13" s="2"/>
      <c r="I13" s="2"/>
      <c r="J13" s="184">
        <f>SUMIFS(JURNAL_26!$J$9:$J$1764,JURNAL_26!$C$9:$C$1764,$Q$1,JURNAL_26!$G$9:$G$1764,B13)</f>
        <v>0</v>
      </c>
      <c r="K13" s="185"/>
      <c r="L13" s="184">
        <f>SUMIFS(JURNAL_26!$K$9:$K$1764,JURNAL_26!$C$9:$C$1764,$Q$1,JURNAL_26!$G$9:$G$1764,B13)</f>
        <v>39648</v>
      </c>
      <c r="M13" s="185"/>
      <c r="N13" s="184"/>
      <c r="O13" s="185"/>
      <c r="P13" s="2"/>
      <c r="Q13" s="29">
        <v>10</v>
      </c>
      <c r="R13" s="1" t="s">
        <v>10</v>
      </c>
      <c r="S13" s="1"/>
      <c r="T13" s="5">
        <f t="shared" si="1"/>
        <v>13126700</v>
      </c>
      <c r="U13" s="5">
        <f>'LR BLN'!S10</f>
        <v>0</v>
      </c>
      <c r="V13" s="5"/>
      <c r="W13" s="5">
        <f t="shared" si="0"/>
        <v>13126700</v>
      </c>
      <c r="X13" s="5"/>
      <c r="Y13" s="2"/>
      <c r="Z13" s="2"/>
    </row>
    <row r="14" spans="1:26" ht="14.25" customHeight="1" x14ac:dyDescent="0.35">
      <c r="A14" s="2">
        <v>55</v>
      </c>
      <c r="B14" s="2" t="s">
        <v>149</v>
      </c>
      <c r="C14" s="2"/>
      <c r="D14" s="2"/>
      <c r="E14" s="2"/>
      <c r="F14" s="2"/>
      <c r="G14" s="2"/>
      <c r="H14" s="2"/>
      <c r="I14" s="2"/>
      <c r="J14" s="184">
        <f>SUMIFS(JURNAL_26!$J$9:$J$1764,JURNAL_26!$C$9:$C$1764,$Q$1,JURNAL_26!$G$9:$G$1764,B14)</f>
        <v>0</v>
      </c>
      <c r="K14" s="185"/>
      <c r="L14" s="184">
        <f>SUMIFS(JURNAL_26!$K$9:$K$1764,JURNAL_26!$C$9:$C$1764,$Q$1,JURNAL_26!$G$9:$G$1764,B14)</f>
        <v>12000</v>
      </c>
      <c r="M14" s="185"/>
      <c r="N14" s="184"/>
      <c r="O14" s="185"/>
      <c r="P14" s="2"/>
      <c r="Q14" s="5">
        <v>11</v>
      </c>
      <c r="R14" s="1" t="s">
        <v>11</v>
      </c>
      <c r="S14" s="2"/>
      <c r="T14" s="5">
        <f t="shared" si="1"/>
        <v>13126700</v>
      </c>
      <c r="U14" s="5">
        <f>'LR BLN'!S11</f>
        <v>0</v>
      </c>
      <c r="V14" s="5"/>
      <c r="W14" s="5">
        <f t="shared" si="0"/>
        <v>13126700</v>
      </c>
      <c r="X14" s="5"/>
      <c r="Y14" s="2"/>
      <c r="Z14" s="2"/>
    </row>
    <row r="15" spans="1:26" ht="14.25" customHeight="1" x14ac:dyDescent="0.35">
      <c r="A15" s="2">
        <v>56</v>
      </c>
      <c r="B15" s="2" t="s">
        <v>150</v>
      </c>
      <c r="C15" s="2"/>
      <c r="D15" s="2"/>
      <c r="E15" s="2"/>
      <c r="F15" s="2"/>
      <c r="G15" s="2"/>
      <c r="H15" s="2"/>
      <c r="I15" s="2"/>
      <c r="J15" s="184">
        <f>SUMIFS(JURNAL_26!$J$9:$J$1764,JURNAL_26!$C$9:$C$1764,$Q$1,JURNAL_26!$G$9:$G$1764,B15)</f>
        <v>0</v>
      </c>
      <c r="K15" s="185"/>
      <c r="L15" s="184">
        <f>SUMIFS(JURNAL_26!$K$9:$K$1764,JURNAL_26!$C$9:$C$1764,$Q$1,JURNAL_26!$G$9:$G$1764,B15)</f>
        <v>1070000</v>
      </c>
      <c r="M15" s="185"/>
      <c r="N15" s="184"/>
      <c r="O15" s="185"/>
      <c r="P15" s="2"/>
      <c r="Q15" s="5">
        <v>12</v>
      </c>
      <c r="R15" s="1" t="s">
        <v>12</v>
      </c>
      <c r="S15" s="2"/>
      <c r="T15" s="5">
        <f t="shared" si="1"/>
        <v>13126700</v>
      </c>
      <c r="U15" s="5">
        <f>'LR BLN'!S12</f>
        <v>0</v>
      </c>
      <c r="V15" s="5"/>
      <c r="W15" s="5">
        <f t="shared" si="0"/>
        <v>13126700</v>
      </c>
      <c r="X15" s="5"/>
      <c r="Y15" s="2"/>
      <c r="Z15" s="2"/>
    </row>
    <row r="16" spans="1:26" ht="14.25" customHeight="1" x14ac:dyDescent="0.35">
      <c r="A16" s="2">
        <v>57</v>
      </c>
      <c r="B16" s="2" t="s">
        <v>152</v>
      </c>
      <c r="C16" s="2"/>
      <c r="D16" s="2"/>
      <c r="E16" s="2"/>
      <c r="F16" s="2"/>
      <c r="G16" s="2"/>
      <c r="H16" s="2"/>
      <c r="I16" s="2"/>
      <c r="J16" s="184">
        <f>SUMIFS(JURNAL_26!$J$9:$J$1764,JURNAL_26!$C$9:$C$1764,$Q$1,JURNAL_26!$G$9:$G$1764,B16)</f>
        <v>0</v>
      </c>
      <c r="K16" s="185"/>
      <c r="L16" s="184">
        <f>SUMIFS(JURNAL_26!$K$9:$K$1764,JURNAL_26!$C$9:$C$1764,$Q$1,JURNAL_26!$G$9:$G$1764,B16)</f>
        <v>0</v>
      </c>
      <c r="M16" s="185"/>
      <c r="N16" s="184"/>
      <c r="O16" s="185"/>
      <c r="P16" s="2"/>
      <c r="Q16" s="5"/>
      <c r="R16" s="2"/>
      <c r="S16" s="2"/>
      <c r="T16" s="31"/>
      <c r="U16" s="31">
        <f t="shared" ref="U16:V16" si="2">SUM(U4:U15)</f>
        <v>-1633800</v>
      </c>
      <c r="V16" s="31">
        <f t="shared" si="2"/>
        <v>6500000</v>
      </c>
      <c r="W16" s="31"/>
      <c r="X16" s="2"/>
      <c r="Y16" s="2"/>
      <c r="Z16" s="2"/>
    </row>
    <row r="17" spans="1:26" ht="14.25" customHeight="1" x14ac:dyDescent="0.35">
      <c r="A17" s="2">
        <v>58</v>
      </c>
      <c r="B17" s="119" t="s">
        <v>188</v>
      </c>
      <c r="C17" s="2"/>
      <c r="D17" s="2"/>
      <c r="E17" s="2"/>
      <c r="F17" s="2"/>
      <c r="G17" s="2"/>
      <c r="H17" s="2"/>
      <c r="I17" s="2"/>
      <c r="J17" s="184">
        <f>SUMIFS(JURNAL_26!$J$9:$J$1764,JURNAL_26!$C$9:$C$1764,$Q$1,JURNAL_26!$G$9:$G$1764,B17)</f>
        <v>0</v>
      </c>
      <c r="K17" s="185"/>
      <c r="L17" s="184">
        <f>SUMIFS(JURNAL_26!$K$9:$K$1764,JURNAL_26!$C$9:$C$1764,$Q$1,JURNAL_26!$G$9:$G$1764,B17)</f>
        <v>15652</v>
      </c>
      <c r="M17" s="185"/>
      <c r="N17" s="27"/>
      <c r="O17" s="27"/>
      <c r="P17" s="2"/>
      <c r="Q17" s="2"/>
      <c r="R17" s="5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>
        <v>59</v>
      </c>
      <c r="B18" s="119" t="s">
        <v>200</v>
      </c>
      <c r="C18" s="2"/>
      <c r="D18" s="2"/>
      <c r="E18" s="2"/>
      <c r="F18" s="2"/>
      <c r="G18" s="2"/>
      <c r="H18" s="2"/>
      <c r="I18" s="2"/>
      <c r="J18" s="184">
        <f>SUMIFS(JURNAL_26!$J$9:$J$1764,JURNAL_26!$C$9:$C$1764,$Q$1,JURNAL_26!$G$9:$G$1764,B18)</f>
        <v>0</v>
      </c>
      <c r="K18" s="185"/>
      <c r="L18" s="184">
        <f>SUMIFS(JURNAL_26!$K$9:$K$1764,JURNAL_26!$C$9:$C$1764,$Q$1,JURNAL_26!$G$9:$G$1764,B18)</f>
        <v>0</v>
      </c>
      <c r="M18" s="185"/>
      <c r="N18" s="27"/>
      <c r="O18" s="27"/>
      <c r="P18" s="2"/>
      <c r="Q18" s="2"/>
      <c r="R18" s="5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119">
        <v>60</v>
      </c>
      <c r="B19" s="119" t="s">
        <v>287</v>
      </c>
      <c r="C19" s="2"/>
      <c r="D19" s="2"/>
      <c r="E19" s="2"/>
      <c r="F19" s="2"/>
      <c r="G19" s="2"/>
      <c r="H19" s="2"/>
      <c r="I19" s="2"/>
      <c r="J19" s="184">
        <f>SUMIFS(JURNAL_26!$J$9:$J$1764,JURNAL_26!$C$9:$C$1764,$Q$1,JURNAL_26!$G$9:$G$1764,B19)</f>
        <v>0</v>
      </c>
      <c r="K19" s="185"/>
      <c r="L19" s="184">
        <f>SUMIFS(JURNAL_26!$K$9:$K$1764,JURNAL_26!$C$9:$C$1764,$Q$1,JURNAL_26!$G$9:$G$1764,B19)</f>
        <v>219000</v>
      </c>
      <c r="M19" s="185"/>
      <c r="N19" s="27"/>
      <c r="O19" s="27"/>
      <c r="P19" s="2"/>
      <c r="Q19" s="2"/>
      <c r="R19" s="5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119">
        <v>61</v>
      </c>
      <c r="B20" s="119" t="s">
        <v>288</v>
      </c>
      <c r="C20" s="2"/>
      <c r="D20" s="2"/>
      <c r="E20" s="2"/>
      <c r="F20" s="2"/>
      <c r="G20" s="2"/>
      <c r="H20" s="2"/>
      <c r="I20" s="2"/>
      <c r="J20" s="184">
        <f>SUMIFS(JURNAL_26!$J$9:$J$1764,JURNAL_26!$C$9:$C$1764,$Q$1,JURNAL_26!$G$9:$G$1764,B20)</f>
        <v>0</v>
      </c>
      <c r="K20" s="185"/>
      <c r="L20" s="184">
        <f>SUMIFS(JURNAL_26!$K$9:$K$1764,JURNAL_26!$C$9:$C$1764,$Q$1,JURNAL_26!$G$9:$G$1764,B20)</f>
        <v>0</v>
      </c>
      <c r="M20" s="185"/>
      <c r="N20" s="27"/>
      <c r="O20" s="27"/>
      <c r="P20" s="2"/>
      <c r="Q20" s="2"/>
      <c r="R20" s="5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119"/>
      <c r="B21" s="119"/>
      <c r="C21" s="2"/>
      <c r="D21" s="2"/>
      <c r="E21" s="2"/>
      <c r="F21" s="2"/>
      <c r="G21" s="2"/>
      <c r="H21" s="2"/>
      <c r="I21" s="2"/>
      <c r="J21" s="184">
        <f>SUMIFS(JURNAL_26!$J$9:$J$1764,JURNAL_26!$C$9:$C$1764,$Q$1,JURNAL_26!$G$9:$G$1764,B21)</f>
        <v>0</v>
      </c>
      <c r="K21" s="185"/>
      <c r="L21" s="184">
        <f>SUMIFS(JURNAL_26!$K$9:$K$1764,JURNAL_26!$C$9:$C$1764,$Q$1,JURNAL_26!$G$9:$G$1764,B21)</f>
        <v>0</v>
      </c>
      <c r="M21" s="185"/>
      <c r="N21" s="27"/>
      <c r="O21" s="27"/>
      <c r="P21" s="2"/>
      <c r="Q21" s="2"/>
      <c r="R21" s="5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119"/>
      <c r="B22" s="119"/>
      <c r="C22" s="2"/>
      <c r="D22" s="2"/>
      <c r="E22" s="2"/>
      <c r="F22" s="2"/>
      <c r="G22" s="2"/>
      <c r="H22" s="2"/>
      <c r="I22" s="2"/>
      <c r="J22" s="184">
        <f>SUMIFS(JURNAL_26!$J$9:$J$1764,JURNAL_26!$C$9:$C$1764,$Q$1,JURNAL_26!$G$9:$G$1764,B22)</f>
        <v>0</v>
      </c>
      <c r="K22" s="185"/>
      <c r="L22" s="184">
        <f>SUMIFS(JURNAL_26!$K$9:$K$1764,JURNAL_26!$C$9:$C$1764,$Q$1,JURNAL_26!$G$9:$G$1764,B22)</f>
        <v>0</v>
      </c>
      <c r="M22" s="185"/>
      <c r="N22" s="27"/>
      <c r="O22" s="27"/>
      <c r="P22" s="2"/>
      <c r="Q22" s="2"/>
      <c r="R22" s="5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/>
      <c r="B23" s="26" t="s">
        <v>49</v>
      </c>
      <c r="C23" s="2"/>
      <c r="D23" s="2"/>
      <c r="E23" s="2"/>
      <c r="F23" s="2"/>
      <c r="G23" s="2"/>
      <c r="H23" s="2"/>
      <c r="I23" s="2"/>
      <c r="J23" s="186">
        <f>SUM(J6:K22)</f>
        <v>6410000</v>
      </c>
      <c r="K23" s="187"/>
      <c r="L23" s="186">
        <f>SUM(L6:M22)</f>
        <v>6036300</v>
      </c>
      <c r="M23" s="187"/>
      <c r="N23" s="186">
        <f>J23-L23</f>
        <v>373700</v>
      </c>
      <c r="O23" s="187"/>
      <c r="P23" s="2"/>
      <c r="Q23" s="2"/>
      <c r="R23" s="5"/>
      <c r="S23" s="2"/>
      <c r="T23" s="2"/>
      <c r="U23" s="2"/>
      <c r="V23" s="2"/>
      <c r="W23" s="2"/>
      <c r="X23" s="2"/>
      <c r="Y23" s="2"/>
      <c r="Z23" s="2"/>
    </row>
    <row r="24" spans="1:26" ht="14.25" customHeight="1" thickTop="1" x14ac:dyDescent="0.35">
      <c r="A24" s="2"/>
      <c r="B24" s="26"/>
      <c r="C24" s="2"/>
      <c r="D24" s="2"/>
      <c r="E24" s="2"/>
      <c r="F24" s="2"/>
      <c r="G24" s="2"/>
      <c r="H24" s="2"/>
      <c r="I24" s="2"/>
      <c r="J24" s="27"/>
      <c r="K24" s="23"/>
      <c r="L24" s="27"/>
      <c r="M24" s="23"/>
      <c r="N24" s="27"/>
      <c r="O24" s="27"/>
      <c r="P24" s="2"/>
      <c r="Q24" s="2"/>
      <c r="R24" s="5"/>
      <c r="S24" s="2"/>
      <c r="T24" s="2"/>
      <c r="U24" s="2"/>
      <c r="V24" s="2"/>
      <c r="W24" s="2"/>
      <c r="X24" s="2"/>
      <c r="Y24" s="2"/>
      <c r="Z24" s="2"/>
    </row>
    <row r="25" spans="1:26" ht="14.25" customHeight="1" thickBot="1" x14ac:dyDescent="0.4">
      <c r="A25" s="38" t="s">
        <v>50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2"/>
      <c r="Q25" s="2"/>
      <c r="R25" s="5"/>
      <c r="S25" s="2"/>
      <c r="T25" s="2"/>
      <c r="U25" s="2"/>
      <c r="V25" s="2"/>
      <c r="W25" s="2"/>
      <c r="X25" s="2"/>
      <c r="Y25" s="2"/>
      <c r="Z25" s="2"/>
    </row>
    <row r="26" spans="1:26" ht="14.5" hidden="1" customHeight="1" x14ac:dyDescent="0.35">
      <c r="A26" s="2">
        <v>10</v>
      </c>
      <c r="B26" s="119" t="s">
        <v>334</v>
      </c>
      <c r="C26" s="37"/>
      <c r="D26" s="2"/>
      <c r="E26" s="2"/>
      <c r="F26" s="2"/>
      <c r="G26" s="2"/>
      <c r="H26" s="2"/>
      <c r="I26" s="2"/>
      <c r="J26" s="184">
        <f>SUMIFS(JURNAL_26!$J$9:$J$1764,JURNAL_26!$C$9:$C$1764,$Q$1,JURNAL_26!$G$9:$G$1764,B26)</f>
        <v>0</v>
      </c>
      <c r="K26" s="185"/>
      <c r="L26" s="184">
        <f>SUMIFS(JURNAL_26!$K$9:$K$1764,JURNAL_26!$C$9:$C$1764,$Q$1,JURNAL_26!$G$9:$G$1764,B26)</f>
        <v>0</v>
      </c>
      <c r="M26" s="185"/>
      <c r="N26" s="218">
        <f t="shared" ref="N26" si="3">J26-L26</f>
        <v>0</v>
      </c>
      <c r="O26" s="185"/>
      <c r="P26" s="2"/>
      <c r="Q26" s="2"/>
      <c r="R26" s="5"/>
      <c r="S26" s="2"/>
      <c r="T26" s="2"/>
      <c r="U26" s="2"/>
      <c r="V26" s="2"/>
      <c r="W26" s="2"/>
      <c r="X26" s="2"/>
      <c r="Y26" s="2"/>
      <c r="Z26" s="2"/>
    </row>
    <row r="27" spans="1:26" ht="14.5" hidden="1" customHeight="1" x14ac:dyDescent="0.35">
      <c r="A27" s="2">
        <v>11</v>
      </c>
      <c r="B27" s="119" t="s">
        <v>335</v>
      </c>
      <c r="C27" s="179"/>
      <c r="D27" s="2"/>
      <c r="E27" s="2"/>
      <c r="F27" s="2"/>
      <c r="G27" s="2"/>
      <c r="H27" s="2"/>
      <c r="I27" s="2"/>
      <c r="J27" s="184">
        <f>SUMIFS(JURNAL_26!$J$9:$J$1764,JURNAL_26!$C$9:$C$1764,$Q$1,JURNAL_26!$G$9:$G$1764,B27)</f>
        <v>0</v>
      </c>
      <c r="K27" s="185"/>
      <c r="L27" s="184">
        <f>SUMIFS(JURNAL_26!$K$9:$K$1764,JURNAL_26!$C$9:$C$1764,$Q$1,JURNAL_26!$G$9:$G$1764,B27)</f>
        <v>0</v>
      </c>
      <c r="M27" s="185"/>
      <c r="N27" s="218">
        <f t="shared" ref="N27:N31" si="4">J27-L27</f>
        <v>0</v>
      </c>
      <c r="O27" s="185"/>
      <c r="P27" s="2"/>
      <c r="Q27" s="2"/>
      <c r="R27" s="5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>
        <v>12</v>
      </c>
      <c r="B28" s="2" t="s">
        <v>144</v>
      </c>
      <c r="C28" s="179"/>
      <c r="D28" s="2"/>
      <c r="E28" s="2"/>
      <c r="F28" s="2"/>
      <c r="G28" s="2"/>
      <c r="H28" s="2"/>
      <c r="I28" s="2"/>
      <c r="J28" s="184">
        <f>SUMIFS(JURNAL_26!$J$9:$J$1764,JURNAL_26!$C$9:$C$1764,$Q$1,JURNAL_26!$G$9:$G$1764,B28)</f>
        <v>500000</v>
      </c>
      <c r="K28" s="185"/>
      <c r="L28" s="184">
        <f>SUMIFS(JURNAL_26!$K$9:$K$1764,JURNAL_26!$C$9:$C$1764,$Q$1,JURNAL_26!$G$9:$G$1764,B28)</f>
        <v>0</v>
      </c>
      <c r="M28" s="185"/>
      <c r="N28" s="219">
        <f t="shared" ref="N28" si="5">J28-L28</f>
        <v>500000</v>
      </c>
      <c r="O28" s="185"/>
      <c r="P28" s="2"/>
      <c r="Q28" s="2"/>
      <c r="R28" s="5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>
        <v>13</v>
      </c>
      <c r="B29" s="2" t="s">
        <v>143</v>
      </c>
      <c r="C29" s="2"/>
      <c r="D29" s="2"/>
      <c r="E29" s="2"/>
      <c r="F29" s="2"/>
      <c r="G29" s="2"/>
      <c r="H29" s="2"/>
      <c r="I29" s="2"/>
      <c r="J29" s="184">
        <f>SUMIFS(JURNAL_26!$J$9:$J$1764,JURNAL_26!$C$9:$C$1764,$Q$1,JURNAL_26!$G$9:$G$1764,B29)</f>
        <v>0</v>
      </c>
      <c r="K29" s="185"/>
      <c r="L29" s="184">
        <f>SUMIFS(JURNAL_26!$K$9:$K$1764,JURNAL_26!$C$9:$C$1764,$Q$1,JURNAL_26!$G$9:$G$1764,B29)</f>
        <v>0</v>
      </c>
      <c r="M29" s="185"/>
      <c r="N29" s="219">
        <f t="shared" si="4"/>
        <v>0</v>
      </c>
      <c r="O29" s="185"/>
      <c r="P29" s="2"/>
      <c r="Q29" s="2"/>
      <c r="R29" s="5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>
        <v>20</v>
      </c>
      <c r="B30" s="119" t="s">
        <v>289</v>
      </c>
      <c r="C30" s="2"/>
      <c r="D30" s="2"/>
      <c r="E30" s="2"/>
      <c r="F30" s="2"/>
      <c r="G30" s="2"/>
      <c r="H30" s="2"/>
      <c r="I30" s="2"/>
      <c r="J30" s="184">
        <f>SUMIFS(JURNAL_26!$J$9:$J$1764,JURNAL_26!$C$9:$C$1764,$Q$1,JURNAL_26!$G$9:$G$1764,B30)</f>
        <v>300000</v>
      </c>
      <c r="K30" s="185"/>
      <c r="L30" s="184">
        <f>SUMIFS(JURNAL_26!$K$9:$K$1764,JURNAL_26!$C$9:$C$1764,$Q$1,JURNAL_26!$G$9:$G$1764,B30)</f>
        <v>0</v>
      </c>
      <c r="M30" s="185"/>
      <c r="N30" s="218">
        <f t="shared" si="4"/>
        <v>300000</v>
      </c>
      <c r="O30" s="185"/>
      <c r="P30" s="2"/>
      <c r="Q30" s="2"/>
      <c r="R30" s="5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119">
        <v>21</v>
      </c>
      <c r="B31" s="2" t="s">
        <v>14</v>
      </c>
      <c r="C31" s="2"/>
      <c r="D31" s="2"/>
      <c r="E31" s="2"/>
      <c r="F31" s="2"/>
      <c r="G31" s="2"/>
      <c r="H31" s="2"/>
      <c r="I31" s="2"/>
      <c r="J31" s="184">
        <f>SUMIFS(JURNAL_26!$J$9:$J$1764,JURNAL_26!$C$9:$C$1764,$Q$1,JURNAL_26!$G$9:$G$1764,B31)</f>
        <v>0</v>
      </c>
      <c r="K31" s="185"/>
      <c r="L31" s="184">
        <f>SUMIFS(JURNAL_26!$K$9:$K$1764,JURNAL_26!$C$9:$C$1764,$Q$1,JURNAL_26!$G$9:$G$1764,B31)</f>
        <v>0</v>
      </c>
      <c r="M31" s="185"/>
      <c r="N31" s="218">
        <f t="shared" si="4"/>
        <v>0</v>
      </c>
      <c r="O31" s="185"/>
      <c r="P31" s="2"/>
      <c r="Q31" s="2"/>
      <c r="R31" s="5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7"/>
      <c r="K32" s="27"/>
      <c r="L32" s="27"/>
      <c r="M32" s="27"/>
      <c r="N32" s="27"/>
      <c r="O32" s="27"/>
      <c r="P32" s="2"/>
      <c r="Q32" s="2"/>
      <c r="R32" s="5"/>
      <c r="S32" s="2"/>
      <c r="T32" s="2"/>
      <c r="U32" s="2"/>
      <c r="V32" s="2"/>
      <c r="W32" s="2"/>
      <c r="X32" s="2"/>
      <c r="Y32" s="2"/>
      <c r="Z32" s="2"/>
    </row>
    <row r="33" spans="1:26" ht="14.25" customHeight="1" thickBot="1" x14ac:dyDescent="0.4">
      <c r="A33" s="2"/>
      <c r="B33" s="26" t="s">
        <v>49</v>
      </c>
      <c r="C33" s="2"/>
      <c r="D33" s="2"/>
      <c r="E33" s="2"/>
      <c r="F33" s="2"/>
      <c r="G33" s="2"/>
      <c r="H33" s="2"/>
      <c r="I33" s="2"/>
      <c r="J33" s="186">
        <f>SUM(J26:K32)</f>
        <v>800000</v>
      </c>
      <c r="K33" s="187"/>
      <c r="L33" s="186">
        <f>SUM(L26:M32)</f>
        <v>0</v>
      </c>
      <c r="M33" s="187"/>
      <c r="N33" s="188">
        <f>J33-L33</f>
        <v>800000</v>
      </c>
      <c r="O33" s="189"/>
      <c r="P33" s="2"/>
      <c r="Q33" s="2"/>
      <c r="R33" s="5"/>
      <c r="S33" s="2"/>
      <c r="T33" s="2"/>
      <c r="U33" s="2"/>
      <c r="V33" s="2"/>
      <c r="W33" s="2"/>
      <c r="X33" s="2"/>
      <c r="Y33" s="2"/>
      <c r="Z33" s="2"/>
    </row>
    <row r="34" spans="1:26" ht="14.25" customHeight="1" thickTop="1" x14ac:dyDescent="0.35">
      <c r="A34" s="2"/>
      <c r="B34" s="26"/>
      <c r="C34" s="2"/>
      <c r="D34" s="2"/>
      <c r="E34" s="2"/>
      <c r="F34" s="2"/>
      <c r="G34" s="2"/>
      <c r="H34" s="2"/>
      <c r="I34" s="2"/>
      <c r="J34" s="27"/>
      <c r="K34" s="23"/>
      <c r="L34" s="27"/>
      <c r="M34" s="23"/>
      <c r="N34" s="27"/>
      <c r="O34" s="27"/>
      <c r="P34" s="2"/>
      <c r="Q34" s="2"/>
      <c r="R34" s="5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39" t="s">
        <v>51</v>
      </c>
      <c r="B35" s="40"/>
      <c r="C35" s="40"/>
      <c r="D35" s="40"/>
      <c r="E35" s="40"/>
      <c r="F35" s="40"/>
      <c r="G35" s="40"/>
      <c r="H35" s="40"/>
      <c r="I35" s="40"/>
      <c r="J35" s="41"/>
      <c r="K35" s="42"/>
      <c r="L35" s="41"/>
      <c r="M35" s="42"/>
      <c r="N35" s="188">
        <f>N23+N33</f>
        <v>1173700</v>
      </c>
      <c r="O35" s="189"/>
      <c r="P35" s="2"/>
      <c r="Q35" s="2"/>
      <c r="R35" s="5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6"/>
      <c r="C36" s="2"/>
      <c r="D36" s="2"/>
      <c r="E36" s="2"/>
      <c r="F36" s="2"/>
      <c r="G36" s="2"/>
      <c r="H36" s="2"/>
      <c r="I36" s="2"/>
      <c r="J36" s="27"/>
      <c r="K36" s="23"/>
      <c r="L36" s="27"/>
      <c r="M36" s="23"/>
      <c r="N36" s="27"/>
      <c r="O36" s="27"/>
      <c r="P36" s="2"/>
      <c r="Q36" s="3" t="s">
        <v>52</v>
      </c>
      <c r="R36" s="43" t="s">
        <v>53</v>
      </c>
      <c r="S36" s="44" t="s">
        <v>43</v>
      </c>
      <c r="T36" s="44" t="s">
        <v>54</v>
      </c>
      <c r="U36" s="44" t="s">
        <v>55</v>
      </c>
      <c r="V36" s="44" t="s">
        <v>38</v>
      </c>
      <c r="W36" s="2"/>
      <c r="X36" s="2"/>
      <c r="Y36" s="2"/>
      <c r="Z36" s="2"/>
    </row>
    <row r="37" spans="1:26" ht="14.25" customHeight="1" x14ac:dyDescent="0.35">
      <c r="A37" s="1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11">
        <f>VLOOKUP(Q1,Q4:W15,4,FALSE)</f>
        <v>11953000</v>
      </c>
      <c r="O37" s="212"/>
      <c r="P37" s="2"/>
      <c r="Q37" s="45">
        <f>T4</f>
        <v>8260500</v>
      </c>
      <c r="R37" s="45">
        <f>'LR YTD'!L29</f>
        <v>-1633800</v>
      </c>
      <c r="S37" s="46">
        <f>'LAP KAS YTD'!N33</f>
        <v>6500000</v>
      </c>
      <c r="T37" s="46">
        <f>Q37+R37+S37</f>
        <v>13126700</v>
      </c>
      <c r="U37" s="46">
        <f>N38</f>
        <v>13126700</v>
      </c>
      <c r="V37" s="47">
        <f>T37-U37</f>
        <v>0</v>
      </c>
      <c r="W37" s="2"/>
      <c r="X37" s="2"/>
      <c r="Y37" s="2"/>
      <c r="Z37" s="2"/>
    </row>
    <row r="38" spans="1:26" ht="14.25" customHeight="1" x14ac:dyDescent="0.35">
      <c r="A38" s="1" t="s">
        <v>57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98">
        <f>N35+N37</f>
        <v>13126700</v>
      </c>
      <c r="O38" s="197"/>
      <c r="P38" s="2"/>
      <c r="Q38" s="17"/>
      <c r="R38" s="17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7"/>
      <c r="R39" s="17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7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280</v>
      </c>
      <c r="L41" s="2"/>
      <c r="M41" s="2"/>
      <c r="N41" s="2"/>
      <c r="O41" s="2"/>
      <c r="P41" s="2"/>
      <c r="Q41" s="17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33</v>
      </c>
      <c r="L42" s="2"/>
      <c r="M42" s="2"/>
      <c r="N42" s="2"/>
      <c r="O42" s="48"/>
      <c r="P42" s="2"/>
      <c r="Q42" s="17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33" t="s">
        <v>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/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</sheetData>
  <mergeCells count="79">
    <mergeCell ref="L11:M11"/>
    <mergeCell ref="N11:O11"/>
    <mergeCell ref="J9:K9"/>
    <mergeCell ref="L9:M9"/>
    <mergeCell ref="N9:O9"/>
    <mergeCell ref="J10:K10"/>
    <mergeCell ref="L10:M10"/>
    <mergeCell ref="N10:O10"/>
    <mergeCell ref="J11:K11"/>
    <mergeCell ref="L8:M8"/>
    <mergeCell ref="N8:O8"/>
    <mergeCell ref="J6:K6"/>
    <mergeCell ref="L6:M6"/>
    <mergeCell ref="N6:O6"/>
    <mergeCell ref="J7:K7"/>
    <mergeCell ref="L7:M7"/>
    <mergeCell ref="N7:O7"/>
    <mergeCell ref="J8:K8"/>
    <mergeCell ref="A1:O1"/>
    <mergeCell ref="A2:O2"/>
    <mergeCell ref="A3:O3"/>
    <mergeCell ref="A4:O4"/>
    <mergeCell ref="J5:K5"/>
    <mergeCell ref="L5:M5"/>
    <mergeCell ref="N5:O5"/>
    <mergeCell ref="J26:K26"/>
    <mergeCell ref="L26:M26"/>
    <mergeCell ref="N26:O26"/>
    <mergeCell ref="N38:O38"/>
    <mergeCell ref="J29:K29"/>
    <mergeCell ref="L29:M29"/>
    <mergeCell ref="N29:O29"/>
    <mergeCell ref="J30:K30"/>
    <mergeCell ref="L30:M30"/>
    <mergeCell ref="N30:O30"/>
    <mergeCell ref="J31:K31"/>
    <mergeCell ref="J33:K33"/>
    <mergeCell ref="L33:M33"/>
    <mergeCell ref="N33:O33"/>
    <mergeCell ref="N35:O35"/>
    <mergeCell ref="N37:O37"/>
    <mergeCell ref="J27:K27"/>
    <mergeCell ref="L27:M27"/>
    <mergeCell ref="N27:O27"/>
    <mergeCell ref="L31:M31"/>
    <mergeCell ref="N31:O31"/>
    <mergeCell ref="J28:K28"/>
    <mergeCell ref="L28:M28"/>
    <mergeCell ref="N28:O28"/>
    <mergeCell ref="L17:M17"/>
    <mergeCell ref="J19:K19"/>
    <mergeCell ref="J23:K23"/>
    <mergeCell ref="L23:M23"/>
    <mergeCell ref="N23:O23"/>
    <mergeCell ref="J17:K17"/>
    <mergeCell ref="J18:K18"/>
    <mergeCell ref="L18:M18"/>
    <mergeCell ref="L19:M19"/>
    <mergeCell ref="J20:K20"/>
    <mergeCell ref="L20:M20"/>
    <mergeCell ref="J21:K21"/>
    <mergeCell ref="L21:M21"/>
    <mergeCell ref="J22:K22"/>
    <mergeCell ref="L22:M22"/>
    <mergeCell ref="J12:K12"/>
    <mergeCell ref="L12:M12"/>
    <mergeCell ref="N12:O12"/>
    <mergeCell ref="J13:K13"/>
    <mergeCell ref="L13:M13"/>
    <mergeCell ref="N13:O13"/>
    <mergeCell ref="J14:K14"/>
    <mergeCell ref="J15:K15"/>
    <mergeCell ref="L15:M15"/>
    <mergeCell ref="N15:O15"/>
    <mergeCell ref="J16:K16"/>
    <mergeCell ref="L16:M16"/>
    <mergeCell ref="N16:O16"/>
    <mergeCell ref="L14:M14"/>
    <mergeCell ref="N14:O14"/>
  </mergeCells>
  <printOptions horizontalCentered="1"/>
  <pageMargins left="0.70866141732283472" right="0.70866141732283472" top="0.74803149606299213" bottom="0.74803149606299213" header="0" footer="0"/>
  <pageSetup paperSize="9" scale="67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Z1005"/>
  <sheetViews>
    <sheetView view="pageBreakPreview" zoomScale="81" zoomScaleNormal="100" zoomScaleSheetLayoutView="81" workbookViewId="0">
      <selection activeCell="L52" sqref="L52"/>
    </sheetView>
  </sheetViews>
  <sheetFormatPr defaultColWidth="14.453125" defaultRowHeight="15" customHeight="1" x14ac:dyDescent="0.35"/>
  <cols>
    <col min="1" max="1" width="3.81640625" customWidth="1"/>
    <col min="2" max="2" width="2.81640625" customWidth="1"/>
    <col min="3" max="7" width="8.81640625" customWidth="1"/>
    <col min="8" max="8" width="14.81640625" customWidth="1"/>
    <col min="9" max="9" width="10" customWidth="1"/>
    <col min="10" max="15" width="8.6328125" customWidth="1"/>
    <col min="16" max="16" width="8.81640625" customWidth="1"/>
    <col min="17" max="17" width="13.6328125" bestFit="1" customWidth="1"/>
    <col min="18" max="18" width="14.26953125" customWidth="1"/>
    <col min="19" max="19" width="10.26953125" bestFit="1" customWidth="1"/>
    <col min="20" max="20" width="19.08984375" customWidth="1"/>
    <col min="21" max="21" width="12.7265625" customWidth="1"/>
    <col min="22" max="22" width="11.453125" customWidth="1"/>
    <col min="23" max="24" width="12.453125" customWidth="1"/>
    <col min="25" max="26" width="8.81640625" customWidth="1"/>
  </cols>
  <sheetData>
    <row r="1" spans="1:26" ht="14.25" customHeight="1" x14ac:dyDescent="0.35">
      <c r="A1" s="190" t="str">
        <f>'LR BLN'!A1:M1</f>
        <v>Paguyuban Puri Bunga 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2"/>
      <c r="Q1" s="151">
        <f>'LR BLN'!N1</f>
        <v>5</v>
      </c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190" t="s">
        <v>39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2"/>
      <c r="Q2" s="2"/>
      <c r="R2" s="2"/>
      <c r="S2" s="2"/>
      <c r="T2" s="2"/>
      <c r="U2" s="3"/>
      <c r="V2" s="3"/>
      <c r="W2" s="2"/>
      <c r="X2" s="2"/>
      <c r="Y2" s="2"/>
      <c r="Z2" s="2"/>
    </row>
    <row r="3" spans="1:26" ht="14.25" customHeight="1" x14ac:dyDescent="0.35">
      <c r="A3" s="191" t="str">
        <f>"JANUARI S.D. BULAN "&amp;VLOOKUP(Q1,Q4:R15,2,FALSE)</f>
        <v>JANUARI S.D. BULAN MEI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5">
        <v>1</v>
      </c>
      <c r="R4" s="2" t="s">
        <v>2</v>
      </c>
      <c r="S4" s="2"/>
      <c r="T4" s="49"/>
      <c r="U4" s="5"/>
      <c r="V4" s="5"/>
      <c r="W4" s="5"/>
      <c r="X4" s="5"/>
      <c r="Y4" s="2"/>
      <c r="Z4" s="2"/>
    </row>
    <row r="5" spans="1:26" ht="14.25" customHeight="1" x14ac:dyDescent="0.35">
      <c r="A5" s="178" t="s">
        <v>58</v>
      </c>
      <c r="B5" s="50"/>
      <c r="C5" s="50"/>
      <c r="D5" s="50"/>
      <c r="E5" s="50"/>
      <c r="F5" s="50"/>
      <c r="G5" s="50"/>
      <c r="H5" s="50"/>
      <c r="I5" s="50"/>
      <c r="J5" s="192" t="s">
        <v>46</v>
      </c>
      <c r="K5" s="193"/>
      <c r="L5" s="192" t="s">
        <v>47</v>
      </c>
      <c r="M5" s="193"/>
      <c r="N5" s="192" t="s">
        <v>48</v>
      </c>
      <c r="O5" s="193"/>
      <c r="P5" s="2"/>
      <c r="Q5" s="5">
        <v>2</v>
      </c>
      <c r="R5" s="2" t="s">
        <v>3</v>
      </c>
      <c r="S5" s="2"/>
      <c r="T5" s="5"/>
      <c r="U5" s="5"/>
      <c r="V5" s="5"/>
      <c r="W5" s="5"/>
      <c r="X5" s="5"/>
      <c r="Y5" s="2"/>
      <c r="Z5" s="2"/>
    </row>
    <row r="6" spans="1:26" ht="14.5" x14ac:dyDescent="0.35">
      <c r="A6" s="2"/>
      <c r="B6" s="2"/>
      <c r="C6" s="2"/>
      <c r="D6" s="2"/>
      <c r="E6" s="2"/>
      <c r="F6" s="2"/>
      <c r="G6" s="2"/>
      <c r="H6" s="2"/>
      <c r="I6" s="2"/>
      <c r="J6" s="184"/>
      <c r="K6" s="185"/>
      <c r="L6" s="184"/>
      <c r="M6" s="185"/>
      <c r="N6" s="2"/>
      <c r="O6" s="2"/>
      <c r="P6" s="2"/>
      <c r="Q6" s="5">
        <v>3</v>
      </c>
      <c r="R6" s="2" t="s">
        <v>4</v>
      </c>
      <c r="S6" s="2"/>
      <c r="T6" s="5"/>
      <c r="U6" s="5"/>
      <c r="V6" s="5"/>
      <c r="W6" s="5"/>
      <c r="X6" s="5"/>
      <c r="Y6" s="2"/>
      <c r="Z6" s="2"/>
    </row>
    <row r="7" spans="1:26" ht="14.25" customHeight="1" x14ac:dyDescent="0.35">
      <c r="A7" s="2">
        <v>40</v>
      </c>
      <c r="B7" s="2" t="s">
        <v>145</v>
      </c>
      <c r="C7" s="2"/>
      <c r="D7" s="2"/>
      <c r="E7" s="2"/>
      <c r="F7" s="2"/>
      <c r="G7" s="2"/>
      <c r="H7" s="2"/>
      <c r="I7" s="2"/>
      <c r="J7" s="184">
        <f>SUMIFS(JURNAL_26!$J$9:$J$1764,JURNAL_26!$D$9:$D$1764,$Q$1,JURNAL_26!$G$9:$G$1764,B7)</f>
        <v>27810000</v>
      </c>
      <c r="K7" s="185"/>
      <c r="L7" s="184">
        <f>SUMIFS(JURNAL_26!$K$9:$K$1764,JURNAL_26!$D$9:$D$1764,$Q$1,JURNAL_26!$G$9:$G$1764,B7)</f>
        <v>0</v>
      </c>
      <c r="M7" s="185"/>
      <c r="N7" s="2"/>
      <c r="O7" s="2"/>
      <c r="P7" s="2"/>
      <c r="Q7" s="5">
        <v>4</v>
      </c>
      <c r="R7" s="2" t="s">
        <v>0</v>
      </c>
      <c r="S7" s="2"/>
      <c r="T7" s="5"/>
      <c r="U7" s="5"/>
      <c r="V7" s="5"/>
      <c r="W7" s="5"/>
      <c r="X7" s="5"/>
      <c r="Y7" s="2"/>
      <c r="Z7" s="2"/>
    </row>
    <row r="8" spans="1:26" ht="14.25" customHeight="1" x14ac:dyDescent="0.35">
      <c r="A8" s="2">
        <v>41</v>
      </c>
      <c r="B8" s="2" t="s">
        <v>15</v>
      </c>
      <c r="C8" s="2"/>
      <c r="D8" s="2"/>
      <c r="E8" s="2"/>
      <c r="F8" s="2"/>
      <c r="G8" s="2"/>
      <c r="H8" s="2"/>
      <c r="I8" s="2"/>
      <c r="J8" s="184">
        <f>SUMIFS(JURNAL_26!$J$9:$J$1764,JURNAL_26!$D$9:$D$1764,$Q$1,JURNAL_26!$G$9:$G$1764,B8)</f>
        <v>420000</v>
      </c>
      <c r="K8" s="185"/>
      <c r="L8" s="184">
        <f>SUMIFS(JURNAL_26!$K$9:$K$1764,JURNAL_26!$D$9:$D$1764,$Q$1,JURNAL_26!$G$9:$G$1764,B8)</f>
        <v>0</v>
      </c>
      <c r="M8" s="185"/>
      <c r="N8" s="2"/>
      <c r="O8" s="2"/>
      <c r="P8" s="2"/>
      <c r="Q8" s="5">
        <v>5</v>
      </c>
      <c r="R8" s="2" t="s">
        <v>5</v>
      </c>
      <c r="S8" s="2"/>
      <c r="T8" s="5"/>
      <c r="U8" s="5"/>
      <c r="V8" s="5"/>
      <c r="W8" s="5"/>
      <c r="X8" s="5"/>
      <c r="Y8" s="2"/>
      <c r="Z8" s="2"/>
    </row>
    <row r="9" spans="1:26" ht="14.25" customHeight="1" x14ac:dyDescent="0.35">
      <c r="A9" s="2">
        <v>50</v>
      </c>
      <c r="B9" s="2" t="s">
        <v>146</v>
      </c>
      <c r="C9" s="2"/>
      <c r="D9" s="2"/>
      <c r="E9" s="2"/>
      <c r="F9" s="2"/>
      <c r="G9" s="2"/>
      <c r="H9" s="2"/>
      <c r="I9" s="2"/>
      <c r="J9" s="184">
        <f>SUMIFS(JURNAL_26!$J$9:$J$1764,JURNAL_26!$D$9:$D$1764,$Q$1,JURNAL_26!$G$9:$G$1764,B9)</f>
        <v>0</v>
      </c>
      <c r="K9" s="185"/>
      <c r="L9" s="184">
        <f>SUMIFS(JURNAL_26!$K$9:$K$1764,JURNAL_26!$D$9:$D$1764,$Q$1,JURNAL_26!$G$9:$G$1764,B9)</f>
        <v>13028500</v>
      </c>
      <c r="M9" s="185"/>
      <c r="N9" s="2"/>
      <c r="O9" s="2"/>
      <c r="P9" s="2"/>
      <c r="Q9" s="5">
        <v>6</v>
      </c>
      <c r="R9" s="1" t="s">
        <v>6</v>
      </c>
      <c r="S9" s="2"/>
      <c r="T9" s="5"/>
      <c r="U9" s="5"/>
      <c r="V9" s="5"/>
      <c r="W9" s="5"/>
      <c r="X9" s="5"/>
      <c r="Y9" s="2"/>
      <c r="Z9" s="2"/>
    </row>
    <row r="10" spans="1:26" ht="14.25" customHeight="1" x14ac:dyDescent="0.35">
      <c r="A10" s="2">
        <v>51</v>
      </c>
      <c r="B10" s="2" t="s">
        <v>147</v>
      </c>
      <c r="C10" s="2"/>
      <c r="D10" s="2"/>
      <c r="E10" s="2"/>
      <c r="F10" s="2"/>
      <c r="G10" s="2"/>
      <c r="H10" s="2"/>
      <c r="I10" s="2"/>
      <c r="J10" s="184">
        <f>SUMIFS(JURNAL_26!$J$9:$J$1764,JURNAL_26!$D$9:$D$1764,$Q$1,JURNAL_26!$G$9:$G$1764,B10)</f>
        <v>0</v>
      </c>
      <c r="K10" s="185"/>
      <c r="L10" s="184">
        <f>SUMIFS(JURNAL_26!$K$9:$K$1764,JURNAL_26!$D$9:$D$1764,$Q$1,JURNAL_26!$G$9:$G$1764,B10)</f>
        <v>3450000</v>
      </c>
      <c r="M10" s="185"/>
      <c r="N10" s="2"/>
      <c r="O10" s="2"/>
      <c r="P10" s="2"/>
      <c r="Q10" s="5">
        <v>7</v>
      </c>
      <c r="R10" s="1" t="s">
        <v>7</v>
      </c>
      <c r="S10" s="2"/>
      <c r="T10" s="5"/>
      <c r="U10" s="5"/>
      <c r="V10" s="5"/>
      <c r="W10" s="5"/>
      <c r="X10" s="5"/>
      <c r="Y10" s="2"/>
      <c r="Z10" s="2"/>
    </row>
    <row r="11" spans="1:26" ht="14.25" customHeight="1" x14ac:dyDescent="0.35">
      <c r="A11" s="2">
        <v>52</v>
      </c>
      <c r="B11" s="119" t="s">
        <v>249</v>
      </c>
      <c r="C11" s="2"/>
      <c r="D11" s="2"/>
      <c r="E11" s="2"/>
      <c r="F11" s="2"/>
      <c r="G11" s="2"/>
      <c r="H11" s="2"/>
      <c r="I11" s="2"/>
      <c r="J11" s="184">
        <f>SUMIFS(JURNAL_26!$J$9:$J$1764,JURNAL_26!$D$9:$D$1764,$Q$1,JURNAL_26!$G$9:$G$1764,B11)</f>
        <v>0</v>
      </c>
      <c r="K11" s="185"/>
      <c r="L11" s="184">
        <f>SUMIFS(JURNAL_26!$K$9:$K$1764,JURNAL_26!$D$9:$D$1764,$Q$1,JURNAL_26!$G$9:$G$1764,B11)</f>
        <v>3000000</v>
      </c>
      <c r="M11" s="185"/>
      <c r="N11" s="2"/>
      <c r="O11" s="2"/>
      <c r="P11" s="2"/>
      <c r="Q11" s="27">
        <v>8</v>
      </c>
      <c r="R11" s="1" t="s">
        <v>8</v>
      </c>
      <c r="S11" s="1"/>
      <c r="T11" s="5"/>
      <c r="U11" s="5"/>
      <c r="V11" s="5"/>
      <c r="W11" s="5"/>
      <c r="X11" s="5"/>
      <c r="Y11" s="2"/>
      <c r="Z11" s="2"/>
    </row>
    <row r="12" spans="1:26" ht="14.25" customHeight="1" x14ac:dyDescent="0.35">
      <c r="A12" s="2">
        <v>53</v>
      </c>
      <c r="B12" s="2" t="s">
        <v>151</v>
      </c>
      <c r="C12" s="2"/>
      <c r="D12" s="2"/>
      <c r="E12" s="2"/>
      <c r="F12" s="2"/>
      <c r="G12" s="2"/>
      <c r="H12" s="2"/>
      <c r="I12" s="2"/>
      <c r="J12" s="184">
        <f>SUMIFS(JURNAL_26!$J$9:$J$1764,JURNAL_26!$D$9:$D$1764,$Q$1,JURNAL_26!$G$9:$G$1764,B12)</f>
        <v>0</v>
      </c>
      <c r="K12" s="185"/>
      <c r="L12" s="184">
        <f>SUMIFS(JURNAL_26!$K$9:$K$1764,JURNAL_26!$D$9:$D$1764,$Q$1,JURNAL_26!$G$9:$G$1764,B12)</f>
        <v>3550000</v>
      </c>
      <c r="M12" s="185"/>
      <c r="N12" s="2"/>
      <c r="O12" s="2"/>
      <c r="P12" s="2"/>
      <c r="Q12" s="29">
        <v>9</v>
      </c>
      <c r="R12" s="1" t="s">
        <v>9</v>
      </c>
      <c r="S12" s="1"/>
      <c r="T12" s="5"/>
      <c r="U12" s="5"/>
      <c r="V12" s="5"/>
      <c r="W12" s="5"/>
      <c r="X12" s="5"/>
      <c r="Y12" s="2"/>
      <c r="Z12" s="2"/>
    </row>
    <row r="13" spans="1:26" ht="14.25" customHeight="1" x14ac:dyDescent="0.35">
      <c r="A13" s="2">
        <v>54</v>
      </c>
      <c r="B13" s="2" t="s">
        <v>148</v>
      </c>
      <c r="C13" s="2"/>
      <c r="D13" s="2"/>
      <c r="E13" s="2"/>
      <c r="F13" s="2"/>
      <c r="G13" s="2"/>
      <c r="H13" s="2"/>
      <c r="I13" s="2"/>
      <c r="J13" s="184">
        <f>SUMIFS(JURNAL_26!$J$9:$J$1764,JURNAL_26!$D$9:$D$1764,$Q$1,JURNAL_26!$G$9:$G$1764,B13)</f>
        <v>0</v>
      </c>
      <c r="K13" s="185"/>
      <c r="L13" s="184">
        <f>SUMIFS(JURNAL_26!$K$9:$K$1764,JURNAL_26!$D$9:$D$1764,$Q$1,JURNAL_26!$G$9:$G$1764,B13)</f>
        <v>39648</v>
      </c>
      <c r="M13" s="185"/>
      <c r="N13" s="2"/>
      <c r="O13" s="2"/>
      <c r="P13" s="2"/>
      <c r="Q13" s="29">
        <v>10</v>
      </c>
      <c r="R13" s="1" t="s">
        <v>10</v>
      </c>
      <c r="S13" s="1"/>
      <c r="T13" s="5"/>
      <c r="U13" s="5"/>
      <c r="V13" s="5"/>
      <c r="W13" s="5"/>
      <c r="X13" s="5"/>
      <c r="Y13" s="2"/>
      <c r="Z13" s="2"/>
    </row>
    <row r="14" spans="1:26" ht="14.25" customHeight="1" x14ac:dyDescent="0.35">
      <c r="A14" s="2">
        <v>55</v>
      </c>
      <c r="B14" s="2" t="s">
        <v>149</v>
      </c>
      <c r="C14" s="2"/>
      <c r="D14" s="2"/>
      <c r="E14" s="2"/>
      <c r="F14" s="2"/>
      <c r="G14" s="2"/>
      <c r="H14" s="2"/>
      <c r="I14" s="2"/>
      <c r="J14" s="184">
        <f>SUMIFS(JURNAL_26!$J$9:$J$1764,JURNAL_26!$D$9:$D$1764,$Q$1,JURNAL_26!$G$9:$G$1764,B14)</f>
        <v>0</v>
      </c>
      <c r="K14" s="185"/>
      <c r="L14" s="184">
        <f>SUMIFS(JURNAL_26!$K$9:$K$1764,JURNAL_26!$D$9:$D$1764,$Q$1,JURNAL_26!$G$9:$G$1764,B14)</f>
        <v>12000</v>
      </c>
      <c r="M14" s="185"/>
      <c r="N14" s="2"/>
      <c r="O14" s="2"/>
      <c r="P14" s="2"/>
      <c r="Q14" s="29">
        <v>11</v>
      </c>
      <c r="R14" s="1" t="s">
        <v>11</v>
      </c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>
        <v>56</v>
      </c>
      <c r="B15" s="2" t="s">
        <v>150</v>
      </c>
      <c r="C15" s="2"/>
      <c r="D15" s="2"/>
      <c r="E15" s="2"/>
      <c r="F15" s="2"/>
      <c r="G15" s="2"/>
      <c r="H15" s="2"/>
      <c r="I15" s="2"/>
      <c r="J15" s="184">
        <f>SUMIFS(JURNAL_26!$J$9:$J$1764,JURNAL_26!$D$9:$D$1764,$Q$1,JURNAL_26!$G$9:$G$1764,B15)</f>
        <v>0</v>
      </c>
      <c r="K15" s="185"/>
      <c r="L15" s="184">
        <f>SUMIFS(JURNAL_26!$K$9:$K$1764,JURNAL_26!$D$9:$D$1764,$Q$1,JURNAL_26!$G$9:$G$1764,B15)</f>
        <v>1300000</v>
      </c>
      <c r="M15" s="185"/>
      <c r="N15" s="2"/>
      <c r="O15" s="2"/>
      <c r="P15" s="2"/>
      <c r="Q15" s="5">
        <v>12</v>
      </c>
      <c r="R15" s="1" t="s">
        <v>12</v>
      </c>
      <c r="S15" s="2"/>
      <c r="T15" s="5"/>
      <c r="U15" s="5"/>
      <c r="V15" s="5"/>
      <c r="W15" s="5"/>
      <c r="X15" s="5"/>
      <c r="Y15" s="2"/>
      <c r="Z15" s="2"/>
    </row>
    <row r="16" spans="1:26" ht="14.25" customHeight="1" x14ac:dyDescent="0.35">
      <c r="A16" s="2">
        <v>57</v>
      </c>
      <c r="B16" s="2" t="s">
        <v>152</v>
      </c>
      <c r="C16" s="2"/>
      <c r="D16" s="2"/>
      <c r="E16" s="2"/>
      <c r="F16" s="2"/>
      <c r="G16" s="2"/>
      <c r="H16" s="2"/>
      <c r="I16" s="2"/>
      <c r="J16" s="184">
        <f>SUMIFS(JURNAL_26!$J$9:$J$1764,JURNAL_26!$D$9:$D$1764,$Q$1,JURNAL_26!$G$9:$G$1764,B16)</f>
        <v>0</v>
      </c>
      <c r="K16" s="185"/>
      <c r="L16" s="184">
        <f>SUMIFS(JURNAL_26!$K$9:$K$1764,JURNAL_26!$D$9:$D$1764,$Q$1,JURNAL_26!$G$9:$G$1764,B16)</f>
        <v>0</v>
      </c>
      <c r="M16" s="185"/>
      <c r="N16" s="2"/>
      <c r="O16" s="2"/>
      <c r="P16" s="2"/>
      <c r="Q16" s="5"/>
      <c r="R16" s="1"/>
      <c r="S16" s="2"/>
      <c r="T16" s="5"/>
      <c r="U16" s="5"/>
      <c r="V16" s="5"/>
      <c r="W16" s="5"/>
      <c r="X16" s="5"/>
      <c r="Y16" s="2"/>
      <c r="Z16" s="2"/>
    </row>
    <row r="17" spans="1:26" ht="14.25" customHeight="1" x14ac:dyDescent="0.35">
      <c r="A17" s="2">
        <v>58</v>
      </c>
      <c r="B17" s="119" t="s">
        <v>188</v>
      </c>
      <c r="C17" s="2"/>
      <c r="D17" s="2"/>
      <c r="E17" s="2"/>
      <c r="F17" s="2"/>
      <c r="G17" s="2"/>
      <c r="H17" s="2"/>
      <c r="I17" s="2"/>
      <c r="J17" s="184">
        <f>SUMIFS(JURNAL_26!$J$9:$J$1764,JURNAL_26!$D$9:$D$1764,$Q$1,JURNAL_26!$G$9:$G$1764,B17)</f>
        <v>0</v>
      </c>
      <c r="K17" s="185"/>
      <c r="L17" s="184">
        <f>SUMIFS(JURNAL_26!$K$9:$K$1764,JURNAL_26!$D$9:$D$1764,$Q$1,JURNAL_26!$G$9:$G$1764,B17)</f>
        <v>15652</v>
      </c>
      <c r="M17" s="185"/>
      <c r="N17" s="2"/>
      <c r="O17" s="2"/>
      <c r="P17" s="2"/>
      <c r="Q17" s="5"/>
      <c r="R17" s="2"/>
      <c r="S17" s="2"/>
      <c r="T17" s="5"/>
      <c r="U17" s="5"/>
      <c r="V17" s="5"/>
      <c r="W17" s="5"/>
      <c r="X17" s="2"/>
      <c r="Y17" s="2"/>
      <c r="Z17" s="2"/>
    </row>
    <row r="18" spans="1:26" ht="14.25" customHeight="1" x14ac:dyDescent="0.35">
      <c r="A18" s="2">
        <v>59</v>
      </c>
      <c r="B18" s="119" t="s">
        <v>200</v>
      </c>
      <c r="C18" s="2"/>
      <c r="D18" s="2"/>
      <c r="E18" s="2"/>
      <c r="F18" s="2"/>
      <c r="G18" s="2"/>
      <c r="H18" s="2"/>
      <c r="I18" s="2"/>
      <c r="J18" s="184">
        <f>SUMIFS(JURNAL_26!$J$9:$J$1764,JURNAL_26!$D$9:$D$1764,$Q$1,JURNAL_26!$G$9:$G$1764,B18)</f>
        <v>0</v>
      </c>
      <c r="K18" s="185"/>
      <c r="L18" s="184">
        <f>SUMIFS(JURNAL_26!$K$9:$K$1764,JURNAL_26!$D$9:$D$1764,$Q$1,JURNAL_26!$G$9:$G$1764,B18)</f>
        <v>1500000</v>
      </c>
      <c r="M18" s="185"/>
      <c r="N18" s="2"/>
      <c r="O18" s="2"/>
      <c r="P18" s="2"/>
      <c r="Q18" s="5"/>
      <c r="R18" s="2"/>
      <c r="S18" s="2"/>
      <c r="T18" s="31"/>
      <c r="U18" s="31"/>
      <c r="V18" s="31"/>
      <c r="W18" s="31"/>
      <c r="X18" s="2"/>
      <c r="Y18" s="2"/>
      <c r="Z18" s="2"/>
    </row>
    <row r="19" spans="1:26" ht="14.25" customHeight="1" x14ac:dyDescent="0.35">
      <c r="A19" s="119">
        <v>60</v>
      </c>
      <c r="B19" s="119" t="s">
        <v>287</v>
      </c>
      <c r="C19" s="2"/>
      <c r="D19" s="2"/>
      <c r="E19" s="2"/>
      <c r="F19" s="2"/>
      <c r="G19" s="2"/>
      <c r="H19" s="2"/>
      <c r="I19" s="2"/>
      <c r="J19" s="184">
        <f>SUMIFS(JURNAL_26!$J$9:$J$1764,JURNAL_26!$D$9:$D$1764,$Q$1,JURNAL_26!$G$9:$G$1764,B19)</f>
        <v>0</v>
      </c>
      <c r="K19" s="185"/>
      <c r="L19" s="184">
        <f>SUMIFS(JURNAL_26!$K$9:$K$1764,JURNAL_26!$D$9:$D$1764,$Q$1,JURNAL_26!$G$9:$G$1764,B19)</f>
        <v>3968000</v>
      </c>
      <c r="M19" s="185"/>
      <c r="N19" s="27"/>
      <c r="O19" s="2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119">
        <v>61</v>
      </c>
      <c r="B20" s="119" t="s">
        <v>288</v>
      </c>
      <c r="C20" s="2"/>
      <c r="D20" s="2"/>
      <c r="E20" s="2"/>
      <c r="F20" s="2"/>
      <c r="G20" s="2"/>
      <c r="H20" s="2"/>
      <c r="I20" s="2"/>
      <c r="J20" s="184">
        <f>SUMIFS(JURNAL_26!$J$9:$J$1764,JURNAL_26!$D$9:$D$1764,$Q$1,JURNAL_26!$G$9:$G$1764,B20)</f>
        <v>0</v>
      </c>
      <c r="K20" s="185"/>
      <c r="L20" s="184">
        <f>SUMIFS(JURNAL_26!$K$9:$K$1764,JURNAL_26!$D$9:$D$1764,$Q$1,JURNAL_26!$G$9:$G$1764,B20)</f>
        <v>0</v>
      </c>
      <c r="M20" s="185"/>
      <c r="N20" s="27"/>
      <c r="O20" s="2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7"/>
      <c r="K21" s="27"/>
      <c r="L21" s="27"/>
      <c r="M21" s="27"/>
      <c r="N21" s="27"/>
      <c r="O21" s="2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7"/>
      <c r="K22" s="27"/>
      <c r="L22" s="27"/>
      <c r="M22" s="27"/>
      <c r="N22" s="27"/>
      <c r="O22" s="2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/>
      <c r="B23" s="2" t="s">
        <v>49</v>
      </c>
      <c r="C23" s="2"/>
      <c r="D23" s="2"/>
      <c r="E23" s="2"/>
      <c r="F23" s="2"/>
      <c r="G23" s="2"/>
      <c r="H23" s="2"/>
      <c r="I23" s="2"/>
      <c r="J23" s="186">
        <f>SUM(J6:K22)</f>
        <v>28230000</v>
      </c>
      <c r="K23" s="187"/>
      <c r="L23" s="186">
        <f>SUM(L6:M22)</f>
        <v>29863800</v>
      </c>
      <c r="M23" s="187"/>
      <c r="N23" s="194">
        <f>J23-L23</f>
        <v>-1633800</v>
      </c>
      <c r="O23" s="195"/>
      <c r="P23" s="2"/>
      <c r="Q23" s="2"/>
      <c r="R23" s="5"/>
      <c r="S23" s="2"/>
      <c r="T23" s="2"/>
      <c r="U23" s="2"/>
      <c r="V23" s="2"/>
      <c r="W23" s="2"/>
      <c r="X23" s="2"/>
      <c r="Y23" s="2"/>
      <c r="Z23" s="2"/>
    </row>
    <row r="24" spans="1:26" ht="14.25" customHeight="1" thickTop="1" x14ac:dyDescent="0.35">
      <c r="A24" s="2"/>
      <c r="B24" s="2"/>
      <c r="C24" s="2"/>
      <c r="D24" s="2"/>
      <c r="E24" s="2"/>
      <c r="F24" s="2"/>
      <c r="G24" s="2"/>
      <c r="H24" s="2"/>
      <c r="I24" s="2"/>
      <c r="J24" s="27"/>
      <c r="K24" s="23"/>
      <c r="L24" s="27"/>
      <c r="M24" s="23"/>
      <c r="N24" s="27"/>
      <c r="O24" s="27"/>
      <c r="P24" s="2"/>
      <c r="Q24" s="2"/>
      <c r="R24" s="5"/>
      <c r="S24" s="2"/>
      <c r="T24" s="2"/>
      <c r="U24" s="2"/>
      <c r="V24" s="2"/>
      <c r="W24" s="2"/>
      <c r="X24" s="2"/>
      <c r="Y24" s="2"/>
      <c r="Z24" s="2"/>
    </row>
    <row r="25" spans="1:26" ht="14.25" customHeight="1" thickBot="1" x14ac:dyDescent="0.4">
      <c r="A25" s="180" t="s">
        <v>332</v>
      </c>
      <c r="B25" s="181"/>
      <c r="C25" s="181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2"/>
      <c r="Q25" s="2"/>
      <c r="R25" s="5"/>
      <c r="S25" s="2"/>
      <c r="T25" s="2"/>
      <c r="U25" s="2"/>
      <c r="V25" s="2"/>
      <c r="W25" s="2"/>
      <c r="X25" s="2"/>
      <c r="Y25" s="2"/>
      <c r="Z25" s="2"/>
    </row>
    <row r="26" spans="1:26" ht="14.5" hidden="1" customHeight="1" x14ac:dyDescent="0.35">
      <c r="A26" s="2">
        <v>10</v>
      </c>
      <c r="B26" s="119" t="s">
        <v>334</v>
      </c>
      <c r="C26" s="182"/>
      <c r="D26" s="2"/>
      <c r="E26" s="2"/>
      <c r="F26" s="2"/>
      <c r="G26" s="2"/>
      <c r="H26" s="2"/>
      <c r="I26" s="2"/>
      <c r="J26" s="184">
        <f>SUMIFS(JURNAL_26!$J$9:$J$1764,JURNAL_26!$D$9:$D$1764,$Q$1,JURNAL_26!$G$9:$G$1764,B26)</f>
        <v>0</v>
      </c>
      <c r="K26" s="185"/>
      <c r="L26" s="184">
        <f>SUMIFS(JURNAL_26!$K$9:$K$1764,JURNAL_26!$D$9:$D$1764,$Q$1,JURNAL_26!$G$9:$G$1764,B26)</f>
        <v>0</v>
      </c>
      <c r="M26" s="185"/>
      <c r="N26" s="184">
        <f t="shared" ref="N26" si="0">J26-L26</f>
        <v>0</v>
      </c>
      <c r="O26" s="185"/>
      <c r="P26" s="2"/>
      <c r="Q26" s="2"/>
      <c r="R26" s="5"/>
      <c r="S26" s="2"/>
      <c r="T26" s="2"/>
      <c r="U26" s="2"/>
      <c r="V26" s="2"/>
      <c r="W26" s="2"/>
      <c r="X26" s="2"/>
      <c r="Y26" s="2"/>
      <c r="Z26" s="2"/>
    </row>
    <row r="27" spans="1:26" ht="14.5" hidden="1" customHeight="1" x14ac:dyDescent="0.35">
      <c r="A27" s="2">
        <v>11</v>
      </c>
      <c r="B27" s="119" t="s">
        <v>335</v>
      </c>
      <c r="C27" s="179"/>
      <c r="D27" s="2"/>
      <c r="E27" s="2"/>
      <c r="F27" s="2"/>
      <c r="G27" s="2"/>
      <c r="H27" s="2"/>
      <c r="I27" s="2"/>
      <c r="J27" s="184">
        <f>SUMIFS(JURNAL_26!$J$9:$J$1764,JURNAL_26!$D$9:$D$1764,$Q$1,JURNAL_26!$G$9:$G$1764,B27)</f>
        <v>0</v>
      </c>
      <c r="K27" s="185"/>
      <c r="L27" s="184">
        <f>SUMIFS(JURNAL_26!$K$9:$K$1764,JURNAL_26!$D$9:$D$1764,$Q$1,JURNAL_26!$G$9:$G$1764,B27)</f>
        <v>0</v>
      </c>
      <c r="M27" s="185"/>
      <c r="N27" s="184">
        <f t="shared" ref="N27:N31" si="1">J27-L27</f>
        <v>0</v>
      </c>
      <c r="O27" s="185"/>
      <c r="P27" s="2"/>
      <c r="Q27" s="2"/>
      <c r="R27" s="5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>
        <v>12</v>
      </c>
      <c r="B28" s="2" t="s">
        <v>144</v>
      </c>
      <c r="C28" s="2"/>
      <c r="D28" s="2"/>
      <c r="E28" s="2"/>
      <c r="F28" s="2"/>
      <c r="G28" s="2"/>
      <c r="H28" s="2"/>
      <c r="I28" s="2"/>
      <c r="J28" s="184">
        <f>SUMIFS(JURNAL_26!$J$9:$J$1764,JURNAL_26!$D$9:$D$1764,$Q$1,JURNAL_26!$G$9:$G$1764,B28)</f>
        <v>500000</v>
      </c>
      <c r="K28" s="185"/>
      <c r="L28" s="184">
        <f>SUMIFS(JURNAL_26!$K$9:$K$1764,JURNAL_26!$D$9:$D$1764,$Q$1,JURNAL_26!$G$9:$G$1764,B28)</f>
        <v>500000</v>
      </c>
      <c r="M28" s="185"/>
      <c r="N28" s="184">
        <f t="shared" si="1"/>
        <v>0</v>
      </c>
      <c r="O28" s="185"/>
      <c r="P28" s="2"/>
      <c r="Q28" s="2"/>
      <c r="R28" s="5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>
        <v>13</v>
      </c>
      <c r="B29" s="2" t="s">
        <v>143</v>
      </c>
      <c r="C29" s="2"/>
      <c r="D29" s="2"/>
      <c r="E29" s="2"/>
      <c r="F29" s="2"/>
      <c r="G29" s="2"/>
      <c r="H29" s="2"/>
      <c r="I29" s="2"/>
      <c r="J29" s="27"/>
      <c r="L29" s="27"/>
      <c r="N29" s="27"/>
      <c r="P29" s="2"/>
      <c r="Q29" s="2"/>
      <c r="R29" s="5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>
        <v>20</v>
      </c>
      <c r="B30" s="119" t="s">
        <v>289</v>
      </c>
      <c r="C30" s="2"/>
      <c r="D30" s="2"/>
      <c r="E30" s="2"/>
      <c r="F30" s="2"/>
      <c r="G30" s="2"/>
      <c r="H30" s="2"/>
      <c r="I30" s="2"/>
      <c r="J30" s="184">
        <f>SUMIFS(JURNAL_26!$J$9:$J$1764,JURNAL_26!$D$9:$D$1764,$Q$1,JURNAL_26!$G$9:$G$1764,B30)</f>
        <v>6500000</v>
      </c>
      <c r="K30" s="185"/>
      <c r="L30" s="184">
        <f>SUMIFS(JURNAL_26!$K$9:$K$1764,JURNAL_26!$D$9:$D$1764,$Q$1,JURNAL_26!$G$9:$G$1764,B30)</f>
        <v>0</v>
      </c>
      <c r="M30" s="185"/>
      <c r="N30" s="184">
        <f t="shared" si="1"/>
        <v>6500000</v>
      </c>
      <c r="O30" s="185"/>
      <c r="P30" s="2"/>
      <c r="Q30" s="5"/>
      <c r="R30" s="5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119">
        <v>21</v>
      </c>
      <c r="B31" s="2" t="s">
        <v>14</v>
      </c>
      <c r="C31" s="2"/>
      <c r="D31" s="2"/>
      <c r="E31" s="2"/>
      <c r="F31" s="2"/>
      <c r="G31" s="2"/>
      <c r="H31" s="2"/>
      <c r="I31" s="2"/>
      <c r="J31" s="184">
        <f>SUMIFS(JURNAL_26!$J$9:$J$1764,JURNAL_26!$D$9:$D$1764,$Q$1,JURNAL_26!$G$9:$G$1764,B31)</f>
        <v>0</v>
      </c>
      <c r="K31" s="185"/>
      <c r="L31" s="184">
        <f>SUMIFS(JURNAL_26!$K$9:$K$1764,JURNAL_26!$D$9:$D$1764,$Q$1,JURNAL_26!$G$9:$G$1764,B31)</f>
        <v>0</v>
      </c>
      <c r="M31" s="185"/>
      <c r="N31" s="184">
        <f t="shared" si="1"/>
        <v>0</v>
      </c>
      <c r="O31" s="185"/>
      <c r="P31" s="2"/>
      <c r="Q31" s="2"/>
      <c r="R31" s="5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7"/>
      <c r="K32" s="27"/>
      <c r="L32" s="27"/>
      <c r="M32" s="27"/>
      <c r="N32" s="27"/>
      <c r="O32" s="27"/>
      <c r="P32" s="2"/>
      <c r="Q32" s="2"/>
      <c r="R32" s="5"/>
      <c r="S32" s="2"/>
      <c r="T32" s="2"/>
      <c r="U32" s="2"/>
      <c r="V32" s="2"/>
      <c r="W32" s="2"/>
      <c r="X32" s="2"/>
      <c r="Y32" s="2"/>
      <c r="Z32" s="2"/>
    </row>
    <row r="33" spans="1:26" ht="14.25" customHeight="1" thickBot="1" x14ac:dyDescent="0.4">
      <c r="A33" s="2"/>
      <c r="B33" s="26" t="s">
        <v>49</v>
      </c>
      <c r="C33" s="2"/>
      <c r="D33" s="2"/>
      <c r="E33" s="2"/>
      <c r="F33" s="2"/>
      <c r="G33" s="2"/>
      <c r="H33" s="2"/>
      <c r="I33" s="2"/>
      <c r="J33" s="186">
        <f>SUM(J26:K31)</f>
        <v>7000000</v>
      </c>
      <c r="K33" s="187"/>
      <c r="L33" s="186">
        <f>SUM(L26:M31)</f>
        <v>500000</v>
      </c>
      <c r="M33" s="187"/>
      <c r="N33" s="186">
        <f>J33-L33</f>
        <v>6500000</v>
      </c>
      <c r="O33" s="187"/>
      <c r="P33" s="2"/>
      <c r="Q33" s="2"/>
      <c r="R33" s="5"/>
      <c r="S33" s="2"/>
      <c r="T33" s="2"/>
      <c r="U33" s="2"/>
      <c r="V33" s="2"/>
      <c r="W33" s="2"/>
      <c r="X33" s="2"/>
      <c r="Y33" s="2"/>
      <c r="Z33" s="2"/>
    </row>
    <row r="34" spans="1:26" ht="14.25" customHeight="1" thickTop="1" x14ac:dyDescent="0.35">
      <c r="A34" s="2"/>
      <c r="B34" s="26"/>
      <c r="C34" s="2"/>
      <c r="D34" s="2"/>
      <c r="E34" s="2"/>
      <c r="F34" s="2"/>
      <c r="G34" s="2"/>
      <c r="H34" s="2"/>
      <c r="I34" s="2"/>
      <c r="J34" s="27"/>
      <c r="K34" s="23"/>
      <c r="L34" s="27"/>
      <c r="M34" s="23"/>
      <c r="N34" s="27"/>
      <c r="O34" s="27"/>
      <c r="P34" s="2"/>
      <c r="Q34" s="3" t="s">
        <v>59</v>
      </c>
      <c r="R34" s="43" t="s">
        <v>53</v>
      </c>
      <c r="S34" s="44" t="s">
        <v>43</v>
      </c>
      <c r="T34" s="44" t="s">
        <v>54</v>
      </c>
      <c r="U34" s="44" t="s">
        <v>55</v>
      </c>
      <c r="V34" s="44" t="s">
        <v>38</v>
      </c>
      <c r="W34" s="2"/>
      <c r="X34" s="2"/>
      <c r="Y34" s="2"/>
      <c r="Z34" s="2"/>
    </row>
    <row r="35" spans="1:26" ht="14.25" customHeight="1" x14ac:dyDescent="0.35">
      <c r="A35" s="39" t="s">
        <v>51</v>
      </c>
      <c r="B35" s="40"/>
      <c r="C35" s="40"/>
      <c r="D35" s="40"/>
      <c r="E35" s="40"/>
      <c r="F35" s="40"/>
      <c r="G35" s="40"/>
      <c r="H35" s="40"/>
      <c r="I35" s="40"/>
      <c r="J35" s="41"/>
      <c r="K35" s="42"/>
      <c r="L35" s="41"/>
      <c r="M35" s="42"/>
      <c r="N35" s="188">
        <f>N23+N33</f>
        <v>4866200</v>
      </c>
      <c r="O35" s="189"/>
      <c r="P35" s="2"/>
      <c r="Q35" s="141">
        <f>'LAP KAS BLN'!Q37</f>
        <v>8260500</v>
      </c>
      <c r="R35" s="141">
        <f>'LR YTD'!L29</f>
        <v>-1633800</v>
      </c>
      <c r="S35" s="141">
        <f>N33</f>
        <v>6500000</v>
      </c>
      <c r="T35" s="141">
        <f>Q35+R35+S35</f>
        <v>13126700</v>
      </c>
      <c r="U35" s="141">
        <f>N38</f>
        <v>13126700</v>
      </c>
      <c r="V35" s="142">
        <f>T35-U35</f>
        <v>0</v>
      </c>
      <c r="W35" s="73"/>
      <c r="X35" s="2"/>
      <c r="Y35" s="2"/>
      <c r="Z35" s="2"/>
    </row>
    <row r="36" spans="1:26" ht="14.25" customHeight="1" x14ac:dyDescent="0.35">
      <c r="A36" s="26"/>
      <c r="B36" s="2"/>
      <c r="C36" s="2"/>
      <c r="D36" s="2"/>
      <c r="E36" s="2"/>
      <c r="F36" s="2"/>
      <c r="G36" s="2"/>
      <c r="H36" s="2"/>
      <c r="I36" s="2"/>
      <c r="J36" s="27"/>
      <c r="K36" s="23"/>
      <c r="L36" s="27"/>
      <c r="M36" s="23"/>
      <c r="N36" s="27"/>
      <c r="O36" s="27"/>
      <c r="P36" s="2"/>
      <c r="Q36" s="73"/>
      <c r="R36" s="73"/>
      <c r="S36" s="73"/>
      <c r="T36" s="73"/>
      <c r="U36" s="73"/>
      <c r="V36" s="73"/>
      <c r="W36" s="73"/>
      <c r="X36" s="2"/>
      <c r="Y36" s="2"/>
      <c r="Z36" s="2"/>
    </row>
    <row r="37" spans="1:26" ht="14.25" customHeight="1" x14ac:dyDescent="0.35">
      <c r="A37" s="32" t="s">
        <v>60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96">
        <f>Q35</f>
        <v>8260500</v>
      </c>
      <c r="O37" s="197"/>
      <c r="P37" s="2"/>
      <c r="Q37" s="73" t="s">
        <v>340</v>
      </c>
      <c r="R37" s="73" t="s">
        <v>341</v>
      </c>
      <c r="S37" s="73" t="s">
        <v>38</v>
      </c>
      <c r="T37" s="73"/>
      <c r="U37" s="73"/>
      <c r="V37" s="73"/>
      <c r="W37" s="73"/>
      <c r="X37" s="2"/>
      <c r="Y37" s="2"/>
      <c r="Z37" s="2"/>
    </row>
    <row r="38" spans="1:26" ht="14.25" customHeight="1" x14ac:dyDescent="0.35">
      <c r="A38" s="32" t="s">
        <v>61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98">
        <f>N35+N37</f>
        <v>13126700</v>
      </c>
      <c r="O38" s="197"/>
      <c r="P38" s="2"/>
      <c r="Q38" s="73">
        <f>JURNAL_26!M404</f>
        <v>12622700</v>
      </c>
      <c r="R38" s="73">
        <f>'KAS KECIL'!L10</f>
        <v>504000</v>
      </c>
      <c r="S38" s="73">
        <f>N38-Q38-R38</f>
        <v>0</v>
      </c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3"/>
      <c r="R39" s="73"/>
      <c r="S39" s="73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280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">
        <v>33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33" t="s">
        <v>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</sheetData>
  <mergeCells count="60">
    <mergeCell ref="N37:O37"/>
    <mergeCell ref="N38:O38"/>
    <mergeCell ref="J13:K13"/>
    <mergeCell ref="J14:K14"/>
    <mergeCell ref="J15:K15"/>
    <mergeCell ref="J16:K16"/>
    <mergeCell ref="J17:K17"/>
    <mergeCell ref="L13:M13"/>
    <mergeCell ref="L27:M27"/>
    <mergeCell ref="N27:O27"/>
    <mergeCell ref="L14:M14"/>
    <mergeCell ref="L15:M15"/>
    <mergeCell ref="L16:M16"/>
    <mergeCell ref="L17:M17"/>
    <mergeCell ref="L18:M18"/>
    <mergeCell ref="L23:M23"/>
    <mergeCell ref="J9:K9"/>
    <mergeCell ref="L9:M9"/>
    <mergeCell ref="J10:K10"/>
    <mergeCell ref="N23:O23"/>
    <mergeCell ref="L10:M10"/>
    <mergeCell ref="J11:K11"/>
    <mergeCell ref="L11:M11"/>
    <mergeCell ref="J12:K12"/>
    <mergeCell ref="L12:M12"/>
    <mergeCell ref="J18:K18"/>
    <mergeCell ref="J23:K23"/>
    <mergeCell ref="J19:K19"/>
    <mergeCell ref="L19:M19"/>
    <mergeCell ref="J20:K20"/>
    <mergeCell ref="L20:M20"/>
    <mergeCell ref="J33:K33"/>
    <mergeCell ref="L33:M33"/>
    <mergeCell ref="N33:O33"/>
    <mergeCell ref="N35:O35"/>
    <mergeCell ref="A1:O1"/>
    <mergeCell ref="A2:O2"/>
    <mergeCell ref="A3:O3"/>
    <mergeCell ref="J5:K5"/>
    <mergeCell ref="L5:M5"/>
    <mergeCell ref="N5:O5"/>
    <mergeCell ref="L6:M6"/>
    <mergeCell ref="J6:K6"/>
    <mergeCell ref="J7:K7"/>
    <mergeCell ref="L7:M7"/>
    <mergeCell ref="J8:K8"/>
    <mergeCell ref="L8:M8"/>
    <mergeCell ref="J30:K30"/>
    <mergeCell ref="L30:M30"/>
    <mergeCell ref="N30:O30"/>
    <mergeCell ref="J31:K31"/>
    <mergeCell ref="L31:M31"/>
    <mergeCell ref="N31:O31"/>
    <mergeCell ref="J26:K26"/>
    <mergeCell ref="L26:M26"/>
    <mergeCell ref="N26:O26"/>
    <mergeCell ref="J27:K27"/>
    <mergeCell ref="J28:K28"/>
    <mergeCell ref="L28:M28"/>
    <mergeCell ref="N28:O28"/>
  </mergeCells>
  <printOptions horizontalCentered="1"/>
  <pageMargins left="0.70866141732283472" right="0.70866141732283472" top="0.74803149606299213" bottom="0.74803149606299213" header="0" footer="0"/>
  <pageSetup paperSize="9" scale="67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Q1001"/>
  <sheetViews>
    <sheetView view="pageBreakPreview" topLeftCell="A10" zoomScale="84" zoomScaleNormal="72" zoomScaleSheetLayoutView="84" workbookViewId="0">
      <selection activeCell="H9" sqref="H9:I9"/>
    </sheetView>
  </sheetViews>
  <sheetFormatPr defaultColWidth="14.453125" defaultRowHeight="15" customHeight="1" x14ac:dyDescent="0.35"/>
  <cols>
    <col min="1" max="1" width="3.81640625" customWidth="1"/>
    <col min="2" max="2" width="2.81640625" customWidth="1"/>
    <col min="3" max="4" width="8.81640625" customWidth="1"/>
    <col min="5" max="5" width="12.08984375" customWidth="1"/>
    <col min="6" max="6" width="11.7265625" customWidth="1"/>
    <col min="7" max="7" width="14.08984375" customWidth="1"/>
    <col min="8" max="12" width="10.08984375" customWidth="1"/>
    <col min="13" max="13" width="11.81640625" customWidth="1"/>
    <col min="14" max="14" width="9.54296875" customWidth="1"/>
    <col min="15" max="15" width="8.81640625" customWidth="1"/>
    <col min="16" max="16" width="12.08984375" customWidth="1"/>
    <col min="17" max="17" width="8.81640625" customWidth="1"/>
    <col min="18" max="18" width="12.453125" customWidth="1"/>
    <col min="19" max="19" width="12.81640625" bestFit="1" customWidth="1"/>
    <col min="20" max="21" width="12.453125" customWidth="1"/>
    <col min="22" max="22" width="14.81640625" customWidth="1"/>
    <col min="23" max="23" width="4.81640625" customWidth="1"/>
    <col min="24" max="24" width="8.81640625" customWidth="1"/>
    <col min="25" max="25" width="14.453125" customWidth="1"/>
    <col min="26" max="26" width="15.54296875" customWidth="1"/>
    <col min="27" max="27" width="10.90625" bestFit="1" customWidth="1"/>
    <col min="28" max="28" width="9.26953125" bestFit="1" customWidth="1"/>
    <col min="29" max="29" width="12.54296875" customWidth="1"/>
    <col min="30" max="30" width="4.54296875" customWidth="1"/>
    <col min="31" max="31" width="8.81640625" customWidth="1"/>
    <col min="32" max="32" width="16.26953125" customWidth="1"/>
    <col min="33" max="33" width="12" customWidth="1"/>
    <col min="34" max="34" width="11.54296875" customWidth="1"/>
    <col min="35" max="35" width="12.7265625" customWidth="1"/>
    <col min="36" max="36" width="10.453125" customWidth="1"/>
    <col min="37" max="37" width="14.453125" customWidth="1"/>
  </cols>
  <sheetData>
    <row r="1" spans="1:43" ht="14.25" customHeight="1" x14ac:dyDescent="0.35">
      <c r="A1" s="214" t="str">
        <f>'LR BLN'!A1:M1</f>
        <v>Paguyuban Puri Bunga 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2"/>
      <c r="O1" s="2"/>
      <c r="P1" s="2"/>
      <c r="Q1" s="24">
        <f>'LR BLN'!N1</f>
        <v>5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43" ht="14.25" customHeight="1" x14ac:dyDescent="0.35">
      <c r="A2" s="190" t="s">
        <v>62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43" ht="14.25" customHeight="1" x14ac:dyDescent="0.35">
      <c r="A3" s="220" t="str">
        <f>"Per 30  "&amp;VLOOKUP(Q1,$P$6:$Q$18,2,FALSE)</f>
        <v>Per 30  MEI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43" ht="14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5"/>
      <c r="P4" s="2">
        <v>2026</v>
      </c>
      <c r="Q4" s="2"/>
      <c r="R4" s="5"/>
      <c r="S4" s="5"/>
      <c r="T4" s="5"/>
      <c r="U4" s="5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43" ht="14.25" customHeight="1" thickBot="1" x14ac:dyDescent="0.4">
      <c r="A5" s="50" t="s">
        <v>63</v>
      </c>
      <c r="B5" s="50"/>
      <c r="C5" s="50"/>
      <c r="D5" s="50"/>
      <c r="E5" s="50"/>
      <c r="F5" s="224" t="s">
        <v>41</v>
      </c>
      <c r="G5" s="225"/>
      <c r="H5" s="224" t="s">
        <v>46</v>
      </c>
      <c r="I5" s="225"/>
      <c r="J5" s="224" t="s">
        <v>47</v>
      </c>
      <c r="K5" s="225"/>
      <c r="L5" s="224" t="s">
        <v>48</v>
      </c>
      <c r="M5" s="225"/>
      <c r="N5" s="2"/>
      <c r="O5" s="5"/>
      <c r="P5" s="51"/>
      <c r="Q5" s="51" t="s">
        <v>13</v>
      </c>
      <c r="R5" s="52"/>
      <c r="S5" s="52" t="s">
        <v>41</v>
      </c>
      <c r="T5" s="52" t="s">
        <v>42</v>
      </c>
      <c r="U5" s="52" t="s">
        <v>43</v>
      </c>
      <c r="V5" s="51" t="s">
        <v>44</v>
      </c>
      <c r="W5" s="51"/>
      <c r="X5" s="226" t="str">
        <f>COA!B2</f>
        <v>Kas Kecil</v>
      </c>
      <c r="Y5" s="185"/>
      <c r="Z5" s="51" t="s">
        <v>41</v>
      </c>
      <c r="AA5" s="51" t="s">
        <v>22</v>
      </c>
      <c r="AB5" s="51" t="s">
        <v>23</v>
      </c>
      <c r="AC5" s="51" t="s">
        <v>44</v>
      </c>
      <c r="AD5" s="51"/>
      <c r="AE5" s="3" t="str">
        <f>COA!B3</f>
        <v>Piutang Pembayaran Gaji</v>
      </c>
      <c r="AF5" s="3"/>
      <c r="AG5" s="51" t="s">
        <v>41</v>
      </c>
      <c r="AH5" s="51" t="s">
        <v>22</v>
      </c>
      <c r="AI5" s="51" t="s">
        <v>23</v>
      </c>
      <c r="AJ5" s="51" t="s">
        <v>44</v>
      </c>
      <c r="AK5" s="51"/>
      <c r="AL5" s="3" t="str">
        <f>COA!B4</f>
        <v>Piutang Lain-Lain</v>
      </c>
      <c r="AM5" s="3"/>
      <c r="AN5" s="51" t="s">
        <v>41</v>
      </c>
      <c r="AO5" s="51" t="s">
        <v>22</v>
      </c>
      <c r="AP5" s="51" t="s">
        <v>23</v>
      </c>
      <c r="AQ5" s="51" t="s">
        <v>44</v>
      </c>
    </row>
    <row r="6" spans="1:43" ht="14.25" customHeight="1" x14ac:dyDescent="0.35">
      <c r="A6" s="2"/>
      <c r="B6" s="2" t="s">
        <v>334</v>
      </c>
      <c r="C6" s="2"/>
      <c r="D6" s="2"/>
      <c r="E6" s="2"/>
      <c r="F6" s="227">
        <f>S6</f>
        <v>8260500</v>
      </c>
      <c r="G6" s="228"/>
      <c r="H6" s="229">
        <f>SUMIFS(JURNAL_26!$J$9:$J$1764,JURNAL_26!$D$9:$D$1764,$Q$1,JURNAL_26!$G$9:$G$1764,B6)</f>
        <v>0</v>
      </c>
      <c r="I6" s="185"/>
      <c r="J6" s="229">
        <f>SUMIFS(JURNAL_26!$K$9:$K$1764,JURNAL_26!$D$9:$D$1764,$Q$1,JURNAL_26!$G$9:$G$1764,B6)</f>
        <v>0</v>
      </c>
      <c r="K6" s="185"/>
      <c r="L6" s="227">
        <f>VLOOKUP(Q1,$P$6:$V$18,7,FALSE)</f>
        <v>13126700</v>
      </c>
      <c r="M6" s="227"/>
      <c r="N6" s="2"/>
      <c r="O6" s="5"/>
      <c r="P6" s="51">
        <v>1</v>
      </c>
      <c r="Q6" s="51" t="s">
        <v>2</v>
      </c>
      <c r="R6" s="52"/>
      <c r="S6" s="53">
        <f>JURNAL_26!L8</f>
        <v>8260500</v>
      </c>
      <c r="T6" s="52">
        <f>'LR BLN'!S1</f>
        <v>-965500</v>
      </c>
      <c r="U6" s="52">
        <f>'LAP KAS BLN'!V4</f>
        <v>900000</v>
      </c>
      <c r="V6" s="46">
        <f t="shared" ref="V6:V18" si="0">S6+T6+U6</f>
        <v>8195000</v>
      </c>
      <c r="W6" s="51">
        <v>1</v>
      </c>
      <c r="X6" s="51" t="s">
        <v>2</v>
      </c>
      <c r="Y6" s="51"/>
      <c r="Z6" s="54">
        <v>0</v>
      </c>
      <c r="AA6" s="27">
        <f>SUMIFS(JURNAL_26!$J$9:$J$1764,JURNAL_26!$C$9:$C$1764,W6,JURNAL_26!$G$9:$G$1764,$X$5)</f>
        <v>0</v>
      </c>
      <c r="AB6" s="27">
        <f>SUMIFS(JURNAL_26!$K$9:$K$1764,JURNAL_26!$C$9:$C$1764,W6,JURNAL_26!$G$9:$G$1764,$X$5)</f>
        <v>0</v>
      </c>
      <c r="AC6" s="46">
        <f t="shared" ref="AC6:AC18" si="1">Z6+AB6-AA6</f>
        <v>0</v>
      </c>
      <c r="AD6" s="51">
        <v>1</v>
      </c>
      <c r="AE6" s="51" t="s">
        <v>2</v>
      </c>
      <c r="AF6" s="51"/>
      <c r="AG6" s="54">
        <v>0</v>
      </c>
      <c r="AH6" s="27">
        <f>SUMIFS(JURNAL_26!$J$9:$J$1764,JURNAL_26!$C$9:$C$1764,AD6,JURNAL_26!$G$9:$G$1764,$AE$5)</f>
        <v>0</v>
      </c>
      <c r="AI6" s="27">
        <f>SUMIFS(JURNAL_26!$K$9:$K$1764,JURNAL_26!$C$9:$C$1764,AD6,JURNAL_26!$G$9:$G$1764,$AE$5)</f>
        <v>0</v>
      </c>
      <c r="AJ6" s="46">
        <f t="shared" ref="AJ6:AJ18" si="2">AG6+AI6-AH6</f>
        <v>0</v>
      </c>
      <c r="AK6" s="51">
        <v>1</v>
      </c>
      <c r="AL6" s="51" t="s">
        <v>2</v>
      </c>
      <c r="AM6" s="51"/>
      <c r="AN6" s="54">
        <v>0</v>
      </c>
      <c r="AO6" s="27">
        <f>SUMIFS(JURNAL_26!$J$9:$J$1764,JURNAL_26!$C$9:$C$1764,AK6,JURNAL_26!$G$9:$G$1764,$AL$5)</f>
        <v>0</v>
      </c>
      <c r="AP6" s="27">
        <f>SUMIFS(JURNAL_26!$K$9:$K$1764,JURNAL_26!$C$9:$C$1764,AK6,JURNAL_26!$G$9:$G$1764,$AL$5)</f>
        <v>0</v>
      </c>
      <c r="AQ6" s="46">
        <f t="shared" ref="AQ6:AQ8" si="3">AN6+AP6-AO6</f>
        <v>0</v>
      </c>
    </row>
    <row r="7" spans="1:43" ht="14.25" customHeight="1" x14ac:dyDescent="0.35">
      <c r="A7" s="2"/>
      <c r="B7" s="119" t="s">
        <v>335</v>
      </c>
      <c r="C7" s="2"/>
      <c r="D7" s="2"/>
      <c r="E7" s="2"/>
      <c r="F7" s="223">
        <v>0</v>
      </c>
      <c r="G7" s="185"/>
      <c r="H7" s="223">
        <f>SUMIFS(JURNAL_26!$J$9:$J$1764,JURNAL_26!$D$9:$D$1764,$Q$1,JURNAL_26!$G$9:$G$1764,B7)</f>
        <v>0</v>
      </c>
      <c r="I7" s="185"/>
      <c r="J7" s="223">
        <f>SUMIFS(JURNAL_26!$K$9:$K$1764,JURNAL_26!$D$9:$D$1764,$Q$1,JURNAL_26!$G$9:$G$1764,B7)</f>
        <v>0</v>
      </c>
      <c r="K7" s="185"/>
      <c r="L7" s="223">
        <f t="shared" ref="L7" si="4">F7+J7-H7</f>
        <v>0</v>
      </c>
      <c r="M7" s="185"/>
      <c r="N7" s="2"/>
      <c r="O7" s="5"/>
      <c r="P7" s="51"/>
      <c r="Q7" s="51"/>
      <c r="R7" s="52"/>
      <c r="S7" s="53"/>
      <c r="T7" s="52"/>
      <c r="U7" s="52"/>
      <c r="V7" s="46"/>
      <c r="W7" s="51"/>
      <c r="X7" s="51"/>
      <c r="Y7" s="51"/>
      <c r="Z7" s="54"/>
      <c r="AA7" s="27"/>
      <c r="AB7" s="27"/>
      <c r="AC7" s="46"/>
      <c r="AD7" s="51"/>
      <c r="AE7" s="51"/>
      <c r="AF7" s="51"/>
      <c r="AG7" s="54"/>
      <c r="AH7" s="27"/>
      <c r="AI7" s="27"/>
      <c r="AJ7" s="46"/>
      <c r="AK7" s="51"/>
      <c r="AL7" s="51"/>
      <c r="AM7" s="51"/>
      <c r="AN7" s="54"/>
      <c r="AO7" s="27"/>
      <c r="AP7" s="27"/>
      <c r="AQ7" s="46"/>
    </row>
    <row r="8" spans="1:43" ht="14.25" customHeight="1" x14ac:dyDescent="0.35">
      <c r="A8" s="2"/>
      <c r="B8" s="2" t="s">
        <v>144</v>
      </c>
      <c r="C8" s="2"/>
      <c r="D8" s="2"/>
      <c r="E8" s="2"/>
      <c r="F8" s="223">
        <f>Z6</f>
        <v>0</v>
      </c>
      <c r="G8" s="185"/>
      <c r="H8" s="223">
        <f>SUMIFS(JURNAL_26!$J$9:$J$1764,JURNAL_26!$D$9:$D$1764,$Q$1,JURNAL_26!$G$9:$G$1764,B8)</f>
        <v>500000</v>
      </c>
      <c r="I8" s="185"/>
      <c r="J8" s="223">
        <f>SUMIFS(JURNAL_26!$K$9:$K$1764,JURNAL_26!$D$9:$D$1764,$Q$1,JURNAL_26!$G$9:$G$1764,B8)</f>
        <v>500000</v>
      </c>
      <c r="K8" s="185"/>
      <c r="L8" s="223">
        <f t="shared" ref="L8" si="5">F8+J8-H8</f>
        <v>0</v>
      </c>
      <c r="M8" s="185"/>
      <c r="N8" s="2"/>
      <c r="O8" s="5"/>
      <c r="P8" s="51">
        <v>2</v>
      </c>
      <c r="Q8" s="51" t="s">
        <v>3</v>
      </c>
      <c r="R8" s="52"/>
      <c r="S8" s="52">
        <f>V6</f>
        <v>8195000</v>
      </c>
      <c r="T8" s="52">
        <f>'LR BLN'!S2</f>
        <v>663000</v>
      </c>
      <c r="U8" s="52">
        <f>'LAP KAS BLN'!V5</f>
        <v>2700000</v>
      </c>
      <c r="V8" s="46">
        <f t="shared" si="0"/>
        <v>11558000</v>
      </c>
      <c r="W8" s="51">
        <v>2</v>
      </c>
      <c r="X8" s="51" t="s">
        <v>3</v>
      </c>
      <c r="Y8" s="51"/>
      <c r="Z8" s="46">
        <f>AC6</f>
        <v>0</v>
      </c>
      <c r="AA8" s="27">
        <f>SUMIFS(JURNAL_26!$J$9:$J$1764,JURNAL_26!$C$9:$C$1764,W8,JURNAL_26!$G$9:$G$1764,$X$5)</f>
        <v>0</v>
      </c>
      <c r="AB8" s="27">
        <f>SUMIFS(JURNAL_26!$K$9:$K$1764,JURNAL_26!$C$9:$C$1764,W8,JURNAL_26!$G$9:$G$1764,$X$5)</f>
        <v>0</v>
      </c>
      <c r="AC8" s="46">
        <f t="shared" si="1"/>
        <v>0</v>
      </c>
      <c r="AD8" s="51">
        <v>2</v>
      </c>
      <c r="AE8" s="51" t="s">
        <v>3</v>
      </c>
      <c r="AF8" s="51"/>
      <c r="AG8" s="46">
        <f>AJ6</f>
        <v>0</v>
      </c>
      <c r="AH8" s="27">
        <f>SUMIFS(JURNAL_26!$J$9:$J$1764,JURNAL_26!$C$9:$C$1764,AD8,JURNAL_26!$G$9:$G$1764,$AE$5)</f>
        <v>0</v>
      </c>
      <c r="AI8" s="27">
        <f>SUMIFS(JURNAL_26!$K$9:$K$1764,JURNAL_26!$C$9:$C$1764,AD8,JURNAL_26!$G$9:$G$1764,$AE$5)</f>
        <v>0</v>
      </c>
      <c r="AJ8" s="46">
        <f t="shared" si="2"/>
        <v>0</v>
      </c>
      <c r="AK8" s="51">
        <v>2</v>
      </c>
      <c r="AL8" s="51" t="s">
        <v>3</v>
      </c>
      <c r="AM8" s="51"/>
      <c r="AN8" s="46">
        <f t="shared" ref="AN8" si="6">AQ6</f>
        <v>0</v>
      </c>
      <c r="AO8" s="27">
        <f>SUMIFS(JURNAL_26!$J$9:$J$1764,JURNAL_26!$C$9:$C$1764,AK8,JURNAL_26!$G$9:$G$1764,$AL$5)</f>
        <v>0</v>
      </c>
      <c r="AP8" s="27">
        <f>SUMIFS(JURNAL_26!$K$9:$K$1764,JURNAL_26!$C$9:$C$1764,AK8,JURNAL_26!$G$9:$G$1764,$AL$5)</f>
        <v>0</v>
      </c>
      <c r="AQ8" s="46">
        <f t="shared" si="3"/>
        <v>0</v>
      </c>
    </row>
    <row r="9" spans="1:43" ht="14.25" customHeight="1" x14ac:dyDescent="0.35">
      <c r="A9" s="2"/>
      <c r="B9" s="2" t="s">
        <v>143</v>
      </c>
      <c r="C9" s="2"/>
      <c r="D9" s="2"/>
      <c r="E9" s="2"/>
      <c r="F9" s="223">
        <f>AG6</f>
        <v>0</v>
      </c>
      <c r="G9" s="185"/>
      <c r="H9" s="223">
        <f>SUMIFS(JURNAL_26!$J$9:$J$1764,JURNAL_26!$D$9:$D$1764,$Q$1,JURNAL_26!$G$9:$G$1764,B9)</f>
        <v>0</v>
      </c>
      <c r="I9" s="185"/>
      <c r="J9" s="223">
        <f>SUMIFS(JURNAL_26!$K$9:$K$1764,JURNAL_26!$D$9:$D$1764,$Q$1,JURNAL_26!$G$9:$G$1764,B9)</f>
        <v>0</v>
      </c>
      <c r="K9" s="185"/>
      <c r="L9" s="223">
        <f t="shared" ref="L9" si="7">F9+J9-H9</f>
        <v>0</v>
      </c>
      <c r="M9" s="185"/>
      <c r="N9" s="2"/>
      <c r="O9" s="5"/>
      <c r="P9" s="51">
        <v>3</v>
      </c>
      <c r="Q9" s="51" t="s">
        <v>4</v>
      </c>
      <c r="R9" s="52"/>
      <c r="S9" s="52">
        <f>V8</f>
        <v>11558000</v>
      </c>
      <c r="T9" s="52">
        <f>'LR BLN'!S3</f>
        <v>-6385000</v>
      </c>
      <c r="U9" s="52">
        <f>'LAP KAS BLN'!V6</f>
        <v>700000</v>
      </c>
      <c r="V9" s="46">
        <f t="shared" si="0"/>
        <v>5873000</v>
      </c>
      <c r="W9" s="51">
        <v>3</v>
      </c>
      <c r="X9" s="51" t="s">
        <v>4</v>
      </c>
      <c r="Y9" s="51"/>
      <c r="Z9" s="46">
        <f>AC8</f>
        <v>0</v>
      </c>
      <c r="AA9" s="27">
        <f>SUMIFS(JURNAL_26!$J$9:$J$1764,JURNAL_26!$C$9:$C$1764,W9,JURNAL_26!$G$9:$G$1764,$X$5)</f>
        <v>0</v>
      </c>
      <c r="AB9" s="27">
        <f>SUMIFS(JURNAL_26!$K$9:$K$1764,JURNAL_26!$C$9:$C$1764,W9,JURNAL_26!$G$9:$G$1764,$X$5)</f>
        <v>0</v>
      </c>
      <c r="AC9" s="46">
        <f t="shared" si="1"/>
        <v>0</v>
      </c>
      <c r="AD9" s="51">
        <v>3</v>
      </c>
      <c r="AE9" s="51" t="s">
        <v>4</v>
      </c>
      <c r="AF9" s="51"/>
      <c r="AG9" s="46">
        <f>AJ8</f>
        <v>0</v>
      </c>
      <c r="AH9" s="27">
        <f>SUMIFS(JURNAL_26!$J$9:$J$1764,JURNAL_26!$C$9:$C$1764,AD9,JURNAL_26!$G$9:$G$1764,$AE$5)</f>
        <v>0</v>
      </c>
      <c r="AI9" s="27">
        <f>SUMIFS(JURNAL_26!$K$9:$K$1764,JURNAL_26!$C$9:$C$1764,AD9,JURNAL_26!$G$9:$G$1764,$AE$5)</f>
        <v>0</v>
      </c>
      <c r="AJ9" s="46">
        <f t="shared" si="2"/>
        <v>0</v>
      </c>
      <c r="AK9" s="51">
        <v>3</v>
      </c>
      <c r="AL9" s="51" t="s">
        <v>4</v>
      </c>
      <c r="AM9" s="51"/>
      <c r="AN9" s="46">
        <f>AQ8</f>
        <v>0</v>
      </c>
      <c r="AO9" s="27">
        <f>SUMIFS(JURNAL_26!$J$9:$J$1764,JURNAL_26!$C$9:$C$1764,AK9,JURNAL_26!$G$9:$G$1764,$AL$5)</f>
        <v>0</v>
      </c>
      <c r="AP9" s="27">
        <f>SUMIFS(JURNAL_26!$K$9:$K$1764,JURNAL_26!$C$9:$C$1764,AK9,JURNAL_26!$G$9:$G$1764,$AL$5)</f>
        <v>0</v>
      </c>
      <c r="AQ9" s="46">
        <f t="shared" ref="AQ9:AQ18" si="8">AN9+AP9-AO9</f>
        <v>0</v>
      </c>
    </row>
    <row r="10" spans="1:43" ht="14.25" customHeight="1" x14ac:dyDescent="0.35">
      <c r="A10" s="2"/>
      <c r="B10" s="2"/>
      <c r="C10" s="2"/>
      <c r="D10" s="2"/>
      <c r="E10" s="2"/>
      <c r="F10" s="223">
        <f>AN6</f>
        <v>0</v>
      </c>
      <c r="G10" s="185"/>
      <c r="H10" s="223">
        <f>SUMIFS(JURNAL_26!$J$9:$J$1764,JURNAL_26!$D$9:$D$1764,$Q$1,JURNAL_26!$G$9:$G$1764,B10)</f>
        <v>0</v>
      </c>
      <c r="I10" s="185"/>
      <c r="J10" s="223">
        <f>SUMIFS(JURNAL_26!$K$9:$K$1764,JURNAL_26!$D$9:$D$1764,$Q$1,JURNAL_26!$G$9:$G$1764,B10)</f>
        <v>0</v>
      </c>
      <c r="K10" s="185"/>
      <c r="L10" s="223">
        <f t="shared" ref="L10" si="9">F10+J10-H10</f>
        <v>0</v>
      </c>
      <c r="M10" s="185"/>
      <c r="N10" s="2"/>
      <c r="O10" s="5"/>
      <c r="P10" s="51">
        <v>4</v>
      </c>
      <c r="Q10" s="51" t="s">
        <v>0</v>
      </c>
      <c r="R10" s="52"/>
      <c r="S10" s="52">
        <f t="shared" ref="S10:S18" si="10">V9</f>
        <v>5873000</v>
      </c>
      <c r="T10" s="52">
        <f>'LR BLN'!S4</f>
        <v>4680000</v>
      </c>
      <c r="U10" s="52">
        <f>'LAP KAS BLN'!V7</f>
        <v>1400000</v>
      </c>
      <c r="V10" s="46">
        <f t="shared" si="0"/>
        <v>11953000</v>
      </c>
      <c r="W10" s="51">
        <v>4</v>
      </c>
      <c r="X10" s="51" t="s">
        <v>0</v>
      </c>
      <c r="Y10" s="51"/>
      <c r="Z10" s="46">
        <f t="shared" ref="Z10:Z18" si="11">AC9</f>
        <v>0</v>
      </c>
      <c r="AA10" s="27">
        <f>SUMIFS(JURNAL_26!$J$9:$J$1764,JURNAL_26!$C$9:$C$1764,W10,JURNAL_26!$G$9:$G$1764,$X$5)</f>
        <v>0</v>
      </c>
      <c r="AB10" s="27">
        <f>SUMIFS(JURNAL_26!$K$9:$K$1764,JURNAL_26!$C$9:$C$1764,W10,JURNAL_26!$G$9:$G$1764,$X$5)</f>
        <v>0</v>
      </c>
      <c r="AC10" s="46">
        <f t="shared" si="1"/>
        <v>0</v>
      </c>
      <c r="AD10" s="51">
        <v>4</v>
      </c>
      <c r="AE10" s="51" t="s">
        <v>0</v>
      </c>
      <c r="AF10" s="51"/>
      <c r="AG10" s="46">
        <f t="shared" ref="AG10:AG18" si="12">AJ9</f>
        <v>0</v>
      </c>
      <c r="AH10" s="27">
        <f>SUMIFS(JURNAL_26!$J$9:$J$1764,JURNAL_26!$C$9:$C$1764,AD10,JURNAL_26!$G$9:$G$1764,$AE$5)</f>
        <v>0</v>
      </c>
      <c r="AI10" s="27">
        <f>SUMIFS(JURNAL_26!$K$9:$K$1764,JURNAL_26!$C$9:$C$1764,AD10,JURNAL_26!$G$9:$G$1764,$AE$5)</f>
        <v>500000</v>
      </c>
      <c r="AJ10" s="46">
        <f t="shared" si="2"/>
        <v>500000</v>
      </c>
      <c r="AK10" s="51">
        <v>4</v>
      </c>
      <c r="AL10" s="51" t="s">
        <v>0</v>
      </c>
      <c r="AM10" s="51"/>
      <c r="AN10" s="46">
        <f t="shared" ref="AN10:AN18" si="13">AQ9</f>
        <v>0</v>
      </c>
      <c r="AO10" s="27">
        <f>SUMIFS(JURNAL_26!$J$9:$J$1764,JURNAL_26!$C$9:$C$1764,AK10,JURNAL_26!$G$9:$G$1764,$AL$5)</f>
        <v>0</v>
      </c>
      <c r="AP10" s="27">
        <f>SUMIFS(JURNAL_26!$K$9:$K$1764,JURNAL_26!$C$9:$C$1764,AK10,JURNAL_26!$G$9:$G$1764,$AL$5)</f>
        <v>0</v>
      </c>
      <c r="AQ10" s="46">
        <f t="shared" si="8"/>
        <v>0</v>
      </c>
    </row>
    <row r="11" spans="1:43" ht="14.25" customHeight="1" x14ac:dyDescent="0.35">
      <c r="A11" s="2"/>
      <c r="B11" s="2" t="s">
        <v>49</v>
      </c>
      <c r="C11" s="2"/>
      <c r="D11" s="2"/>
      <c r="E11" s="2"/>
      <c r="F11" s="2"/>
      <c r="G11" s="2"/>
      <c r="H11" s="27"/>
      <c r="I11" s="27"/>
      <c r="J11" s="27"/>
      <c r="K11" s="27"/>
      <c r="L11" s="231">
        <f>SUM(L6:M10)</f>
        <v>13126700</v>
      </c>
      <c r="M11" s="232"/>
      <c r="N11" s="5"/>
      <c r="O11" s="5"/>
      <c r="P11" s="51">
        <v>5</v>
      </c>
      <c r="Q11" s="51" t="s">
        <v>5</v>
      </c>
      <c r="R11" s="52"/>
      <c r="S11" s="52">
        <f t="shared" si="10"/>
        <v>11953000</v>
      </c>
      <c r="T11" s="52">
        <f>'LR BLN'!S5</f>
        <v>373700</v>
      </c>
      <c r="U11" s="52">
        <f>'LAP KAS BLN'!V8</f>
        <v>800000</v>
      </c>
      <c r="V11" s="46">
        <f t="shared" si="0"/>
        <v>13126700</v>
      </c>
      <c r="W11" s="51">
        <v>5</v>
      </c>
      <c r="X11" s="51" t="s">
        <v>5</v>
      </c>
      <c r="Y11" s="51"/>
      <c r="Z11" s="46">
        <f t="shared" si="11"/>
        <v>0</v>
      </c>
      <c r="AA11" s="27">
        <f>SUMIFS(JURNAL_26!$J$9:$J$1764,JURNAL_26!$C$9:$C$1764,W11,JURNAL_26!$G$9:$G$1764,$X$5)</f>
        <v>0</v>
      </c>
      <c r="AB11" s="27">
        <f>SUMIFS(JURNAL_26!$K$9:$K$1764,JURNAL_26!$C$9:$C$1764,W11,JURNAL_26!$G$9:$G$1764,$X$5)</f>
        <v>0</v>
      </c>
      <c r="AC11" s="46">
        <f t="shared" si="1"/>
        <v>0</v>
      </c>
      <c r="AD11" s="51">
        <v>5</v>
      </c>
      <c r="AE11" s="51" t="s">
        <v>5</v>
      </c>
      <c r="AF11" s="51"/>
      <c r="AG11" s="46">
        <f t="shared" si="12"/>
        <v>500000</v>
      </c>
      <c r="AH11" s="27">
        <f>SUMIFS(JURNAL_26!$J$9:$J$1764,JURNAL_26!$C$9:$C$1764,AD11,JURNAL_26!$G$9:$G$1764,$AE$5)</f>
        <v>500000</v>
      </c>
      <c r="AI11" s="27">
        <f>SUMIFS(JURNAL_26!$K$9:$K$1764,JURNAL_26!$C$9:$C$1764,AD11,JURNAL_26!$G$9:$G$1764,$AE$5)</f>
        <v>0</v>
      </c>
      <c r="AJ11" s="46">
        <f t="shared" si="2"/>
        <v>0</v>
      </c>
      <c r="AK11" s="51">
        <v>5</v>
      </c>
      <c r="AL11" s="51" t="s">
        <v>5</v>
      </c>
      <c r="AM11" s="51"/>
      <c r="AN11" s="46">
        <f t="shared" si="13"/>
        <v>0</v>
      </c>
      <c r="AO11" s="27">
        <f>SUMIFS(JURNAL_26!$J$9:$J$1764,JURNAL_26!$C$9:$C$1764,AK11,JURNAL_26!$G$9:$G$1764,$AL$5)</f>
        <v>0</v>
      </c>
      <c r="AP11" s="27">
        <f>SUMIFS(JURNAL_26!$K$9:$K$1764,JURNAL_26!$C$9:$C$1764,AK11,JURNAL_26!$G$9:$G$1764,$AL$5)</f>
        <v>0</v>
      </c>
      <c r="AQ11" s="46">
        <f t="shared" si="8"/>
        <v>0</v>
      </c>
    </row>
    <row r="12" spans="1:43" ht="14.25" customHeight="1" x14ac:dyDescent="0.35">
      <c r="A12" s="2"/>
      <c r="B12" s="2"/>
      <c r="C12" s="2"/>
      <c r="D12" s="2"/>
      <c r="E12" s="2"/>
      <c r="F12" s="2"/>
      <c r="G12" s="2"/>
      <c r="H12" s="27"/>
      <c r="I12" s="27"/>
      <c r="J12" s="27"/>
      <c r="K12" s="27"/>
      <c r="L12" s="27"/>
      <c r="M12" s="23"/>
      <c r="N12" s="2"/>
      <c r="O12" s="5"/>
      <c r="P12" s="51">
        <v>6</v>
      </c>
      <c r="Q12" s="51" t="s">
        <v>6</v>
      </c>
      <c r="R12" s="52"/>
      <c r="S12" s="52">
        <f t="shared" si="10"/>
        <v>13126700</v>
      </c>
      <c r="T12" s="52">
        <f>'LR BLN'!S6</f>
        <v>0</v>
      </c>
      <c r="U12" s="52">
        <f>'LAP KAS BLN'!V9</f>
        <v>0</v>
      </c>
      <c r="V12" s="46">
        <f t="shared" si="0"/>
        <v>13126700</v>
      </c>
      <c r="W12" s="51">
        <v>6</v>
      </c>
      <c r="X12" s="51" t="s">
        <v>6</v>
      </c>
      <c r="Y12" s="51"/>
      <c r="Z12" s="46">
        <f t="shared" si="11"/>
        <v>0</v>
      </c>
      <c r="AA12" s="27">
        <f>SUMIFS(JURNAL_26!$J$9:$J$1764,JURNAL_26!$C$9:$C$1764,W12,JURNAL_26!$G$9:$G$1764,$X$5)</f>
        <v>0</v>
      </c>
      <c r="AB12" s="27">
        <f>SUMIFS(JURNAL_26!$K$9:$K$1764,JURNAL_26!$C$9:$C$1764,W12,JURNAL_26!$G$9:$G$1764,$X$5)</f>
        <v>0</v>
      </c>
      <c r="AC12" s="46">
        <f t="shared" si="1"/>
        <v>0</v>
      </c>
      <c r="AD12" s="51">
        <v>6</v>
      </c>
      <c r="AE12" s="51" t="s">
        <v>6</v>
      </c>
      <c r="AF12" s="51"/>
      <c r="AG12" s="46">
        <f t="shared" si="12"/>
        <v>0</v>
      </c>
      <c r="AH12" s="27">
        <f>SUMIFS(JURNAL_26!$J$9:$J$1764,JURNAL_26!$C$9:$C$1764,AD12,JURNAL_26!$G$9:$G$1764,$AE$5)</f>
        <v>0</v>
      </c>
      <c r="AI12" s="27">
        <f>SUMIFS(JURNAL_26!$K$9:$K$1764,JURNAL_26!$C$9:$C$1764,AD12,JURNAL_26!$G$9:$G$1764,$AE$5)</f>
        <v>0</v>
      </c>
      <c r="AJ12" s="46">
        <f t="shared" si="2"/>
        <v>0</v>
      </c>
      <c r="AK12" s="51">
        <v>6</v>
      </c>
      <c r="AL12" s="51" t="s">
        <v>6</v>
      </c>
      <c r="AM12" s="51"/>
      <c r="AN12" s="46">
        <f t="shared" si="13"/>
        <v>0</v>
      </c>
      <c r="AO12" s="27">
        <f>SUMIFS(JURNAL_26!$J$9:$J$1764,JURNAL_26!$C$9:$C$1764,AK12,JURNAL_26!$G$9:$G$1764,$AL$5)</f>
        <v>0</v>
      </c>
      <c r="AP12" s="27">
        <f>SUMIFS(JURNAL_26!$K$9:$K$1764,JURNAL_26!$C$9:$C$1764,AK12,JURNAL_26!$G$9:$G$1764,$AL$5)</f>
        <v>0</v>
      </c>
      <c r="AQ12" s="46">
        <f t="shared" si="8"/>
        <v>0</v>
      </c>
    </row>
    <row r="13" spans="1:43" ht="14.25" customHeight="1" x14ac:dyDescent="0.35">
      <c r="A13" s="2"/>
      <c r="B13" s="2"/>
      <c r="C13" s="2"/>
      <c r="D13" s="2"/>
      <c r="E13" s="2"/>
      <c r="F13" s="2"/>
      <c r="G13" s="2"/>
      <c r="H13" s="27"/>
      <c r="I13" s="27"/>
      <c r="J13" s="27"/>
      <c r="K13" s="27"/>
      <c r="L13" s="27"/>
      <c r="M13" s="23"/>
      <c r="N13" s="2"/>
      <c r="O13" s="5"/>
      <c r="P13" s="51">
        <v>7</v>
      </c>
      <c r="Q13" s="51" t="s">
        <v>7</v>
      </c>
      <c r="R13" s="52"/>
      <c r="S13" s="52">
        <f t="shared" si="10"/>
        <v>13126700</v>
      </c>
      <c r="T13" s="52">
        <f>'LR BLN'!S7</f>
        <v>0</v>
      </c>
      <c r="U13" s="52">
        <f>'LAP KAS BLN'!V10</f>
        <v>0</v>
      </c>
      <c r="V13" s="46">
        <f t="shared" si="0"/>
        <v>13126700</v>
      </c>
      <c r="W13" s="51">
        <v>7</v>
      </c>
      <c r="X13" s="51" t="s">
        <v>7</v>
      </c>
      <c r="Y13" s="51"/>
      <c r="Z13" s="46">
        <f t="shared" si="11"/>
        <v>0</v>
      </c>
      <c r="AA13" s="27">
        <f>SUMIFS(JURNAL_26!$J$9:$J$1764,JURNAL_26!$C$9:$C$1764,W13,JURNAL_26!$G$9:$G$1764,$X$5)</f>
        <v>0</v>
      </c>
      <c r="AB13" s="27">
        <f>SUMIFS(JURNAL_26!$K$9:$K$1764,JURNAL_26!$C$9:$C$1764,W13,JURNAL_26!$G$9:$G$1764,$X$5)</f>
        <v>0</v>
      </c>
      <c r="AC13" s="46">
        <f t="shared" si="1"/>
        <v>0</v>
      </c>
      <c r="AD13" s="51">
        <v>7</v>
      </c>
      <c r="AE13" s="51" t="s">
        <v>7</v>
      </c>
      <c r="AF13" s="51"/>
      <c r="AG13" s="46">
        <f t="shared" si="12"/>
        <v>0</v>
      </c>
      <c r="AH13" s="27">
        <f>SUMIFS(JURNAL_26!$J$9:$J$1764,JURNAL_26!$C$9:$C$1764,AD13,JURNAL_26!$G$9:$G$1764,$AE$5)</f>
        <v>0</v>
      </c>
      <c r="AI13" s="27">
        <f>SUMIFS(JURNAL_26!$K$9:$K$1764,JURNAL_26!$C$9:$C$1764,AD13,JURNAL_26!$G$9:$G$1764,$AE$5)</f>
        <v>0</v>
      </c>
      <c r="AJ13" s="46">
        <f t="shared" si="2"/>
        <v>0</v>
      </c>
      <c r="AK13" s="51">
        <v>7</v>
      </c>
      <c r="AL13" s="51" t="s">
        <v>7</v>
      </c>
      <c r="AM13" s="51"/>
      <c r="AN13" s="46">
        <f t="shared" si="13"/>
        <v>0</v>
      </c>
      <c r="AO13" s="27">
        <f>SUMIFS(JURNAL_26!$J$9:$J$1764,JURNAL_26!$C$9:$C$1764,AK13,JURNAL_26!$G$9:$G$1764,$AL$5)</f>
        <v>0</v>
      </c>
      <c r="AP13" s="27">
        <f>SUMIFS(JURNAL_26!$K$9:$K$1764,JURNAL_26!$C$9:$C$1764,AK13,JURNAL_26!$G$9:$G$1764,$AL$5)</f>
        <v>0</v>
      </c>
      <c r="AQ13" s="46">
        <f t="shared" si="8"/>
        <v>0</v>
      </c>
    </row>
    <row r="14" spans="1:43" ht="14.25" customHeight="1" x14ac:dyDescent="0.35">
      <c r="A14" s="2"/>
      <c r="B14" s="2"/>
      <c r="C14" s="2"/>
      <c r="D14" s="2"/>
      <c r="E14" s="2"/>
      <c r="F14" s="2"/>
      <c r="G14" s="2"/>
      <c r="H14" s="27"/>
      <c r="I14" s="27"/>
      <c r="J14" s="27"/>
      <c r="K14" s="27"/>
      <c r="L14" s="2"/>
      <c r="M14" s="2"/>
      <c r="N14" s="2"/>
      <c r="O14" s="5"/>
      <c r="P14" s="51">
        <v>8</v>
      </c>
      <c r="Q14" s="51" t="s">
        <v>8</v>
      </c>
      <c r="R14" s="52"/>
      <c r="S14" s="52">
        <f t="shared" si="10"/>
        <v>13126700</v>
      </c>
      <c r="T14" s="52">
        <f>'LR BLN'!S8</f>
        <v>0</v>
      </c>
      <c r="U14" s="52">
        <f>'LAP KAS BLN'!V11</f>
        <v>0</v>
      </c>
      <c r="V14" s="46">
        <f t="shared" si="0"/>
        <v>13126700</v>
      </c>
      <c r="W14" s="51">
        <v>8</v>
      </c>
      <c r="X14" s="51" t="s">
        <v>8</v>
      </c>
      <c r="Y14" s="51"/>
      <c r="Z14" s="46">
        <f t="shared" si="11"/>
        <v>0</v>
      </c>
      <c r="AA14" s="27">
        <f>SUMIFS(JURNAL_26!$J$9:$J$1764,JURNAL_26!$C$9:$C$1764,W14,JURNAL_26!$G$9:$G$1764,$X$5)</f>
        <v>0</v>
      </c>
      <c r="AB14" s="27">
        <f>SUMIFS(JURNAL_26!$K$9:$K$1764,JURNAL_26!$C$9:$C$1764,W14,JURNAL_26!$G$9:$G$1764,$X$5)</f>
        <v>0</v>
      </c>
      <c r="AC14" s="46">
        <f t="shared" si="1"/>
        <v>0</v>
      </c>
      <c r="AD14" s="51">
        <v>8</v>
      </c>
      <c r="AE14" s="51" t="s">
        <v>8</v>
      </c>
      <c r="AF14" s="51"/>
      <c r="AG14" s="46">
        <f t="shared" si="12"/>
        <v>0</v>
      </c>
      <c r="AH14" s="27">
        <f>SUMIFS(JURNAL_26!$J$9:$J$1764,JURNAL_26!$C$9:$C$1764,AD14,JURNAL_26!$G$9:$G$1764,$AE$5)</f>
        <v>0</v>
      </c>
      <c r="AI14" s="27">
        <f>SUMIFS(JURNAL_26!$K$9:$K$1764,JURNAL_26!$C$9:$C$1764,AD14,JURNAL_26!$G$9:$G$1764,$AE$5)</f>
        <v>0</v>
      </c>
      <c r="AJ14" s="46">
        <f t="shared" si="2"/>
        <v>0</v>
      </c>
      <c r="AK14" s="51">
        <v>8</v>
      </c>
      <c r="AL14" s="51" t="s">
        <v>8</v>
      </c>
      <c r="AM14" s="51"/>
      <c r="AN14" s="46">
        <f t="shared" si="13"/>
        <v>0</v>
      </c>
      <c r="AO14" s="27">
        <f>SUMIFS(JURNAL_26!$J$9:$J$1764,JURNAL_26!$C$9:$C$1764,AK14,JURNAL_26!$G$9:$G$1764,$AL$5)</f>
        <v>0</v>
      </c>
      <c r="AP14" s="27">
        <f>SUMIFS(JURNAL_26!$K$9:$K$1764,JURNAL_26!$C$9:$C$1764,AK14,JURNAL_26!$G$9:$G$1764,$AL$5)</f>
        <v>0</v>
      </c>
      <c r="AQ14" s="46">
        <f t="shared" si="8"/>
        <v>0</v>
      </c>
    </row>
    <row r="15" spans="1:43" ht="14.25" customHeight="1" x14ac:dyDescent="0.35">
      <c r="A15" s="55" t="s">
        <v>64</v>
      </c>
      <c r="B15" s="56"/>
      <c r="C15" s="56"/>
      <c r="D15" s="56"/>
      <c r="E15" s="56"/>
      <c r="F15" s="56"/>
      <c r="G15" s="56"/>
      <c r="H15" s="34"/>
      <c r="I15" s="34"/>
      <c r="J15" s="34"/>
      <c r="K15" s="34"/>
      <c r="L15" s="56"/>
      <c r="M15" s="56"/>
      <c r="N15" s="2"/>
      <c r="O15" s="5"/>
      <c r="P15" s="51">
        <v>9</v>
      </c>
      <c r="Q15" s="51" t="s">
        <v>9</v>
      </c>
      <c r="R15" s="52"/>
      <c r="S15" s="52">
        <f t="shared" si="10"/>
        <v>13126700</v>
      </c>
      <c r="T15" s="52">
        <f>'LR BLN'!S9</f>
        <v>0</v>
      </c>
      <c r="U15" s="52">
        <f>'LAP KAS BLN'!V12</f>
        <v>0</v>
      </c>
      <c r="V15" s="46">
        <f t="shared" si="0"/>
        <v>13126700</v>
      </c>
      <c r="W15" s="51">
        <v>9</v>
      </c>
      <c r="X15" s="230" t="s">
        <v>9</v>
      </c>
      <c r="Y15" s="185"/>
      <c r="Z15" s="46">
        <f t="shared" si="11"/>
        <v>0</v>
      </c>
      <c r="AA15" s="27">
        <f>SUMIFS(JURNAL_26!$J$9:$J$1764,JURNAL_26!$C$9:$C$1764,W15,JURNAL_26!$G$9:$G$1764,$X$5)</f>
        <v>0</v>
      </c>
      <c r="AB15" s="27">
        <f>SUMIFS(JURNAL_26!$K$9:$K$1764,JURNAL_26!$C$9:$C$1764,W15,JURNAL_26!$G$9:$G$1764,$X$5)</f>
        <v>0</v>
      </c>
      <c r="AC15" s="46">
        <f t="shared" si="1"/>
        <v>0</v>
      </c>
      <c r="AD15" s="51">
        <v>9</v>
      </c>
      <c r="AE15" s="51" t="s">
        <v>9</v>
      </c>
      <c r="AF15" s="51"/>
      <c r="AG15" s="46">
        <f t="shared" si="12"/>
        <v>0</v>
      </c>
      <c r="AH15" s="27">
        <f>SUMIFS(JURNAL_26!$J$9:$J$1764,JURNAL_26!$C$9:$C$1764,AD15,JURNAL_26!$G$9:$G$1764,$AE$5)</f>
        <v>0</v>
      </c>
      <c r="AI15" s="27">
        <f>SUMIFS(JURNAL_26!$K$9:$K$1764,JURNAL_26!$C$9:$C$1764,AD15,JURNAL_26!$G$9:$G$1764,$AE$5)</f>
        <v>0</v>
      </c>
      <c r="AJ15" s="46">
        <f t="shared" si="2"/>
        <v>0</v>
      </c>
      <c r="AK15" s="51">
        <v>9</v>
      </c>
      <c r="AL15" s="51" t="s">
        <v>9</v>
      </c>
      <c r="AM15" s="51"/>
      <c r="AN15" s="46">
        <f t="shared" si="13"/>
        <v>0</v>
      </c>
      <c r="AO15" s="27">
        <f>SUMIFS(JURNAL_26!$J$9:$J$1764,JURNAL_26!$C$9:$C$1764,AK15,JURNAL_26!$G$9:$G$1764,$AL$5)</f>
        <v>0</v>
      </c>
      <c r="AP15" s="27">
        <f>SUMIFS(JURNAL_26!$K$9:$K$1764,JURNAL_26!$C$9:$C$1764,AK15,JURNAL_26!$G$9:$G$1764,$AL$5)</f>
        <v>0</v>
      </c>
      <c r="AQ15" s="46">
        <f t="shared" si="8"/>
        <v>0</v>
      </c>
    </row>
    <row r="16" spans="1:43" ht="14.25" customHeight="1" x14ac:dyDescent="0.35">
      <c r="A16" s="1"/>
      <c r="B16" s="119" t="s">
        <v>289</v>
      </c>
      <c r="C16" s="2"/>
      <c r="D16" s="1"/>
      <c r="E16" s="1"/>
      <c r="F16" s="184">
        <f>Z25</f>
        <v>0</v>
      </c>
      <c r="G16" s="185"/>
      <c r="H16" s="184">
        <f>SUMIFS(JURNAL_26!$J$9:$J$1764,JURNAL_26!$D$9:$D$1764,$Q$1,JURNAL_26!$G$9:$G$1764,B16)</f>
        <v>6500000</v>
      </c>
      <c r="I16" s="185"/>
      <c r="J16" s="184">
        <f>SUMIFS(JURNAL_26!$K$9:$K$1764,JURNAL_26!$D$9:$D$1764,$Q$1,JURNAL_26!$G$9:$G$1764,B16)</f>
        <v>0</v>
      </c>
      <c r="K16" s="185"/>
      <c r="L16" s="184">
        <f t="shared" ref="L16:L17" si="14">F16+H16-J16</f>
        <v>6500000</v>
      </c>
      <c r="M16" s="185"/>
      <c r="N16" s="1"/>
      <c r="O16" s="1"/>
      <c r="P16" s="51">
        <v>10</v>
      </c>
      <c r="Q16" s="51" t="s">
        <v>10</v>
      </c>
      <c r="R16" s="51"/>
      <c r="S16" s="52">
        <f t="shared" si="10"/>
        <v>13126700</v>
      </c>
      <c r="T16" s="52">
        <f>'LR BLN'!S10</f>
        <v>0</v>
      </c>
      <c r="U16" s="52">
        <f>'LAP KAS BLN'!V13</f>
        <v>0</v>
      </c>
      <c r="V16" s="46">
        <f t="shared" si="0"/>
        <v>13126700</v>
      </c>
      <c r="W16" s="51">
        <v>10</v>
      </c>
      <c r="X16" s="51" t="s">
        <v>10</v>
      </c>
      <c r="Y16" s="51"/>
      <c r="Z16" s="46">
        <f t="shared" si="11"/>
        <v>0</v>
      </c>
      <c r="AA16" s="27">
        <f>SUMIFS(JURNAL_26!$J$9:$J$1764,JURNAL_26!$C$9:$C$1764,W16,JURNAL_26!$G$9:$G$1764,$X$5)</f>
        <v>0</v>
      </c>
      <c r="AB16" s="27">
        <f>SUMIFS(JURNAL_26!$K$9:$K$1764,JURNAL_26!$C$9:$C$1764,W16,JURNAL_26!$G$9:$G$1764,$X$5)</f>
        <v>0</v>
      </c>
      <c r="AC16" s="46">
        <f t="shared" si="1"/>
        <v>0</v>
      </c>
      <c r="AD16" s="51">
        <v>10</v>
      </c>
      <c r="AE16" s="51" t="s">
        <v>10</v>
      </c>
      <c r="AF16" s="51"/>
      <c r="AG16" s="46">
        <f t="shared" si="12"/>
        <v>0</v>
      </c>
      <c r="AH16" s="27">
        <f>SUMIFS(JURNAL_26!$J$9:$J$1764,JURNAL_26!$C$9:$C$1764,AD16,JURNAL_26!$G$9:$G$1764,$AE$5)</f>
        <v>0</v>
      </c>
      <c r="AI16" s="27">
        <f>SUMIFS(JURNAL_26!$K$9:$K$1764,JURNAL_26!$C$9:$C$1764,AD16,JURNAL_26!$G$9:$G$1764,$AE$5)</f>
        <v>0</v>
      </c>
      <c r="AJ16" s="46">
        <f t="shared" si="2"/>
        <v>0</v>
      </c>
      <c r="AK16" s="51">
        <v>10</v>
      </c>
      <c r="AL16" s="51" t="s">
        <v>10</v>
      </c>
      <c r="AM16" s="51"/>
      <c r="AN16" s="46">
        <f t="shared" si="13"/>
        <v>0</v>
      </c>
      <c r="AO16" s="27">
        <f>SUMIFS(JURNAL_26!$J$9:$J$1764,JURNAL_26!$C$9:$C$1764,AK16,JURNAL_26!$G$9:$G$1764,$AL$5)</f>
        <v>0</v>
      </c>
      <c r="AP16" s="27">
        <f>SUMIFS(JURNAL_26!$K$9:$K$1764,JURNAL_26!$C$9:$C$1764,AK16,JURNAL_26!$G$9:$G$1764,$AL$5)</f>
        <v>0</v>
      </c>
      <c r="AQ16" s="46">
        <f t="shared" si="8"/>
        <v>0</v>
      </c>
    </row>
    <row r="17" spans="1:43" ht="14.25" customHeight="1" x14ac:dyDescent="0.35">
      <c r="A17" s="1"/>
      <c r="B17" s="2" t="s">
        <v>14</v>
      </c>
      <c r="C17" s="2"/>
      <c r="D17" s="1"/>
      <c r="E17" s="1"/>
      <c r="F17" s="184">
        <f>AG25</f>
        <v>0</v>
      </c>
      <c r="G17" s="185"/>
      <c r="H17" s="184">
        <f>SUMIFS(JURNAL_26!$J$9:$J$1764,JURNAL_26!$D$9:$D$1764,$Q$1,JURNAL_26!$G$9:$G$1764,B17)</f>
        <v>0</v>
      </c>
      <c r="I17" s="185"/>
      <c r="J17" s="184">
        <f>SUMIFS(JURNAL_26!$K$9:$K$1764,JURNAL_26!$D$9:$D$1764,$Q$1,JURNAL_26!$G$9:$G$1764,B17)</f>
        <v>0</v>
      </c>
      <c r="K17" s="185"/>
      <c r="L17" s="184">
        <f t="shared" si="14"/>
        <v>0</v>
      </c>
      <c r="M17" s="185"/>
      <c r="N17" s="1"/>
      <c r="O17" s="1"/>
      <c r="P17" s="51">
        <v>11</v>
      </c>
      <c r="Q17" s="51" t="s">
        <v>11</v>
      </c>
      <c r="R17" s="51"/>
      <c r="S17" s="52">
        <f t="shared" si="10"/>
        <v>13126700</v>
      </c>
      <c r="T17" s="52">
        <f>'LR BLN'!S11</f>
        <v>0</v>
      </c>
      <c r="U17" s="52">
        <f>'LAP KAS BLN'!V14</f>
        <v>0</v>
      </c>
      <c r="V17" s="46">
        <f t="shared" si="0"/>
        <v>13126700</v>
      </c>
      <c r="W17" s="51">
        <v>11</v>
      </c>
      <c r="X17" s="230" t="s">
        <v>11</v>
      </c>
      <c r="Y17" s="185"/>
      <c r="Z17" s="46">
        <f t="shared" si="11"/>
        <v>0</v>
      </c>
      <c r="AA17" s="27">
        <f>SUMIFS(JURNAL_26!$J$9:$J$1764,JURNAL_26!$C$9:$C$1764,W17,JURNAL_26!$G$9:$G$1764,$X$5)</f>
        <v>0</v>
      </c>
      <c r="AB17" s="27">
        <f>SUMIFS(JURNAL_26!$K$9:$K$1764,JURNAL_26!$C$9:$C$1764,W17,JURNAL_26!$G$9:$G$1764,$X$5)</f>
        <v>0</v>
      </c>
      <c r="AC17" s="46">
        <f t="shared" si="1"/>
        <v>0</v>
      </c>
      <c r="AD17" s="51">
        <v>11</v>
      </c>
      <c r="AE17" s="51" t="s">
        <v>11</v>
      </c>
      <c r="AF17" s="51"/>
      <c r="AG17" s="46">
        <f t="shared" si="12"/>
        <v>0</v>
      </c>
      <c r="AH17" s="27">
        <f>SUMIFS(JURNAL_26!$J$9:$J$1764,JURNAL_26!$C$9:$C$1764,AD17,JURNAL_26!$G$9:$G$1764,$AE$5)</f>
        <v>0</v>
      </c>
      <c r="AI17" s="27">
        <f>SUMIFS(JURNAL_26!$K$9:$K$1764,JURNAL_26!$C$9:$C$1764,AD17,JURNAL_26!$G$9:$G$1764,$AE$5)</f>
        <v>0</v>
      </c>
      <c r="AJ17" s="46">
        <f t="shared" si="2"/>
        <v>0</v>
      </c>
      <c r="AK17" s="51">
        <v>11</v>
      </c>
      <c r="AL17" s="51" t="s">
        <v>11</v>
      </c>
      <c r="AM17" s="51"/>
      <c r="AN17" s="46">
        <f t="shared" si="13"/>
        <v>0</v>
      </c>
      <c r="AO17" s="27">
        <f>SUMIFS(JURNAL_26!$J$9:$J$1764,JURNAL_26!$C$9:$C$1764,AK17,JURNAL_26!$G$9:$G$1764,$AL$5)</f>
        <v>0</v>
      </c>
      <c r="AP17" s="27">
        <f>SUMIFS(JURNAL_26!$K$9:$K$1764,JURNAL_26!$C$9:$C$1764,AK17,JURNAL_26!$G$9:$G$1764,$AL$5)</f>
        <v>0</v>
      </c>
      <c r="AQ17" s="46">
        <f t="shared" si="8"/>
        <v>0</v>
      </c>
    </row>
    <row r="18" spans="1:43" ht="14.25" customHeight="1" x14ac:dyDescent="0.35">
      <c r="A18" s="1"/>
      <c r="B18" s="2"/>
      <c r="C18" s="2"/>
      <c r="D18" s="1"/>
      <c r="E18" s="1"/>
      <c r="F18" s="1"/>
      <c r="G18" s="1"/>
      <c r="H18" s="27"/>
      <c r="I18" s="27"/>
      <c r="J18" s="27"/>
      <c r="K18" s="27"/>
      <c r="L18" s="27"/>
      <c r="M18" s="23"/>
      <c r="N18" s="1"/>
      <c r="O18" s="1"/>
      <c r="P18" s="51">
        <v>12</v>
      </c>
      <c r="Q18" s="51" t="s">
        <v>12</v>
      </c>
      <c r="R18" s="44"/>
      <c r="S18" s="52">
        <f t="shared" si="10"/>
        <v>13126700</v>
      </c>
      <c r="T18" s="52">
        <f>'LR BLN'!S12</f>
        <v>0</v>
      </c>
      <c r="U18" s="52">
        <f>'LAP KAS BLN'!V15</f>
        <v>0</v>
      </c>
      <c r="V18" s="46">
        <f t="shared" si="0"/>
        <v>13126700</v>
      </c>
      <c r="W18" s="51">
        <v>12</v>
      </c>
      <c r="X18" s="230" t="s">
        <v>12</v>
      </c>
      <c r="Y18" s="185"/>
      <c r="Z18" s="46">
        <f t="shared" si="11"/>
        <v>0</v>
      </c>
      <c r="AA18" s="27">
        <f>SUMIFS(JURNAL_26!$J$9:$J$1764,JURNAL_26!$C$9:$C$1764,W18,JURNAL_26!$G$9:$G$1764,$X$5)</f>
        <v>0</v>
      </c>
      <c r="AB18" s="27">
        <f>SUMIFS(JURNAL_26!$K$9:$K$1764,JURNAL_26!$C$9:$C$1764,W18,JURNAL_26!$G$9:$G$1764,$X$5)</f>
        <v>0</v>
      </c>
      <c r="AC18" s="46">
        <f t="shared" si="1"/>
        <v>0</v>
      </c>
      <c r="AD18" s="51">
        <v>12</v>
      </c>
      <c r="AE18" s="51" t="s">
        <v>12</v>
      </c>
      <c r="AF18" s="51"/>
      <c r="AG18" s="46">
        <f t="shared" si="12"/>
        <v>0</v>
      </c>
      <c r="AH18" s="27">
        <f>SUMIFS(JURNAL_26!$J$9:$J$1764,JURNAL_26!$C$9:$C$1764,AD18,JURNAL_26!$G$9:$G$1764,$AE$5)</f>
        <v>0</v>
      </c>
      <c r="AI18" s="27">
        <f>SUMIFS(JURNAL_26!$K$9:$K$1764,JURNAL_26!$C$9:$C$1764,AD18,JURNAL_26!$G$9:$G$1764,$AE$5)</f>
        <v>0</v>
      </c>
      <c r="AJ18" s="46">
        <f t="shared" si="2"/>
        <v>0</v>
      </c>
      <c r="AK18" s="51">
        <v>12</v>
      </c>
      <c r="AL18" s="51" t="s">
        <v>12</v>
      </c>
      <c r="AM18" s="51"/>
      <c r="AN18" s="46">
        <f t="shared" si="13"/>
        <v>0</v>
      </c>
      <c r="AO18" s="27">
        <f>SUMIFS(JURNAL_26!$J$9:$J$1764,JURNAL_26!$C$9:$C$1764,AK18,JURNAL_26!$G$9:$G$1764,$AL$5)</f>
        <v>0</v>
      </c>
      <c r="AP18" s="27">
        <f>SUMIFS(JURNAL_26!$K$9:$K$1764,JURNAL_26!$C$9:$C$1764,AK18,JURNAL_26!$G$9:$G$1764,$AL$5)</f>
        <v>0</v>
      </c>
      <c r="AQ18" s="46">
        <f t="shared" si="8"/>
        <v>0</v>
      </c>
    </row>
    <row r="19" spans="1:43" ht="14.25" customHeight="1" x14ac:dyDescent="0.35">
      <c r="A19" s="1"/>
      <c r="B19" s="2" t="s">
        <v>49</v>
      </c>
      <c r="C19" s="2"/>
      <c r="D19" s="1"/>
      <c r="E19" s="1"/>
      <c r="F19" s="1"/>
      <c r="G19" s="1"/>
      <c r="H19" s="27"/>
      <c r="I19" s="27"/>
      <c r="J19" s="27"/>
      <c r="K19" s="27"/>
      <c r="L19" s="233">
        <f>SUM(L16)</f>
        <v>6500000</v>
      </c>
      <c r="M19" s="189"/>
      <c r="N19" s="1"/>
      <c r="O19" s="1"/>
      <c r="P19" s="1"/>
      <c r="Q19" s="1"/>
      <c r="R19" s="1"/>
      <c r="S19" s="1"/>
      <c r="T19" s="29">
        <f>SUM(T6:T18)</f>
        <v>-1633800</v>
      </c>
      <c r="U19" s="29">
        <f>SUM(U6:U18)</f>
        <v>6500000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43" ht="14.25" customHeight="1" x14ac:dyDescent="0.35">
      <c r="A20" s="1"/>
      <c r="B20" s="2"/>
      <c r="C20" s="2"/>
      <c r="D20" s="1"/>
      <c r="E20" s="1"/>
      <c r="F20" s="1"/>
      <c r="G20" s="1"/>
      <c r="H20" s="27"/>
      <c r="I20" s="27"/>
      <c r="J20" s="27"/>
      <c r="K20" s="27"/>
      <c r="L20" s="27"/>
      <c r="M20" s="2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43" ht="14.25" customHeight="1" x14ac:dyDescent="0.35">
      <c r="A21" s="1"/>
      <c r="B21" s="2"/>
      <c r="C21" s="2"/>
      <c r="D21" s="1"/>
      <c r="E21" s="1"/>
      <c r="F21" s="1"/>
      <c r="G21" s="1"/>
      <c r="H21" s="27"/>
      <c r="I21" s="27"/>
      <c r="J21" s="27"/>
      <c r="K21" s="27"/>
      <c r="L21" s="27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43" ht="14.25" customHeight="1" x14ac:dyDescent="0.35">
      <c r="A22" s="1"/>
      <c r="B22" s="2"/>
      <c r="C22" s="2"/>
      <c r="D22" s="1"/>
      <c r="E22" s="1"/>
      <c r="F22" s="1"/>
      <c r="G22" s="1"/>
      <c r="H22" s="27"/>
      <c r="I22" s="27"/>
      <c r="J22" s="27"/>
      <c r="K22" s="27"/>
      <c r="L22" s="27"/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43" ht="14.25" customHeight="1" x14ac:dyDescent="0.35">
      <c r="A23" s="55" t="s">
        <v>65</v>
      </c>
      <c r="B23" s="56"/>
      <c r="C23" s="56"/>
      <c r="D23" s="57"/>
      <c r="E23" s="57"/>
      <c r="F23" s="57"/>
      <c r="G23" s="57"/>
      <c r="H23" s="186">
        <f>SUMIFS(JURNAL_26!$J$9:$J$447,JURNAL_26!$G$9:$G$447,B23)</f>
        <v>0</v>
      </c>
      <c r="I23" s="187"/>
      <c r="J23" s="186">
        <f>SUMIFS(JURNAL_26!$K$9:$K$447,JURNAL_26!$G$9:$G$447,B23)</f>
        <v>0</v>
      </c>
      <c r="K23" s="187"/>
      <c r="L23" s="57"/>
      <c r="M23" s="5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43" ht="14.25" customHeight="1" x14ac:dyDescent="0.35">
      <c r="A24" s="2"/>
      <c r="B24" s="2" t="s">
        <v>59</v>
      </c>
      <c r="C24" s="2"/>
      <c r="D24" s="2"/>
      <c r="E24" s="2"/>
      <c r="F24" s="2"/>
      <c r="G24" s="2"/>
      <c r="H24" s="184"/>
      <c r="I24" s="185"/>
      <c r="J24" s="184"/>
      <c r="K24" s="185"/>
      <c r="L24" s="236">
        <f>S6+Z6+AG6</f>
        <v>8260500</v>
      </c>
      <c r="M24" s="235"/>
      <c r="N24" s="2"/>
      <c r="O24" s="2"/>
      <c r="P24" s="51"/>
      <c r="Q24" s="3"/>
      <c r="R24" s="52"/>
      <c r="S24" s="52"/>
      <c r="T24" s="52"/>
      <c r="U24" s="52"/>
      <c r="V24" s="51"/>
      <c r="W24" s="51"/>
      <c r="X24" s="226" t="str">
        <f>COA!B5</f>
        <v>Iuran Warga Diterima di muka</v>
      </c>
      <c r="Y24" s="185"/>
      <c r="Z24" s="51" t="s">
        <v>41</v>
      </c>
      <c r="AA24" s="51" t="s">
        <v>22</v>
      </c>
      <c r="AB24" s="51" t="s">
        <v>23</v>
      </c>
      <c r="AC24" s="51" t="s">
        <v>44</v>
      </c>
      <c r="AD24" s="51"/>
      <c r="AE24" s="3" t="str">
        <f>COA!B6</f>
        <v>Hutang lain-Lain</v>
      </c>
      <c r="AF24" s="3"/>
      <c r="AG24" s="51" t="s">
        <v>41</v>
      </c>
      <c r="AH24" s="51" t="s">
        <v>22</v>
      </c>
      <c r="AI24" s="51" t="s">
        <v>23</v>
      </c>
      <c r="AJ24" s="51" t="s">
        <v>44</v>
      </c>
    </row>
    <row r="25" spans="1:43" ht="14.25" customHeight="1" x14ac:dyDescent="0.35">
      <c r="A25" s="2"/>
      <c r="B25" s="2" t="s">
        <v>66</v>
      </c>
      <c r="C25" s="2"/>
      <c r="D25" s="2"/>
      <c r="E25" s="2"/>
      <c r="F25" s="2"/>
      <c r="G25" s="2"/>
      <c r="H25" s="184"/>
      <c r="I25" s="185"/>
      <c r="J25" s="184"/>
      <c r="K25" s="185"/>
      <c r="L25" s="236">
        <f>'LR YTD'!L29</f>
        <v>-1633800</v>
      </c>
      <c r="M25" s="235"/>
      <c r="N25" s="2"/>
      <c r="O25" s="2"/>
      <c r="P25" s="51"/>
      <c r="Q25" s="51"/>
      <c r="R25" s="52"/>
      <c r="S25" s="53"/>
      <c r="T25" s="52"/>
      <c r="U25" s="52"/>
      <c r="V25" s="46"/>
      <c r="W25" s="51">
        <v>1</v>
      </c>
      <c r="X25" s="51" t="s">
        <v>2</v>
      </c>
      <c r="Y25" s="51"/>
      <c r="Z25" s="54">
        <v>0</v>
      </c>
      <c r="AA25" s="27">
        <f>SUMIFS(JURNAL_26!$J$9:$J$1764,JURNAL_26!$C$9:$C$1764,W25,JURNAL_26!$G$9:$G$1764,$X$24)</f>
        <v>900000</v>
      </c>
      <c r="AB25" s="27">
        <f>SUMIFS(JURNAL_26!$K$9:$K$1764,JURNAL_26!$C$9:$C$1764,W25,JURNAL_26!$G$9:$G$1764,$X$24)</f>
        <v>0</v>
      </c>
      <c r="AC25" s="46">
        <f t="shared" ref="AC25:AC36" si="15">Z25+AA25-AB25</f>
        <v>900000</v>
      </c>
      <c r="AD25" s="51">
        <v>1</v>
      </c>
      <c r="AE25" s="51" t="s">
        <v>2</v>
      </c>
      <c r="AF25" s="51"/>
      <c r="AG25" s="54">
        <v>0</v>
      </c>
      <c r="AH25" s="27">
        <f>SUMIFS(JURNAL_26!$J$9:$J$1764,JURNAL_26!$C$9:$C$1764,AD25,JURNAL_26!$G$9:$G$1764,$AE$24)</f>
        <v>0</v>
      </c>
      <c r="AI25" s="27">
        <f>SUMIFS(JURNAL_26!$K$9:$K$1764,JURNAL_26!$C$9:$C$1764,AD25,JURNAL_26!$G$9:$G$1764,$AE$24)</f>
        <v>0</v>
      </c>
      <c r="AJ25" s="46">
        <f t="shared" ref="AJ25:AJ36" si="16">AG25+AH25-AI25</f>
        <v>0</v>
      </c>
    </row>
    <row r="26" spans="1:43" ht="14.25" customHeight="1" x14ac:dyDescent="0.35">
      <c r="A26" s="2"/>
      <c r="B26" s="2" t="s">
        <v>49</v>
      </c>
      <c r="C26" s="2"/>
      <c r="D26" s="2"/>
      <c r="E26" s="2"/>
      <c r="F26" s="2"/>
      <c r="G26" s="2"/>
      <c r="H26" s="186">
        <f>SUM(H6:I24)</f>
        <v>7000000</v>
      </c>
      <c r="I26" s="187"/>
      <c r="J26" s="186">
        <f>SUM(J6:K24)</f>
        <v>500000</v>
      </c>
      <c r="K26" s="187"/>
      <c r="L26" s="186">
        <f>L24+L25</f>
        <v>6626700</v>
      </c>
      <c r="M26" s="187"/>
      <c r="N26" s="2"/>
      <c r="O26" s="2"/>
      <c r="P26" s="51"/>
      <c r="Q26" s="51"/>
      <c r="R26" s="52"/>
      <c r="S26" s="52"/>
      <c r="T26" s="52"/>
      <c r="U26" s="52"/>
      <c r="V26" s="46"/>
      <c r="W26" s="51">
        <v>2</v>
      </c>
      <c r="X26" s="51" t="s">
        <v>3</v>
      </c>
      <c r="Y26" s="51"/>
      <c r="Z26" s="46">
        <f t="shared" ref="Z26:Z36" si="17">AC25</f>
        <v>900000</v>
      </c>
      <c r="AA26" s="27">
        <f>SUMIFS(JURNAL_26!$J$9:$J$1764,JURNAL_26!$C$9:$C$1764,W26,JURNAL_26!$G$9:$G$1764,$X$24)</f>
        <v>2700000</v>
      </c>
      <c r="AB26" s="27">
        <f>SUMIFS(JURNAL_26!$K$9:$K$1764,JURNAL_26!$C$9:$C$1764,W26,JURNAL_26!$G$9:$G$1764,$X$24)</f>
        <v>0</v>
      </c>
      <c r="AC26" s="46">
        <f t="shared" si="15"/>
        <v>3600000</v>
      </c>
      <c r="AD26" s="51">
        <v>2</v>
      </c>
      <c r="AE26" s="51" t="s">
        <v>3</v>
      </c>
      <c r="AF26" s="51"/>
      <c r="AG26" s="46">
        <f t="shared" ref="AG26:AG36" si="18">AJ25</f>
        <v>0</v>
      </c>
      <c r="AH26" s="27">
        <f>SUMIFS(JURNAL_26!$J$9:$J$1764,JURNAL_26!$C$9:$C$1764,AD26,JURNAL_26!$G$9:$G$1764,$AE$24)</f>
        <v>0</v>
      </c>
      <c r="AI26" s="27">
        <f>SUMIFS(JURNAL_26!$K$9:$K$1764,JURNAL_26!$C$9:$C$1764,AD26,JURNAL_26!$G$9:$G$1764,$AE$24)</f>
        <v>0</v>
      </c>
      <c r="AJ26" s="46">
        <f t="shared" si="16"/>
        <v>0</v>
      </c>
    </row>
    <row r="27" spans="1:43" ht="14.2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51"/>
      <c r="Q27" s="51"/>
      <c r="R27" s="52"/>
      <c r="S27" s="52"/>
      <c r="T27" s="52"/>
      <c r="U27" s="52"/>
      <c r="V27" s="46"/>
      <c r="W27" s="51">
        <v>3</v>
      </c>
      <c r="X27" s="51" t="s">
        <v>4</v>
      </c>
      <c r="Y27" s="51"/>
      <c r="Z27" s="46">
        <f t="shared" si="17"/>
        <v>3600000</v>
      </c>
      <c r="AA27" s="27">
        <f>SUMIFS(JURNAL_26!$J$9:$J$1764,JURNAL_26!$C$9:$C$1764,W27,JURNAL_26!$G$9:$G$1764,$X$24)</f>
        <v>700000</v>
      </c>
      <c r="AB27" s="27">
        <f>SUMIFS(JURNAL_26!$K$9:$K$1764,JURNAL_26!$C$9:$C$1764,W27,JURNAL_26!$G$9:$G$1764,$X$24)</f>
        <v>0</v>
      </c>
      <c r="AC27" s="46">
        <f t="shared" si="15"/>
        <v>4300000</v>
      </c>
      <c r="AD27" s="51">
        <v>3</v>
      </c>
      <c r="AE27" s="51" t="s">
        <v>4</v>
      </c>
      <c r="AF27" s="51"/>
      <c r="AG27" s="46">
        <f t="shared" si="18"/>
        <v>0</v>
      </c>
      <c r="AH27" s="27">
        <f>SUMIFS(JURNAL_26!$J$9:$J$1764,JURNAL_26!$C$9:$C$1764,AD27,JURNAL_26!$G$9:$G$1764,$AE$24)</f>
        <v>0</v>
      </c>
      <c r="AI27" s="27">
        <f>SUMIFS(JURNAL_26!$K$9:$K$1764,JURNAL_26!$C$9:$C$1764,AD27,JURNAL_26!$G$9:$G$1764,$AE$24)</f>
        <v>0</v>
      </c>
      <c r="AJ27" s="46">
        <f t="shared" si="16"/>
        <v>0</v>
      </c>
    </row>
    <row r="28" spans="1:43" ht="14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51"/>
      <c r="Q28" s="51"/>
      <c r="R28" s="52"/>
      <c r="S28" s="52"/>
      <c r="T28" s="52"/>
      <c r="U28" s="52"/>
      <c r="V28" s="46"/>
      <c r="W28" s="51">
        <v>4</v>
      </c>
      <c r="X28" s="51" t="s">
        <v>0</v>
      </c>
      <c r="Y28" s="51"/>
      <c r="Z28" s="46">
        <f t="shared" si="17"/>
        <v>4300000</v>
      </c>
      <c r="AA28" s="27">
        <f>SUMIFS(JURNAL_26!$J$9:$J$1764,JURNAL_26!$C$9:$C$1764,W28,JURNAL_26!$G$9:$G$1764,$X$24)</f>
        <v>1900000</v>
      </c>
      <c r="AB28" s="27">
        <f>SUMIFS(JURNAL_26!$K$9:$K$1764,JURNAL_26!$C$9:$C$1764,W28,JURNAL_26!$G$9:$G$1764,$X$24)</f>
        <v>0</v>
      </c>
      <c r="AC28" s="46">
        <f t="shared" si="15"/>
        <v>6200000</v>
      </c>
      <c r="AD28" s="51">
        <v>4</v>
      </c>
      <c r="AE28" s="51" t="s">
        <v>0</v>
      </c>
      <c r="AF28" s="51"/>
      <c r="AG28" s="46">
        <f t="shared" si="18"/>
        <v>0</v>
      </c>
      <c r="AH28" s="27">
        <f>SUMIFS(JURNAL_26!$J$9:$J$1764,JURNAL_26!$C$9:$C$1764,AD28,JURNAL_26!$G$9:$G$1764,$AE$24)</f>
        <v>0</v>
      </c>
      <c r="AI28" s="27">
        <f>SUMIFS(JURNAL_26!$K$9:$K$1764,JURNAL_26!$C$9:$C$1764,AD28,JURNAL_26!$G$9:$G$1764,$AE$24)</f>
        <v>0</v>
      </c>
      <c r="AJ28" s="46">
        <f t="shared" si="16"/>
        <v>0</v>
      </c>
    </row>
    <row r="29" spans="1:43" ht="14.25" customHeight="1" x14ac:dyDescent="0.35">
      <c r="A29" s="55" t="s">
        <v>67</v>
      </c>
      <c r="B29" s="56"/>
      <c r="C29" s="56"/>
      <c r="D29" s="57"/>
      <c r="E29" s="57"/>
      <c r="F29" s="57"/>
      <c r="G29" s="57"/>
      <c r="H29" s="186">
        <f>SUMIFS(JURNAL_26!$J$9:$J$447,JURNAL_26!$G$9:$G$447,B29)</f>
        <v>0</v>
      </c>
      <c r="I29" s="187"/>
      <c r="J29" s="186">
        <f>SUMIFS(JURNAL_26!$K$9:$K$447,JURNAL_26!$G$9:$G$447,B29)</f>
        <v>0</v>
      </c>
      <c r="K29" s="187"/>
      <c r="L29" s="231">
        <f>L19+L26</f>
        <v>13126700</v>
      </c>
      <c r="M29" s="232"/>
      <c r="N29" s="2"/>
      <c r="O29" s="2"/>
      <c r="P29" s="51"/>
      <c r="Q29" s="51"/>
      <c r="R29" s="52"/>
      <c r="S29" s="52"/>
      <c r="T29" s="52"/>
      <c r="U29" s="52"/>
      <c r="V29" s="46"/>
      <c r="W29" s="51">
        <v>5</v>
      </c>
      <c r="X29" s="51" t="s">
        <v>5</v>
      </c>
      <c r="Y29" s="51"/>
      <c r="Z29" s="46">
        <f t="shared" si="17"/>
        <v>6200000</v>
      </c>
      <c r="AA29" s="27">
        <f>SUMIFS(JURNAL_26!$J$9:$J$1764,JURNAL_26!$C$9:$C$1764,W29,JURNAL_26!$G$9:$G$1764,$X$24)</f>
        <v>300000</v>
      </c>
      <c r="AB29" s="27">
        <f>SUMIFS(JURNAL_26!$K$9:$K$1764,JURNAL_26!$C$9:$C$1764,W29,JURNAL_26!$G$9:$G$1764,$X$24)</f>
        <v>0</v>
      </c>
      <c r="AC29" s="46">
        <f t="shared" si="15"/>
        <v>6500000</v>
      </c>
      <c r="AD29" s="51">
        <v>5</v>
      </c>
      <c r="AE29" s="51" t="s">
        <v>5</v>
      </c>
      <c r="AF29" s="51"/>
      <c r="AG29" s="46">
        <f t="shared" si="18"/>
        <v>0</v>
      </c>
      <c r="AH29" s="27">
        <f>SUMIFS(JURNAL_26!$J$9:$J$1764,JURNAL_26!$C$9:$C$1764,AD29,JURNAL_26!$G$9:$G$1764,$AE$24)</f>
        <v>0</v>
      </c>
      <c r="AI29" s="27">
        <f>SUMIFS(JURNAL_26!$K$9:$K$1764,JURNAL_26!$C$9:$C$1764,AD29,JURNAL_26!$G$9:$G$1764,$AE$24)</f>
        <v>0</v>
      </c>
      <c r="AJ29" s="46">
        <f t="shared" si="16"/>
        <v>0</v>
      </c>
    </row>
    <row r="30" spans="1:43" ht="14.25" customHeight="1" x14ac:dyDescent="0.35">
      <c r="A30" s="26"/>
      <c r="B30" s="2"/>
      <c r="C30" s="2"/>
      <c r="D30" s="1"/>
      <c r="E30" s="1"/>
      <c r="F30" s="1"/>
      <c r="G30" s="1"/>
      <c r="H30" s="27"/>
      <c r="I30" s="27"/>
      <c r="J30" s="27"/>
      <c r="K30" s="27"/>
      <c r="L30" s="234">
        <f>L29-L11</f>
        <v>0</v>
      </c>
      <c r="M30" s="235"/>
      <c r="N30" s="2"/>
      <c r="O30" s="2"/>
      <c r="P30" s="51"/>
      <c r="Q30" s="51"/>
      <c r="R30" s="52"/>
      <c r="S30" s="52"/>
      <c r="T30" s="52"/>
      <c r="U30" s="52"/>
      <c r="V30" s="46"/>
      <c r="W30" s="51">
        <v>6</v>
      </c>
      <c r="X30" s="51" t="s">
        <v>6</v>
      </c>
      <c r="Y30" s="51"/>
      <c r="Z30" s="46">
        <f t="shared" si="17"/>
        <v>6500000</v>
      </c>
      <c r="AA30" s="27">
        <f>SUMIFS(JURNAL_26!$J$9:$J$1764,JURNAL_26!$C$9:$C$1764,W30,JURNAL_26!$G$9:$G$1764,$X$24)</f>
        <v>0</v>
      </c>
      <c r="AB30" s="27">
        <f>SUMIFS(JURNAL_26!$K$9:$K$1764,JURNAL_26!$C$9:$C$1764,W30,JURNAL_26!$G$9:$G$1764,$X$24)</f>
        <v>0</v>
      </c>
      <c r="AC30" s="46">
        <f t="shared" si="15"/>
        <v>6500000</v>
      </c>
      <c r="AD30" s="51">
        <v>6</v>
      </c>
      <c r="AE30" s="51" t="s">
        <v>6</v>
      </c>
      <c r="AF30" s="51"/>
      <c r="AG30" s="46">
        <f t="shared" si="18"/>
        <v>0</v>
      </c>
      <c r="AH30" s="27">
        <f>SUMIFS(JURNAL_26!$J$9:$J$1764,JURNAL_26!$C$9:$C$1764,AD30,JURNAL_26!$G$9:$G$1764,$AE$24)</f>
        <v>0</v>
      </c>
      <c r="AI30" s="27">
        <f>SUMIFS(JURNAL_26!$K$9:$K$1764,JURNAL_26!$C$9:$C$1764,AD30,JURNAL_26!$G$9:$G$1764,$AE$24)</f>
        <v>0</v>
      </c>
      <c r="AJ30" s="46">
        <f t="shared" si="16"/>
        <v>0</v>
      </c>
    </row>
    <row r="31" spans="1:43" ht="14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280</v>
      </c>
      <c r="M31" s="2"/>
      <c r="N31" s="2"/>
      <c r="O31" s="2"/>
      <c r="P31" s="51"/>
      <c r="Q31" s="51"/>
      <c r="R31" s="52"/>
      <c r="S31" s="52"/>
      <c r="T31" s="52"/>
      <c r="U31" s="52"/>
      <c r="V31" s="46"/>
      <c r="W31" s="51">
        <v>7</v>
      </c>
      <c r="X31" s="51" t="s">
        <v>7</v>
      </c>
      <c r="Y31" s="51"/>
      <c r="Z31" s="46">
        <f t="shared" si="17"/>
        <v>6500000</v>
      </c>
      <c r="AA31" s="27">
        <f>SUMIFS(JURNAL_26!$J$9:$J$1764,JURNAL_26!$C$9:$C$1764,W31,JURNAL_26!$G$9:$G$1764,$X$24)</f>
        <v>0</v>
      </c>
      <c r="AB31" s="27">
        <f>SUMIFS(JURNAL_26!$K$9:$K$1764,JURNAL_26!$C$9:$C$1764,W31,JURNAL_26!$G$9:$G$1764,$X$24)</f>
        <v>0</v>
      </c>
      <c r="AC31" s="46">
        <f t="shared" si="15"/>
        <v>6500000</v>
      </c>
      <c r="AD31" s="51">
        <v>7</v>
      </c>
      <c r="AE31" s="51" t="s">
        <v>7</v>
      </c>
      <c r="AF31" s="51"/>
      <c r="AG31" s="46">
        <f t="shared" si="18"/>
        <v>0</v>
      </c>
      <c r="AH31" s="27">
        <f>SUMIFS(JURNAL_26!$J$9:$J$1764,JURNAL_26!$C$9:$C$1764,AD31,JURNAL_26!$G$9:$G$1764,$AE$24)</f>
        <v>0</v>
      </c>
      <c r="AI31" s="27">
        <f>SUMIFS(JURNAL_26!$K$9:$K$1764,JURNAL_26!$C$9:$C$1764,AD31,JURNAL_26!$G$9:$G$1764,$AE$24)</f>
        <v>0</v>
      </c>
      <c r="AJ31" s="46">
        <f t="shared" si="16"/>
        <v>0</v>
      </c>
    </row>
    <row r="32" spans="1:43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">
        <v>33</v>
      </c>
      <c r="M32" s="2"/>
      <c r="N32" s="2"/>
      <c r="O32" s="2"/>
      <c r="P32" s="51"/>
      <c r="Q32" s="51"/>
      <c r="R32" s="52"/>
      <c r="S32" s="52"/>
      <c r="T32" s="52"/>
      <c r="U32" s="52"/>
      <c r="V32" s="46"/>
      <c r="W32" s="51">
        <v>8</v>
      </c>
      <c r="X32" s="51" t="s">
        <v>8</v>
      </c>
      <c r="Y32" s="51"/>
      <c r="Z32" s="46">
        <f t="shared" si="17"/>
        <v>6500000</v>
      </c>
      <c r="AA32" s="27">
        <f>SUMIFS(JURNAL_26!$J$9:$J$1764,JURNAL_26!$C$9:$C$1764,W32,JURNAL_26!$G$9:$G$1764,$X$24)</f>
        <v>0</v>
      </c>
      <c r="AB32" s="27">
        <f>SUMIFS(JURNAL_26!$K$9:$K$1764,JURNAL_26!$C$9:$C$1764,W32,JURNAL_26!$G$9:$G$1764,$X$24)</f>
        <v>0</v>
      </c>
      <c r="AC32" s="46">
        <f t="shared" si="15"/>
        <v>6500000</v>
      </c>
      <c r="AD32" s="51">
        <v>8</v>
      </c>
      <c r="AE32" s="51" t="s">
        <v>8</v>
      </c>
      <c r="AF32" s="51"/>
      <c r="AG32" s="46">
        <f t="shared" si="18"/>
        <v>0</v>
      </c>
      <c r="AH32" s="27">
        <f>SUMIFS(JURNAL_26!$J$9:$J$1764,JURNAL_26!$C$9:$C$1764,AD32,JURNAL_26!$G$9:$G$1764,$AE$24)</f>
        <v>0</v>
      </c>
      <c r="AI32" s="27">
        <f>SUMIFS(JURNAL_26!$K$9:$K$1764,JURNAL_26!$C$9:$C$1764,AD32,JURNAL_26!$G$9:$G$1764,$AE$24)</f>
        <v>0</v>
      </c>
      <c r="AJ32" s="46">
        <f t="shared" si="16"/>
        <v>0</v>
      </c>
    </row>
    <row r="33" spans="1:36" ht="14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51"/>
      <c r="Q33" s="51"/>
      <c r="R33" s="52"/>
      <c r="S33" s="52"/>
      <c r="T33" s="52"/>
      <c r="U33" s="52"/>
      <c r="V33" s="46"/>
      <c r="W33" s="51">
        <v>9</v>
      </c>
      <c r="X33" s="230" t="s">
        <v>9</v>
      </c>
      <c r="Y33" s="185"/>
      <c r="Z33" s="46">
        <f t="shared" si="17"/>
        <v>6500000</v>
      </c>
      <c r="AA33" s="27">
        <f>SUMIFS(JURNAL_26!$J$9:$J$1764,JURNAL_26!$C$9:$C$1764,W33,JURNAL_26!$G$9:$G$1764,$X$24)</f>
        <v>0</v>
      </c>
      <c r="AB33" s="27">
        <f>SUMIFS(JURNAL_26!$K$9:$K$1764,JURNAL_26!$C$9:$C$1764,W33,JURNAL_26!$G$9:$G$1764,$X$24)</f>
        <v>0</v>
      </c>
      <c r="AC33" s="46">
        <f t="shared" si="15"/>
        <v>6500000</v>
      </c>
      <c r="AD33" s="51">
        <v>9</v>
      </c>
      <c r="AE33" s="51" t="s">
        <v>9</v>
      </c>
      <c r="AF33" s="51"/>
      <c r="AG33" s="46">
        <f t="shared" si="18"/>
        <v>0</v>
      </c>
      <c r="AH33" s="27">
        <f>SUMIFS(JURNAL_26!$J$9:$J$1764,JURNAL_26!$C$9:$C$1764,AD33,JURNAL_26!$G$9:$G$1764,$AE$24)</f>
        <v>0</v>
      </c>
      <c r="AI33" s="27">
        <f>SUMIFS(JURNAL_26!$K$9:$K$1764,JURNAL_26!$C$9:$C$1764,AD33,JURNAL_26!$G$9:$G$1764,$AE$24)</f>
        <v>0</v>
      </c>
      <c r="AJ33" s="46">
        <f t="shared" si="16"/>
        <v>0</v>
      </c>
    </row>
    <row r="34" spans="1:36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51"/>
      <c r="Q34" s="51"/>
      <c r="R34" s="51"/>
      <c r="S34" s="52"/>
      <c r="T34" s="52"/>
      <c r="U34" s="52"/>
      <c r="V34" s="46"/>
      <c r="W34" s="51">
        <v>10</v>
      </c>
      <c r="X34" s="51" t="s">
        <v>10</v>
      </c>
      <c r="Y34" s="51"/>
      <c r="Z34" s="46">
        <f t="shared" si="17"/>
        <v>6500000</v>
      </c>
      <c r="AA34" s="27">
        <f>SUMIFS(JURNAL_26!$J$9:$J$1764,JURNAL_26!$C$9:$C$1764,W34,JURNAL_26!$G$9:$G$1764,$X$24)</f>
        <v>0</v>
      </c>
      <c r="AB34" s="27">
        <f>SUMIFS(JURNAL_26!$K$9:$K$1764,JURNAL_26!$C$9:$C$1764,W34,JURNAL_26!$G$9:$G$1764,$X$24)</f>
        <v>0</v>
      </c>
      <c r="AC34" s="46">
        <f t="shared" si="15"/>
        <v>6500000</v>
      </c>
      <c r="AD34" s="51">
        <v>10</v>
      </c>
      <c r="AE34" s="51" t="s">
        <v>10</v>
      </c>
      <c r="AF34" s="51"/>
      <c r="AG34" s="46">
        <f t="shared" si="18"/>
        <v>0</v>
      </c>
      <c r="AH34" s="27">
        <f>SUMIFS(JURNAL_26!$J$9:$J$1764,JURNAL_26!$C$9:$C$1764,AD34,JURNAL_26!$G$9:$G$1764,$AE$24)</f>
        <v>0</v>
      </c>
      <c r="AI34" s="27">
        <f>SUMIFS(JURNAL_26!$K$9:$K$1764,JURNAL_26!$C$9:$C$1764,AD34,JURNAL_26!$G$9:$G$1764,$AE$24)</f>
        <v>0</v>
      </c>
      <c r="AJ34" s="46">
        <f t="shared" si="16"/>
        <v>0</v>
      </c>
    </row>
    <row r="35" spans="1:36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51"/>
      <c r="Q35" s="51"/>
      <c r="R35" s="51"/>
      <c r="S35" s="52"/>
      <c r="T35" s="52"/>
      <c r="U35" s="52"/>
      <c r="V35" s="46"/>
      <c r="W35" s="51">
        <v>11</v>
      </c>
      <c r="X35" s="230" t="s">
        <v>11</v>
      </c>
      <c r="Y35" s="185"/>
      <c r="Z35" s="46">
        <f t="shared" si="17"/>
        <v>6500000</v>
      </c>
      <c r="AA35" s="27">
        <f>SUMIFS(JURNAL_26!$J$9:$J$1764,JURNAL_26!$C$9:$C$1764,W35,JURNAL_26!$G$9:$G$1764,$X$24)</f>
        <v>0</v>
      </c>
      <c r="AB35" s="27">
        <f>SUMIFS(JURNAL_26!$K$9:$K$1764,JURNAL_26!$C$9:$C$1764,W35,JURNAL_26!$G$9:$G$1764,$X$24)</f>
        <v>0</v>
      </c>
      <c r="AC35" s="46">
        <f t="shared" si="15"/>
        <v>6500000</v>
      </c>
      <c r="AD35" s="51">
        <v>11</v>
      </c>
      <c r="AE35" s="51" t="s">
        <v>11</v>
      </c>
      <c r="AF35" s="51"/>
      <c r="AG35" s="46">
        <f t="shared" si="18"/>
        <v>0</v>
      </c>
      <c r="AH35" s="27">
        <f>SUMIFS(JURNAL_26!$J$9:$J$1764,JURNAL_26!$C$9:$C$1764,AD35,JURNAL_26!$G$9:$G$1764,$AE$24)</f>
        <v>0</v>
      </c>
      <c r="AI35" s="27">
        <f>SUMIFS(JURNAL_26!$K$9:$K$1764,JURNAL_26!$C$9:$C$1764,AD35,JURNAL_26!$G$9:$G$1764,$AE$24)</f>
        <v>0</v>
      </c>
      <c r="AJ35" s="46">
        <f t="shared" si="16"/>
        <v>0</v>
      </c>
    </row>
    <row r="36" spans="1:36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51"/>
      <c r="Q36" s="51"/>
      <c r="R36" s="44"/>
      <c r="S36" s="52"/>
      <c r="T36" s="52"/>
      <c r="U36" s="52"/>
      <c r="V36" s="46"/>
      <c r="W36" s="51">
        <v>12</v>
      </c>
      <c r="X36" s="230" t="s">
        <v>12</v>
      </c>
      <c r="Y36" s="185"/>
      <c r="Z36" s="46">
        <f t="shared" si="17"/>
        <v>6500000</v>
      </c>
      <c r="AA36" s="27">
        <f>SUMIFS(JURNAL_26!$J$9:$J$1764,JURNAL_26!$C$9:$C$1764,W36,JURNAL_26!$G$9:$G$1764,$X$24)</f>
        <v>0</v>
      </c>
      <c r="AB36" s="27">
        <f>SUMIFS(JURNAL_26!$K$9:$K$1764,JURNAL_26!$C$9:$C$1764,W36,JURNAL_26!$G$9:$G$1764,$X$24)</f>
        <v>0</v>
      </c>
      <c r="AC36" s="46">
        <f t="shared" si="15"/>
        <v>6500000</v>
      </c>
      <c r="AD36" s="51">
        <v>12</v>
      </c>
      <c r="AE36" s="51" t="s">
        <v>12</v>
      </c>
      <c r="AF36" s="51"/>
      <c r="AG36" s="46">
        <f t="shared" si="18"/>
        <v>0</v>
      </c>
      <c r="AH36" s="27">
        <f>SUMIFS(JURNAL_26!$J$9:$J$1764,JURNAL_26!$C$9:$C$1764,AD36,JURNAL_26!$G$9:$G$1764,$AE$24)</f>
        <v>0</v>
      </c>
      <c r="AI36" s="27">
        <f>SUMIFS(JURNAL_26!$K$9:$K$1764,JURNAL_26!$C$9:$C$1764,AD36,JURNAL_26!$G$9:$G$1764,$AE$24)</f>
        <v>0</v>
      </c>
      <c r="AJ36" s="46">
        <f t="shared" si="16"/>
        <v>0</v>
      </c>
    </row>
    <row r="37" spans="1:36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3" t="s">
        <v>1</v>
      </c>
      <c r="M37" s="2"/>
      <c r="N37" s="2"/>
      <c r="O37" s="2"/>
      <c r="P37" s="1"/>
      <c r="Q37" s="1"/>
      <c r="R37" s="1"/>
      <c r="S37" s="1"/>
      <c r="T37" s="29">
        <f t="shared" ref="T37:U37" si="19">SUM(T25:T36)</f>
        <v>0</v>
      </c>
      <c r="U37" s="29">
        <f t="shared" si="19"/>
        <v>0</v>
      </c>
      <c r="V37" s="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5.75" customHeight="1" x14ac:dyDescent="0.35"/>
    <row r="239" spans="1:36" ht="15.75" customHeight="1" x14ac:dyDescent="0.35"/>
    <row r="240" spans="1:36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60">
    <mergeCell ref="H23:I23"/>
    <mergeCell ref="H24:I24"/>
    <mergeCell ref="J24:K24"/>
    <mergeCell ref="L24:M24"/>
    <mergeCell ref="H25:I25"/>
    <mergeCell ref="J25:K25"/>
    <mergeCell ref="L25:M25"/>
    <mergeCell ref="H26:I26"/>
    <mergeCell ref="J26:K26"/>
    <mergeCell ref="L26:M26"/>
    <mergeCell ref="H29:I29"/>
    <mergeCell ref="J29:K29"/>
    <mergeCell ref="L29:M29"/>
    <mergeCell ref="H16:I16"/>
    <mergeCell ref="J16:K16"/>
    <mergeCell ref="L16:M16"/>
    <mergeCell ref="F16:G16"/>
    <mergeCell ref="F17:G17"/>
    <mergeCell ref="H17:I17"/>
    <mergeCell ref="J17:K17"/>
    <mergeCell ref="L17:M17"/>
    <mergeCell ref="X36:Y36"/>
    <mergeCell ref="J8:K8"/>
    <mergeCell ref="L8:M8"/>
    <mergeCell ref="L11:M11"/>
    <mergeCell ref="X15:Y15"/>
    <mergeCell ref="L19:M19"/>
    <mergeCell ref="J23:K23"/>
    <mergeCell ref="L30:M30"/>
    <mergeCell ref="X17:Y17"/>
    <mergeCell ref="X18:Y18"/>
    <mergeCell ref="X24:Y24"/>
    <mergeCell ref="X33:Y33"/>
    <mergeCell ref="X35:Y35"/>
    <mergeCell ref="X5:Y5"/>
    <mergeCell ref="F9:G9"/>
    <mergeCell ref="H9:I9"/>
    <mergeCell ref="J9:K9"/>
    <mergeCell ref="L9:M9"/>
    <mergeCell ref="F5:G5"/>
    <mergeCell ref="F6:G6"/>
    <mergeCell ref="H6:I6"/>
    <mergeCell ref="J6:K6"/>
    <mergeCell ref="L6:M6"/>
    <mergeCell ref="F8:G8"/>
    <mergeCell ref="H8:I8"/>
    <mergeCell ref="A1:M1"/>
    <mergeCell ref="A2:L2"/>
    <mergeCell ref="A3:M3"/>
    <mergeCell ref="H5:I5"/>
    <mergeCell ref="J5:K5"/>
    <mergeCell ref="L5:M5"/>
    <mergeCell ref="F10:G10"/>
    <mergeCell ref="H10:I10"/>
    <mergeCell ref="J10:K10"/>
    <mergeCell ref="L10:M10"/>
    <mergeCell ref="F7:G7"/>
    <mergeCell ref="H7:I7"/>
    <mergeCell ref="J7:K7"/>
    <mergeCell ref="L7:M7"/>
  </mergeCells>
  <printOptions horizontalCentered="1"/>
  <pageMargins left="0.70866141732283472" right="0.70866141732283472" top="0.74803149606299213" bottom="0.74803149606299213" header="0" footer="0"/>
  <pageSetup paperSize="9" scale="70" orientation="portrait" r:id="rId1"/>
</worksheet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RAB</vt:lpstr>
      <vt:lpstr>IURAN WARGA</vt:lpstr>
      <vt:lpstr>PVT IURAN</vt:lpstr>
      <vt:lpstr>Serah Terima</vt:lpstr>
      <vt:lpstr>JURNAL_25</vt:lpstr>
      <vt:lpstr>KAS KECIL</vt:lpstr>
      <vt:lpstr>JURNAL_26</vt:lpstr>
      <vt:lpstr>COA</vt:lpstr>
      <vt:lpstr>LR BLN</vt:lpstr>
      <vt:lpstr>LR YTD</vt:lpstr>
      <vt:lpstr>LAP KAS BLN</vt:lpstr>
      <vt:lpstr>LAP KAS YTD</vt:lpstr>
      <vt:lpstr>NRC YTD</vt:lpstr>
      <vt:lpstr>'NRC YTD'!Print_Area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Andrianto Budiaji</cp:lastModifiedBy>
  <dcterms:modified xsi:type="dcterms:W3CDTF">2026-05-09T12:37:58Z</dcterms:modified>
</cp:coreProperties>
</file>